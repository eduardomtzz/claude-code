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'Lançamentos'!$A$4:$K$1204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;[Red]-&quot;R$&quot; #,##0.00"/>
    <numFmt numFmtId="165" formatCode="dd/mm/yyyy"/>
    <numFmt numFmtId="166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B0A6C4"/>
      <sz val="9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9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6" fillId="0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C8402E"/>
        <sz val="16"/>
      </font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Entrou × saiu no 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'Painel'!B55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'Painel'!$B$56:$B$67</f>
            </numRef>
          </val>
        </ser>
        <ser>
          <idx val="1"/>
          <order val="1"/>
          <tx>
            <strRef>
              <f>'Painel'!C55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'Painel'!$C$56:$C$67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53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Caixa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(fechamento do dia do particular, parcelas a prazo, lotes de convênio) e o que sai (custo fixo, pró-labore, repasse, materiais, taxas de cartão, impostos). Ela mostra o mês: entrou, saiu, sobrou, saldo acumulado, a receber, a pagar; para onde foi o dinheiro por categoria, de onde veio, por forma de pagamento e o ano mês a mês com gráfico.</t>
        </is>
      </c>
    </row>
    <row r="5" ht="46" customHeight="1">
      <c r="A5" s="3" t="inlineStr">
        <is>
          <t>Passo 1</t>
        </is>
      </c>
      <c r="B5" s="4" t="inlineStr">
        <is>
          <t>Em Config, preencha o nome da clínica, o ano, o saldo que havia em caixa antes do primeiro lançamento e o mês do painel. Ajuste categorias e recebedores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movimento: data, tipo (entrada ou saída), categoria, paciente ou convênio (quando houver), referência, descrição, valor, forma e Pago?. Lote de convênio enviado e ainda não pago entra com Pago? = Não e aparece em A receber; quando cair na conta, troque para Sim e ajuste o valor pela glosa.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leia de cima para baixo. Só o que está com Pago? = Sim conta como caixa; o resto é previsão.</t>
        </is>
      </c>
    </row>
    <row r="8" ht="46" customHeight="1">
      <c r="A8" s="3" t="inlineStr">
        <is>
          <t>Rotina de sexta</t>
        </is>
      </c>
      <c r="B8" s="4" t="inlineStr">
        <is>
          <t>15 minutos: lançar os fechamentos do dia da semana (a recepção fecha o caixa todo dia, checklist 04), marcar as parcelas e os lotes que caíram na conta e conferir A receber contra o extrato. No fechamento do mês: lançar as taxas de cartão (16), olhar Sobrou e Saldo acumulado antes de decidir retirada extra ou gasto grande.</t>
        </is>
      </c>
    </row>
    <row r="9" ht="46" customHeight="1">
      <c r="A9" s="3" t="inlineStr">
        <is>
          <t>Ligação com as outras planilhas</t>
        </is>
      </c>
      <c r="B9" s="4" t="inlineStr">
        <is>
          <t>O total de entradas do mês alimenta a planilha 10 (provisão de impostos) e a 17 (painel); as saídas de pró-labore e repasse, a 11; o saldo acumulado e o custo fixo, a 12 (reserva); as entradas por categoria, a 18 (resultado). Cada arquivo tem a própria aba de entrada amarela: copie os números do painel.</t>
        </is>
      </c>
    </row>
    <row r="10" ht="46" customHeight="1">
      <c r="A10" s="3" t="inlineStr">
        <is>
          <t>Com a IA</t>
        </is>
      </c>
      <c r="B10" s="4" t="inlineStr">
        <is>
          <t>Copie "Para onde foi o dinheiro", "De onde veio" e "O ano, mês a mês" e use o prompt "Caixa 01 · Explicar o mês do caixa" da biblioteca do kit. Nunca cole nome de paciente na IA: use as tabelas do Painel, que só têm totais.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1" customWidth="1" min="3" max="3"/>
    <col width="15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4" customWidth="1" min="10" max="10"/>
    <col width="12" customWidth="1" min="11" max="11"/>
    <col width="12" customWidth="1" min="12" max="12"/>
  </cols>
  <sheetData>
    <row r="1" ht="28" customHeight="1">
      <c r="A1" s="5" t="str">
        <f>Config!B4&amp;" · Caixa da clínica · "&amp;Config!B6&amp;" de "&amp;Config!B5</f>
        <v>Clínica Vida Plena (exemplo fictício) · Caixa da clínica · Setembro de 2026</v>
      </c>
    </row>
    <row r="2">
      <c r="A2" s="6" t="inlineStr">
        <is>
          <t>Nada para digitar aqui. Escolha o mês em Config; tudo vem de Lançamentos. Só o que está com Pago? = Sim conta como caixa.</t>
        </is>
      </c>
    </row>
    <row r="3"/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 no mês</t>
        </is>
      </c>
      <c r="F4" s="12" t="n"/>
      <c r="G4" s="13" t="inlineStr">
        <is>
          <t>Saldo acumulado</t>
        </is>
      </c>
      <c r="H4" s="14" t="n"/>
      <c r="I4" s="13" t="inlineStr">
        <is>
          <t>A receber (Pago? = Não)</t>
        </is>
      </c>
      <c r="J4" s="14" t="n"/>
      <c r="K4" s="13" t="inlineStr">
        <is>
          <t>A pagar (Pago? = Não)</t>
        </is>
      </c>
      <c r="L4" s="14" t="n"/>
    </row>
    <row r="5" ht="30" customHeight="1">
      <c r="A5" s="15">
        <f>SUMIFS(Lançamentos!$G$5:$G$1204,Lançamentos!$B$5:$B$1204,"Entrada",Lançamentos!$I$5:$I$1204,"Sim",Lançamentos!$J$5:$J$1204,Config!$B$7,Lançamentos!$K$5:$K$1204,Config!$B$5)</f>
        <v>21570</v>
      </c>
      <c r="B5" s="8" t="n"/>
      <c r="C5" s="16">
        <f>SUMIFS(Lançamentos!$G$5:$G$1204,Lançamentos!$B$5:$B$1204,"Saída",Lançamentos!$I$5:$I$1204,"Sim",Lançamentos!$J$5:$J$1204,Config!$B$7,Lançamentos!$K$5:$K$1204,Config!$B$5)</f>
        <v>13630</v>
      </c>
      <c r="D5" s="10" t="n"/>
      <c r="E5" s="17">
        <f>A5-C5</f>
        <v>7940</v>
      </c>
      <c r="F5" s="12" t="n"/>
      <c r="G5" s="18">
        <f>Config!$B$8+SUMIFS(Lançamentos!$G$5:$G$1204,Lançamentos!$B$5:$B$1204,"Entrada",Lançamentos!$I$5:$I$1204,"Sim",Lançamentos!$A$5:$A$1204,"&lt;="&amp;DATE(Config!$B$5,Config!$B$7+1,0))-SUMIFS(Lançamentos!$G$5:$G$1204,Lançamentos!$B$5:$B$1204,"Saída",Lançamentos!$I$5:$I$1204,"Sim",Lançamentos!$A$5:$A$1204,"&lt;="&amp;DATE(Config!$B$5,Config!$B$7+1,0))</f>
        <v>52251.29</v>
      </c>
      <c r="H5" s="14" t="n"/>
      <c r="I5" s="18">
        <f>SUMIFS(Lançamentos!$G$5:$G$1204,Lançamentos!$B$5:$B$1204,"Entrada",Lançamentos!$I$5:$I$1204,"Não")</f>
        <v>12642</v>
      </c>
      <c r="J5" s="14" t="n"/>
      <c r="K5" s="18">
        <f>SUMIFS(Lançamentos!$G$5:$G$1204,Lançamentos!$B$5:$B$1204,"Saída",Lançamentos!$I$5:$I$1204,"Não")</f>
        <v>25997</v>
      </c>
      <c r="L5" s="14" t="n"/>
    </row>
    <row r="6"/>
    <row r="7">
      <c r="A7" s="19" t="inlineStr">
        <is>
          <t>Para onde foi o dinheiro</t>
        </is>
      </c>
    </row>
    <row r="8" ht="26" customHeight="1">
      <c r="A8" s="20" t="inlineStr">
        <is>
          <t>Categoria de saída</t>
        </is>
      </c>
      <c r="B8" s="20" t="inlineStr">
        <is>
          <t>Valor no mês</t>
        </is>
      </c>
      <c r="C8" s="20" t="inlineStr">
        <is>
          <t>% do total</t>
        </is>
      </c>
      <c r="D8" s="20" t="inlineStr">
        <is>
          <t>Mês anterior</t>
        </is>
      </c>
      <c r="E8" s="20" t="inlineStr">
        <is>
          <t>Acumulado no ano</t>
        </is>
      </c>
      <c r="F8" s="20" t="inlineStr">
        <is>
          <t>Barra</t>
        </is>
      </c>
      <c r="G8" s="21" t="n"/>
      <c r="H8" s="21" t="n"/>
      <c r="I8" s="22" t="n"/>
    </row>
    <row r="9">
      <c r="A9" s="23" t="str">
        <f>IF(Config!$F$5="","",Config!$F$5)</f>
        <v>Pró-labore dos sócios</v>
      </c>
      <c r="B9" s="24">
        <f>IF(Config!$F$5="","",SUMIFS(Lançamentos!$G$5:$G$1204,Lançamentos!$B$5:$B$1204,"Saída",Lançamentos!$I$5:$I$1204,"Sim",Lançamentos!$J$5:$J$1204,Config!$B$7,Lançamentos!$K$5:$K$1204,Config!$B$5,Lançamentos!$C$5:$C$1204,Config!$F$5))</f>
        <v>0</v>
      </c>
      <c r="C9" s="25">
        <f>IF(OR(Config!$F$5="",$C$5=0),"",B9/$C$5)</f>
        <v>0</v>
      </c>
      <c r="D9" s="24">
        <f>IF(Config!$F$5="","",IF(Config!$B$7=1,SUMIFS(Lançamentos!$G$5:$G$1204,Lançamentos!$B$5:$B$1204,"Saída",Lançamentos!$I$5:$I$1204,"Sim",Lançamentos!$J$5:$J$1204,12,Lançamentos!$K$5:$K$1204,Config!$B$5-1,Lançamentos!$C$5:$C$1204,Config!$F$5),SUMIFS(Lançamentos!$G$5:$G$1204,Lançamentos!$B$5:$B$1204,"Saída",Lançamentos!$I$5:$I$1204,"Sim",Lançamentos!$J$5:$J$1204,Config!$B$7-1,Lançamentos!$K$5:$K$1204,Config!$B$5,Lançamentos!$C$5:$C$1204,Config!$F$5)))</f>
        <v>18000</v>
      </c>
      <c r="E9" s="24">
        <f>IF(Config!$F$5="","",SUMIFS(Lançamentos!$G$5:$G$1204,Lançamentos!$B$5:$B$1204,"Saída",Lançamentos!$I$5:$I$1204,"Sim",Lançamentos!$C$5:$C$1204,Config!$F$5,Lançamentos!$K$5:$K$1204,Config!$B$5,Lançamentos!$J$5:$J$1204,"&lt;="&amp;Config!$B$7))</f>
        <v>151091</v>
      </c>
      <c r="F9" s="26">
        <f>IF(C9="","",REPT("█",ROUND(C9*40,0)))</f>
        <v/>
      </c>
      <c r="G9" s="21" t="n"/>
      <c r="H9" s="21" t="n"/>
      <c r="I9" s="22" t="n"/>
    </row>
    <row r="10">
      <c r="A10" s="23" t="str">
        <f>IF(Config!$F$6="","",Config!$F$6)</f>
        <v>Aluguel e condomínio</v>
      </c>
      <c r="B10" s="24">
        <f>IF(Config!$F$6="","",SUMIFS(Lançamentos!$G$5:$G$1204,Lançamentos!$B$5:$B$1204,"Saída",Lançamentos!$I$5:$I$1204,"Sim",Lançamentos!$J$5:$J$1204,Config!$B$7,Lançamentos!$K$5:$K$1204,Config!$B$5,Lançamentos!$C$5:$C$1204,Config!$F$6))</f>
        <v>3900</v>
      </c>
      <c r="C10" s="25">
        <f>IF(OR(Config!$F$6="",$C$5=0),"",B10/$C$5)</f>
        <v>0.286133528980191</v>
      </c>
      <c r="D10" s="24">
        <f>IF(Config!$F$6="","",IF(Config!$B$7=1,SUMIFS(Lançamentos!$G$5:$G$1204,Lançamentos!$B$5:$B$1204,"Saída",Lançamentos!$I$5:$I$1204,"Sim",Lançamentos!$J$5:$J$1204,12,Lançamentos!$K$5:$K$1204,Config!$B$5-1,Lançamentos!$C$5:$C$1204,Config!$F$6),SUMIFS(Lançamentos!$G$5:$G$1204,Lançamentos!$B$5:$B$1204,"Saída",Lançamentos!$I$5:$I$1204,"Sim",Lançamentos!$J$5:$J$1204,Config!$B$7-1,Lançamentos!$K$5:$K$1204,Config!$B$5,Lançamentos!$C$5:$C$1204,Config!$F$6)))</f>
        <v>3900</v>
      </c>
      <c r="E10" s="24">
        <f>IF(Config!$F$6="","",SUMIFS(Lançamentos!$G$5:$G$1204,Lançamentos!$B$5:$B$1204,"Saída",Lançamentos!$I$5:$I$1204,"Sim",Lançamentos!$C$5:$C$1204,Config!$F$6,Lançamentos!$K$5:$K$1204,Config!$B$5,Lançamentos!$J$5:$J$1204,"&lt;="&amp;Config!$B$7))</f>
        <v>35100</v>
      </c>
      <c r="F10" s="26" t="str">
        <f>IF(C10="","",REPT("█",ROUND(C10*40,0)))</f>
        <v>███████████</v>
      </c>
      <c r="G10" s="21" t="n"/>
      <c r="H10" s="21" t="n"/>
      <c r="I10" s="22" t="n"/>
    </row>
    <row r="11">
      <c r="A11" s="23" t="str">
        <f>IF(Config!$F$7="","",Config!$F$7)</f>
        <v>Recepção (salário e encargos)</v>
      </c>
      <c r="B11" s="24">
        <f>IF(Config!$F$7="","",SUMIFS(Lançamentos!$G$5:$G$1204,Lançamentos!$B$5:$B$1204,"Saída",Lançamentos!$I$5:$I$1204,"Sim",Lançamentos!$J$5:$J$1204,Config!$B$7,Lançamentos!$K$5:$K$1204,Config!$B$5,Lançamentos!$C$5:$C$1204,Config!$F$7))</f>
        <v>3100</v>
      </c>
      <c r="C11" s="25">
        <f>IF(OR(Config!$F$7="",$C$5=0),"",B11/$C$5)</f>
        <v>0.227439471753485</v>
      </c>
      <c r="D11" s="24">
        <f>IF(Config!$F$7="","",IF(Config!$B$7=1,SUMIFS(Lançamentos!$G$5:$G$1204,Lançamentos!$B$5:$B$1204,"Saída",Lançamentos!$I$5:$I$1204,"Sim",Lançamentos!$J$5:$J$1204,12,Lançamentos!$K$5:$K$1204,Config!$B$5-1,Lançamentos!$C$5:$C$1204,Config!$F$7),SUMIFS(Lançamentos!$G$5:$G$1204,Lançamentos!$B$5:$B$1204,"Saída",Lançamentos!$I$5:$I$1204,"Sim",Lançamentos!$J$5:$J$1204,Config!$B$7-1,Lançamentos!$K$5:$K$1204,Config!$B$5,Lançamentos!$C$5:$C$1204,Config!$F$7)))</f>
        <v>3100</v>
      </c>
      <c r="E11" s="24">
        <f>IF(Config!$F$7="","",SUMIFS(Lançamentos!$G$5:$G$1204,Lançamentos!$B$5:$B$1204,"Saída",Lançamentos!$I$5:$I$1204,"Sim",Lançamentos!$C$5:$C$1204,Config!$F$7,Lançamentos!$K$5:$K$1204,Config!$B$5,Lançamentos!$J$5:$J$1204,"&lt;="&amp;Config!$B$7))</f>
        <v>27900</v>
      </c>
      <c r="F11" s="26" t="str">
        <f>IF(C11="","",REPT("█",ROUND(C11*40,0)))</f>
        <v>█████████</v>
      </c>
      <c r="G11" s="21" t="n"/>
      <c r="H11" s="21" t="n"/>
      <c r="I11" s="22" t="n"/>
    </row>
    <row r="12">
      <c r="A12" s="23" t="str">
        <f>IF(Config!$F$8="","",Config!$F$8)</f>
        <v>Contador</v>
      </c>
      <c r="B12" s="24">
        <f>IF(Config!$F$8="","",SUMIFS(Lançamentos!$G$5:$G$1204,Lançamentos!$B$5:$B$1204,"Saída",Lançamentos!$I$5:$I$1204,"Sim",Lançamentos!$J$5:$J$1204,Config!$B$7,Lançamentos!$K$5:$K$1204,Config!$B$5,Lançamentos!$C$5:$C$1204,Config!$F$8))</f>
        <v>600</v>
      </c>
      <c r="C12" s="25">
        <f>IF(OR(Config!$F$8="",$C$5=0),"",B12/$C$5)</f>
        <v>0.0440205429200294</v>
      </c>
      <c r="D12" s="24">
        <f>IF(Config!$F$8="","",IF(Config!$B$7=1,SUMIFS(Lançamentos!$G$5:$G$1204,Lançamentos!$B$5:$B$1204,"Saída",Lançamentos!$I$5:$I$1204,"Sim",Lançamentos!$J$5:$J$1204,12,Lançamentos!$K$5:$K$1204,Config!$B$5-1,Lançamentos!$C$5:$C$1204,Config!$F$8),SUMIFS(Lançamentos!$G$5:$G$1204,Lançamentos!$B$5:$B$1204,"Saída",Lançamentos!$I$5:$I$1204,"Sim",Lançamentos!$J$5:$J$1204,Config!$B$7-1,Lançamentos!$K$5:$K$1204,Config!$B$5,Lançamentos!$C$5:$C$1204,Config!$F$8)))</f>
        <v>600</v>
      </c>
      <c r="E12" s="24">
        <f>IF(Config!$F$8="","",SUMIFS(Lançamentos!$G$5:$G$1204,Lançamentos!$B$5:$B$1204,"Saída",Lançamentos!$I$5:$I$1204,"Sim",Lançamentos!$C$5:$C$1204,Config!$F$8,Lançamentos!$K$5:$K$1204,Config!$B$5,Lançamentos!$J$5:$J$1204,"&lt;="&amp;Config!$B$7))</f>
        <v>5400</v>
      </c>
      <c r="F12" s="26" t="str">
        <f>IF(C12="","",REPT("█",ROUND(C12*40,0)))</f>
        <v>██</v>
      </c>
      <c r="G12" s="21" t="n"/>
      <c r="H12" s="21" t="n"/>
      <c r="I12" s="22" t="n"/>
    </row>
    <row r="13">
      <c r="A13" s="23" t="str">
        <f>IF(Config!$F$9="","",Config!$F$9)</f>
        <v>Sistema de agenda e assinaturas</v>
      </c>
      <c r="B13" s="24">
        <f>IF(Config!$F$9="","",SUMIFS(Lançamentos!$G$5:$G$1204,Lançamentos!$B$5:$B$1204,"Saída",Lançamentos!$I$5:$I$1204,"Sim",Lançamentos!$J$5:$J$1204,Config!$B$7,Lançamentos!$K$5:$K$1204,Config!$B$5,Lançamentos!$C$5:$C$1204,Config!$F$9))</f>
        <v>300</v>
      </c>
      <c r="C13" s="25">
        <f>IF(OR(Config!$F$9="",$C$5=0),"",B13/$C$5)</f>
        <v>0.0220102714600147</v>
      </c>
      <c r="D13" s="24">
        <f>IF(Config!$F$9="","",IF(Config!$B$7=1,SUMIFS(Lançamentos!$G$5:$G$1204,Lançamentos!$B$5:$B$1204,"Saída",Lançamentos!$I$5:$I$1204,"Sim",Lançamentos!$J$5:$J$1204,12,Lançamentos!$K$5:$K$1204,Config!$B$5-1,Lançamentos!$C$5:$C$1204,Config!$F$9),SUMIFS(Lançamentos!$G$5:$G$1204,Lançamentos!$B$5:$B$1204,"Saída",Lançamentos!$I$5:$I$1204,"Sim",Lançamentos!$J$5:$J$1204,Config!$B$7-1,Lançamentos!$K$5:$K$1204,Config!$B$5,Lançamentos!$C$5:$C$1204,Config!$F$9)))</f>
        <v>300</v>
      </c>
      <c r="E13" s="24">
        <f>IF(Config!$F$9="","",SUMIFS(Lançamentos!$G$5:$G$1204,Lançamentos!$B$5:$B$1204,"Saída",Lançamentos!$I$5:$I$1204,"Sim",Lançamentos!$C$5:$C$1204,Config!$F$9,Lançamentos!$K$5:$K$1204,Config!$B$5,Lançamentos!$J$5:$J$1204,"&lt;="&amp;Config!$B$7))</f>
        <v>2700</v>
      </c>
      <c r="F13" s="26" t="str">
        <f>IF(C13="","",REPT("█",ROUND(C13*40,0)))</f>
        <v>█</v>
      </c>
      <c r="G13" s="21" t="n"/>
      <c r="H13" s="21" t="n"/>
      <c r="I13" s="22" t="n"/>
    </row>
    <row r="14">
      <c r="A14" s="23" t="str">
        <f>IF(Config!$F$10="","",Config!$F$10)</f>
        <v>Energia, água, internet e telefone</v>
      </c>
      <c r="B14" s="24">
        <f>IF(Config!$F$10="","",SUMIFS(Lançamentos!$G$5:$G$1204,Lançamentos!$B$5:$B$1204,"Saída",Lançamentos!$I$5:$I$1204,"Sim",Lançamentos!$J$5:$J$1204,Config!$B$7,Lançamentos!$K$5:$K$1204,Config!$B$5,Lançamentos!$C$5:$C$1204,Config!$F$10))</f>
        <v>0</v>
      </c>
      <c r="C14" s="25">
        <f>IF(OR(Config!$F$10="",$C$5=0),"",B14/$C$5)</f>
        <v>0</v>
      </c>
      <c r="D14" s="24">
        <f>IF(Config!$F$10="","",IF(Config!$B$7=1,SUMIFS(Lançamentos!$G$5:$G$1204,Lançamentos!$B$5:$B$1204,"Saída",Lançamentos!$I$5:$I$1204,"Sim",Lançamentos!$J$5:$J$1204,12,Lançamentos!$K$5:$K$1204,Config!$B$5-1,Lançamentos!$C$5:$C$1204,Config!$F$10),SUMIFS(Lançamentos!$G$5:$G$1204,Lançamentos!$B$5:$B$1204,"Saída",Lançamentos!$I$5:$I$1204,"Sim",Lançamentos!$J$5:$J$1204,Config!$B$7-1,Lançamentos!$K$5:$K$1204,Config!$B$5,Lançamentos!$C$5:$C$1204,Config!$F$10)))</f>
        <v>550</v>
      </c>
      <c r="E14" s="24">
        <f>IF(Config!$F$10="","",SUMIFS(Lançamentos!$G$5:$G$1204,Lançamentos!$B$5:$B$1204,"Saída",Lançamentos!$I$5:$I$1204,"Sim",Lançamentos!$C$5:$C$1204,Config!$F$10,Lançamentos!$K$5:$K$1204,Config!$B$5,Lançamentos!$J$5:$J$1204,"&lt;="&amp;Config!$B$7))</f>
        <v>4400</v>
      </c>
      <c r="F14" s="26">
        <f>IF(C14="","",REPT("█",ROUND(C14*40,0)))</f>
        <v/>
      </c>
      <c r="G14" s="21" t="n"/>
      <c r="H14" s="21" t="n"/>
      <c r="I14" s="22" t="n"/>
    </row>
    <row r="15">
      <c r="A15" s="23" t="str">
        <f>IF(Config!$F$11="","",Config!$F$11)</f>
        <v>Limpeza e material de escritório</v>
      </c>
      <c r="B15" s="24">
        <f>IF(Config!$F$11="","",SUMIFS(Lançamentos!$G$5:$G$1204,Lançamentos!$B$5:$B$1204,"Saída",Lançamentos!$I$5:$I$1204,"Sim",Lançamentos!$J$5:$J$1204,Config!$B$7,Lançamentos!$K$5:$K$1204,Config!$B$5,Lançamentos!$C$5:$C$1204,Config!$F$11))</f>
        <v>0</v>
      </c>
      <c r="C15" s="25">
        <f>IF(OR(Config!$F$11="",$C$5=0),"",B15/$C$5)</f>
        <v>0</v>
      </c>
      <c r="D15" s="24">
        <f>IF(Config!$F$11="","",IF(Config!$B$7=1,SUMIFS(Lançamentos!$G$5:$G$1204,Lançamentos!$B$5:$B$1204,"Saída",Lançamentos!$I$5:$I$1204,"Sim",Lançamentos!$J$5:$J$1204,12,Lançamentos!$K$5:$K$1204,Config!$B$5-1,Lançamentos!$C$5:$C$1204,Config!$F$11),SUMIFS(Lançamentos!$G$5:$G$1204,Lançamentos!$B$5:$B$1204,"Saída",Lançamentos!$I$5:$I$1204,"Sim",Lançamentos!$J$5:$J$1204,Config!$B$7-1,Lançamentos!$K$5:$K$1204,Config!$B$5,Lançamentos!$C$5:$C$1204,Config!$F$11)))</f>
        <v>450</v>
      </c>
      <c r="E15" s="24">
        <f>IF(Config!$F$11="","",SUMIFS(Lançamentos!$G$5:$G$1204,Lançamentos!$B$5:$B$1204,"Saída",Lançamentos!$I$5:$I$1204,"Sim",Lançamentos!$C$5:$C$1204,Config!$F$11,Lançamentos!$K$5:$K$1204,Config!$B$5,Lançamentos!$J$5:$J$1204,"&lt;="&amp;Config!$B$7))</f>
        <v>3600</v>
      </c>
      <c r="F15" s="26">
        <f>IF(C15="","",REPT("█",ROUND(C15*40,0)))</f>
        <v/>
      </c>
      <c r="G15" s="21" t="n"/>
      <c r="H15" s="21" t="n"/>
      <c r="I15" s="22" t="n"/>
    </row>
    <row r="16">
      <c r="A16" s="23" t="str">
        <f>IF(Config!$F$12="","",Config!$F$12)</f>
        <v>Marketing e site</v>
      </c>
      <c r="B16" s="24">
        <f>IF(Config!$F$12="","",SUMIFS(Lançamentos!$G$5:$G$1204,Lançamentos!$B$5:$B$1204,"Saída",Lançamentos!$I$5:$I$1204,"Sim",Lançamentos!$J$5:$J$1204,Config!$B$7,Lançamentos!$K$5:$K$1204,Config!$B$5,Lançamentos!$C$5:$C$1204,Config!$F$12))</f>
        <v>0</v>
      </c>
      <c r="C16" s="25">
        <f>IF(OR(Config!$F$12="",$C$5=0),"",B16/$C$5)</f>
        <v>0</v>
      </c>
      <c r="D16" s="24">
        <f>IF(Config!$F$12="","",IF(Config!$B$7=1,SUMIFS(Lançamentos!$G$5:$G$1204,Lançamentos!$B$5:$B$1204,"Saída",Lançamentos!$I$5:$I$1204,"Sim",Lançamentos!$J$5:$J$1204,12,Lançamentos!$K$5:$K$1204,Config!$B$5-1,Lançamentos!$C$5:$C$1204,Config!$F$12),SUMIFS(Lançamentos!$G$5:$G$1204,Lançamentos!$B$5:$B$1204,"Saída",Lançamentos!$I$5:$I$1204,"Sim",Lançamentos!$J$5:$J$1204,Config!$B$7-1,Lançamentos!$K$5:$K$1204,Config!$B$5,Lançamentos!$C$5:$C$1204,Config!$F$12)))</f>
        <v>650</v>
      </c>
      <c r="E16" s="24">
        <f>IF(Config!$F$12="","",SUMIFS(Lançamentos!$G$5:$G$1204,Lançamentos!$B$5:$B$1204,"Saída",Lançamentos!$I$5:$I$1204,"Sim",Lançamentos!$C$5:$C$1204,Config!$F$12,Lançamentos!$K$5:$K$1204,Config!$B$5,Lançamentos!$J$5:$J$1204,"&lt;="&amp;Config!$B$7))</f>
        <v>5200</v>
      </c>
      <c r="F16" s="26">
        <f>IF(C16="","",REPT("█",ROUND(C16*40,0)))</f>
        <v/>
      </c>
      <c r="G16" s="21" t="n"/>
      <c r="H16" s="21" t="n"/>
      <c r="I16" s="22" t="n"/>
    </row>
    <row r="17">
      <c r="A17" s="23" t="str">
        <f>IF(Config!$F$13="","",Config!$F$13)</f>
        <v>Anuidade CRM, seguro e cursos</v>
      </c>
      <c r="B17" s="24">
        <f>IF(Config!$F$13="","",SUMIFS(Lançamentos!$G$5:$G$1204,Lançamentos!$B$5:$B$1204,"Saída",Lançamentos!$I$5:$I$1204,"Sim",Lançamentos!$J$5:$J$1204,Config!$B$7,Lançamentos!$K$5:$K$1204,Config!$B$5,Lançamentos!$C$5:$C$1204,Config!$F$13))</f>
        <v>0</v>
      </c>
      <c r="C17" s="25">
        <f>IF(OR(Config!$F$13="",$C$5=0),"",B17/$C$5)</f>
        <v>0</v>
      </c>
      <c r="D17" s="24">
        <f>IF(Config!$F$13="","",IF(Config!$B$7=1,SUMIFS(Lançamentos!$G$5:$G$1204,Lançamentos!$B$5:$B$1204,"Saída",Lançamentos!$I$5:$I$1204,"Sim",Lançamentos!$J$5:$J$1204,12,Lançamentos!$K$5:$K$1204,Config!$B$5-1,Lançamentos!$C$5:$C$1204,Config!$F$13),SUMIFS(Lançamentos!$G$5:$G$1204,Lançamentos!$B$5:$B$1204,"Saída",Lançamentos!$I$5:$I$1204,"Sim",Lançamentos!$J$5:$J$1204,Config!$B$7-1,Lançamentos!$K$5:$K$1204,Config!$B$5,Lançamentos!$C$5:$C$1204,Config!$F$13)))</f>
        <v>450</v>
      </c>
      <c r="E17" s="24">
        <f>IF(Config!$F$13="","",SUMIFS(Lançamentos!$G$5:$G$1204,Lançamentos!$B$5:$B$1204,"Saída",Lançamentos!$I$5:$I$1204,"Sim",Lançamentos!$C$5:$C$1204,Config!$F$13,Lançamentos!$K$5:$K$1204,Config!$B$5,Lançamentos!$J$5:$J$1204,"&lt;="&amp;Config!$B$7))</f>
        <v>3600</v>
      </c>
      <c r="F17" s="26">
        <f>IF(C17="","",REPT("█",ROUND(C17*40,0)))</f>
        <v/>
      </c>
      <c r="G17" s="21" t="n"/>
      <c r="H17" s="21" t="n"/>
      <c r="I17" s="22" t="n"/>
    </row>
    <row r="18">
      <c r="A18" s="23" t="str">
        <f>IF(Config!$F$14="","",Config!$F$14)</f>
        <v>Materiais e insumos de atendimento</v>
      </c>
      <c r="B18" s="24">
        <f>IF(Config!$F$14="","",SUMIFS(Lançamentos!$G$5:$G$1204,Lançamentos!$B$5:$B$1204,"Saída",Lançamentos!$I$5:$I$1204,"Sim",Lançamentos!$J$5:$J$1204,Config!$B$7,Lançamentos!$K$5:$K$1204,Config!$B$5,Lançamentos!$C$5:$C$1204,Config!$F$14))</f>
        <v>540</v>
      </c>
      <c r="C18" s="25">
        <f>IF(OR(Config!$F$14="",$C$5=0),"",B18/$C$5)</f>
        <v>0.0396184886280264</v>
      </c>
      <c r="D18" s="24">
        <f>IF(Config!$F$14="","",IF(Config!$B$7=1,SUMIFS(Lançamentos!$G$5:$G$1204,Lançamentos!$B$5:$B$1204,"Saída",Lançamentos!$I$5:$I$1204,"Sim",Lançamentos!$J$5:$J$1204,12,Lançamentos!$K$5:$K$1204,Config!$B$5-1,Lançamentos!$C$5:$C$1204,Config!$F$14),SUMIFS(Lançamentos!$G$5:$G$1204,Lançamentos!$B$5:$B$1204,"Saída",Lançamentos!$I$5:$I$1204,"Sim",Lançamentos!$J$5:$J$1204,Config!$B$7-1,Lançamentos!$K$5:$K$1204,Config!$B$5,Lançamentos!$C$5:$C$1204,Config!$F$14)))</f>
        <v>1380</v>
      </c>
      <c r="E18" s="24">
        <f>IF(Config!$F$14="","",SUMIFS(Lançamentos!$G$5:$G$1204,Lançamentos!$B$5:$B$1204,"Saída",Lançamentos!$I$5:$I$1204,"Sim",Lançamentos!$C$5:$C$1204,Config!$F$14,Lançamentos!$K$5:$K$1204,Config!$B$5,Lançamentos!$J$5:$J$1204,"&lt;="&amp;Config!$B$7))</f>
        <v>10900</v>
      </c>
      <c r="F18" s="26" t="str">
        <f>IF(C18="","",REPT("█",ROUND(C18*40,0)))</f>
        <v>██</v>
      </c>
      <c r="G18" s="21" t="n"/>
      <c r="H18" s="21" t="n"/>
      <c r="I18" s="22" t="n"/>
    </row>
    <row r="19">
      <c r="A19" s="23" t="str">
        <f>IF(Config!$F$15="","",Config!$F$15)</f>
        <v>Taxas de cartão</v>
      </c>
      <c r="B19" s="24">
        <f>IF(Config!$F$15="","",SUMIFS(Lançamentos!$G$5:$G$1204,Lançamentos!$B$5:$B$1204,"Saída",Lançamentos!$I$5:$I$1204,"Sim",Lançamentos!$J$5:$J$1204,Config!$B$7,Lançamentos!$K$5:$K$1204,Config!$B$5,Lançamentos!$C$5:$C$1204,Config!$F$15))</f>
        <v>0</v>
      </c>
      <c r="C19" s="25">
        <f>IF(OR(Config!$F$15="",$C$5=0),"",B19/$C$5)</f>
        <v>0</v>
      </c>
      <c r="D19" s="24">
        <f>IF(Config!$F$15="","",IF(Config!$B$7=1,SUMIFS(Lançamentos!$G$5:$G$1204,Lançamentos!$B$5:$B$1204,"Saída",Lançamentos!$I$5:$I$1204,"Sim",Lançamentos!$J$5:$J$1204,12,Lançamentos!$K$5:$K$1204,Config!$B$5-1,Lançamentos!$C$5:$C$1204,Config!$F$15),SUMIFS(Lançamentos!$G$5:$G$1204,Lançamentos!$B$5:$B$1204,"Saída",Lançamentos!$I$5:$I$1204,"Sim",Lançamentos!$J$5:$J$1204,Config!$B$7-1,Lançamentos!$K$5:$K$1204,Config!$B$5,Lançamentos!$C$5:$C$1204,Config!$F$15)))</f>
        <v>484.12</v>
      </c>
      <c r="E19" s="24">
        <f>IF(Config!$F$15="","",SUMIFS(Lançamentos!$G$5:$G$1204,Lançamentos!$B$5:$B$1204,"Saída",Lançamentos!$I$5:$I$1204,"Sim",Lançamentos!$C$5:$C$1204,Config!$F$15,Lançamentos!$K$5:$K$1204,Config!$B$5,Lançamentos!$J$5:$J$1204,"&lt;="&amp;Config!$B$7))</f>
        <v>3529.71</v>
      </c>
      <c r="F19" s="26">
        <f>IF(C19="","",REPT("█",ROUND(C19*40,0)))</f>
        <v/>
      </c>
      <c r="G19" s="21" t="n"/>
      <c r="H19" s="21" t="n"/>
      <c r="I19" s="22" t="n"/>
    </row>
    <row r="20">
      <c r="A20" s="23" t="str">
        <f>IF(Config!$F$16="","",Config!$F$16)</f>
        <v>Repasse à médica parceira</v>
      </c>
      <c r="B20" s="24">
        <f>IF(Config!$F$16="","",SUMIFS(Lançamentos!$G$5:$G$1204,Lançamentos!$B$5:$B$1204,"Saída",Lançamentos!$I$5:$I$1204,"Sim",Lançamentos!$J$5:$J$1204,Config!$B$7,Lançamentos!$K$5:$K$1204,Config!$B$5,Lançamentos!$C$5:$C$1204,Config!$F$16))</f>
        <v>5190</v>
      </c>
      <c r="C20" s="25">
        <f>IF(OR(Config!$F$16="",$C$5=0),"",B20/$C$5)</f>
        <v>0.380777696258254</v>
      </c>
      <c r="D20" s="24">
        <f>IF(Config!$F$16="","",IF(Config!$B$7=1,SUMIFS(Lançamentos!$G$5:$G$1204,Lançamentos!$B$5:$B$1204,"Saída",Lançamentos!$I$5:$I$1204,"Sim",Lançamentos!$J$5:$J$1204,12,Lançamentos!$K$5:$K$1204,Config!$B$5-1,Lançamentos!$C$5:$C$1204,Config!$F$16),SUMIFS(Lançamentos!$G$5:$G$1204,Lançamentos!$B$5:$B$1204,"Saída",Lançamentos!$I$5:$I$1204,"Sim",Lançamentos!$J$5:$J$1204,Config!$B$7-1,Lançamentos!$K$5:$K$1204,Config!$B$5,Lançamentos!$C$5:$C$1204,Config!$F$16)))</f>
        <v>4845</v>
      </c>
      <c r="E20" s="24">
        <f>IF(Config!$F$16="","",SUMIFS(Lançamentos!$G$5:$G$1204,Lançamentos!$B$5:$B$1204,"Saída",Lançamentos!$I$5:$I$1204,"Sim",Lançamentos!$C$5:$C$1204,Config!$F$16,Lançamentos!$K$5:$K$1204,Config!$B$5,Lançamentos!$J$5:$J$1204,"&lt;="&amp;Config!$B$7))</f>
        <v>40515</v>
      </c>
      <c r="F20" s="26" t="str">
        <f>IF(C20="","",REPT("█",ROUND(C20*40,0)))</f>
        <v>███████████████</v>
      </c>
      <c r="G20" s="21" t="n"/>
      <c r="H20" s="21" t="n"/>
      <c r="I20" s="22" t="n"/>
    </row>
    <row r="21">
      <c r="A21" s="23" t="str">
        <f>IF(Config!$F$17="","",Config!$F$17)</f>
        <v>Manutenção de equipamentos</v>
      </c>
      <c r="B21" s="24">
        <f>IF(Config!$F$17="","",SUMIFS(Lançamentos!$G$5:$G$1204,Lançamentos!$B$5:$B$1204,"Saída",Lançamentos!$I$5:$I$1204,"Sim",Lançamentos!$J$5:$J$1204,Config!$B$7,Lançamentos!$K$5:$K$1204,Config!$B$5,Lançamentos!$C$5:$C$1204,Config!$F$17))</f>
        <v>0</v>
      </c>
      <c r="C21" s="25">
        <f>IF(OR(Config!$F$17="",$C$5=0),"",B21/$C$5)</f>
        <v>0</v>
      </c>
      <c r="D21" s="24">
        <f>IF(Config!$F$17="","",IF(Config!$B$7=1,SUMIFS(Lançamentos!$G$5:$G$1204,Lançamentos!$B$5:$B$1204,"Saída",Lançamentos!$I$5:$I$1204,"Sim",Lançamentos!$J$5:$J$1204,12,Lançamentos!$K$5:$K$1204,Config!$B$5-1,Lançamentos!$C$5:$C$1204,Config!$F$17),SUMIFS(Lançamentos!$G$5:$G$1204,Lançamentos!$B$5:$B$1204,"Saída",Lançamentos!$I$5:$I$1204,"Sim",Lançamentos!$J$5:$J$1204,Config!$B$7-1,Lançamentos!$K$5:$K$1204,Config!$B$5,Lançamentos!$C$5:$C$1204,Config!$F$17)))</f>
        <v>450</v>
      </c>
      <c r="E21" s="24">
        <f>IF(Config!$F$17="","",SUMIFS(Lançamentos!$G$5:$G$1204,Lançamentos!$B$5:$B$1204,"Saída",Lançamentos!$I$5:$I$1204,"Sim",Lançamentos!$C$5:$C$1204,Config!$F$17,Lançamentos!$K$5:$K$1204,Config!$B$5,Lançamentos!$J$5:$J$1204,"&lt;="&amp;Config!$B$7))</f>
        <v>1250</v>
      </c>
      <c r="F21" s="26">
        <f>IF(C21="","",REPT("█",ROUND(C21*40,0)))</f>
        <v/>
      </c>
      <c r="G21" s="21" t="n"/>
      <c r="H21" s="21" t="n"/>
      <c r="I21" s="22" t="n"/>
    </row>
    <row r="22">
      <c r="A22" s="23" t="str">
        <f>IF(Config!$F$18="","",Config!$F$18)</f>
        <v>Impostos e taxas</v>
      </c>
      <c r="B22" s="24">
        <f>IF(Config!$F$18="","",SUMIFS(Lançamentos!$G$5:$G$1204,Lançamentos!$B$5:$B$1204,"Saída",Lançamentos!$I$5:$I$1204,"Sim",Lançamentos!$J$5:$J$1204,Config!$B$7,Lançamentos!$K$5:$K$1204,Config!$B$5,Lançamentos!$C$5:$C$1204,Config!$F$18))</f>
        <v>0</v>
      </c>
      <c r="C22" s="25">
        <f>IF(OR(Config!$F$18="",$C$5=0),"",B22/$C$5)</f>
        <v>0</v>
      </c>
      <c r="D22" s="24">
        <f>IF(Config!$F$18="","",IF(Config!$B$7=1,SUMIFS(Lançamentos!$G$5:$G$1204,Lançamentos!$B$5:$B$1204,"Saída",Lançamentos!$I$5:$I$1204,"Sim",Lançamentos!$J$5:$J$1204,12,Lançamentos!$K$5:$K$1204,Config!$B$5-1,Lançamentos!$C$5:$C$1204,Config!$F$18),SUMIFS(Lançamentos!$G$5:$G$1204,Lançamentos!$B$5:$B$1204,"Saída",Lançamentos!$I$5:$I$1204,"Sim",Lançamentos!$J$5:$J$1204,Config!$B$7-1,Lançamentos!$K$5:$K$1204,Config!$B$5,Lançamentos!$C$5:$C$1204,Config!$F$18)))</f>
        <v>5841</v>
      </c>
      <c r="E22" s="24">
        <f>IF(Config!$F$18="","",SUMIFS(Lançamentos!$G$5:$G$1204,Lançamentos!$B$5:$B$1204,"Saída",Lançamentos!$I$5:$I$1204,"Sim",Lançamentos!$C$5:$C$1204,Config!$F$18,Lançamentos!$K$5:$K$1204,Config!$B$5,Lançamentos!$J$5:$J$1204,"&lt;="&amp;Config!$B$7))</f>
        <v>35160</v>
      </c>
      <c r="F22" s="26">
        <f>IF(C22="","",REPT("█",ROUND(C22*40,0)))</f>
        <v/>
      </c>
      <c r="G22" s="21" t="n"/>
      <c r="H22" s="21" t="n"/>
      <c r="I22" s="22" t="n"/>
    </row>
    <row r="23">
      <c r="A23" s="23" t="str">
        <f>IF(Config!$F$19="","",Config!$F$19)</f>
        <v>Outras saídas</v>
      </c>
      <c r="B23" s="24">
        <f>IF(Config!$F$19="","",SUMIFS(Lançamentos!$G$5:$G$1204,Lançamentos!$B$5:$B$1204,"Saída",Lançamentos!$I$5:$I$1204,"Sim",Lançamentos!$J$5:$J$1204,Config!$B$7,Lançamentos!$K$5:$K$1204,Config!$B$5,Lançamentos!$C$5:$C$1204,Config!$F$19))</f>
        <v>0</v>
      </c>
      <c r="C23" s="25">
        <f>IF(OR(Config!$F$19="",$C$5=0),"",B23/$C$5)</f>
        <v>0</v>
      </c>
      <c r="D23" s="24">
        <f>IF(Config!$F$19="","",IF(Config!$B$7=1,SUMIFS(Lançamentos!$G$5:$G$1204,Lançamentos!$B$5:$B$1204,"Saída",Lançamentos!$I$5:$I$1204,"Sim",Lançamentos!$J$5:$J$1204,12,Lançamentos!$K$5:$K$1204,Config!$B$5-1,Lançamentos!$C$5:$C$1204,Config!$F$19),SUMIFS(Lançamentos!$G$5:$G$1204,Lançamentos!$B$5:$B$1204,"Saída",Lançamentos!$I$5:$I$1204,"Sim",Lançamentos!$J$5:$J$1204,Config!$B$7-1,Lançamentos!$K$5:$K$1204,Config!$B$5,Lançamentos!$C$5:$C$1204,Config!$F$19)))</f>
        <v>620</v>
      </c>
      <c r="E23" s="24">
        <f>IF(Config!$F$19="","",SUMIFS(Lançamentos!$G$5:$G$1204,Lançamentos!$B$5:$B$1204,"Saída",Lançamentos!$I$5:$I$1204,"Sim",Lançamentos!$C$5:$C$1204,Config!$F$19,Lançamentos!$K$5:$K$1204,Config!$B$5,Lançamentos!$J$5:$J$1204,"&lt;="&amp;Config!$B$7))</f>
        <v>2560</v>
      </c>
      <c r="F23" s="26">
        <f>IF(C23="","",REPT("█",ROUND(C23*40,0)))</f>
        <v/>
      </c>
      <c r="G23" s="21" t="n"/>
      <c r="H23" s="21" t="n"/>
      <c r="I23" s="22" t="n"/>
    </row>
    <row r="24">
      <c r="A24" s="23">
        <f>IF(Config!$F$20="","",Config!$F$20)</f>
        <v/>
      </c>
      <c r="B24" s="24">
        <f>IF(Config!$F$20="","",SUMIFS(Lançamentos!$G$5:$G$1204,Lançamentos!$B$5:$B$1204,"Saída",Lançamentos!$I$5:$I$1204,"Sim",Lançamentos!$J$5:$J$1204,Config!$B$7,Lançamentos!$K$5:$K$1204,Config!$B$5,Lançamentos!$C$5:$C$1204,Config!$F$20))</f>
        <v/>
      </c>
      <c r="C24" s="25">
        <f>IF(OR(Config!$F$20="",$C$5=0),"",B24/$C$5)</f>
        <v/>
      </c>
      <c r="D24" s="24">
        <f>IF(Config!$F$20="","",IF(Config!$B$7=1,SUMIFS(Lançamentos!$G$5:$G$1204,Lançamentos!$B$5:$B$1204,"Saída",Lançamentos!$I$5:$I$1204,"Sim",Lançamentos!$J$5:$J$1204,12,Lançamentos!$K$5:$K$1204,Config!$B$5-1,Lançamentos!$C$5:$C$1204,Config!$F$20),SUMIFS(Lançamentos!$G$5:$G$1204,Lançamentos!$B$5:$B$1204,"Saída",Lançamentos!$I$5:$I$1204,"Sim",Lançamentos!$J$5:$J$1204,Config!$B$7-1,Lançamentos!$K$5:$K$1204,Config!$B$5,Lançamentos!$C$5:$C$1204,Config!$F$20)))</f>
        <v/>
      </c>
      <c r="E24" s="24">
        <f>IF(Config!$F$20="","",SUMIFS(Lançamentos!$G$5:$G$1204,Lançamentos!$B$5:$B$1204,"Saída",Lançamentos!$I$5:$I$1204,"Sim",Lançamentos!$C$5:$C$1204,Config!$F$20,Lançamentos!$K$5:$K$1204,Config!$B$5,Lançamentos!$J$5:$J$1204,"&lt;="&amp;Config!$B$7))</f>
        <v/>
      </c>
      <c r="F24" s="26">
        <f>IF(C24="","",REPT("█",ROUND(C24*40,0)))</f>
        <v/>
      </c>
      <c r="G24" s="21" t="n"/>
      <c r="H24" s="21" t="n"/>
      <c r="I24" s="22" t="n"/>
    </row>
    <row r="25">
      <c r="A25" s="27" t="inlineStr">
        <is>
          <t>Total</t>
        </is>
      </c>
      <c r="B25" s="28">
        <f>SUM(B9:B24)</f>
        <v>13630</v>
      </c>
      <c r="D25" s="28">
        <f>SUM(D9:D24)</f>
        <v>41620.12</v>
      </c>
      <c r="E25" s="28">
        <f>SUM(E9:E24)</f>
        <v>332905.71</v>
      </c>
    </row>
    <row r="26"/>
    <row r="27">
      <c r="A27" s="19" t="inlineStr">
        <is>
          <t>De onde veio o dinheiro</t>
        </is>
      </c>
    </row>
    <row r="28" ht="26" customHeight="1">
      <c r="A28" s="20" t="inlineStr">
        <is>
          <t>Categoria de entrada</t>
        </is>
      </c>
      <c r="B28" s="20" t="inlineStr">
        <is>
          <t>Valor no mês</t>
        </is>
      </c>
      <c r="C28" s="20" t="inlineStr">
        <is>
          <t>% do total</t>
        </is>
      </c>
      <c r="D28" s="20" t="inlineStr">
        <is>
          <t>Mês anterior</t>
        </is>
      </c>
      <c r="E28" s="20" t="inlineStr">
        <is>
          <t>Acumulado no ano</t>
        </is>
      </c>
      <c r="F28" s="20" t="inlineStr">
        <is>
          <t>Barra</t>
        </is>
      </c>
      <c r="G28" s="21" t="n"/>
      <c r="H28" s="21" t="n"/>
      <c r="I28" s="22" t="n"/>
    </row>
    <row r="29">
      <c r="A29" s="23" t="str">
        <f>IF(Config!$D$5="","",Config!$D$5)</f>
        <v>Particular à vista</v>
      </c>
      <c r="B29" s="24">
        <f>IF(Config!$D$5="","",SUMIFS(Lançamentos!$G$5:$G$1204,Lançamentos!$B$5:$B$1204,"Entrada",Lançamentos!$I$5:$I$1204,"Sim",Lançamentos!$J$5:$J$1204,Config!$B$7,Lançamentos!$K$5:$K$1204,Config!$B$5,Lançamentos!$C$5:$C$1204,Config!$D$5))</f>
        <v>13630</v>
      </c>
      <c r="C29" s="25">
        <f>IF(OR(Config!$D$5="",$A$5=0),"",B29/$A$5)</f>
        <v>0.631896152063051</v>
      </c>
      <c r="D29" s="24">
        <f>IF(Config!$D$5="","",IF(Config!$B$7=1,SUMIFS(Lançamentos!$G$5:$G$1204,Lançamentos!$B$5:$B$1204,"Entrada",Lançamentos!$I$5:$I$1204,"Sim",Lançamentos!$J$5:$J$1204,12,Lançamentos!$K$5:$K$1204,Config!$B$5-1,Lançamentos!$C$5:$C$1204,Config!$D$5),SUMIFS(Lançamentos!$G$5:$G$1204,Lançamentos!$B$5:$B$1204,"Entrada",Lançamentos!$I$5:$I$1204,"Sim",Lançamentos!$J$5:$J$1204,Config!$B$7-1,Lançamentos!$K$5:$K$1204,Config!$B$5,Lançamentos!$C$5:$C$1204,Config!$D$5)))</f>
        <v>33860</v>
      </c>
      <c r="E29" s="24">
        <f>IF(Config!$D$5="","",SUMIFS(Lançamentos!$G$5:$G$1204,Lançamentos!$B$5:$B$1204,"Entrada",Lançamentos!$I$5:$I$1204,"Sim",Lançamentos!$C$5:$C$1204,Config!$D$5,Lançamentos!$K$5:$K$1204,Config!$B$5,Lançamentos!$J$5:$J$1204,"&lt;="&amp;Config!$B$7))</f>
        <v>245830</v>
      </c>
      <c r="F29" s="26" t="str">
        <f>IF(C29="","",REPT("█",ROUND(C29*40,0)))</f>
        <v>█████████████████████████</v>
      </c>
      <c r="G29" s="21" t="n"/>
      <c r="H29" s="21" t="n"/>
      <c r="I29" s="22" t="n"/>
    </row>
    <row r="30">
      <c r="A30" s="23" t="str">
        <f>IF(Config!$D$6="","",Config!$D$6)</f>
        <v>Particular a prazo</v>
      </c>
      <c r="B30" s="24">
        <f>IF(Config!$D$6="","",SUMIFS(Lançamentos!$G$5:$G$1204,Lançamentos!$B$5:$B$1204,"Entrada",Lançamentos!$I$5:$I$1204,"Sim",Lançamentos!$J$5:$J$1204,Config!$B$7,Lançamentos!$K$5:$K$1204,Config!$B$5,Lançamentos!$C$5:$C$1204,Config!$D$6))</f>
        <v>1960</v>
      </c>
      <c r="C30" s="25">
        <f>IF(OR(Config!$D$6="",$A$5=0),"",B30/$A$5)</f>
        <v>0.0908669448307835</v>
      </c>
      <c r="D30" s="24">
        <f>IF(Config!$D$6="","",IF(Config!$B$7=1,SUMIFS(Lançamentos!$G$5:$G$1204,Lançamentos!$B$5:$B$1204,"Entrada",Lançamentos!$I$5:$I$1204,"Sim",Lançamentos!$J$5:$J$1204,12,Lançamentos!$K$5:$K$1204,Config!$B$5-1,Lançamentos!$C$5:$C$1204,Config!$D$6),SUMIFS(Lançamentos!$G$5:$G$1204,Lançamentos!$B$5:$B$1204,"Entrada",Lançamentos!$I$5:$I$1204,"Sim",Lançamentos!$J$5:$J$1204,Config!$B$7-1,Lançamentos!$K$5:$K$1204,Config!$B$5,Lançamentos!$C$5:$C$1204,Config!$D$6)))</f>
        <v>5315</v>
      </c>
      <c r="E30" s="24">
        <f>IF(Config!$D$6="","",SUMIFS(Lançamentos!$G$5:$G$1204,Lançamentos!$B$5:$B$1204,"Entrada",Lançamentos!$I$5:$I$1204,"Sim",Lançamentos!$C$5:$C$1204,Config!$D$6,Lançamentos!$K$5:$K$1204,Config!$B$5,Lançamentos!$J$5:$J$1204,"&lt;="&amp;Config!$B$7))</f>
        <v>39005</v>
      </c>
      <c r="F30" s="26" t="str">
        <f>IF(C30="","",REPT("█",ROUND(C30*40,0)))</f>
        <v>████</v>
      </c>
      <c r="G30" s="21" t="n"/>
      <c r="H30" s="21" t="n"/>
      <c r="I30" s="22" t="n"/>
    </row>
    <row r="31">
      <c r="A31" s="23" t="str">
        <f>IF(Config!$D$7="","",Config!$D$7)</f>
        <v>Convênio · Saúde Total</v>
      </c>
      <c r="B31" s="24">
        <f>IF(Config!$D$7="","",SUMIFS(Lançamentos!$G$5:$G$1204,Lançamentos!$B$5:$B$1204,"Entrada",Lançamentos!$I$5:$I$1204,"Sim",Lançamentos!$J$5:$J$1204,Config!$B$7,Lançamentos!$K$5:$K$1204,Config!$B$5,Lançamentos!$C$5:$C$1204,Config!$D$7))</f>
        <v>5780</v>
      </c>
      <c r="C31" s="25">
        <f>IF(OR(Config!$D$7="",$A$5=0),"",B31/$A$5)</f>
        <v>0.267964765878535</v>
      </c>
      <c r="D31" s="24">
        <f>IF(Config!$D$7="","",IF(Config!$B$7=1,SUMIFS(Lançamentos!$G$5:$G$1204,Lançamentos!$B$5:$B$1204,"Entrada",Lançamentos!$I$5:$I$1204,"Sim",Lançamentos!$J$5:$J$1204,12,Lançamentos!$K$5:$K$1204,Config!$B$5-1,Lançamentos!$C$5:$C$1204,Config!$D$7),SUMIFS(Lançamentos!$G$5:$G$1204,Lançamentos!$B$5:$B$1204,"Entrada",Lançamentos!$I$5:$I$1204,"Sim",Lançamentos!$J$5:$J$1204,Config!$B$7-1,Lançamentos!$K$5:$K$1204,Config!$B$5,Lançamentos!$C$5:$C$1204,Config!$D$7)))</f>
        <v>7320</v>
      </c>
      <c r="E31" s="24">
        <f>IF(Config!$D$7="","",SUMIFS(Lançamentos!$G$5:$G$1204,Lançamentos!$B$5:$B$1204,"Entrada",Lançamentos!$I$5:$I$1204,"Sim",Lançamentos!$C$5:$C$1204,Config!$D$7,Lançamentos!$K$5:$K$1204,Config!$B$5,Lançamentos!$J$5:$J$1204,"&lt;="&amp;Config!$B$7))</f>
        <v>45705</v>
      </c>
      <c r="F31" s="26" t="str">
        <f>IF(C31="","",REPT("█",ROUND(C31*40,0)))</f>
        <v>███████████</v>
      </c>
      <c r="G31" s="21" t="n"/>
      <c r="H31" s="21" t="n"/>
      <c r="I31" s="22" t="n"/>
    </row>
    <row r="32">
      <c r="A32" s="23" t="str">
        <f>IF(Config!$D$8="","",Config!$D$8)</f>
        <v>Convênio · MediPlan</v>
      </c>
      <c r="B32" s="24">
        <f>IF(Config!$D$8="","",SUMIFS(Lançamentos!$G$5:$G$1204,Lançamentos!$B$5:$B$1204,"Entrada",Lançamentos!$I$5:$I$1204,"Sim",Lançamentos!$J$5:$J$1204,Config!$B$7,Lançamentos!$K$5:$K$1204,Config!$B$5,Lançamentos!$C$5:$C$1204,Config!$D$8))</f>
        <v>0</v>
      </c>
      <c r="C32" s="25">
        <f>IF(OR(Config!$D$8="",$A$5=0),"",B32/$A$5)</f>
        <v>0</v>
      </c>
      <c r="D32" s="24">
        <f>IF(Config!$D$8="","",IF(Config!$B$7=1,SUMIFS(Lançamentos!$G$5:$G$1204,Lançamentos!$B$5:$B$1204,"Entrada",Lançamentos!$I$5:$I$1204,"Sim",Lançamentos!$J$5:$J$1204,12,Lançamentos!$K$5:$K$1204,Config!$B$5-1,Lançamentos!$C$5:$C$1204,Config!$D$8),SUMIFS(Lançamentos!$G$5:$G$1204,Lançamentos!$B$5:$B$1204,"Entrada",Lançamentos!$I$5:$I$1204,"Sim",Lançamentos!$J$5:$J$1204,Config!$B$7-1,Lançamentos!$K$5:$K$1204,Config!$B$5,Lançamentos!$C$5:$C$1204,Config!$D$8)))</f>
        <v>2130</v>
      </c>
      <c r="E32" s="24">
        <f>IF(Config!$D$8="","",SUMIFS(Lançamentos!$G$5:$G$1204,Lançamentos!$B$5:$B$1204,"Entrada",Lançamentos!$I$5:$I$1204,"Sim",Lançamentos!$C$5:$C$1204,Config!$D$8,Lançamentos!$K$5:$K$1204,Config!$B$5,Lançamentos!$J$5:$J$1204,"&lt;="&amp;Config!$B$7))</f>
        <v>16250</v>
      </c>
      <c r="F32" s="26">
        <f>IF(C32="","",REPT("█",ROUND(C32*40,0)))</f>
        <v/>
      </c>
      <c r="G32" s="21" t="n"/>
      <c r="H32" s="21" t="n"/>
      <c r="I32" s="22" t="n"/>
    </row>
    <row r="33">
      <c r="A33" s="23" t="str">
        <f>IF(Config!$D$9="","",Config!$D$9)</f>
        <v>Convênio · Vida Care</v>
      </c>
      <c r="B33" s="24">
        <f>IF(Config!$D$9="","",SUMIFS(Lançamentos!$G$5:$G$1204,Lançamentos!$B$5:$B$1204,"Entrada",Lançamentos!$I$5:$I$1204,"Sim",Lançamentos!$J$5:$J$1204,Config!$B$7,Lançamentos!$K$5:$K$1204,Config!$B$5,Lançamentos!$C$5:$C$1204,Config!$D$9))</f>
        <v>200</v>
      </c>
      <c r="C33" s="25">
        <f>IF(OR(Config!$D$9="",$A$5=0),"",B33/$A$5)</f>
        <v>0.00927213722763097</v>
      </c>
      <c r="D33" s="24">
        <f>IF(Config!$D$9="","",IF(Config!$B$7=1,SUMIFS(Lançamentos!$G$5:$G$1204,Lançamentos!$B$5:$B$1204,"Entrada",Lançamentos!$I$5:$I$1204,"Sim",Lançamentos!$J$5:$J$1204,12,Lançamentos!$K$5:$K$1204,Config!$B$5-1,Lançamentos!$C$5:$C$1204,Config!$D$9),SUMIFS(Lançamentos!$G$5:$G$1204,Lançamentos!$B$5:$B$1204,"Entrada",Lançamentos!$I$5:$I$1204,"Sim",Lançamentos!$J$5:$J$1204,Config!$B$7-1,Lançamentos!$K$5:$K$1204,Config!$B$5,Lançamentos!$C$5:$C$1204,Config!$D$9)))</f>
        <v>1711</v>
      </c>
      <c r="E33" s="24">
        <f>IF(Config!$D$9="","",SUMIFS(Lançamentos!$G$5:$G$1204,Lançamentos!$B$5:$B$1204,"Entrada",Lançamentos!$I$5:$I$1204,"Sim",Lançamentos!$C$5:$C$1204,Config!$D$9,Lançamentos!$K$5:$K$1204,Config!$B$5,Lançamentos!$J$5:$J$1204,"&lt;="&amp;Config!$B$7))</f>
        <v>11747</v>
      </c>
      <c r="F33" s="26">
        <f>IF(C33="","",REPT("█",ROUND(C33*40,0)))</f>
        <v/>
      </c>
      <c r="G33" s="21" t="n"/>
      <c r="H33" s="21" t="n"/>
      <c r="I33" s="22" t="n"/>
    </row>
    <row r="34">
      <c r="A34" s="23" t="str">
        <f>IF(Config!$D$10="","",Config!$D$10)</f>
        <v>Outras entradas</v>
      </c>
      <c r="B34" s="24">
        <f>IF(Config!$D$10="","",SUMIFS(Lançamentos!$G$5:$G$1204,Lançamentos!$B$5:$B$1204,"Entrada",Lançamentos!$I$5:$I$1204,"Sim",Lançamentos!$J$5:$J$1204,Config!$B$7,Lançamentos!$K$5:$K$1204,Config!$B$5,Lançamentos!$C$5:$C$1204,Config!$D$10))</f>
        <v>0</v>
      </c>
      <c r="C34" s="25">
        <f>IF(OR(Config!$D$10="",$A$5=0),"",B34/$A$5)</f>
        <v>0</v>
      </c>
      <c r="D34" s="24">
        <f>IF(Config!$D$10="","",IF(Config!$B$7=1,SUMIFS(Lançamentos!$G$5:$G$1204,Lançamentos!$B$5:$B$1204,"Entrada",Lançamentos!$I$5:$I$1204,"Sim",Lançamentos!$J$5:$J$1204,12,Lançamentos!$K$5:$K$1204,Config!$B$5-1,Lançamentos!$C$5:$C$1204,Config!$D$10),SUMIFS(Lançamentos!$G$5:$G$1204,Lançamentos!$B$5:$B$1204,"Entrada",Lançamentos!$I$5:$I$1204,"Sim",Lançamentos!$J$5:$J$1204,Config!$B$7-1,Lançamentos!$K$5:$K$1204,Config!$B$5,Lançamentos!$C$5:$C$1204,Config!$D$10)))</f>
        <v>0</v>
      </c>
      <c r="E34" s="24">
        <f>IF(Config!$D$10="","",SUMIFS(Lançamentos!$G$5:$G$1204,Lançamentos!$B$5:$B$1204,"Entrada",Lançamentos!$I$5:$I$1204,"Sim",Lançamentos!$C$5:$C$1204,Config!$D$10,Lançamentos!$K$5:$K$1204,Config!$B$5,Lançamentos!$J$5:$J$1204,"&lt;="&amp;Config!$B$7))</f>
        <v>620</v>
      </c>
      <c r="F34" s="26">
        <f>IF(C34="","",REPT("█",ROUND(C34*40,0)))</f>
        <v/>
      </c>
      <c r="G34" s="21" t="n"/>
      <c r="H34" s="21" t="n"/>
      <c r="I34" s="22" t="n"/>
    </row>
    <row r="35">
      <c r="A35" s="23">
        <f>IF(Config!$D$11="","",Config!$D$11)</f>
        <v/>
      </c>
      <c r="B35" s="24">
        <f>IF(Config!$D$11="","",SUMIFS(Lançamentos!$G$5:$G$1204,Lançamentos!$B$5:$B$1204,"Entrada",Lançamentos!$I$5:$I$1204,"Sim",Lançamentos!$J$5:$J$1204,Config!$B$7,Lançamentos!$K$5:$K$1204,Config!$B$5,Lançamentos!$C$5:$C$1204,Config!$D$11))</f>
        <v/>
      </c>
      <c r="C35" s="25">
        <f>IF(OR(Config!$D$11="",$A$5=0),"",B35/$A$5)</f>
        <v/>
      </c>
      <c r="D35" s="24">
        <f>IF(Config!$D$11="","",IF(Config!$B$7=1,SUMIFS(Lançamentos!$G$5:$G$1204,Lançamentos!$B$5:$B$1204,"Entrada",Lançamentos!$I$5:$I$1204,"Sim",Lançamentos!$J$5:$J$1204,12,Lançamentos!$K$5:$K$1204,Config!$B$5-1,Lançamentos!$C$5:$C$1204,Config!$D$11),SUMIFS(Lançamentos!$G$5:$G$1204,Lançamentos!$B$5:$B$1204,"Entrada",Lançamentos!$I$5:$I$1204,"Sim",Lançamentos!$J$5:$J$1204,Config!$B$7-1,Lançamentos!$K$5:$K$1204,Config!$B$5,Lançamentos!$C$5:$C$1204,Config!$D$11)))</f>
        <v/>
      </c>
      <c r="E35" s="24">
        <f>IF(Config!$D$11="","",SUMIFS(Lançamentos!$G$5:$G$1204,Lançamentos!$B$5:$B$1204,"Entrada",Lançamentos!$I$5:$I$1204,"Sim",Lançamentos!$C$5:$C$1204,Config!$D$11,Lançamentos!$K$5:$K$1204,Config!$B$5,Lançamentos!$J$5:$J$1204,"&lt;="&amp;Config!$B$7))</f>
        <v/>
      </c>
      <c r="F35" s="26">
        <f>IF(C35="","",REPT("█",ROUND(C35*40,0)))</f>
        <v/>
      </c>
      <c r="G35" s="21" t="n"/>
      <c r="H35" s="21" t="n"/>
      <c r="I35" s="22" t="n"/>
    </row>
    <row r="36">
      <c r="A36" s="23">
        <f>IF(Config!$D$12="","",Config!$D$12)</f>
        <v/>
      </c>
      <c r="B36" s="24">
        <f>IF(Config!$D$12="","",SUMIFS(Lançamentos!$G$5:$G$1204,Lançamentos!$B$5:$B$1204,"Entrada",Lançamentos!$I$5:$I$1204,"Sim",Lançamentos!$J$5:$J$1204,Config!$B$7,Lançamentos!$K$5:$K$1204,Config!$B$5,Lançamentos!$C$5:$C$1204,Config!$D$12))</f>
        <v/>
      </c>
      <c r="C36" s="25">
        <f>IF(OR(Config!$D$12="",$A$5=0),"",B36/$A$5)</f>
        <v/>
      </c>
      <c r="D36" s="24">
        <f>IF(Config!$D$12="","",IF(Config!$B$7=1,SUMIFS(Lançamentos!$G$5:$G$1204,Lançamentos!$B$5:$B$1204,"Entrada",Lançamentos!$I$5:$I$1204,"Sim",Lançamentos!$J$5:$J$1204,12,Lançamentos!$K$5:$K$1204,Config!$B$5-1,Lançamentos!$C$5:$C$1204,Config!$D$12),SUMIFS(Lançamentos!$G$5:$G$1204,Lançamentos!$B$5:$B$1204,"Entrada",Lançamentos!$I$5:$I$1204,"Sim",Lançamentos!$J$5:$J$1204,Config!$B$7-1,Lançamentos!$K$5:$K$1204,Config!$B$5,Lançamentos!$C$5:$C$1204,Config!$D$12)))</f>
        <v/>
      </c>
      <c r="E36" s="24">
        <f>IF(Config!$D$12="","",SUMIFS(Lançamentos!$G$5:$G$1204,Lançamentos!$B$5:$B$1204,"Entrada",Lançamentos!$I$5:$I$1204,"Sim",Lançamentos!$C$5:$C$1204,Config!$D$12,Lançamentos!$K$5:$K$1204,Config!$B$5,Lançamentos!$J$5:$J$1204,"&lt;="&amp;Config!$B$7))</f>
        <v/>
      </c>
      <c r="F36" s="26">
        <f>IF(C36="","",REPT("█",ROUND(C36*40,0)))</f>
        <v/>
      </c>
      <c r="G36" s="21" t="n"/>
      <c r="H36" s="21" t="n"/>
      <c r="I36" s="22" t="n"/>
    </row>
    <row r="37">
      <c r="A37" s="23">
        <f>IF(Config!$D$13="","",Config!$D$13)</f>
        <v/>
      </c>
      <c r="B37" s="24">
        <f>IF(Config!$D$13="","",SUMIFS(Lançamentos!$G$5:$G$1204,Lançamentos!$B$5:$B$1204,"Entrada",Lançamentos!$I$5:$I$1204,"Sim",Lançamentos!$J$5:$J$1204,Config!$B$7,Lançamentos!$K$5:$K$1204,Config!$B$5,Lançamentos!$C$5:$C$1204,Config!$D$13))</f>
        <v/>
      </c>
      <c r="C37" s="25">
        <f>IF(OR(Config!$D$13="",$A$5=0),"",B37/$A$5)</f>
        <v/>
      </c>
      <c r="D37" s="24">
        <f>IF(Config!$D$13="","",IF(Config!$B$7=1,SUMIFS(Lançamentos!$G$5:$G$1204,Lançamentos!$B$5:$B$1204,"Entrada",Lançamentos!$I$5:$I$1204,"Sim",Lançamentos!$J$5:$J$1204,12,Lançamentos!$K$5:$K$1204,Config!$B$5-1,Lançamentos!$C$5:$C$1204,Config!$D$13),SUMIFS(Lançamentos!$G$5:$G$1204,Lançamentos!$B$5:$B$1204,"Entrada",Lançamentos!$I$5:$I$1204,"Sim",Lançamentos!$J$5:$J$1204,Config!$B$7-1,Lançamentos!$K$5:$K$1204,Config!$B$5,Lançamentos!$C$5:$C$1204,Config!$D$13)))</f>
        <v/>
      </c>
      <c r="E37" s="24">
        <f>IF(Config!$D$13="","",SUMIFS(Lançamentos!$G$5:$G$1204,Lançamentos!$B$5:$B$1204,"Entrada",Lançamentos!$I$5:$I$1204,"Sim",Lançamentos!$C$5:$C$1204,Config!$D$13,Lançamentos!$K$5:$K$1204,Config!$B$5,Lançamentos!$J$5:$J$1204,"&lt;="&amp;Config!$B$7))</f>
        <v/>
      </c>
      <c r="F37" s="26">
        <f>IF(C37="","",REPT("█",ROUND(C37*40,0)))</f>
        <v/>
      </c>
      <c r="G37" s="21" t="n"/>
      <c r="H37" s="21" t="n"/>
      <c r="I37" s="22" t="n"/>
    </row>
    <row r="38">
      <c r="A38" s="23">
        <f>IF(Config!$D$14="","",Config!$D$14)</f>
        <v/>
      </c>
      <c r="B38" s="24">
        <f>IF(Config!$D$14="","",SUMIFS(Lançamentos!$G$5:$G$1204,Lançamentos!$B$5:$B$1204,"Entrada",Lançamentos!$I$5:$I$1204,"Sim",Lançamentos!$J$5:$J$1204,Config!$B$7,Lançamentos!$K$5:$K$1204,Config!$B$5,Lançamentos!$C$5:$C$1204,Config!$D$14))</f>
        <v/>
      </c>
      <c r="C38" s="25">
        <f>IF(OR(Config!$D$14="",$A$5=0),"",B38/$A$5)</f>
        <v/>
      </c>
      <c r="D38" s="24">
        <f>IF(Config!$D$14="","",IF(Config!$B$7=1,SUMIFS(Lançamentos!$G$5:$G$1204,Lançamentos!$B$5:$B$1204,"Entrada",Lançamentos!$I$5:$I$1204,"Sim",Lançamentos!$J$5:$J$1204,12,Lançamentos!$K$5:$K$1204,Config!$B$5-1,Lançamentos!$C$5:$C$1204,Config!$D$14),SUMIFS(Lançamentos!$G$5:$G$1204,Lançamentos!$B$5:$B$1204,"Entrada",Lançamentos!$I$5:$I$1204,"Sim",Lançamentos!$J$5:$J$1204,Config!$B$7-1,Lançamentos!$K$5:$K$1204,Config!$B$5,Lançamentos!$C$5:$C$1204,Config!$D$14)))</f>
        <v/>
      </c>
      <c r="E38" s="24">
        <f>IF(Config!$D$14="","",SUMIFS(Lançamentos!$G$5:$G$1204,Lançamentos!$B$5:$B$1204,"Entrada",Lançamentos!$I$5:$I$1204,"Sim",Lançamentos!$C$5:$C$1204,Config!$D$14,Lançamentos!$K$5:$K$1204,Config!$B$5,Lançamentos!$J$5:$J$1204,"&lt;="&amp;Config!$B$7))</f>
        <v/>
      </c>
      <c r="F38" s="26">
        <f>IF(C38="","",REPT("█",ROUND(C38*40,0)))</f>
        <v/>
      </c>
      <c r="G38" s="21" t="n"/>
      <c r="H38" s="21" t="n"/>
      <c r="I38" s="22" t="n"/>
    </row>
    <row r="39">
      <c r="A39" s="23">
        <f>IF(Config!$D$15="","",Config!$D$15)</f>
        <v/>
      </c>
      <c r="B39" s="24">
        <f>IF(Config!$D$15="","",SUMIFS(Lançamentos!$G$5:$G$1204,Lançamentos!$B$5:$B$1204,"Entrada",Lançamentos!$I$5:$I$1204,"Sim",Lançamentos!$J$5:$J$1204,Config!$B$7,Lançamentos!$K$5:$K$1204,Config!$B$5,Lançamentos!$C$5:$C$1204,Config!$D$15))</f>
        <v/>
      </c>
      <c r="C39" s="25">
        <f>IF(OR(Config!$D$15="",$A$5=0),"",B39/$A$5)</f>
        <v/>
      </c>
      <c r="D39" s="24">
        <f>IF(Config!$D$15="","",IF(Config!$B$7=1,SUMIFS(Lançamentos!$G$5:$G$1204,Lançamentos!$B$5:$B$1204,"Entrada",Lançamentos!$I$5:$I$1204,"Sim",Lançamentos!$J$5:$J$1204,12,Lançamentos!$K$5:$K$1204,Config!$B$5-1,Lançamentos!$C$5:$C$1204,Config!$D$15),SUMIFS(Lançamentos!$G$5:$G$1204,Lançamentos!$B$5:$B$1204,"Entrada",Lançamentos!$I$5:$I$1204,"Sim",Lançamentos!$J$5:$J$1204,Config!$B$7-1,Lançamentos!$K$5:$K$1204,Config!$B$5,Lançamentos!$C$5:$C$1204,Config!$D$15)))</f>
        <v/>
      </c>
      <c r="E39" s="24">
        <f>IF(Config!$D$15="","",SUMIFS(Lançamentos!$G$5:$G$1204,Lançamentos!$B$5:$B$1204,"Entrada",Lançamentos!$I$5:$I$1204,"Sim",Lançamentos!$C$5:$C$1204,Config!$D$15,Lançamentos!$K$5:$K$1204,Config!$B$5,Lançamentos!$J$5:$J$1204,"&lt;="&amp;Config!$B$7))</f>
        <v/>
      </c>
      <c r="F39" s="26">
        <f>IF(C39="","",REPT("█",ROUND(C39*40,0)))</f>
        <v/>
      </c>
      <c r="G39" s="21" t="n"/>
      <c r="H39" s="21" t="n"/>
      <c r="I39" s="22" t="n"/>
    </row>
    <row r="40">
      <c r="A40" s="23">
        <f>IF(Config!$D$16="","",Config!$D$16)</f>
        <v/>
      </c>
      <c r="B40" s="24">
        <f>IF(Config!$D$16="","",SUMIFS(Lançamentos!$G$5:$G$1204,Lançamentos!$B$5:$B$1204,"Entrada",Lançamentos!$I$5:$I$1204,"Sim",Lançamentos!$J$5:$J$1204,Config!$B$7,Lançamentos!$K$5:$K$1204,Config!$B$5,Lançamentos!$C$5:$C$1204,Config!$D$16))</f>
        <v/>
      </c>
      <c r="C40" s="25">
        <f>IF(OR(Config!$D$16="",$A$5=0),"",B40/$A$5)</f>
        <v/>
      </c>
      <c r="D40" s="24">
        <f>IF(Config!$D$16="","",IF(Config!$B$7=1,SUMIFS(Lançamentos!$G$5:$G$1204,Lançamentos!$B$5:$B$1204,"Entrada",Lançamentos!$I$5:$I$1204,"Sim",Lançamentos!$J$5:$J$1204,12,Lançamentos!$K$5:$K$1204,Config!$B$5-1,Lançamentos!$C$5:$C$1204,Config!$D$16),SUMIFS(Lançamentos!$G$5:$G$1204,Lançamentos!$B$5:$B$1204,"Entrada",Lançamentos!$I$5:$I$1204,"Sim",Lançamentos!$J$5:$J$1204,Config!$B$7-1,Lançamentos!$K$5:$K$1204,Config!$B$5,Lançamentos!$C$5:$C$1204,Config!$D$16)))</f>
        <v/>
      </c>
      <c r="E40" s="24">
        <f>IF(Config!$D$16="","",SUMIFS(Lançamentos!$G$5:$G$1204,Lançamentos!$B$5:$B$1204,"Entrada",Lançamentos!$I$5:$I$1204,"Sim",Lançamentos!$C$5:$C$1204,Config!$D$16,Lançamentos!$K$5:$K$1204,Config!$B$5,Lançamentos!$J$5:$J$1204,"&lt;="&amp;Config!$B$7))</f>
        <v/>
      </c>
      <c r="F40" s="26">
        <f>IF(C40="","",REPT("█",ROUND(C40*40,0)))</f>
        <v/>
      </c>
      <c r="G40" s="21" t="n"/>
      <c r="H40" s="21" t="n"/>
      <c r="I40" s="22" t="n"/>
    </row>
    <row r="41">
      <c r="A41" s="27" t="inlineStr">
        <is>
          <t>Total</t>
        </is>
      </c>
      <c r="B41" s="28">
        <f>SUM(B29:B40)</f>
        <v>21570</v>
      </c>
      <c r="D41" s="28">
        <f>SUM(D29:D40)</f>
        <v>50336</v>
      </c>
      <c r="E41" s="28">
        <f>SUM(E29:E40)</f>
        <v>359157</v>
      </c>
    </row>
    <row r="42"/>
    <row r="43">
      <c r="A43" s="19" t="inlineStr">
        <is>
          <t>Entradas por forma de pagamento</t>
        </is>
      </c>
    </row>
    <row r="44" ht="26" customHeight="1">
      <c r="A44" s="20" t="inlineStr">
        <is>
          <t>Forma</t>
        </is>
      </c>
      <c r="B44" s="20" t="inlineStr">
        <is>
          <t>Entrou no mês</t>
        </is>
      </c>
      <c r="C44" s="20" t="inlineStr">
        <is>
          <t>% do mês</t>
        </is>
      </c>
      <c r="D44" s="20" t="inlineStr">
        <is>
          <t>Entrou no ano</t>
        </is>
      </c>
      <c r="E44" s="20" t="inlineStr">
        <is>
          <t>% do ano</t>
        </is>
      </c>
    </row>
    <row r="45">
      <c r="A45" s="23" t="inlineStr">
        <is>
          <t>Pix</t>
        </is>
      </c>
      <c r="B45" s="24">
        <f>SUMIFS(Lançamentos!$G$5:$G$1204,Lançamentos!$B$5:$B$1204,"Entrada",Lançamentos!$I$5:$I$1204,"Sim",Lançamentos!$J$5:$J$1204,Config!$B$7,Lançamentos!$K$5:$K$1204,Config!$B$5,Lançamentos!$H$5:$H$1204,A45)</f>
        <v>6180</v>
      </c>
      <c r="C45" s="25">
        <f>IF($A$5=0,"",B45/$A$5)</f>
        <v>0.286509040333797</v>
      </c>
      <c r="D45" s="24">
        <f>SUMIFS(Lançamentos!$G$5:$G$1204,Lançamentos!$B$5:$B$1204,"Entrada",Lançamentos!$I$5:$I$1204,"Sim",Lançamentos!$H$5:$H$1204,A45,Lançamentos!$K$5:$K$1204,Config!$B$5,Lançamentos!$J$5:$J$1204,"&lt;="&amp;Config!$B$7)</f>
        <v>134015</v>
      </c>
      <c r="E45" s="25">
        <f>IF(SUM($D$45:$D$50)=0,"",D45/SUM($D$45:$D$50))</f>
        <v>0.373137652892746</v>
      </c>
    </row>
    <row r="46">
      <c r="A46" s="23" t="inlineStr">
        <is>
          <t>Dinheiro</t>
        </is>
      </c>
      <c r="B46" s="24">
        <f>SUMIFS(Lançamentos!$G$5:$G$1204,Lançamentos!$B$5:$B$1204,"Entrada",Lançamentos!$I$5:$I$1204,"Sim",Lançamentos!$J$5:$J$1204,Config!$B$7,Lançamentos!$K$5:$K$1204,Config!$B$5,Lançamentos!$H$5:$H$1204,A46)</f>
        <v>300</v>
      </c>
      <c r="C46" s="25">
        <f>IF($A$5=0,"",B46/$A$5)</f>
        <v>0.0139082058414465</v>
      </c>
      <c r="D46" s="24">
        <f>SUMIFS(Lançamentos!$G$5:$G$1204,Lançamentos!$B$5:$B$1204,"Entrada",Lançamentos!$I$5:$I$1204,"Sim",Lançamentos!$H$5:$H$1204,A46,Lançamentos!$K$5:$K$1204,Config!$B$5,Lançamentos!$J$5:$J$1204,"&lt;="&amp;Config!$B$7)</f>
        <v>14800</v>
      </c>
      <c r="E46" s="25">
        <f>IF(SUM($D$45:$D$50)=0,"",D46/SUM($D$45:$D$50))</f>
        <v>0.0412076055875286</v>
      </c>
    </row>
    <row r="47">
      <c r="A47" s="23" t="inlineStr">
        <is>
          <t>Cartão de débito</t>
        </is>
      </c>
      <c r="B47" s="24">
        <f>SUMIFS(Lançamentos!$G$5:$G$1204,Lançamentos!$B$5:$B$1204,"Entrada",Lançamentos!$I$5:$I$1204,"Sim",Lançamentos!$J$5:$J$1204,Config!$B$7,Lançamentos!$K$5:$K$1204,Config!$B$5,Lançamentos!$H$5:$H$1204,A47)</f>
        <v>2800</v>
      </c>
      <c r="C47" s="25">
        <f>IF($A$5=0,"",B47/$A$5)</f>
        <v>0.129809921186834</v>
      </c>
      <c r="D47" s="24">
        <f>SUMIFS(Lançamentos!$G$5:$G$1204,Lançamentos!$B$5:$B$1204,"Entrada",Lançamentos!$I$5:$I$1204,"Sim",Lançamentos!$H$5:$H$1204,A47,Lançamentos!$K$5:$K$1204,Config!$B$5,Lançamentos!$J$5:$J$1204,"&lt;="&amp;Config!$B$7)</f>
        <v>46970</v>
      </c>
      <c r="E47" s="25">
        <f>IF(SUM($D$45:$D$50)=0,"",D47/SUM($D$45:$D$50))</f>
        <v>0.130778461786907</v>
      </c>
    </row>
    <row r="48">
      <c r="A48" s="23" t="inlineStr">
        <is>
          <t>Cartão de crédito</t>
        </is>
      </c>
      <c r="B48" s="24">
        <f>SUMIFS(Lançamentos!$G$5:$G$1204,Lançamentos!$B$5:$B$1204,"Entrada",Lançamentos!$I$5:$I$1204,"Sim",Lançamentos!$J$5:$J$1204,Config!$B$7,Lançamentos!$K$5:$K$1204,Config!$B$5,Lançamentos!$H$5:$H$1204,A48)</f>
        <v>6310</v>
      </c>
      <c r="C48" s="25">
        <f>IF($A$5=0,"",B48/$A$5)</f>
        <v>0.292535929531757</v>
      </c>
      <c r="D48" s="24">
        <f>SUMIFS(Lançamentos!$G$5:$G$1204,Lançamentos!$B$5:$B$1204,"Entrada",Lançamentos!$I$5:$I$1204,"Sim",Lançamentos!$H$5:$H$1204,A48,Lançamentos!$K$5:$K$1204,Config!$B$5,Lançamentos!$J$5:$J$1204,"&lt;="&amp;Config!$B$7)</f>
        <v>89670</v>
      </c>
      <c r="E48" s="25">
        <f>IF(SUM($D$45:$D$50)=0,"",D48/SUM($D$45:$D$50))</f>
        <v>0.249667972502276</v>
      </c>
    </row>
    <row r="49">
      <c r="A49" s="23" t="inlineStr">
        <is>
          <t>Transferência</t>
        </is>
      </c>
      <c r="B49" s="24">
        <f>SUMIFS(Lançamentos!$G$5:$G$1204,Lançamentos!$B$5:$B$1204,"Entrada",Lançamentos!$I$5:$I$1204,"Sim",Lançamentos!$J$5:$J$1204,Config!$B$7,Lançamentos!$K$5:$K$1204,Config!$B$5,Lançamentos!$H$5:$H$1204,A49)</f>
        <v>5980</v>
      </c>
      <c r="C49" s="25">
        <f>IF($A$5=0,"",B49/$A$5)</f>
        <v>0.277236903106166</v>
      </c>
      <c r="D49" s="24">
        <f>SUMIFS(Lançamentos!$G$5:$G$1204,Lançamentos!$B$5:$B$1204,"Entrada",Lançamentos!$I$5:$I$1204,"Sim",Lançamentos!$H$5:$H$1204,A49,Lançamentos!$K$5:$K$1204,Config!$B$5,Lançamentos!$J$5:$J$1204,"&lt;="&amp;Config!$B$7)</f>
        <v>73702</v>
      </c>
      <c r="E49" s="25">
        <f>IF(SUM($D$45:$D$50)=0,"",D49/SUM($D$45:$D$50))</f>
        <v>0.205208307230543</v>
      </c>
    </row>
    <row r="50">
      <c r="A50" s="23" t="inlineStr">
        <is>
          <t>Boleto</t>
        </is>
      </c>
      <c r="B50" s="24">
        <f>SUMIFS(Lançamentos!$G$5:$G$1204,Lançamentos!$B$5:$B$1204,"Entrada",Lançamentos!$I$5:$I$1204,"Sim",Lançamentos!$J$5:$J$1204,Config!$B$7,Lançamentos!$K$5:$K$1204,Config!$B$5,Lançamentos!$H$5:$H$1204,A50)</f>
        <v>0</v>
      </c>
      <c r="C50" s="25">
        <f>IF($A$5=0,"",B50/$A$5)</f>
        <v>0</v>
      </c>
      <c r="D50" s="24">
        <f>SUMIFS(Lançamentos!$G$5:$G$1204,Lançamentos!$B$5:$B$1204,"Entrada",Lançamentos!$I$5:$I$1204,"Sim",Lançamentos!$H$5:$H$1204,A50,Lançamentos!$K$5:$K$1204,Config!$B$5,Lançamentos!$J$5:$J$1204,"&lt;="&amp;Config!$B$7)</f>
        <v>0</v>
      </c>
      <c r="E50" s="25">
        <f>IF(SUM($D$45:$D$50)=0,"",D50/SUM($D$45:$D$50))</f>
        <v>0</v>
      </c>
    </row>
    <row r="51">
      <c r="A51" s="27" t="inlineStr">
        <is>
          <t>Total</t>
        </is>
      </c>
      <c r="B51" s="28">
        <f>SUM(B45:B50)</f>
        <v>21570</v>
      </c>
      <c r="D51" s="28">
        <f>SUM(D45:D50)</f>
        <v>359157</v>
      </c>
    </row>
    <row r="52" ht="30" customHeight="1">
      <c r="A52" s="29" t="inlineStr">
        <is>
          <t>Cartão entra pelo valor bruto no dia da venda; a taxa é a saída "Taxas de cartão" do fim do mês (conciliação na planilha 16). Convênio entra por transferência, por lote (planilha 13).</t>
        </is>
      </c>
    </row>
    <row r="53"/>
    <row r="54">
      <c r="A54" s="19" t="inlineStr">
        <is>
          <t>O ano, mês a mês</t>
        </is>
      </c>
    </row>
    <row r="55" ht="26" customHeight="1">
      <c r="A55" s="20" t="inlineStr">
        <is>
          <t>Mês</t>
        </is>
      </c>
      <c r="B55" s="20" t="inlineStr">
        <is>
          <t>Entrou</t>
        </is>
      </c>
      <c r="C55" s="20" t="inlineStr">
        <is>
          <t>Saiu</t>
        </is>
      </c>
      <c r="D55" s="20" t="inlineStr">
        <is>
          <t>Sobrou</t>
        </is>
      </c>
      <c r="E55" s="20" t="inlineStr">
        <is>
          <t>Saldo ao fim do mês</t>
        </is>
      </c>
    </row>
    <row r="56">
      <c r="A56" s="23" t="inlineStr">
        <is>
          <t>Janeiro</t>
        </is>
      </c>
      <c r="B56" s="24">
        <f>SUMIFS(Lançamentos!$G$5:$G$1204,Lançamentos!$B$5:$B$1204,"Entrada",Lançamentos!$I$5:$I$1204,"Sim",Lançamentos!$J$5:$J$1204,1,Lançamentos!$K$5:$K$1204,Config!$B$5)</f>
        <v>33270</v>
      </c>
      <c r="C56" s="24">
        <f>SUMIFS(Lançamentos!$G$5:$G$1204,Lançamentos!$B$5:$B$1204,"Saída",Lançamentos!$I$5:$I$1204,"Sim",Lançamentos!$J$5:$J$1204,1,Lançamentos!$K$5:$K$1204,Config!$B$5)</f>
        <v>36200.56</v>
      </c>
      <c r="D56" s="24">
        <f>B56-C56</f>
        <v>-2930.56</v>
      </c>
      <c r="E56" s="24">
        <f>Config!$B$8+SUMIFS(Lançamentos!$G$5:$G$1204,Lançamentos!$B$5:$B$1204,"Entrada",Lançamentos!$I$5:$I$1204,"Sim",Lançamentos!$A$5:$A$1204,"&lt;="&amp;DATE(Config!$B$5,2,0))-SUMIFS(Lançamentos!$G$5:$G$1204,Lançamentos!$B$5:$B$1204,"Saída",Lançamentos!$I$5:$I$1204,"Sim",Lançamentos!$A$5:$A$1204,"&lt;="&amp;DATE(Config!$B$5,2,0))</f>
        <v>23069.44</v>
      </c>
    </row>
    <row r="57">
      <c r="A57" s="23" t="inlineStr">
        <is>
          <t>Fevereiro</t>
        </is>
      </c>
      <c r="B57" s="24">
        <f>SUMIFS(Lançamentos!$G$5:$G$1204,Lançamentos!$B$5:$B$1204,"Entrada",Lançamentos!$I$5:$I$1204,"Sim",Lançamentos!$J$5:$J$1204,2,Lançamentos!$K$5:$K$1204,Config!$B$5)</f>
        <v>24795</v>
      </c>
      <c r="C57" s="24">
        <f>SUMIFS(Lançamentos!$G$5:$G$1204,Lançamentos!$B$5:$B$1204,"Saída",Lançamentos!$I$5:$I$1204,"Sim",Lançamentos!$J$5:$J$1204,2,Lançamentos!$K$5:$K$1204,Config!$B$5)</f>
        <v>37090.28</v>
      </c>
      <c r="D57" s="24">
        <f>B57-C57</f>
        <v>-12295.28</v>
      </c>
      <c r="E57" s="24">
        <f>Config!$B$8+SUMIFS(Lançamentos!$G$5:$G$1204,Lançamentos!$B$5:$B$1204,"Entrada",Lançamentos!$I$5:$I$1204,"Sim",Lançamentos!$A$5:$A$1204,"&lt;="&amp;DATE(Config!$B$5,3,0))-SUMIFS(Lançamentos!$G$5:$G$1204,Lançamentos!$B$5:$B$1204,"Saída",Lançamentos!$I$5:$I$1204,"Sim",Lançamentos!$A$5:$A$1204,"&lt;="&amp;DATE(Config!$B$5,3,0))</f>
        <v>10774.16</v>
      </c>
    </row>
    <row r="58">
      <c r="A58" s="23" t="inlineStr">
        <is>
          <t>Março</t>
        </is>
      </c>
      <c r="B58" s="24">
        <f>SUMIFS(Lançamentos!$G$5:$G$1204,Lançamentos!$B$5:$B$1204,"Entrada",Lançamentos!$I$5:$I$1204,"Sim",Lançamentos!$J$5:$J$1204,3,Lançamentos!$K$5:$K$1204,Config!$B$5)</f>
        <v>47880</v>
      </c>
      <c r="C58" s="24">
        <f>SUMIFS(Lançamentos!$G$5:$G$1204,Lançamentos!$B$5:$B$1204,"Saída",Lançamentos!$I$5:$I$1204,"Sim",Lançamentos!$J$5:$J$1204,3,Lançamentos!$K$5:$K$1204,Config!$B$5)</f>
        <v>38415.25</v>
      </c>
      <c r="D58" s="24">
        <f>B58-C58</f>
        <v>9464.75</v>
      </c>
      <c r="E58" s="24">
        <f>Config!$B$8+SUMIFS(Lançamentos!$G$5:$G$1204,Lançamentos!$B$5:$B$1204,"Entrada",Lançamentos!$I$5:$I$1204,"Sim",Lançamentos!$A$5:$A$1204,"&lt;="&amp;DATE(Config!$B$5,4,0))-SUMIFS(Lançamentos!$G$5:$G$1204,Lançamentos!$B$5:$B$1204,"Saída",Lançamentos!$I$5:$I$1204,"Sim",Lançamentos!$A$5:$A$1204,"&lt;="&amp;DATE(Config!$B$5,4,0))</f>
        <v>20238.91</v>
      </c>
    </row>
    <row r="59">
      <c r="A59" s="23" t="inlineStr">
        <is>
          <t>Abril</t>
        </is>
      </c>
      <c r="B59" s="24">
        <f>SUMIFS(Lançamentos!$G$5:$G$1204,Lançamentos!$B$5:$B$1204,"Entrada",Lançamentos!$I$5:$I$1204,"Sim",Lançamentos!$J$5:$J$1204,4,Lançamentos!$K$5:$K$1204,Config!$B$5)</f>
        <v>39590</v>
      </c>
      <c r="C59" s="24">
        <f>SUMIFS(Lançamentos!$G$5:$G$1204,Lançamentos!$B$5:$B$1204,"Saída",Lançamentos!$I$5:$I$1204,"Sim",Lançamentos!$J$5:$J$1204,4,Lançamentos!$K$5:$K$1204,Config!$B$5)</f>
        <v>41012.7</v>
      </c>
      <c r="D59" s="24">
        <f>B59-C59</f>
        <v>-1422.7</v>
      </c>
      <c r="E59" s="24">
        <f>Config!$B$8+SUMIFS(Lançamentos!$G$5:$G$1204,Lançamentos!$B$5:$B$1204,"Entrada",Lançamentos!$I$5:$I$1204,"Sim",Lançamentos!$A$5:$A$1204,"&lt;="&amp;DATE(Config!$B$5,5,0))-SUMIFS(Lançamentos!$G$5:$G$1204,Lançamentos!$B$5:$B$1204,"Saída",Lançamentos!$I$5:$I$1204,"Sim",Lançamentos!$A$5:$A$1204,"&lt;="&amp;DATE(Config!$B$5,5,0))</f>
        <v>18816.21</v>
      </c>
    </row>
    <row r="60">
      <c r="A60" s="23" t="inlineStr">
        <is>
          <t>Maio</t>
        </is>
      </c>
      <c r="B60" s="24">
        <f>SUMIFS(Lançamentos!$G$5:$G$1204,Lançamentos!$B$5:$B$1204,"Entrada",Lançamentos!$I$5:$I$1204,"Sim",Lançamentos!$J$5:$J$1204,5,Lançamentos!$K$5:$K$1204,Config!$B$5)</f>
        <v>44760</v>
      </c>
      <c r="C60" s="24">
        <f>SUMIFS(Lançamentos!$G$5:$G$1204,Lançamentos!$B$5:$B$1204,"Saída",Lançamentos!$I$5:$I$1204,"Sim",Lançamentos!$J$5:$J$1204,5,Lançamentos!$K$5:$K$1204,Config!$B$5)</f>
        <v>39976.12</v>
      </c>
      <c r="D60" s="24">
        <f>B60-C60</f>
        <v>4783.88</v>
      </c>
      <c r="E60" s="24">
        <f>Config!$B$8+SUMIFS(Lançamentos!$G$5:$G$1204,Lançamentos!$B$5:$B$1204,"Entrada",Lançamentos!$I$5:$I$1204,"Sim",Lançamentos!$A$5:$A$1204,"&lt;="&amp;DATE(Config!$B$5,6,0))-SUMIFS(Lançamentos!$G$5:$G$1204,Lançamentos!$B$5:$B$1204,"Saída",Lançamentos!$I$5:$I$1204,"Sim",Lançamentos!$A$5:$A$1204,"&lt;="&amp;DATE(Config!$B$5,6,0))</f>
        <v>23600.09</v>
      </c>
    </row>
    <row r="61">
      <c r="A61" s="23" t="inlineStr">
        <is>
          <t>Junho</t>
        </is>
      </c>
      <c r="B61" s="24">
        <f>SUMIFS(Lançamentos!$G$5:$G$1204,Lançamentos!$B$5:$B$1204,"Entrada",Lançamentos!$I$5:$I$1204,"Sim",Lançamentos!$J$5:$J$1204,6,Lançamentos!$K$5:$K$1204,Config!$B$5)</f>
        <v>43855</v>
      </c>
      <c r="C61" s="24">
        <f>SUMIFS(Lançamentos!$G$5:$G$1204,Lançamentos!$B$5:$B$1204,"Saída",Lançamentos!$I$5:$I$1204,"Sim",Lançamentos!$J$5:$J$1204,6,Lançamentos!$K$5:$K$1204,Config!$B$5)</f>
        <v>41533.91</v>
      </c>
      <c r="D61" s="24">
        <f>B61-C61</f>
        <v>2321.09</v>
      </c>
      <c r="E61" s="24">
        <f>Config!$B$8+SUMIFS(Lançamentos!$G$5:$G$1204,Lançamentos!$B$5:$B$1204,"Entrada",Lançamentos!$I$5:$I$1204,"Sim",Lançamentos!$A$5:$A$1204,"&lt;="&amp;DATE(Config!$B$5,7,0))-SUMIFS(Lançamentos!$G$5:$G$1204,Lançamentos!$B$5:$B$1204,"Saída",Lançamentos!$I$5:$I$1204,"Sim",Lançamentos!$A$5:$A$1204,"&lt;="&amp;DATE(Config!$B$5,7,0))</f>
        <v>25921.18</v>
      </c>
    </row>
    <row r="62">
      <c r="A62" s="23" t="inlineStr">
        <is>
          <t>Julho</t>
        </is>
      </c>
      <c r="B62" s="24">
        <f>SUMIFS(Lançamentos!$G$5:$G$1204,Lançamentos!$B$5:$B$1204,"Entrada",Lançamentos!$I$5:$I$1204,"Sim",Lançamentos!$J$5:$J$1204,7,Lançamentos!$K$5:$K$1204,Config!$B$5)</f>
        <v>53101</v>
      </c>
      <c r="C62" s="24">
        <f>SUMIFS(Lançamentos!$G$5:$G$1204,Lançamentos!$B$5:$B$1204,"Saída",Lançamentos!$I$5:$I$1204,"Sim",Lançamentos!$J$5:$J$1204,7,Lançamentos!$K$5:$K$1204,Config!$B$5)</f>
        <v>43426.77</v>
      </c>
      <c r="D62" s="24">
        <f>B62-C62</f>
        <v>9674.23</v>
      </c>
      <c r="E62" s="24">
        <f>Config!$B$8+SUMIFS(Lançamentos!$G$5:$G$1204,Lançamentos!$B$5:$B$1204,"Entrada",Lançamentos!$I$5:$I$1204,"Sim",Lançamentos!$A$5:$A$1204,"&lt;="&amp;DATE(Config!$B$5,8,0))-SUMIFS(Lançamentos!$G$5:$G$1204,Lançamentos!$B$5:$B$1204,"Saída",Lançamentos!$I$5:$I$1204,"Sim",Lançamentos!$A$5:$A$1204,"&lt;="&amp;DATE(Config!$B$5,8,0))</f>
        <v>35595.41</v>
      </c>
    </row>
    <row r="63">
      <c r="A63" s="23" t="inlineStr">
        <is>
          <t>Agosto</t>
        </is>
      </c>
      <c r="B63" s="24">
        <f>SUMIFS(Lançamentos!$G$5:$G$1204,Lançamentos!$B$5:$B$1204,"Entrada",Lançamentos!$I$5:$I$1204,"Sim",Lançamentos!$J$5:$J$1204,8,Lançamentos!$K$5:$K$1204,Config!$B$5)</f>
        <v>50336</v>
      </c>
      <c r="C63" s="24">
        <f>SUMIFS(Lançamentos!$G$5:$G$1204,Lançamentos!$B$5:$B$1204,"Saída",Lançamentos!$I$5:$I$1204,"Sim",Lançamentos!$J$5:$J$1204,8,Lançamentos!$K$5:$K$1204,Config!$B$5)</f>
        <v>41620.12</v>
      </c>
      <c r="D63" s="24">
        <f>B63-C63</f>
        <v>8715.88</v>
      </c>
      <c r="E63" s="24">
        <f>Config!$B$8+SUMIFS(Lançamentos!$G$5:$G$1204,Lançamentos!$B$5:$B$1204,"Entrada",Lançamentos!$I$5:$I$1204,"Sim",Lançamentos!$A$5:$A$1204,"&lt;="&amp;DATE(Config!$B$5,9,0))-SUMIFS(Lançamentos!$G$5:$G$1204,Lançamentos!$B$5:$B$1204,"Saída",Lançamentos!$I$5:$I$1204,"Sim",Lançamentos!$A$5:$A$1204,"&lt;="&amp;DATE(Config!$B$5,9,0))</f>
        <v>44311.29</v>
      </c>
    </row>
    <row r="64">
      <c r="A64" s="23" t="inlineStr">
        <is>
          <t>Setembro</t>
        </is>
      </c>
      <c r="B64" s="24">
        <f>SUMIFS(Lançamentos!$G$5:$G$1204,Lançamentos!$B$5:$B$1204,"Entrada",Lançamentos!$I$5:$I$1204,"Sim",Lançamentos!$J$5:$J$1204,9,Lançamentos!$K$5:$K$1204,Config!$B$5)</f>
        <v>21570</v>
      </c>
      <c r="C64" s="24">
        <f>SUMIFS(Lançamentos!$G$5:$G$1204,Lançamentos!$B$5:$B$1204,"Saída",Lançamentos!$I$5:$I$1204,"Sim",Lançamentos!$J$5:$J$1204,9,Lançamentos!$K$5:$K$1204,Config!$B$5)</f>
        <v>13630</v>
      </c>
      <c r="D64" s="24">
        <f>B64-C64</f>
        <v>7940</v>
      </c>
      <c r="E64" s="24">
        <f>Config!$B$8+SUMIFS(Lançamentos!$G$5:$G$1204,Lançamentos!$B$5:$B$1204,"Entrada",Lançamentos!$I$5:$I$1204,"Sim",Lançamentos!$A$5:$A$1204,"&lt;="&amp;DATE(Config!$B$5,10,0))-SUMIFS(Lançamentos!$G$5:$G$1204,Lançamentos!$B$5:$B$1204,"Saída",Lançamentos!$I$5:$I$1204,"Sim",Lançamentos!$A$5:$A$1204,"&lt;="&amp;DATE(Config!$B$5,10,0))</f>
        <v>52251.29</v>
      </c>
    </row>
    <row r="65">
      <c r="A65" s="23" t="inlineStr">
        <is>
          <t>Outubro</t>
        </is>
      </c>
      <c r="B65" s="24">
        <f>SUMIFS(Lançamentos!$G$5:$G$1204,Lançamentos!$B$5:$B$1204,"Entrada",Lançamentos!$I$5:$I$1204,"Sim",Lançamentos!$J$5:$J$1204,10,Lançamentos!$K$5:$K$1204,Config!$B$5)</f>
        <v>0</v>
      </c>
      <c r="C65" s="24">
        <f>SUMIFS(Lançamentos!$G$5:$G$1204,Lançamentos!$B$5:$B$1204,"Saída",Lançamentos!$I$5:$I$1204,"Sim",Lançamentos!$J$5:$J$1204,10,Lançamentos!$K$5:$K$1204,Config!$B$5)</f>
        <v>0</v>
      </c>
      <c r="D65" s="24">
        <f>B65-C65</f>
        <v>0</v>
      </c>
      <c r="E65" s="24">
        <f>Config!$B$8+SUMIFS(Lançamentos!$G$5:$G$1204,Lançamentos!$B$5:$B$1204,"Entrada",Lançamentos!$I$5:$I$1204,"Sim",Lançamentos!$A$5:$A$1204,"&lt;="&amp;DATE(Config!$B$5,11,0))-SUMIFS(Lançamentos!$G$5:$G$1204,Lançamentos!$B$5:$B$1204,"Saída",Lançamentos!$I$5:$I$1204,"Sim",Lançamentos!$A$5:$A$1204,"&lt;="&amp;DATE(Config!$B$5,11,0))</f>
        <v>52251.29</v>
      </c>
    </row>
    <row r="66">
      <c r="A66" s="23" t="inlineStr">
        <is>
          <t>Novembro</t>
        </is>
      </c>
      <c r="B66" s="24">
        <f>SUMIFS(Lançamentos!$G$5:$G$1204,Lançamentos!$B$5:$B$1204,"Entrada",Lançamentos!$I$5:$I$1204,"Sim",Lançamentos!$J$5:$J$1204,11,Lançamentos!$K$5:$K$1204,Config!$B$5)</f>
        <v>0</v>
      </c>
      <c r="C66" s="24">
        <f>SUMIFS(Lançamentos!$G$5:$G$1204,Lançamentos!$B$5:$B$1204,"Saída",Lançamentos!$I$5:$I$1204,"Sim",Lançamentos!$J$5:$J$1204,11,Lançamentos!$K$5:$K$1204,Config!$B$5)</f>
        <v>0</v>
      </c>
      <c r="D66" s="24">
        <f>B66-C66</f>
        <v>0</v>
      </c>
      <c r="E66" s="24">
        <f>Config!$B$8+SUMIFS(Lançamentos!$G$5:$G$1204,Lançamentos!$B$5:$B$1204,"Entrada",Lançamentos!$I$5:$I$1204,"Sim",Lançamentos!$A$5:$A$1204,"&lt;="&amp;DATE(Config!$B$5,12,0))-SUMIFS(Lançamentos!$G$5:$G$1204,Lançamentos!$B$5:$B$1204,"Saída",Lançamentos!$I$5:$I$1204,"Sim",Lançamentos!$A$5:$A$1204,"&lt;="&amp;DATE(Config!$B$5,12,0))</f>
        <v>52251.29</v>
      </c>
    </row>
    <row r="67">
      <c r="A67" s="23" t="inlineStr">
        <is>
          <t>Dezembro</t>
        </is>
      </c>
      <c r="B67" s="24">
        <f>SUMIFS(Lançamentos!$G$5:$G$1204,Lançamentos!$B$5:$B$1204,"Entrada",Lançamentos!$I$5:$I$1204,"Sim",Lançamentos!$J$5:$J$1204,12,Lançamentos!$K$5:$K$1204,Config!$B$5)</f>
        <v>0</v>
      </c>
      <c r="C67" s="24">
        <f>SUMIFS(Lançamentos!$G$5:$G$1204,Lançamentos!$B$5:$B$1204,"Saída",Lançamentos!$I$5:$I$1204,"Sim",Lançamentos!$J$5:$J$1204,12,Lançamentos!$K$5:$K$1204,Config!$B$5)</f>
        <v>0</v>
      </c>
      <c r="D67" s="24">
        <f>B67-C67</f>
        <v>0</v>
      </c>
      <c r="E67" s="24">
        <f>Config!$B$8+SUMIFS(Lançamentos!$G$5:$G$1204,Lançamentos!$B$5:$B$1204,"Entrada",Lançamentos!$I$5:$I$1204,"Sim",Lançamentos!$A$5:$A$1204,"&lt;="&amp;DATE(Config!$B$5,13,0))-SUMIFS(Lançamentos!$G$5:$G$1204,Lançamentos!$B$5:$B$1204,"Saída",Lançamentos!$I$5:$I$1204,"Sim",Lançamentos!$A$5:$A$1204,"&lt;="&amp;DATE(Config!$B$5,13,0))</f>
        <v>52251.29</v>
      </c>
    </row>
    <row r="68">
      <c r="A68" s="29" t="inlineStr">
        <is>
          <t>Meses sem lançamento pago aparecem zerados. Compare só os meses já fechados; o mês corrente ainda não tem todas as saídas (pró-labore, guia de impostos).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0">
    <mergeCell ref="F13:I13"/>
    <mergeCell ref="F31:I31"/>
    <mergeCell ref="F9:I9"/>
    <mergeCell ref="F39:I39"/>
    <mergeCell ref="C5:D5"/>
    <mergeCell ref="E5:F5"/>
    <mergeCell ref="K5:L5"/>
    <mergeCell ref="F37:I37"/>
    <mergeCell ref="A43:J43"/>
    <mergeCell ref="A52:J52"/>
    <mergeCell ref="A68:J68"/>
    <mergeCell ref="C4:D4"/>
    <mergeCell ref="F14:I14"/>
    <mergeCell ref="A2:L2"/>
    <mergeCell ref="E4:F4"/>
    <mergeCell ref="F11:I11"/>
    <mergeCell ref="F29:I29"/>
    <mergeCell ref="F16:I16"/>
    <mergeCell ref="F19:I19"/>
    <mergeCell ref="F34:I34"/>
    <mergeCell ref="F10:I10"/>
    <mergeCell ref="F28:I28"/>
    <mergeCell ref="F40:I40"/>
    <mergeCell ref="A5:B5"/>
    <mergeCell ref="G5:H5"/>
    <mergeCell ref="F12:I12"/>
    <mergeCell ref="F24:I24"/>
    <mergeCell ref="I5:J5"/>
    <mergeCell ref="F15:I15"/>
    <mergeCell ref="F21:I21"/>
    <mergeCell ref="F30:I30"/>
    <mergeCell ref="A7:J7"/>
    <mergeCell ref="A54:J54"/>
    <mergeCell ref="F20:I20"/>
    <mergeCell ref="F33:I33"/>
    <mergeCell ref="F36:I36"/>
    <mergeCell ref="A4:B4"/>
    <mergeCell ref="G4:H4"/>
    <mergeCell ref="F18:I18"/>
    <mergeCell ref="F32:I32"/>
    <mergeCell ref="I4:J4"/>
    <mergeCell ref="F17:I17"/>
    <mergeCell ref="F35:I35"/>
    <mergeCell ref="F8:I8"/>
    <mergeCell ref="A27:J27"/>
    <mergeCell ref="A1:L1"/>
    <mergeCell ref="F38:I38"/>
    <mergeCell ref="K4:L4"/>
    <mergeCell ref="F23:I23"/>
    <mergeCell ref="F22:I22"/>
  </mergeCells>
  <conditionalFormatting sqref="E5">
    <cfRule type="expression" priority="1" dxfId="0">
      <formula>E5&lt;0</formula>
    </cfRule>
  </conditionalFormatting>
  <conditionalFormatting sqref="D56:E67">
    <cfRule type="expression" priority="2" dxfId="1">
      <formula>D56&lt;0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3" customWidth="1" min="3" max="3"/>
    <col width="28" customWidth="1" min="4" max="4"/>
    <col width="3" customWidth="1" min="5" max="5"/>
    <col width="34" customWidth="1" min="6" max="6"/>
    <col width="3" customWidth="1" min="7" max="7"/>
    <col width="34" customWidth="1" min="8" max="8"/>
    <col width="3" customWidth="1" min="9" max="9"/>
    <col width="30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Categorias e recebedores alimentam as listas de Lançamentos e o Painel.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Categorias de entrada (até 12)</t>
        </is>
      </c>
      <c r="F4" s="30" t="inlineStr">
        <is>
          <t>Categorias de saída (até 16)</t>
        </is>
      </c>
      <c r="H4" s="30" t="inlineStr">
        <is>
          <t>Todas as categorias (automático)</t>
        </is>
      </c>
      <c r="J4" s="30" t="inlineStr">
        <is>
          <t>Convênios e outros recebedores (até 30)</t>
        </is>
      </c>
      <c r="L4" s="30" t="inlineStr">
        <is>
          <t>Meses</t>
        </is>
      </c>
    </row>
    <row r="5">
      <c r="A5" s="30" t="inlineStr">
        <is>
          <t>Ano do painel</t>
        </is>
      </c>
      <c r="B5" s="32" t="n">
        <v>2026</v>
      </c>
      <c r="D5" s="31" t="inlineStr">
        <is>
          <t>Particular à vista</t>
        </is>
      </c>
      <c r="F5" s="31" t="inlineStr">
        <is>
          <t>Pró-labore dos sócios</t>
        </is>
      </c>
      <c r="H5" s="33" t="str">
        <f>IF(1&lt;=COUNTA($D$5:$D$16),INDEX($D$5:$D$16,1),IF(1&lt;=COUNTA($D$5:$D$16)+COUNTA($F$5:$F$20),INDEX($F$5:$F$20,1-COUNTA($D$5:$D$16)),""))</f>
        <v>Particular à vista</v>
      </c>
      <c r="J5" s="31" t="inlineStr">
        <is>
          <t>Saúde Total</t>
        </is>
      </c>
      <c r="L5" s="34" t="inlineStr">
        <is>
          <t>Janeiro</t>
        </is>
      </c>
    </row>
    <row r="6">
      <c r="A6" s="30" t="inlineStr">
        <is>
          <t>Mês do painel</t>
        </is>
      </c>
      <c r="B6" s="32" t="inlineStr">
        <is>
          <t>Setembro</t>
        </is>
      </c>
      <c r="D6" s="31" t="inlineStr">
        <is>
          <t>Particular a prazo</t>
        </is>
      </c>
      <c r="F6" s="31" t="inlineStr">
        <is>
          <t>Aluguel e condomínio</t>
        </is>
      </c>
      <c r="H6" s="33" t="str">
        <f>IF(2&lt;=COUNTA($D$5:$D$16),INDEX($D$5:$D$16,2),IF(2&lt;=COUNTA($D$5:$D$16)+COUNTA($F$5:$F$20),INDEX($F$5:$F$20,2-COUNTA($D$5:$D$16)),""))</f>
        <v>Particular a prazo</v>
      </c>
      <c r="J6" s="31" t="inlineStr">
        <is>
          <t>MediPlan</t>
        </is>
      </c>
      <c r="L6" s="34" t="inlineStr">
        <is>
          <t>Fevereiro</t>
        </is>
      </c>
    </row>
    <row r="7">
      <c r="A7" s="30" t="inlineStr">
        <is>
          <t>Número do mês</t>
        </is>
      </c>
      <c r="B7" s="35">
        <f>MATCH(B6,$L$5:$L$16,0)</f>
        <v>9</v>
      </c>
      <c r="D7" s="31" t="inlineStr">
        <is>
          <t>Convênio · Saúde Total</t>
        </is>
      </c>
      <c r="F7" s="31" t="inlineStr">
        <is>
          <t>Recepção (salário e encargos)</t>
        </is>
      </c>
      <c r="H7" s="33" t="str">
        <f>IF(3&lt;=COUNTA($D$5:$D$16),INDEX($D$5:$D$16,3),IF(3&lt;=COUNTA($D$5:$D$16)+COUNTA($F$5:$F$20),INDEX($F$5:$F$20,3-COUNTA($D$5:$D$16)),""))</f>
        <v>Convênio · Saúde Total</v>
      </c>
      <c r="J7" s="31" t="inlineStr">
        <is>
          <t>Vida Care</t>
        </is>
      </c>
      <c r="L7" s="34" t="inlineStr">
        <is>
          <t>Março</t>
        </is>
      </c>
    </row>
    <row r="8">
      <c r="A8" s="30" t="inlineStr">
        <is>
          <t>Saldo em caixa antes do 1º lançamento</t>
        </is>
      </c>
      <c r="B8" s="36" t="n">
        <v>26000</v>
      </c>
      <c r="D8" s="31" t="inlineStr">
        <is>
          <t>Convênio · MediPlan</t>
        </is>
      </c>
      <c r="F8" s="31" t="inlineStr">
        <is>
          <t>Contador</t>
        </is>
      </c>
      <c r="H8" s="33" t="str">
        <f>IF(4&lt;=COUNTA($D$5:$D$16),INDEX($D$5:$D$16,4),IF(4&lt;=COUNTA($D$5:$D$16)+COUNTA($F$5:$F$20),INDEX($F$5:$F$20,4-COUNTA($D$5:$D$16)),""))</f>
        <v>Convênio · MediPlan</v>
      </c>
      <c r="J8" s="31" t="inlineStr">
        <is>
          <t>Dra. Renata Sousa</t>
        </is>
      </c>
      <c r="L8" s="34" t="inlineStr">
        <is>
          <t>Abril</t>
        </is>
      </c>
    </row>
    <row r="9">
      <c r="A9" s="30" t="inlineStr">
        <is>
          <t>Data de referência</t>
        </is>
      </c>
      <c r="B9" s="37">
        <f>TODAY()</f>
        <v>46279.0</v>
      </c>
      <c r="D9" s="31" t="inlineStr">
        <is>
          <t>Convênio · Vida Care</t>
        </is>
      </c>
      <c r="F9" s="31" t="inlineStr">
        <is>
          <t>Sistema de agenda e assinaturas</t>
        </is>
      </c>
      <c r="H9" s="33" t="str">
        <f>IF(5&lt;=COUNTA($D$5:$D$16),INDEX($D$5:$D$16,5),IF(5&lt;=COUNTA($D$5:$D$16)+COUNTA($F$5:$F$20),INDEX($F$5:$F$20,5-COUNTA($D$5:$D$16)),""))</f>
        <v>Convênio · Vida Care</v>
      </c>
      <c r="J9" s="31" t="n"/>
      <c r="L9" s="34" t="inlineStr">
        <is>
          <t>Maio</t>
        </is>
      </c>
    </row>
    <row r="10">
      <c r="D10" s="31" t="inlineStr">
        <is>
          <t>Outras entradas</t>
        </is>
      </c>
      <c r="F10" s="31" t="inlineStr">
        <is>
          <t>Energia, água, internet e telefone</t>
        </is>
      </c>
      <c r="H10" s="33" t="str">
        <f>IF(6&lt;=COUNTA($D$5:$D$16),INDEX($D$5:$D$16,6),IF(6&lt;=COUNTA($D$5:$D$16)+COUNTA($F$5:$F$20),INDEX($F$5:$F$20,6-COUNTA($D$5:$D$16)),""))</f>
        <v>Outras entradas</v>
      </c>
      <c r="J10" s="31" t="n"/>
      <c r="L10" s="34" t="inlineStr">
        <is>
          <t>Junho</t>
        </is>
      </c>
    </row>
    <row r="11">
      <c r="D11" s="31" t="n"/>
      <c r="F11" s="31" t="inlineStr">
        <is>
          <t>Limpeza e material de escritório</t>
        </is>
      </c>
      <c r="H11" s="33" t="str">
        <f>IF(7&lt;=COUNTA($D$5:$D$16),INDEX($D$5:$D$16,7),IF(7&lt;=COUNTA($D$5:$D$16)+COUNTA($F$5:$F$20),INDEX($F$5:$F$20,7-COUNTA($D$5:$D$16)),""))</f>
        <v>Pró-labore dos sócios</v>
      </c>
      <c r="J11" s="31" t="n"/>
      <c r="L11" s="34" t="inlineStr">
        <is>
          <t>Julho</t>
        </is>
      </c>
    </row>
    <row r="12">
      <c r="D12" s="31" t="n"/>
      <c r="F12" s="31" t="inlineStr">
        <is>
          <t>Marketing e site</t>
        </is>
      </c>
      <c r="H12" s="33" t="str">
        <f>IF(8&lt;=COUNTA($D$5:$D$16),INDEX($D$5:$D$16,8),IF(8&lt;=COUNTA($D$5:$D$16)+COUNTA($F$5:$F$20),INDEX($F$5:$F$20,8-COUNTA($D$5:$D$16)),""))</f>
        <v>Aluguel e condomínio</v>
      </c>
      <c r="J12" s="31" t="n"/>
      <c r="L12" s="34" t="inlineStr">
        <is>
          <t>Agosto</t>
        </is>
      </c>
    </row>
    <row r="13">
      <c r="D13" s="31" t="n"/>
      <c r="F13" s="31" t="inlineStr">
        <is>
          <t>Anuidade CRM, seguro e cursos</t>
        </is>
      </c>
      <c r="H13" s="33" t="str">
        <f>IF(9&lt;=COUNTA($D$5:$D$16),INDEX($D$5:$D$16,9),IF(9&lt;=COUNTA($D$5:$D$16)+COUNTA($F$5:$F$20),INDEX($F$5:$F$20,9-COUNTA($D$5:$D$16)),""))</f>
        <v>Recepção (salário e encargos)</v>
      </c>
      <c r="J13" s="31" t="n"/>
      <c r="L13" s="34" t="inlineStr">
        <is>
          <t>Setembro</t>
        </is>
      </c>
    </row>
    <row r="14">
      <c r="D14" s="31" t="n"/>
      <c r="F14" s="31" t="inlineStr">
        <is>
          <t>Materiais e insumos de atendimento</t>
        </is>
      </c>
      <c r="H14" s="33" t="str">
        <f>IF(10&lt;=COUNTA($D$5:$D$16),INDEX($D$5:$D$16,10),IF(10&lt;=COUNTA($D$5:$D$16)+COUNTA($F$5:$F$20),INDEX($F$5:$F$20,10-COUNTA($D$5:$D$16)),""))</f>
        <v>Contador</v>
      </c>
      <c r="J14" s="31" t="n"/>
      <c r="L14" s="34" t="inlineStr">
        <is>
          <t>Outubro</t>
        </is>
      </c>
    </row>
    <row r="15">
      <c r="D15" s="31" t="n"/>
      <c r="F15" s="31" t="inlineStr">
        <is>
          <t>Taxas de cartão</t>
        </is>
      </c>
      <c r="H15" s="33" t="str">
        <f>IF(11&lt;=COUNTA($D$5:$D$16),INDEX($D$5:$D$16,11),IF(11&lt;=COUNTA($D$5:$D$16)+COUNTA($F$5:$F$20),INDEX($F$5:$F$20,11-COUNTA($D$5:$D$16)),""))</f>
        <v>Sistema de agenda e assinaturas</v>
      </c>
      <c r="J15" s="31" t="n"/>
      <c r="L15" s="34" t="inlineStr">
        <is>
          <t>Novembro</t>
        </is>
      </c>
    </row>
    <row r="16">
      <c r="D16" s="31" t="n"/>
      <c r="F16" s="31" t="inlineStr">
        <is>
          <t>Repasse à médica parceira</t>
        </is>
      </c>
      <c r="H16" s="33" t="str">
        <f>IF(12&lt;=COUNTA($D$5:$D$16),INDEX($D$5:$D$16,12),IF(12&lt;=COUNTA($D$5:$D$16)+COUNTA($F$5:$F$20),INDEX($F$5:$F$20,12-COUNTA($D$5:$D$16)),""))</f>
        <v>Energia, água, internet e telefone</v>
      </c>
      <c r="J16" s="31" t="n"/>
      <c r="L16" s="34" t="inlineStr">
        <is>
          <t>Dezembro</t>
        </is>
      </c>
    </row>
    <row r="17">
      <c r="F17" s="31" t="inlineStr">
        <is>
          <t>Manutenção de equipamentos</t>
        </is>
      </c>
      <c r="H17" s="33" t="str">
        <f>IF(13&lt;=COUNTA($D$5:$D$16),INDEX($D$5:$D$16,13),IF(13&lt;=COUNTA($D$5:$D$16)+COUNTA($F$5:$F$20),INDEX($F$5:$F$20,13-COUNTA($D$5:$D$16)),""))</f>
        <v>Limpeza e material de escritório</v>
      </c>
      <c r="J17" s="31" t="n"/>
    </row>
    <row r="18">
      <c r="F18" s="31" t="inlineStr">
        <is>
          <t>Impostos e taxas</t>
        </is>
      </c>
      <c r="H18" s="33" t="str">
        <f>IF(14&lt;=COUNTA($D$5:$D$16),INDEX($D$5:$D$16,14),IF(14&lt;=COUNTA($D$5:$D$16)+COUNTA($F$5:$F$20),INDEX($F$5:$F$20,14-COUNTA($D$5:$D$16)),""))</f>
        <v>Marketing e site</v>
      </c>
      <c r="J18" s="31" t="n"/>
    </row>
    <row r="19">
      <c r="F19" s="31" t="inlineStr">
        <is>
          <t>Outras saídas</t>
        </is>
      </c>
      <c r="H19" s="33" t="str">
        <f>IF(15&lt;=COUNTA($D$5:$D$16),INDEX($D$5:$D$16,15),IF(15&lt;=COUNTA($D$5:$D$16)+COUNTA($F$5:$F$20),INDEX($F$5:$F$20,15-COUNTA($D$5:$D$16)),""))</f>
        <v>Anuidade CRM, seguro e cursos</v>
      </c>
      <c r="J19" s="31" t="n"/>
    </row>
    <row r="20">
      <c r="F20" s="31" t="n"/>
      <c r="H20" s="33" t="str">
        <f>IF(16&lt;=COUNTA($D$5:$D$16),INDEX($D$5:$D$16,16),IF(16&lt;=COUNTA($D$5:$D$16)+COUNTA($F$5:$F$20),INDEX($F$5:$F$20,16-COUNTA($D$5:$D$16)),""))</f>
        <v>Materiais e insumos de atendimento</v>
      </c>
      <c r="J20" s="31" t="n"/>
    </row>
    <row r="21">
      <c r="H21" s="33" t="str">
        <f>IF(17&lt;=COUNTA($D$5:$D$16),INDEX($D$5:$D$16,17),IF(17&lt;=COUNTA($D$5:$D$16)+COUNTA($F$5:$F$20),INDEX($F$5:$F$20,17-COUNTA($D$5:$D$16)),""))</f>
        <v>Taxas de cartão</v>
      </c>
      <c r="J21" s="31" t="n"/>
    </row>
    <row r="22">
      <c r="H22" s="33" t="str">
        <f>IF(18&lt;=COUNTA($D$5:$D$16),INDEX($D$5:$D$16,18),IF(18&lt;=COUNTA($D$5:$D$16)+COUNTA($F$5:$F$20),INDEX($F$5:$F$20,18-COUNTA($D$5:$D$16)),""))</f>
        <v>Repasse à médica parceira</v>
      </c>
      <c r="J22" s="31" t="n"/>
    </row>
    <row r="23">
      <c r="H23" s="33" t="str">
        <f>IF(19&lt;=COUNTA($D$5:$D$16),INDEX($D$5:$D$16,19),IF(19&lt;=COUNTA($D$5:$D$16)+COUNTA($F$5:$F$20),INDEX($F$5:$F$20,19-COUNTA($D$5:$D$16)),""))</f>
        <v>Manutenção de equipamentos</v>
      </c>
      <c r="J23" s="31" t="n"/>
    </row>
    <row r="24">
      <c r="H24" s="33" t="str">
        <f>IF(20&lt;=COUNTA($D$5:$D$16),INDEX($D$5:$D$16,20),IF(20&lt;=COUNTA($D$5:$D$16)+COUNTA($F$5:$F$20),INDEX($F$5:$F$20,20-COUNTA($D$5:$D$16)),""))</f>
        <v>Impostos e taxas</v>
      </c>
      <c r="J24" s="31" t="n"/>
    </row>
    <row r="25">
      <c r="H25" s="33" t="str">
        <f>IF(21&lt;=COUNTA($D$5:$D$16),INDEX($D$5:$D$16,21),IF(21&lt;=COUNTA($D$5:$D$16)+COUNTA($F$5:$F$20),INDEX($F$5:$F$20,21-COUNTA($D$5:$D$16)),""))</f>
        <v>Outras saídas</v>
      </c>
      <c r="J25" s="31" t="n"/>
    </row>
    <row r="26">
      <c r="H26" s="33">
        <f>IF(22&lt;=COUNTA($D$5:$D$16),INDEX($D$5:$D$16,22),IF(22&lt;=COUNTA($D$5:$D$16)+COUNTA($F$5:$F$20),INDEX($F$5:$F$20,22-COUNTA($D$5:$D$16)),""))</f>
        <v/>
      </c>
      <c r="J26" s="31" t="n"/>
    </row>
    <row r="27">
      <c r="H27" s="33">
        <f>IF(23&lt;=COUNTA($D$5:$D$16),INDEX($D$5:$D$16,23),IF(23&lt;=COUNTA($D$5:$D$16)+COUNTA($F$5:$F$20),INDEX($F$5:$F$20,23-COUNTA($D$5:$D$16)),""))</f>
        <v/>
      </c>
      <c r="J27" s="31" t="n"/>
    </row>
    <row r="28">
      <c r="H28" s="33">
        <f>IF(24&lt;=COUNTA($D$5:$D$16),INDEX($D$5:$D$16,24),IF(24&lt;=COUNTA($D$5:$D$16)+COUNTA($F$5:$F$20),INDEX($F$5:$F$20,24-COUNTA($D$5:$D$16)),""))</f>
        <v/>
      </c>
      <c r="J28" s="31" t="n"/>
    </row>
    <row r="29">
      <c r="H29" s="33">
        <f>IF(25&lt;=COUNTA($D$5:$D$16),INDEX($D$5:$D$16,25),IF(25&lt;=COUNTA($D$5:$D$16)+COUNTA($F$5:$F$20),INDEX($F$5:$F$20,25-COUNTA($D$5:$D$16)),""))</f>
        <v/>
      </c>
      <c r="J29" s="31" t="n"/>
    </row>
    <row r="30">
      <c r="H30" s="33">
        <f>IF(26&lt;=COUNTA($D$5:$D$16),INDEX($D$5:$D$16,26),IF(26&lt;=COUNTA($D$5:$D$16)+COUNTA($F$5:$F$20),INDEX($F$5:$F$20,26-COUNTA($D$5:$D$16)),""))</f>
        <v/>
      </c>
      <c r="J30" s="31" t="n"/>
    </row>
    <row r="31">
      <c r="H31" s="33">
        <f>IF(27&lt;=COUNTA($D$5:$D$16),INDEX($D$5:$D$16,27),IF(27&lt;=COUNTA($D$5:$D$16)+COUNTA($F$5:$F$20),INDEX($F$5:$F$20,27-COUNTA($D$5:$D$16)),""))</f>
        <v/>
      </c>
      <c r="J31" s="31" t="n"/>
    </row>
    <row r="32">
      <c r="H32" s="33">
        <f>IF(28&lt;=COUNTA($D$5:$D$16),INDEX($D$5:$D$16,28),IF(28&lt;=COUNTA($D$5:$D$16)+COUNTA($F$5:$F$20),INDEX($F$5:$F$20,28-COUNTA($D$5:$D$16)),""))</f>
        <v/>
      </c>
      <c r="J32" s="31" t="n"/>
    </row>
    <row r="33">
      <c r="J33" s="31" t="n"/>
    </row>
    <row r="34">
      <c r="J34" s="31" t="n"/>
    </row>
    <row r="37">
      <c r="A37" s="38" t="inlineStr">
        <is>
          <t>Preencha categorias e recebedores de cima para baixo, sem pular linha: as listas suspensas de Lançamentos param na última linha preenchida.</t>
        </is>
      </c>
    </row>
    <row r="38">
      <c r="A38" s="38" t="inlineStr">
        <is>
          <t>Saldo antes do 1º lançamento: o que havia na conta da clínica na data do primeiro lançamento (no exemplo, 01/01/2026).</t>
        </is>
      </c>
    </row>
    <row r="39">
      <c r="A39" s="38" t="inlineStr">
        <is>
          <t>Particular à vista entra pelo fechamento do dia (uma linha por dia e forma de pagamento; o detalhe por paciente fica na agenda 01). Particular a prazo entra por paciente, quando a parcela é paga (14). Convênio entra por lote pago (13).</t>
        </is>
      </c>
    </row>
    <row r="40">
      <c r="A40" s="38" t="inlineStr">
        <is>
          <t>Cartão: lance o valor bruto no dia da venda e, no fim do mês, uma saída "Taxas de cartão" com o total das taxas (a conciliação 16 calcula). Repasse à médica parceira é a saída do dia 10 (planilha 11). Lançamentos pagos do exemplo vão até 11/09/2026 (a última sexta).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26" customWidth="1" min="4" max="4"/>
    <col width="18" customWidth="1" min="5" max="5"/>
    <col width="46" customWidth="1" min="6" max="6"/>
    <col width="14" customWidth="1" min="7" max="7"/>
    <col width="15" customWidth="1" min="8" max="8"/>
    <col width="8" customWidth="1" min="9" max="9"/>
    <col width="6" customWidth="1" min="10" max="10"/>
    <col width="7" customWidth="1" min="11" max="11"/>
  </cols>
  <sheetData>
    <row r="1" ht="28" customHeight="1">
      <c r="A1" s="5" t="inlineStr">
        <is>
          <t>Lançamentos</t>
        </is>
      </c>
    </row>
    <row r="2">
      <c r="A2" s="6" t="inlineStr">
        <is>
          <t>Uma linha por entrada ou saída. Preencha o amarelo; mês e ano são calculados. Pago? = Não fica em A receber / A pagar e só entra no caixa quando virar Sim.</t>
        </is>
      </c>
    </row>
    <row r="4" ht="26" customHeight="1">
      <c r="A4" s="20" t="inlineStr">
        <is>
          <t>Data</t>
        </is>
      </c>
      <c r="B4" s="20" t="inlineStr">
        <is>
          <t>Tipo</t>
        </is>
      </c>
      <c r="C4" s="20" t="inlineStr">
        <is>
          <t>Categoria</t>
        </is>
      </c>
      <c r="D4" s="20" t="inlineStr">
        <is>
          <t>Paciente ou convênio</t>
        </is>
      </c>
      <c r="E4" s="20" t="inlineStr">
        <is>
          <t>Referência</t>
        </is>
      </c>
      <c r="F4" s="20" t="inlineStr">
        <is>
          <t>Descrição</t>
        </is>
      </c>
      <c r="G4" s="20" t="inlineStr">
        <is>
          <t>Valor</t>
        </is>
      </c>
      <c r="H4" s="20" t="inlineStr">
        <is>
          <t>Forma</t>
        </is>
      </c>
      <c r="I4" s="20" t="inlineStr">
        <is>
          <t>Pago?</t>
        </is>
      </c>
      <c r="J4" s="20" t="inlineStr">
        <is>
          <t>Mês</t>
        </is>
      </c>
      <c r="K4" s="20" t="inlineStr">
        <is>
          <t>Ano</t>
        </is>
      </c>
    </row>
    <row r="5">
      <c r="A5" s="39" t="n">
        <v>46027</v>
      </c>
      <c r="B5" s="32" t="inlineStr">
        <is>
          <t>Entrada</t>
        </is>
      </c>
      <c r="C5" s="31" t="inlineStr">
        <is>
          <t>Convênio · Vida Care</t>
        </is>
      </c>
      <c r="D5" s="31" t="inlineStr">
        <is>
          <t>Vida Care</t>
        </is>
      </c>
      <c r="E5" s="31" t="inlineStr">
        <is>
          <t>Lote out/2025</t>
        </is>
      </c>
      <c r="F5" s="31" t="inlineStr">
        <is>
          <t>Pagamento do lote de out/2025 (22 guias. glosa de R$ 230)</t>
        </is>
      </c>
      <c r="G5" s="36" t="n">
        <v>1500</v>
      </c>
      <c r="H5" s="32" t="inlineStr">
        <is>
          <t>Transferência</t>
        </is>
      </c>
      <c r="I5" s="32" t="inlineStr">
        <is>
          <t>Sim</t>
        </is>
      </c>
      <c r="J5" s="35">
        <f>IF(A5="","",MONTH(A5))</f>
        <v>1</v>
      </c>
      <c r="K5" s="35">
        <f>IF(A5="","",YEAR(A5))</f>
        <v>2026</v>
      </c>
    </row>
    <row r="6">
      <c r="A6" s="39" t="n">
        <v>46027</v>
      </c>
      <c r="B6" s="32" t="inlineStr">
        <is>
          <t>Entrada</t>
        </is>
      </c>
      <c r="C6" s="31" t="inlineStr">
        <is>
          <t>Particular à vista</t>
        </is>
      </c>
      <c r="D6" s="31" t="inlineStr"/>
      <c r="E6" s="31" t="inlineStr">
        <is>
          <t>Fechamento do dia</t>
        </is>
      </c>
      <c r="F6" s="31" t="inlineStr">
        <is>
          <t>Fechamento do dia · 1 atendimento · cartão de crédito</t>
        </is>
      </c>
      <c r="G6" s="36" t="n">
        <v>380</v>
      </c>
      <c r="H6" s="32" t="inlineStr">
        <is>
          <t>Cartão de crédito</t>
        </is>
      </c>
      <c r="I6" s="32" t="inlineStr">
        <is>
          <t>Sim</t>
        </is>
      </c>
      <c r="J6" s="35">
        <f>IF(A6="","",MONTH(A6))</f>
        <v>1</v>
      </c>
      <c r="K6" s="35">
        <f>IF(A6="","",YEAR(A6))</f>
        <v>2026</v>
      </c>
    </row>
    <row r="7">
      <c r="A7" s="39" t="n">
        <v>46027</v>
      </c>
      <c r="B7" s="32" t="inlineStr">
        <is>
          <t>Entrada</t>
        </is>
      </c>
      <c r="C7" s="31" t="inlineStr">
        <is>
          <t>Particular à vista</t>
        </is>
      </c>
      <c r="D7" s="31" t="inlineStr"/>
      <c r="E7" s="31" t="inlineStr">
        <is>
          <t>Fechamento do dia</t>
        </is>
      </c>
      <c r="F7" s="31" t="inlineStr">
        <is>
          <t>Fechamento do dia · 1 atendimento · cartão de débito</t>
        </is>
      </c>
      <c r="G7" s="36" t="n">
        <v>380</v>
      </c>
      <c r="H7" s="32" t="inlineStr">
        <is>
          <t>Cartão de débito</t>
        </is>
      </c>
      <c r="I7" s="32" t="inlineStr">
        <is>
          <t>Sim</t>
        </is>
      </c>
      <c r="J7" s="35">
        <f>IF(A7="","",MONTH(A7))</f>
        <v>1</v>
      </c>
      <c r="K7" s="35">
        <f>IF(A7="","",YEAR(A7))</f>
        <v>2026</v>
      </c>
    </row>
    <row r="8">
      <c r="A8" s="39" t="n">
        <v>46027</v>
      </c>
      <c r="B8" s="32" t="inlineStr">
        <is>
          <t>Entrada</t>
        </is>
      </c>
      <c r="C8" s="31" t="inlineStr">
        <is>
          <t>Particular à vista</t>
        </is>
      </c>
      <c r="D8" s="31" t="inlineStr"/>
      <c r="E8" s="31" t="inlineStr">
        <is>
          <t>Fechamento do dia</t>
        </is>
      </c>
      <c r="F8" s="31" t="inlineStr">
        <is>
          <t>Fechamento do dia · 1 atendimento · dinheiro</t>
        </is>
      </c>
      <c r="G8" s="36" t="n">
        <v>380</v>
      </c>
      <c r="H8" s="32" t="inlineStr">
        <is>
          <t>Dinheiro</t>
        </is>
      </c>
      <c r="I8" s="32" t="inlineStr">
        <is>
          <t>Sim</t>
        </is>
      </c>
      <c r="J8" s="35">
        <f>IF(A8="","",MONTH(A8))</f>
        <v>1</v>
      </c>
      <c r="K8" s="35">
        <f>IF(A8="","",YEAR(A8))</f>
        <v>2026</v>
      </c>
    </row>
    <row r="9">
      <c r="A9" s="39" t="n">
        <v>46027</v>
      </c>
      <c r="B9" s="32" t="inlineStr">
        <is>
          <t>Entrada</t>
        </is>
      </c>
      <c r="C9" s="31" t="inlineStr">
        <is>
          <t>Particular à vista</t>
        </is>
      </c>
      <c r="D9" s="31" t="inlineStr"/>
      <c r="E9" s="31" t="inlineStr">
        <is>
          <t>Fechamento do dia</t>
        </is>
      </c>
      <c r="F9" s="31" t="inlineStr">
        <is>
          <t>Fechamento do dia · 1 atendimento · pix</t>
        </is>
      </c>
      <c r="G9" s="36" t="n">
        <v>380</v>
      </c>
      <c r="H9" s="32" t="inlineStr">
        <is>
          <t>Pix</t>
        </is>
      </c>
      <c r="I9" s="32" t="inlineStr">
        <is>
          <t>Sim</t>
        </is>
      </c>
      <c r="J9" s="35">
        <f>IF(A9="","",MONTH(A9))</f>
        <v>1</v>
      </c>
      <c r="K9" s="35">
        <f>IF(A9="","",YEAR(A9))</f>
        <v>2026</v>
      </c>
    </row>
    <row r="10">
      <c r="A10" s="39" t="n">
        <v>46027</v>
      </c>
      <c r="B10" s="32" t="inlineStr">
        <is>
          <t>Saída</t>
        </is>
      </c>
      <c r="C10" s="31" t="inlineStr">
        <is>
          <t>Aluguel e condomínio</t>
        </is>
      </c>
      <c r="D10" s="31" t="inlineStr"/>
      <c r="E10" s="31" t="inlineStr"/>
      <c r="F10" s="31" t="inlineStr">
        <is>
          <t>Aluguel e condomínio da clínica</t>
        </is>
      </c>
      <c r="G10" s="36" t="n">
        <v>3900</v>
      </c>
      <c r="H10" s="32" t="inlineStr">
        <is>
          <t>Boleto</t>
        </is>
      </c>
      <c r="I10" s="32" t="inlineStr">
        <is>
          <t>Sim</t>
        </is>
      </c>
      <c r="J10" s="35">
        <f>IF(A10="","",MONTH(A10))</f>
        <v>1</v>
      </c>
      <c r="K10" s="35">
        <f>IF(A10="","",YEAR(A10))</f>
        <v>2026</v>
      </c>
    </row>
    <row r="11">
      <c r="A11" s="39" t="n">
        <v>46027</v>
      </c>
      <c r="B11" s="32" t="inlineStr">
        <is>
          <t>Saída</t>
        </is>
      </c>
      <c r="C11" s="31" t="inlineStr">
        <is>
          <t>Recepção (salário e encargos)</t>
        </is>
      </c>
      <c r="D11" s="31" t="inlineStr"/>
      <c r="E11" s="31" t="inlineStr"/>
      <c r="F11" s="31" t="inlineStr">
        <is>
          <t>Salário e encargos · Bruna Carvalho</t>
        </is>
      </c>
      <c r="G11" s="36" t="n">
        <v>3100</v>
      </c>
      <c r="H11" s="32" t="inlineStr">
        <is>
          <t>Transferência</t>
        </is>
      </c>
      <c r="I11" s="32" t="inlineStr">
        <is>
          <t>Sim</t>
        </is>
      </c>
      <c r="J11" s="35">
        <f>IF(A11="","",MONTH(A11))</f>
        <v>1</v>
      </c>
      <c r="K11" s="35">
        <f>IF(A11="","",YEAR(A11))</f>
        <v>2026</v>
      </c>
    </row>
    <row r="12">
      <c r="A12" s="39" t="n">
        <v>46028</v>
      </c>
      <c r="B12" s="32" t="inlineStr">
        <is>
          <t>Entrada</t>
        </is>
      </c>
      <c r="C12" s="31" t="inlineStr">
        <is>
          <t>Particular à vista</t>
        </is>
      </c>
      <c r="D12" s="31" t="inlineStr"/>
      <c r="E12" s="31" t="inlineStr">
        <is>
          <t>Fechamento do dia</t>
        </is>
      </c>
      <c r="F12" s="31" t="inlineStr">
        <is>
          <t>Fechamento do dia · 1 atendimento · pix</t>
        </is>
      </c>
      <c r="G12" s="36" t="n">
        <v>400</v>
      </c>
      <c r="H12" s="32" t="inlineStr">
        <is>
          <t>Pix</t>
        </is>
      </c>
      <c r="I12" s="32" t="inlineStr">
        <is>
          <t>Sim</t>
        </is>
      </c>
      <c r="J12" s="35">
        <f>IF(A12="","",MONTH(A12))</f>
        <v>1</v>
      </c>
      <c r="K12" s="35">
        <f>IF(A12="","",YEAR(A12))</f>
        <v>2026</v>
      </c>
    </row>
    <row r="13">
      <c r="A13" s="39" t="n">
        <v>46028</v>
      </c>
      <c r="B13" s="32" t="inlineStr">
        <is>
          <t>Entrada</t>
        </is>
      </c>
      <c r="C13" s="31" t="inlineStr">
        <is>
          <t>Particular à vista</t>
        </is>
      </c>
      <c r="D13" s="31" t="inlineStr"/>
      <c r="E13" s="31" t="inlineStr">
        <is>
          <t>Fechamento do dia</t>
        </is>
      </c>
      <c r="F13" s="31" t="inlineStr">
        <is>
          <t>Fechamento do dia · 2 atendimentos · cartão de crédito</t>
        </is>
      </c>
      <c r="G13" s="36" t="n">
        <v>530</v>
      </c>
      <c r="H13" s="32" t="inlineStr">
        <is>
          <t>Cartão de crédito</t>
        </is>
      </c>
      <c r="I13" s="32" t="inlineStr">
        <is>
          <t>Sim</t>
        </is>
      </c>
      <c r="J13" s="35">
        <f>IF(A13="","",MONTH(A13))</f>
        <v>1</v>
      </c>
      <c r="K13" s="35">
        <f>IF(A13="","",YEAR(A13))</f>
        <v>2026</v>
      </c>
    </row>
    <row r="14">
      <c r="A14" s="39" t="n">
        <v>46028</v>
      </c>
      <c r="B14" s="32" t="inlineStr">
        <is>
          <t>Entrada</t>
        </is>
      </c>
      <c r="C14" s="31" t="inlineStr">
        <is>
          <t>Particular à vista</t>
        </is>
      </c>
      <c r="D14" s="31" t="inlineStr"/>
      <c r="E14" s="31" t="inlineStr">
        <is>
          <t>Fechamento do dia</t>
        </is>
      </c>
      <c r="F14" s="31" t="inlineStr">
        <is>
          <t>Fechamento do dia · 2 atendimentos · cartão de débito</t>
        </is>
      </c>
      <c r="G14" s="36" t="n">
        <v>850</v>
      </c>
      <c r="H14" s="32" t="inlineStr">
        <is>
          <t>Cartão de débito</t>
        </is>
      </c>
      <c r="I14" s="32" t="inlineStr">
        <is>
          <t>Sim</t>
        </is>
      </c>
      <c r="J14" s="35">
        <f>IF(A14="","",MONTH(A14))</f>
        <v>1</v>
      </c>
      <c r="K14" s="35">
        <f>IF(A14="","",YEAR(A14))</f>
        <v>2026</v>
      </c>
    </row>
    <row r="15">
      <c r="A15" s="39" t="n">
        <v>46029</v>
      </c>
      <c r="B15" s="32" t="inlineStr">
        <is>
          <t>Entrada</t>
        </is>
      </c>
      <c r="C15" s="31" t="inlineStr">
        <is>
          <t>Convênio · Saúde Total</t>
        </is>
      </c>
      <c r="D15" s="31" t="inlineStr">
        <is>
          <t>Saúde Total</t>
        </is>
      </c>
      <c r="E15" s="31" t="inlineStr">
        <is>
          <t>Lote nov/2025</t>
        </is>
      </c>
      <c r="F15" s="31" t="inlineStr">
        <is>
          <t>Pagamento do lote de nov/2025 (44 guias. glosa de R$ 180)</t>
        </is>
      </c>
      <c r="G15" s="36" t="n">
        <v>3930</v>
      </c>
      <c r="H15" s="32" t="inlineStr">
        <is>
          <t>Transferência</t>
        </is>
      </c>
      <c r="I15" s="32" t="inlineStr">
        <is>
          <t>Sim</t>
        </is>
      </c>
      <c r="J15" s="35">
        <f>IF(A15="","",MONTH(A15))</f>
        <v>1</v>
      </c>
      <c r="K15" s="35">
        <f>IF(A15="","",YEAR(A15))</f>
        <v>2026</v>
      </c>
    </row>
    <row r="16">
      <c r="A16" s="39" t="n">
        <v>46030</v>
      </c>
      <c r="B16" s="32" t="inlineStr">
        <is>
          <t>Entrada</t>
        </is>
      </c>
      <c r="C16" s="31" t="inlineStr">
        <is>
          <t>Particular à vista</t>
        </is>
      </c>
      <c r="D16" s="31" t="inlineStr"/>
      <c r="E16" s="31" t="inlineStr">
        <is>
          <t>Fechamento do dia</t>
        </is>
      </c>
      <c r="F16" s="31" t="inlineStr">
        <is>
          <t>Fechamento do dia · 1 atendimento · cartão de crédito</t>
        </is>
      </c>
      <c r="G16" s="36" t="n">
        <v>380</v>
      </c>
      <c r="H16" s="32" t="inlineStr">
        <is>
          <t>Cartão de crédito</t>
        </is>
      </c>
      <c r="I16" s="32" t="inlineStr">
        <is>
          <t>Sim</t>
        </is>
      </c>
      <c r="J16" s="35">
        <f>IF(A16="","",MONTH(A16))</f>
        <v>1</v>
      </c>
      <c r="K16" s="35">
        <f>IF(A16="","",YEAR(A16))</f>
        <v>2026</v>
      </c>
    </row>
    <row r="17">
      <c r="A17" s="39" t="n">
        <v>46030</v>
      </c>
      <c r="B17" s="32" t="inlineStr">
        <is>
          <t>Entrada</t>
        </is>
      </c>
      <c r="C17" s="31" t="inlineStr">
        <is>
          <t>Particular à vista</t>
        </is>
      </c>
      <c r="D17" s="31" t="inlineStr"/>
      <c r="E17" s="31" t="inlineStr">
        <is>
          <t>Fechamento do dia</t>
        </is>
      </c>
      <c r="F17" s="31" t="inlineStr">
        <is>
          <t>Fechamento do dia · 1 atendimento · dinheiro</t>
        </is>
      </c>
      <c r="G17" s="36" t="n">
        <v>350</v>
      </c>
      <c r="H17" s="32" t="inlineStr">
        <is>
          <t>Dinheiro</t>
        </is>
      </c>
      <c r="I17" s="32" t="inlineStr">
        <is>
          <t>Sim</t>
        </is>
      </c>
      <c r="J17" s="35">
        <f>IF(A17="","",MONTH(A17))</f>
        <v>1</v>
      </c>
      <c r="K17" s="35">
        <f>IF(A17="","",YEAR(A17))</f>
        <v>2026</v>
      </c>
    </row>
    <row r="18">
      <c r="A18" s="39" t="n">
        <v>46030</v>
      </c>
      <c r="B18" s="32" t="inlineStr">
        <is>
          <t>Entrada</t>
        </is>
      </c>
      <c r="C18" s="31" t="inlineStr">
        <is>
          <t>Particular à vista</t>
        </is>
      </c>
      <c r="D18" s="31" t="inlineStr"/>
      <c r="E18" s="31" t="inlineStr">
        <is>
          <t>Fechamento do dia</t>
        </is>
      </c>
      <c r="F18" s="31" t="inlineStr">
        <is>
          <t>Fechamento do dia · 2 atendimentos · cartão de débito</t>
        </is>
      </c>
      <c r="G18" s="36" t="n">
        <v>800</v>
      </c>
      <c r="H18" s="32" t="inlineStr">
        <is>
          <t>Cartão de débito</t>
        </is>
      </c>
      <c r="I18" s="32" t="inlineStr">
        <is>
          <t>Sim</t>
        </is>
      </c>
      <c r="J18" s="35">
        <f>IF(A18="","",MONTH(A18))</f>
        <v>1</v>
      </c>
      <c r="K18" s="35">
        <f>IF(A18="","",YEAR(A18))</f>
        <v>2026</v>
      </c>
    </row>
    <row r="19">
      <c r="A19" s="39" t="n">
        <v>46030</v>
      </c>
      <c r="B19" s="32" t="inlineStr">
        <is>
          <t>Entrada</t>
        </is>
      </c>
      <c r="C19" s="31" t="inlineStr">
        <is>
          <t>Particular à vista</t>
        </is>
      </c>
      <c r="D19" s="31" t="inlineStr"/>
      <c r="E19" s="31" t="inlineStr">
        <is>
          <t>Fechamento do dia</t>
        </is>
      </c>
      <c r="F19" s="31" t="inlineStr">
        <is>
          <t>Fechamento do dia · 2 atendimentos · pix</t>
        </is>
      </c>
      <c r="G19" s="36" t="n">
        <v>780</v>
      </c>
      <c r="H19" s="32" t="inlineStr">
        <is>
          <t>Pix</t>
        </is>
      </c>
      <c r="I19" s="32" t="inlineStr">
        <is>
          <t>Sim</t>
        </is>
      </c>
      <c r="J19" s="35">
        <f>IF(A19="","",MONTH(A19))</f>
        <v>1</v>
      </c>
      <c r="K19" s="35">
        <f>IF(A19="","",YEAR(A19))</f>
        <v>2026</v>
      </c>
    </row>
    <row r="20">
      <c r="A20" s="39" t="n">
        <v>46030</v>
      </c>
      <c r="B20" s="32" t="inlineStr">
        <is>
          <t>Saída</t>
        </is>
      </c>
      <c r="C20" s="31" t="inlineStr">
        <is>
          <t>Materiais e insumos de atendimento</t>
        </is>
      </c>
      <c r="D20" s="31" t="inlineStr"/>
      <c r="E20" s="31" t="inlineStr"/>
      <c r="F20" s="31" t="inlineStr">
        <is>
          <t>Eletrodos, manguitos e descartáveis (fornecedor)</t>
        </is>
      </c>
      <c r="G20" s="36" t="n">
        <v>670</v>
      </c>
      <c r="H20" s="32" t="inlineStr">
        <is>
          <t>Boleto</t>
        </is>
      </c>
      <c r="I20" s="32" t="inlineStr">
        <is>
          <t>Sim</t>
        </is>
      </c>
      <c r="J20" s="35">
        <f>IF(A20="","",MONTH(A20))</f>
        <v>1</v>
      </c>
      <c r="K20" s="35">
        <f>IF(A20="","",YEAR(A20))</f>
        <v>2026</v>
      </c>
    </row>
    <row r="21">
      <c r="A21" s="39" t="n">
        <v>46030</v>
      </c>
      <c r="B21" s="32" t="inlineStr">
        <is>
          <t>Saída</t>
        </is>
      </c>
      <c r="C21" s="31" t="inlineStr">
        <is>
          <t>Sistema de agenda e assinaturas</t>
        </is>
      </c>
      <c r="D21" s="31" t="inlineStr"/>
      <c r="E21" s="31" t="inlineStr"/>
      <c r="F21" s="31" t="inlineStr">
        <is>
          <t>Sistema de agenda e assinaturas</t>
        </is>
      </c>
      <c r="G21" s="36" t="n">
        <v>300</v>
      </c>
      <c r="H21" s="32" t="inlineStr">
        <is>
          <t>Cartão de crédito</t>
        </is>
      </c>
      <c r="I21" s="32" t="inlineStr">
        <is>
          <t>Sim</t>
        </is>
      </c>
      <c r="J21" s="35">
        <f>IF(A21="","",MONTH(A21))</f>
        <v>1</v>
      </c>
      <c r="K21" s="35">
        <f>IF(A21="","",YEAR(A21))</f>
        <v>2026</v>
      </c>
    </row>
    <row r="22">
      <c r="A22" s="39" t="n">
        <v>46031</v>
      </c>
      <c r="B22" s="32" t="inlineStr">
        <is>
          <t>Entrada</t>
        </is>
      </c>
      <c r="C22" s="31" t="inlineStr">
        <is>
          <t>Particular à vista</t>
        </is>
      </c>
      <c r="D22" s="31" t="inlineStr"/>
      <c r="E22" s="31" t="inlineStr">
        <is>
          <t>Fechamento do dia</t>
        </is>
      </c>
      <c r="F22" s="31" t="inlineStr">
        <is>
          <t>Fechamento do dia · 1 atendimento · dinheiro</t>
        </is>
      </c>
      <c r="G22" s="36" t="n">
        <v>130</v>
      </c>
      <c r="H22" s="32" t="inlineStr">
        <is>
          <t>Dinheiro</t>
        </is>
      </c>
      <c r="I22" s="32" t="inlineStr">
        <is>
          <t>Sim</t>
        </is>
      </c>
      <c r="J22" s="35">
        <f>IF(A22="","",MONTH(A22))</f>
        <v>1</v>
      </c>
      <c r="K22" s="35">
        <f>IF(A22="","",YEAR(A22))</f>
        <v>2026</v>
      </c>
    </row>
    <row r="23">
      <c r="A23" s="39" t="n">
        <v>46032</v>
      </c>
      <c r="B23" s="32" t="inlineStr">
        <is>
          <t>Saída</t>
        </is>
      </c>
      <c r="C23" s="31" t="inlineStr">
        <is>
          <t>Contador</t>
        </is>
      </c>
      <c r="D23" s="31" t="inlineStr"/>
      <c r="E23" s="31" t="inlineStr"/>
      <c r="F23" s="31" t="inlineStr">
        <is>
          <t>Honorários do contador</t>
        </is>
      </c>
      <c r="G23" s="36" t="n">
        <v>600</v>
      </c>
      <c r="H23" s="32" t="inlineStr">
        <is>
          <t>Boleto</t>
        </is>
      </c>
      <c r="I23" s="32" t="inlineStr">
        <is>
          <t>Sim</t>
        </is>
      </c>
      <c r="J23" s="35">
        <f>IF(A23="","",MONTH(A23))</f>
        <v>1</v>
      </c>
      <c r="K23" s="35">
        <f>IF(A23="","",YEAR(A23))</f>
        <v>2026</v>
      </c>
    </row>
    <row r="24">
      <c r="A24" s="39" t="n">
        <v>46032</v>
      </c>
      <c r="B24" s="32" t="inlineStr">
        <is>
          <t>Saída</t>
        </is>
      </c>
      <c r="C24" s="31" t="inlineStr">
        <is>
          <t>Repasse à médica parceira</t>
        </is>
      </c>
      <c r="D24" s="31" t="inlineStr">
        <is>
          <t>Dra. Renata Sousa</t>
        </is>
      </c>
      <c r="E24" s="31" t="inlineStr"/>
      <c r="F24" s="31" t="inlineStr">
        <is>
          <t>Repasse · Dra. Renata Sousa · 50 % da produção de dez</t>
        </is>
      </c>
      <c r="G24" s="36" t="n">
        <v>3100</v>
      </c>
      <c r="H24" s="32" t="inlineStr">
        <is>
          <t>Transferência</t>
        </is>
      </c>
      <c r="I24" s="32" t="inlineStr">
        <is>
          <t>Sim</t>
        </is>
      </c>
      <c r="J24" s="35">
        <f>IF(A24="","",MONTH(A24))</f>
        <v>1</v>
      </c>
      <c r="K24" s="35">
        <f>IF(A24="","",YEAR(A24))</f>
        <v>2026</v>
      </c>
    </row>
    <row r="25">
      <c r="A25" s="39" t="n">
        <v>46034</v>
      </c>
      <c r="B25" s="32" t="inlineStr">
        <is>
          <t>Entrada</t>
        </is>
      </c>
      <c r="C25" s="31" t="inlineStr">
        <is>
          <t>Particular à vista</t>
        </is>
      </c>
      <c r="D25" s="31" t="inlineStr"/>
      <c r="E25" s="31" t="inlineStr">
        <is>
          <t>Fechamento do dia</t>
        </is>
      </c>
      <c r="F25" s="31" t="inlineStr">
        <is>
          <t>Fechamento do dia · 2 atendimentos · pix</t>
        </is>
      </c>
      <c r="G25" s="36" t="n">
        <v>760</v>
      </c>
      <c r="H25" s="32" t="inlineStr">
        <is>
          <t>Pix</t>
        </is>
      </c>
      <c r="I25" s="32" t="inlineStr">
        <is>
          <t>Sim</t>
        </is>
      </c>
      <c r="J25" s="35">
        <f>IF(A25="","",MONTH(A25))</f>
        <v>1</v>
      </c>
      <c r="K25" s="35">
        <f>IF(A25="","",YEAR(A25))</f>
        <v>2026</v>
      </c>
    </row>
    <row r="26">
      <c r="A26" s="39" t="n">
        <v>46034</v>
      </c>
      <c r="B26" s="32" t="inlineStr">
        <is>
          <t>Entrada</t>
        </is>
      </c>
      <c r="C26" s="31" t="inlineStr">
        <is>
          <t>Particular à vista</t>
        </is>
      </c>
      <c r="D26" s="31" t="inlineStr"/>
      <c r="E26" s="31" t="inlineStr">
        <is>
          <t>Fechamento do dia</t>
        </is>
      </c>
      <c r="F26" s="31" t="inlineStr">
        <is>
          <t>Fechamento do dia · 3 atendimentos · cartão de crédito</t>
        </is>
      </c>
      <c r="G26" s="36" t="n">
        <v>960</v>
      </c>
      <c r="H26" s="32" t="inlineStr">
        <is>
          <t>Cartão de crédito</t>
        </is>
      </c>
      <c r="I26" s="32" t="inlineStr">
        <is>
          <t>Sim</t>
        </is>
      </c>
      <c r="J26" s="35">
        <f>IF(A26="","",MONTH(A26))</f>
        <v>1</v>
      </c>
      <c r="K26" s="35">
        <f>IF(A26="","",YEAR(A26))</f>
        <v>2026</v>
      </c>
    </row>
    <row r="27">
      <c r="A27" s="39" t="n">
        <v>46034</v>
      </c>
      <c r="B27" s="32" t="inlineStr">
        <is>
          <t>Saída</t>
        </is>
      </c>
      <c r="C27" s="31" t="inlineStr">
        <is>
          <t>Energia, água, internet e telefone</t>
        </is>
      </c>
      <c r="D27" s="31" t="inlineStr"/>
      <c r="E27" s="31" t="inlineStr"/>
      <c r="F27" s="31" t="inlineStr">
        <is>
          <t>Energia, água, internet e telefone</t>
        </is>
      </c>
      <c r="G27" s="36" t="n">
        <v>550</v>
      </c>
      <c r="H27" s="32" t="inlineStr">
        <is>
          <t>Boleto</t>
        </is>
      </c>
      <c r="I27" s="32" t="inlineStr">
        <is>
          <t>Sim</t>
        </is>
      </c>
      <c r="J27" s="35">
        <f>IF(A27="","",MONTH(A27))</f>
        <v>1</v>
      </c>
      <c r="K27" s="35">
        <f>IF(A27="","",YEAR(A27))</f>
        <v>2026</v>
      </c>
    </row>
    <row r="28">
      <c r="A28" s="39" t="n">
        <v>46035</v>
      </c>
      <c r="B28" s="32" t="inlineStr">
        <is>
          <t>Entrada</t>
        </is>
      </c>
      <c r="C28" s="31" t="inlineStr">
        <is>
          <t>Particular à vista</t>
        </is>
      </c>
      <c r="D28" s="31" t="inlineStr"/>
      <c r="E28" s="31" t="inlineStr">
        <is>
          <t>Fechamento do dia</t>
        </is>
      </c>
      <c r="F28" s="31" t="inlineStr">
        <is>
          <t>Fechamento do dia · 1 atendimento · cartão de crédito</t>
        </is>
      </c>
      <c r="G28" s="36" t="n">
        <v>380</v>
      </c>
      <c r="H28" s="32" t="inlineStr">
        <is>
          <t>Cartão de crédito</t>
        </is>
      </c>
      <c r="I28" s="32" t="inlineStr">
        <is>
          <t>Sim</t>
        </is>
      </c>
      <c r="J28" s="35">
        <f>IF(A28="","",MONTH(A28))</f>
        <v>1</v>
      </c>
      <c r="K28" s="35">
        <f>IF(A28="","",YEAR(A28))</f>
        <v>2026</v>
      </c>
    </row>
    <row r="29">
      <c r="A29" s="39" t="n">
        <v>46035</v>
      </c>
      <c r="B29" s="32" t="inlineStr">
        <is>
          <t>Entrada</t>
        </is>
      </c>
      <c r="C29" s="31" t="inlineStr">
        <is>
          <t>Particular à vista</t>
        </is>
      </c>
      <c r="D29" s="31" t="inlineStr"/>
      <c r="E29" s="31" t="inlineStr">
        <is>
          <t>Fechamento do dia</t>
        </is>
      </c>
      <c r="F29" s="31" t="inlineStr">
        <is>
          <t>Fechamento do dia · 1 atendimento · dinheiro</t>
        </is>
      </c>
      <c r="G29" s="36" t="n">
        <v>400</v>
      </c>
      <c r="H29" s="32" t="inlineStr">
        <is>
          <t>Dinheiro</t>
        </is>
      </c>
      <c r="I29" s="32" t="inlineStr">
        <is>
          <t>Sim</t>
        </is>
      </c>
      <c r="J29" s="35">
        <f>IF(A29="","",MONTH(A29))</f>
        <v>1</v>
      </c>
      <c r="K29" s="35">
        <f>IF(A29="","",YEAR(A29))</f>
        <v>2026</v>
      </c>
    </row>
    <row r="30">
      <c r="A30" s="39" t="n">
        <v>46035</v>
      </c>
      <c r="B30" s="32" t="inlineStr">
        <is>
          <t>Entrada</t>
        </is>
      </c>
      <c r="C30" s="31" t="inlineStr">
        <is>
          <t>Particular à vista</t>
        </is>
      </c>
      <c r="D30" s="31" t="inlineStr"/>
      <c r="E30" s="31" t="inlineStr">
        <is>
          <t>Fechamento do dia</t>
        </is>
      </c>
      <c r="F30" s="31" t="inlineStr">
        <is>
          <t>Fechamento do dia · 1 atendimento · pix</t>
        </is>
      </c>
      <c r="G30" s="36" t="n">
        <v>400</v>
      </c>
      <c r="H30" s="32" t="inlineStr">
        <is>
          <t>Pix</t>
        </is>
      </c>
      <c r="I30" s="32" t="inlineStr">
        <is>
          <t>Sim</t>
        </is>
      </c>
      <c r="J30" s="35">
        <f>IF(A30="","",MONTH(A30))</f>
        <v>1</v>
      </c>
      <c r="K30" s="35">
        <f>IF(A30="","",YEAR(A30))</f>
        <v>2026</v>
      </c>
    </row>
    <row r="31">
      <c r="A31" s="39" t="n">
        <v>46036</v>
      </c>
      <c r="B31" s="32" t="inlineStr">
        <is>
          <t>Entrada</t>
        </is>
      </c>
      <c r="C31" s="31" t="inlineStr">
        <is>
          <t>Particular à vista</t>
        </is>
      </c>
      <c r="D31" s="31" t="inlineStr"/>
      <c r="E31" s="31" t="inlineStr">
        <is>
          <t>Fechamento do dia</t>
        </is>
      </c>
      <c r="F31" s="31" t="inlineStr">
        <is>
          <t>Fechamento do dia · 1 atendimento · pix</t>
        </is>
      </c>
      <c r="G31" s="36" t="n">
        <v>380</v>
      </c>
      <c r="H31" s="32" t="inlineStr">
        <is>
          <t>Pix</t>
        </is>
      </c>
      <c r="I31" s="32" t="inlineStr">
        <is>
          <t>Sim</t>
        </is>
      </c>
      <c r="J31" s="35">
        <f>IF(A31="","",MONTH(A31))</f>
        <v>1</v>
      </c>
      <c r="K31" s="35">
        <f>IF(A31="","",YEAR(A31))</f>
        <v>2026</v>
      </c>
    </row>
    <row r="32">
      <c r="A32" s="39" t="n">
        <v>46036</v>
      </c>
      <c r="B32" s="32" t="inlineStr">
        <is>
          <t>Entrada</t>
        </is>
      </c>
      <c r="C32" s="31" t="inlineStr">
        <is>
          <t>Particular à vista</t>
        </is>
      </c>
      <c r="D32" s="31" t="inlineStr"/>
      <c r="E32" s="31" t="inlineStr">
        <is>
          <t>Fechamento do dia</t>
        </is>
      </c>
      <c r="F32" s="31" t="inlineStr">
        <is>
          <t>Fechamento do dia · 3 atendimentos · cartão de crédito</t>
        </is>
      </c>
      <c r="G32" s="36" t="n">
        <v>1140</v>
      </c>
      <c r="H32" s="32" t="inlineStr">
        <is>
          <t>Cartão de crédito</t>
        </is>
      </c>
      <c r="I32" s="32" t="inlineStr">
        <is>
          <t>Sim</t>
        </is>
      </c>
      <c r="J32" s="35">
        <f>IF(A32="","",MONTH(A32))</f>
        <v>1</v>
      </c>
      <c r="K32" s="35">
        <f>IF(A32="","",YEAR(A32))</f>
        <v>2026</v>
      </c>
    </row>
    <row r="33">
      <c r="A33" s="39" t="n">
        <v>46037</v>
      </c>
      <c r="B33" s="32" t="inlineStr">
        <is>
          <t>Entrada</t>
        </is>
      </c>
      <c r="C33" s="31" t="inlineStr">
        <is>
          <t>Particular à vista</t>
        </is>
      </c>
      <c r="D33" s="31" t="inlineStr"/>
      <c r="E33" s="31" t="inlineStr">
        <is>
          <t>Fechamento do dia</t>
        </is>
      </c>
      <c r="F33" s="31" t="inlineStr">
        <is>
          <t>Fechamento do dia · 1 atendimento · cartão de débito</t>
        </is>
      </c>
      <c r="G33" s="36" t="n">
        <v>380</v>
      </c>
      <c r="H33" s="32" t="inlineStr">
        <is>
          <t>Cartão de débito</t>
        </is>
      </c>
      <c r="I33" s="32" t="inlineStr">
        <is>
          <t>Sim</t>
        </is>
      </c>
      <c r="J33" s="35">
        <f>IF(A33="","",MONTH(A33))</f>
        <v>1</v>
      </c>
      <c r="K33" s="35">
        <f>IF(A33="","",YEAR(A33))</f>
        <v>2026</v>
      </c>
    </row>
    <row r="34">
      <c r="A34" s="39" t="n">
        <v>46037</v>
      </c>
      <c r="B34" s="32" t="inlineStr">
        <is>
          <t>Entrada</t>
        </is>
      </c>
      <c r="C34" s="31" t="inlineStr">
        <is>
          <t>Particular à vista</t>
        </is>
      </c>
      <c r="D34" s="31" t="inlineStr"/>
      <c r="E34" s="31" t="inlineStr">
        <is>
          <t>Fechamento do dia</t>
        </is>
      </c>
      <c r="F34" s="31" t="inlineStr">
        <is>
          <t>Fechamento do dia · 1 atendimento · pix</t>
        </is>
      </c>
      <c r="G34" s="36" t="n">
        <v>400</v>
      </c>
      <c r="H34" s="32" t="inlineStr">
        <is>
          <t>Pix</t>
        </is>
      </c>
      <c r="I34" s="32" t="inlineStr">
        <is>
          <t>Sim</t>
        </is>
      </c>
      <c r="J34" s="35">
        <f>IF(A34="","",MONTH(A34))</f>
        <v>1</v>
      </c>
      <c r="K34" s="35">
        <f>IF(A34="","",YEAR(A34))</f>
        <v>2026</v>
      </c>
    </row>
    <row r="35">
      <c r="A35" s="39" t="n">
        <v>46037</v>
      </c>
      <c r="B35" s="32" t="inlineStr">
        <is>
          <t>Entrada</t>
        </is>
      </c>
      <c r="C35" s="31" t="inlineStr">
        <is>
          <t>Particular à vista</t>
        </is>
      </c>
      <c r="D35" s="31" t="inlineStr"/>
      <c r="E35" s="31" t="inlineStr">
        <is>
          <t>Fechamento do dia</t>
        </is>
      </c>
      <c r="F35" s="31" t="inlineStr">
        <is>
          <t>Fechamento do dia · 2 atendimentos · cartão de crédito</t>
        </is>
      </c>
      <c r="G35" s="36" t="n">
        <v>760</v>
      </c>
      <c r="H35" s="32" t="inlineStr">
        <is>
          <t>Cartão de crédito</t>
        </is>
      </c>
      <c r="I35" s="32" t="inlineStr">
        <is>
          <t>Sim</t>
        </is>
      </c>
      <c r="J35" s="35">
        <f>IF(A35="","",MONTH(A35))</f>
        <v>1</v>
      </c>
      <c r="K35" s="35">
        <f>IF(A35="","",YEAR(A35))</f>
        <v>2026</v>
      </c>
    </row>
    <row r="36">
      <c r="A36" s="39" t="n">
        <v>46037</v>
      </c>
      <c r="B36" s="32" t="inlineStr">
        <is>
          <t>Saída</t>
        </is>
      </c>
      <c r="C36" s="31" t="inlineStr">
        <is>
          <t>Anuidade CRM, seguro e cursos</t>
        </is>
      </c>
      <c r="D36" s="31" t="inlineStr"/>
      <c r="E36" s="31" t="inlineStr"/>
      <c r="F36" s="31" t="inlineStr">
        <is>
          <t>Anuidade CRM, seguro e cursos</t>
        </is>
      </c>
      <c r="G36" s="36" t="n">
        <v>450</v>
      </c>
      <c r="H36" s="32" t="inlineStr">
        <is>
          <t>Cartão de crédito</t>
        </is>
      </c>
      <c r="I36" s="32" t="inlineStr">
        <is>
          <t>Sim</t>
        </is>
      </c>
      <c r="J36" s="35">
        <f>IF(A36="","",MONTH(A36))</f>
        <v>1</v>
      </c>
      <c r="K36" s="35">
        <f>IF(A36="","",YEAR(A36))</f>
        <v>2026</v>
      </c>
    </row>
    <row r="37">
      <c r="A37" s="39" t="n">
        <v>46037</v>
      </c>
      <c r="B37" s="32" t="inlineStr">
        <is>
          <t>Saída</t>
        </is>
      </c>
      <c r="C37" s="31" t="inlineStr">
        <is>
          <t>Limpeza e material de escritório</t>
        </is>
      </c>
      <c r="D37" s="31" t="inlineStr"/>
      <c r="E37" s="31" t="inlineStr"/>
      <c r="F37" s="31" t="inlineStr">
        <is>
          <t>Limpeza e material de escritório</t>
        </is>
      </c>
      <c r="G37" s="36" t="n">
        <v>450</v>
      </c>
      <c r="H37" s="32" t="inlineStr">
        <is>
          <t>Cartão de crédito</t>
        </is>
      </c>
      <c r="I37" s="32" t="inlineStr">
        <is>
          <t>Sim</t>
        </is>
      </c>
      <c r="J37" s="35">
        <f>IF(A37="","",MONTH(A37))</f>
        <v>1</v>
      </c>
      <c r="K37" s="35">
        <f>IF(A37="","",YEAR(A37))</f>
        <v>2026</v>
      </c>
    </row>
    <row r="38">
      <c r="A38" s="39" t="n">
        <v>46038</v>
      </c>
      <c r="B38" s="32" t="inlineStr">
        <is>
          <t>Entrada</t>
        </is>
      </c>
      <c r="C38" s="31" t="inlineStr">
        <is>
          <t>Particular à vista</t>
        </is>
      </c>
      <c r="D38" s="31" t="inlineStr"/>
      <c r="E38" s="31" t="inlineStr">
        <is>
          <t>Fechamento do dia</t>
        </is>
      </c>
      <c r="F38" s="31" t="inlineStr">
        <is>
          <t>Fechamento do dia · 1 atendimento · cartão de débito</t>
        </is>
      </c>
      <c r="G38" s="36" t="n">
        <v>380</v>
      </c>
      <c r="H38" s="32" t="inlineStr">
        <is>
          <t>Cartão de débito</t>
        </is>
      </c>
      <c r="I38" s="32" t="inlineStr">
        <is>
          <t>Sim</t>
        </is>
      </c>
      <c r="J38" s="35">
        <f>IF(A38="","",MONTH(A38))</f>
        <v>1</v>
      </c>
      <c r="K38" s="35">
        <f>IF(A38="","",YEAR(A38))</f>
        <v>2026</v>
      </c>
    </row>
    <row r="39">
      <c r="A39" s="39" t="n">
        <v>46038</v>
      </c>
      <c r="B39" s="32" t="inlineStr">
        <is>
          <t>Entrada</t>
        </is>
      </c>
      <c r="C39" s="31" t="inlineStr">
        <is>
          <t>Particular à vista</t>
        </is>
      </c>
      <c r="D39" s="31" t="inlineStr"/>
      <c r="E39" s="31" t="inlineStr">
        <is>
          <t>Fechamento do dia</t>
        </is>
      </c>
      <c r="F39" s="31" t="inlineStr">
        <is>
          <t>Fechamento do dia · 2 atendimentos · cartão de crédito</t>
        </is>
      </c>
      <c r="G39" s="36" t="n">
        <v>680</v>
      </c>
      <c r="H39" s="32" t="inlineStr">
        <is>
          <t>Cartão de crédito</t>
        </is>
      </c>
      <c r="I39" s="32" t="inlineStr">
        <is>
          <t>Sim</t>
        </is>
      </c>
      <c r="J39" s="35">
        <f>IF(A39="","",MONTH(A39))</f>
        <v>1</v>
      </c>
      <c r="K39" s="35">
        <f>IF(A39="","",YEAR(A39))</f>
        <v>2026</v>
      </c>
    </row>
    <row r="40">
      <c r="A40" s="39" t="n">
        <v>46041</v>
      </c>
      <c r="B40" s="32" t="inlineStr">
        <is>
          <t>Entrada</t>
        </is>
      </c>
      <c r="C40" s="31" t="inlineStr">
        <is>
          <t>Particular à vista</t>
        </is>
      </c>
      <c r="D40" s="31" t="inlineStr"/>
      <c r="E40" s="31" t="inlineStr">
        <is>
          <t>Fechamento do dia</t>
        </is>
      </c>
      <c r="F40" s="31" t="inlineStr">
        <is>
          <t>Fechamento do dia · 1 atendimento · cartão de crédito</t>
        </is>
      </c>
      <c r="G40" s="36" t="n">
        <v>380</v>
      </c>
      <c r="H40" s="32" t="inlineStr">
        <is>
          <t>Cartão de crédito</t>
        </is>
      </c>
      <c r="I40" s="32" t="inlineStr">
        <is>
          <t>Sim</t>
        </is>
      </c>
      <c r="J40" s="35">
        <f>IF(A40="","",MONTH(A40))</f>
        <v>1</v>
      </c>
      <c r="K40" s="35">
        <f>IF(A40="","",YEAR(A40))</f>
        <v>2026</v>
      </c>
    </row>
    <row r="41">
      <c r="A41" s="39" t="n">
        <v>46041</v>
      </c>
      <c r="B41" s="32" t="inlineStr">
        <is>
          <t>Entrada</t>
        </is>
      </c>
      <c r="C41" s="31" t="inlineStr">
        <is>
          <t>Particular à vista</t>
        </is>
      </c>
      <c r="D41" s="31" t="inlineStr"/>
      <c r="E41" s="31" t="inlineStr">
        <is>
          <t>Fechamento do dia</t>
        </is>
      </c>
      <c r="F41" s="31" t="inlineStr">
        <is>
          <t>Fechamento do dia · 2 atendimentos · pix</t>
        </is>
      </c>
      <c r="G41" s="36" t="n">
        <v>510</v>
      </c>
      <c r="H41" s="32" t="inlineStr">
        <is>
          <t>Pix</t>
        </is>
      </c>
      <c r="I41" s="32" t="inlineStr">
        <is>
          <t>Sim</t>
        </is>
      </c>
      <c r="J41" s="35">
        <f>IF(A41="","",MONTH(A41))</f>
        <v>1</v>
      </c>
      <c r="K41" s="35">
        <f>IF(A41="","",YEAR(A41))</f>
        <v>2026</v>
      </c>
    </row>
    <row r="42">
      <c r="A42" s="39" t="n">
        <v>46042</v>
      </c>
      <c r="B42" s="32" t="inlineStr">
        <is>
          <t>Entrada</t>
        </is>
      </c>
      <c r="C42" s="31" t="inlineStr">
        <is>
          <t>Particular à vista</t>
        </is>
      </c>
      <c r="D42" s="31" t="inlineStr"/>
      <c r="E42" s="31" t="inlineStr">
        <is>
          <t>Fechamento do dia</t>
        </is>
      </c>
      <c r="F42" s="31" t="inlineStr">
        <is>
          <t>Fechamento do dia · 1 atendimento · dinheiro</t>
        </is>
      </c>
      <c r="G42" s="36" t="n">
        <v>380</v>
      </c>
      <c r="H42" s="32" t="inlineStr">
        <is>
          <t>Dinheiro</t>
        </is>
      </c>
      <c r="I42" s="32" t="inlineStr">
        <is>
          <t>Sim</t>
        </is>
      </c>
      <c r="J42" s="35">
        <f>IF(A42="","",MONTH(A42))</f>
        <v>1</v>
      </c>
      <c r="K42" s="35">
        <f>IF(A42="","",YEAR(A42))</f>
        <v>2026</v>
      </c>
    </row>
    <row r="43">
      <c r="A43" s="39" t="n">
        <v>46042</v>
      </c>
      <c r="B43" s="32" t="inlineStr">
        <is>
          <t>Entrada</t>
        </is>
      </c>
      <c r="C43" s="31" t="inlineStr">
        <is>
          <t>Particular à vista</t>
        </is>
      </c>
      <c r="D43" s="31" t="inlineStr"/>
      <c r="E43" s="31" t="inlineStr">
        <is>
          <t>Fechamento do dia</t>
        </is>
      </c>
      <c r="F43" s="31" t="inlineStr">
        <is>
          <t>Fechamento do dia · 3 atendimentos · cartão de débito</t>
        </is>
      </c>
      <c r="G43" s="36" t="n">
        <v>880</v>
      </c>
      <c r="H43" s="32" t="inlineStr">
        <is>
          <t>Cartão de débito</t>
        </is>
      </c>
      <c r="I43" s="32" t="inlineStr">
        <is>
          <t>Sim</t>
        </is>
      </c>
      <c r="J43" s="35">
        <f>IF(A43="","",MONTH(A43))</f>
        <v>1</v>
      </c>
      <c r="K43" s="35">
        <f>IF(A43="","",YEAR(A43))</f>
        <v>2026</v>
      </c>
    </row>
    <row r="44">
      <c r="A44" s="39" t="n">
        <v>46042</v>
      </c>
      <c r="B44" s="32" t="inlineStr">
        <is>
          <t>Entrada</t>
        </is>
      </c>
      <c r="C44" s="31" t="inlineStr">
        <is>
          <t>Particular à vista</t>
        </is>
      </c>
      <c r="D44" s="31" t="inlineStr"/>
      <c r="E44" s="31" t="inlineStr">
        <is>
          <t>Fechamento do dia</t>
        </is>
      </c>
      <c r="F44" s="31" t="inlineStr">
        <is>
          <t>Fechamento do dia · 4 atendimentos · pix</t>
        </is>
      </c>
      <c r="G44" s="36" t="n">
        <v>1460</v>
      </c>
      <c r="H44" s="32" t="inlineStr">
        <is>
          <t>Pix</t>
        </is>
      </c>
      <c r="I44" s="32" t="inlineStr">
        <is>
          <t>Sim</t>
        </is>
      </c>
      <c r="J44" s="35">
        <f>IF(A44="","",MONTH(A44))</f>
        <v>1</v>
      </c>
      <c r="K44" s="35">
        <f>IF(A44="","",YEAR(A44))</f>
        <v>2026</v>
      </c>
    </row>
    <row r="45">
      <c r="A45" s="39" t="n">
        <v>46042</v>
      </c>
      <c r="B45" s="32" t="inlineStr">
        <is>
          <t>Saída</t>
        </is>
      </c>
      <c r="C45" s="31" t="inlineStr">
        <is>
          <t>Impostos e taxas</t>
        </is>
      </c>
      <c r="D45" s="31" t="inlineStr"/>
      <c r="E45" s="31" t="inlineStr"/>
      <c r="F45" s="31" t="inlineStr">
        <is>
          <t>Guia de impostos do mês anterior (alíquota efetiva combinada com o contador)</t>
        </is>
      </c>
      <c r="G45" s="36" t="n">
        <v>3630</v>
      </c>
      <c r="H45" s="32" t="inlineStr">
        <is>
          <t>Boleto</t>
        </is>
      </c>
      <c r="I45" s="32" t="inlineStr">
        <is>
          <t>Sim</t>
        </is>
      </c>
      <c r="J45" s="35">
        <f>IF(A45="","",MONTH(A45))</f>
        <v>1</v>
      </c>
      <c r="K45" s="35">
        <f>IF(A45="","",YEAR(A45))</f>
        <v>2026</v>
      </c>
    </row>
    <row r="46">
      <c r="A46" s="39" t="n">
        <v>46042</v>
      </c>
      <c r="B46" s="32" t="inlineStr">
        <is>
          <t>Saída</t>
        </is>
      </c>
      <c r="C46" s="31" t="inlineStr">
        <is>
          <t>Marketing e site</t>
        </is>
      </c>
      <c r="D46" s="31" t="inlineStr"/>
      <c r="E46" s="31" t="inlineStr"/>
      <c r="F46" s="31" t="inlineStr">
        <is>
          <t>Marketing e site</t>
        </is>
      </c>
      <c r="G46" s="36" t="n">
        <v>650</v>
      </c>
      <c r="H46" s="32" t="inlineStr">
        <is>
          <t>Cartão de crédito</t>
        </is>
      </c>
      <c r="I46" s="32" t="inlineStr">
        <is>
          <t>Sim</t>
        </is>
      </c>
      <c r="J46" s="35">
        <f>IF(A46="","",MONTH(A46))</f>
        <v>1</v>
      </c>
      <c r="K46" s="35">
        <f>IF(A46="","",YEAR(A46))</f>
        <v>2026</v>
      </c>
    </row>
    <row r="47">
      <c r="A47" s="39" t="n">
        <v>46043</v>
      </c>
      <c r="B47" s="32" t="inlineStr">
        <is>
          <t>Entrada</t>
        </is>
      </c>
      <c r="C47" s="31" t="inlineStr">
        <is>
          <t>Convênio · MediPlan</t>
        </is>
      </c>
      <c r="D47" s="31" t="inlineStr">
        <is>
          <t>MediPlan</t>
        </is>
      </c>
      <c r="E47" s="31" t="inlineStr">
        <is>
          <t>Lote nov/2025</t>
        </is>
      </c>
      <c r="F47" s="31" t="inlineStr">
        <is>
          <t>Pagamento do lote de nov/2025 (33 guias. glosa de R$ 80)</t>
        </is>
      </c>
      <c r="G47" s="36" t="n">
        <v>2660</v>
      </c>
      <c r="H47" s="32" t="inlineStr">
        <is>
          <t>Transferência</t>
        </is>
      </c>
      <c r="I47" s="32" t="inlineStr">
        <is>
          <t>Sim</t>
        </is>
      </c>
      <c r="J47" s="35">
        <f>IF(A47="","",MONTH(A47))</f>
        <v>1</v>
      </c>
      <c r="K47" s="35">
        <f>IF(A47="","",YEAR(A47))</f>
        <v>2026</v>
      </c>
    </row>
    <row r="48">
      <c r="A48" s="39" t="n">
        <v>46043</v>
      </c>
      <c r="B48" s="32" t="inlineStr">
        <is>
          <t>Entrada</t>
        </is>
      </c>
      <c r="C48" s="31" t="inlineStr">
        <is>
          <t>Particular à vista</t>
        </is>
      </c>
      <c r="D48" s="31" t="inlineStr"/>
      <c r="E48" s="31" t="inlineStr">
        <is>
          <t>Fechamento do dia</t>
        </is>
      </c>
      <c r="F48" s="31" t="inlineStr">
        <is>
          <t>Fechamento do dia · 1 atendimento · cartão de crédito</t>
        </is>
      </c>
      <c r="G48" s="36" t="n">
        <v>380</v>
      </c>
      <c r="H48" s="32" t="inlineStr">
        <is>
          <t>Cartão de crédito</t>
        </is>
      </c>
      <c r="I48" s="32" t="inlineStr">
        <is>
          <t>Sim</t>
        </is>
      </c>
      <c r="J48" s="35">
        <f>IF(A48="","",MONTH(A48))</f>
        <v>1</v>
      </c>
      <c r="K48" s="35">
        <f>IF(A48="","",YEAR(A48))</f>
        <v>2026</v>
      </c>
    </row>
    <row r="49">
      <c r="A49" s="39" t="n">
        <v>46043</v>
      </c>
      <c r="B49" s="32" t="inlineStr">
        <is>
          <t>Entrada</t>
        </is>
      </c>
      <c r="C49" s="31" t="inlineStr">
        <is>
          <t>Particular à vista</t>
        </is>
      </c>
      <c r="D49" s="31" t="inlineStr"/>
      <c r="E49" s="31" t="inlineStr">
        <is>
          <t>Fechamento do dia</t>
        </is>
      </c>
      <c r="F49" s="31" t="inlineStr">
        <is>
          <t>Fechamento do dia · 1 atendimento · pix</t>
        </is>
      </c>
      <c r="G49" s="36" t="n">
        <v>380</v>
      </c>
      <c r="H49" s="32" t="inlineStr">
        <is>
          <t>Pix</t>
        </is>
      </c>
      <c r="I49" s="32" t="inlineStr">
        <is>
          <t>Sim</t>
        </is>
      </c>
      <c r="J49" s="35">
        <f>IF(A49="","",MONTH(A49))</f>
        <v>1</v>
      </c>
      <c r="K49" s="35">
        <f>IF(A49="","",YEAR(A49))</f>
        <v>2026</v>
      </c>
    </row>
    <row r="50">
      <c r="A50" s="39" t="n">
        <v>46044</v>
      </c>
      <c r="B50" s="32" t="inlineStr">
        <is>
          <t>Entrada</t>
        </is>
      </c>
      <c r="C50" s="31" t="inlineStr">
        <is>
          <t>Particular à vista</t>
        </is>
      </c>
      <c r="D50" s="31" t="inlineStr"/>
      <c r="E50" s="31" t="inlineStr">
        <is>
          <t>Fechamento do dia</t>
        </is>
      </c>
      <c r="F50" s="31" t="inlineStr">
        <is>
          <t>Fechamento do dia · 1 atendimento · cartão de débito</t>
        </is>
      </c>
      <c r="G50" s="36" t="n">
        <v>380</v>
      </c>
      <c r="H50" s="32" t="inlineStr">
        <is>
          <t>Cartão de débito</t>
        </is>
      </c>
      <c r="I50" s="32" t="inlineStr">
        <is>
          <t>Sim</t>
        </is>
      </c>
      <c r="J50" s="35">
        <f>IF(A50="","",MONTH(A50))</f>
        <v>1</v>
      </c>
      <c r="K50" s="35">
        <f>IF(A50="","",YEAR(A50))</f>
        <v>2026</v>
      </c>
    </row>
    <row r="51">
      <c r="A51" s="39" t="n">
        <v>46044</v>
      </c>
      <c r="B51" s="32" t="inlineStr">
        <is>
          <t>Entrada</t>
        </is>
      </c>
      <c r="C51" s="31" t="inlineStr">
        <is>
          <t>Particular à vista</t>
        </is>
      </c>
      <c r="D51" s="31" t="inlineStr"/>
      <c r="E51" s="31" t="inlineStr">
        <is>
          <t>Fechamento do dia</t>
        </is>
      </c>
      <c r="F51" s="31" t="inlineStr">
        <is>
          <t>Fechamento do dia · 2 atendimentos · pix</t>
        </is>
      </c>
      <c r="G51" s="36" t="n">
        <v>760</v>
      </c>
      <c r="H51" s="32" t="inlineStr">
        <is>
          <t>Pix</t>
        </is>
      </c>
      <c r="I51" s="32" t="inlineStr">
        <is>
          <t>Sim</t>
        </is>
      </c>
      <c r="J51" s="35">
        <f>IF(A51="","",MONTH(A51))</f>
        <v>1</v>
      </c>
      <c r="K51" s="35">
        <f>IF(A51="","",YEAR(A51))</f>
        <v>2026</v>
      </c>
    </row>
    <row r="52">
      <c r="A52" s="39" t="n">
        <v>46044</v>
      </c>
      <c r="B52" s="32" t="inlineStr">
        <is>
          <t>Saída</t>
        </is>
      </c>
      <c r="C52" s="31" t="inlineStr">
        <is>
          <t>Materiais e insumos de atendimento</t>
        </is>
      </c>
      <c r="D52" s="31" t="inlineStr"/>
      <c r="E52" s="31" t="inlineStr"/>
      <c r="F52" s="31" t="inlineStr">
        <is>
          <t>Reposição de descartáveis e papel para ECG</t>
        </is>
      </c>
      <c r="G52" s="36" t="n">
        <v>450</v>
      </c>
      <c r="H52" s="32" t="inlineStr">
        <is>
          <t>Cartão de crédito</t>
        </is>
      </c>
      <c r="I52" s="32" t="inlineStr">
        <is>
          <t>Sim</t>
        </is>
      </c>
      <c r="J52" s="35">
        <f>IF(A52="","",MONTH(A52))</f>
        <v>1</v>
      </c>
      <c r="K52" s="35">
        <f>IF(A52="","",YEAR(A52))</f>
        <v>2026</v>
      </c>
    </row>
    <row r="53">
      <c r="A53" s="39" t="n">
        <v>46045</v>
      </c>
      <c r="B53" s="32" t="inlineStr">
        <is>
          <t>Entrada</t>
        </is>
      </c>
      <c r="C53" s="31" t="inlineStr">
        <is>
          <t>Particular à vista</t>
        </is>
      </c>
      <c r="D53" s="31" t="inlineStr"/>
      <c r="E53" s="31" t="inlineStr">
        <is>
          <t>Fechamento do dia</t>
        </is>
      </c>
      <c r="F53" s="31" t="inlineStr">
        <is>
          <t>Fechamento do dia · 1 atendimento · cartão de crédito</t>
        </is>
      </c>
      <c r="G53" s="36" t="n">
        <v>380</v>
      </c>
      <c r="H53" s="32" t="inlineStr">
        <is>
          <t>Cartão de crédito</t>
        </is>
      </c>
      <c r="I53" s="32" t="inlineStr">
        <is>
          <t>Sim</t>
        </is>
      </c>
      <c r="J53" s="35">
        <f>IF(A53="","",MONTH(A53))</f>
        <v>1</v>
      </c>
      <c r="K53" s="35">
        <f>IF(A53="","",YEAR(A53))</f>
        <v>2026</v>
      </c>
    </row>
    <row r="54">
      <c r="A54" s="39" t="n">
        <v>46045</v>
      </c>
      <c r="B54" s="32" t="inlineStr">
        <is>
          <t>Entrada</t>
        </is>
      </c>
      <c r="C54" s="31" t="inlineStr">
        <is>
          <t>Particular à vista</t>
        </is>
      </c>
      <c r="D54" s="31" t="inlineStr"/>
      <c r="E54" s="31" t="inlineStr">
        <is>
          <t>Fechamento do dia</t>
        </is>
      </c>
      <c r="F54" s="31" t="inlineStr">
        <is>
          <t>Fechamento do dia · 1 atendimento · cartão de débito</t>
        </is>
      </c>
      <c r="G54" s="36" t="n">
        <v>130</v>
      </c>
      <c r="H54" s="32" t="inlineStr">
        <is>
          <t>Cartão de débito</t>
        </is>
      </c>
      <c r="I54" s="32" t="inlineStr">
        <is>
          <t>Sim</t>
        </is>
      </c>
      <c r="J54" s="35">
        <f>IF(A54="","",MONTH(A54))</f>
        <v>1</v>
      </c>
      <c r="K54" s="35">
        <f>IF(A54="","",YEAR(A54))</f>
        <v>2026</v>
      </c>
    </row>
    <row r="55">
      <c r="A55" s="39" t="n">
        <v>46045</v>
      </c>
      <c r="B55" s="32" t="inlineStr">
        <is>
          <t>Entrada</t>
        </is>
      </c>
      <c r="C55" s="31" t="inlineStr">
        <is>
          <t>Particular à vista</t>
        </is>
      </c>
      <c r="D55" s="31" t="inlineStr"/>
      <c r="E55" s="31" t="inlineStr">
        <is>
          <t>Fechamento do dia</t>
        </is>
      </c>
      <c r="F55" s="31" t="inlineStr">
        <is>
          <t>Fechamento do dia · 2 atendimentos · pix</t>
        </is>
      </c>
      <c r="G55" s="36" t="n">
        <v>830</v>
      </c>
      <c r="H55" s="32" t="inlineStr">
        <is>
          <t>Pix</t>
        </is>
      </c>
      <c r="I55" s="32" t="inlineStr">
        <is>
          <t>Sim</t>
        </is>
      </c>
      <c r="J55" s="35">
        <f>IF(A55="","",MONTH(A55))</f>
        <v>1</v>
      </c>
      <c r="K55" s="35">
        <f>IF(A55="","",YEAR(A55))</f>
        <v>2026</v>
      </c>
    </row>
    <row r="56">
      <c r="A56" s="39" t="n">
        <v>46048</v>
      </c>
      <c r="B56" s="32" t="inlineStr">
        <is>
          <t>Entrada</t>
        </is>
      </c>
      <c r="C56" s="31" t="inlineStr">
        <is>
          <t>Particular à vista</t>
        </is>
      </c>
      <c r="D56" s="31" t="inlineStr"/>
      <c r="E56" s="31" t="inlineStr">
        <is>
          <t>Fechamento do dia</t>
        </is>
      </c>
      <c r="F56" s="31" t="inlineStr">
        <is>
          <t>Fechamento do dia · 1 atendimento · cartão de débito</t>
        </is>
      </c>
      <c r="G56" s="36" t="n">
        <v>380</v>
      </c>
      <c r="H56" s="32" t="inlineStr">
        <is>
          <t>Cartão de débito</t>
        </is>
      </c>
      <c r="I56" s="32" t="inlineStr">
        <is>
          <t>Sim</t>
        </is>
      </c>
      <c r="J56" s="35">
        <f>IF(A56="","",MONTH(A56))</f>
        <v>1</v>
      </c>
      <c r="K56" s="35">
        <f>IF(A56="","",YEAR(A56))</f>
        <v>2026</v>
      </c>
    </row>
    <row r="57">
      <c r="A57" s="39" t="n">
        <v>46048</v>
      </c>
      <c r="B57" s="32" t="inlineStr">
        <is>
          <t>Entrada</t>
        </is>
      </c>
      <c r="C57" s="31" t="inlineStr">
        <is>
          <t>Particular à vista</t>
        </is>
      </c>
      <c r="D57" s="31" t="inlineStr"/>
      <c r="E57" s="31" t="inlineStr">
        <is>
          <t>Fechamento do dia</t>
        </is>
      </c>
      <c r="F57" s="31" t="inlineStr">
        <is>
          <t>Fechamento do dia · 2 atendimentos · cartão de crédito</t>
        </is>
      </c>
      <c r="G57" s="36" t="n">
        <v>830</v>
      </c>
      <c r="H57" s="32" t="inlineStr">
        <is>
          <t>Cartão de crédito</t>
        </is>
      </c>
      <c r="I57" s="32" t="inlineStr">
        <is>
          <t>Sim</t>
        </is>
      </c>
      <c r="J57" s="35">
        <f>IF(A57="","",MONTH(A57))</f>
        <v>1</v>
      </c>
      <c r="K57" s="35">
        <f>IF(A57="","",YEAR(A57))</f>
        <v>2026</v>
      </c>
    </row>
    <row r="58">
      <c r="A58" s="39" t="n">
        <v>46048</v>
      </c>
      <c r="B58" s="32" t="inlineStr">
        <is>
          <t>Entrada</t>
        </is>
      </c>
      <c r="C58" s="31" t="inlineStr">
        <is>
          <t>Particular à vista</t>
        </is>
      </c>
      <c r="D58" s="31" t="inlineStr"/>
      <c r="E58" s="31" t="inlineStr">
        <is>
          <t>Fechamento do dia</t>
        </is>
      </c>
      <c r="F58" s="31" t="inlineStr">
        <is>
          <t>Fechamento do dia · 2 atendimentos · pix</t>
        </is>
      </c>
      <c r="G58" s="36" t="n">
        <v>760</v>
      </c>
      <c r="H58" s="32" t="inlineStr">
        <is>
          <t>Pix</t>
        </is>
      </c>
      <c r="I58" s="32" t="inlineStr">
        <is>
          <t>Sim</t>
        </is>
      </c>
      <c r="J58" s="35">
        <f>IF(A58="","",MONTH(A58))</f>
        <v>1</v>
      </c>
      <c r="K58" s="35">
        <f>IF(A58="","",YEAR(A58))</f>
        <v>2026</v>
      </c>
    </row>
    <row r="59">
      <c r="A59" s="39" t="n">
        <v>46049</v>
      </c>
      <c r="B59" s="32" t="inlineStr">
        <is>
          <t>Entrada</t>
        </is>
      </c>
      <c r="C59" s="31" t="inlineStr">
        <is>
          <t>Particular à vista</t>
        </is>
      </c>
      <c r="D59" s="31" t="inlineStr"/>
      <c r="E59" s="31" t="inlineStr">
        <is>
          <t>Fechamento do dia</t>
        </is>
      </c>
      <c r="F59" s="31" t="inlineStr">
        <is>
          <t>Fechamento do dia · 1 atendimento · dinheiro</t>
        </is>
      </c>
      <c r="G59" s="36" t="n">
        <v>300</v>
      </c>
      <c r="H59" s="32" t="inlineStr">
        <is>
          <t>Dinheiro</t>
        </is>
      </c>
      <c r="I59" s="32" t="inlineStr">
        <is>
          <t>Sim</t>
        </is>
      </c>
      <c r="J59" s="35">
        <f>IF(A59="","",MONTH(A59))</f>
        <v>1</v>
      </c>
      <c r="K59" s="35">
        <f>IF(A59="","",YEAR(A59))</f>
        <v>2026</v>
      </c>
    </row>
    <row r="60">
      <c r="A60" s="39" t="n">
        <v>46049</v>
      </c>
      <c r="B60" s="32" t="inlineStr">
        <is>
          <t>Entrada</t>
        </is>
      </c>
      <c r="C60" s="31" t="inlineStr">
        <is>
          <t>Particular à vista</t>
        </is>
      </c>
      <c r="D60" s="31" t="inlineStr"/>
      <c r="E60" s="31" t="inlineStr">
        <is>
          <t>Fechamento do dia</t>
        </is>
      </c>
      <c r="F60" s="31" t="inlineStr">
        <is>
          <t>Fechamento do dia · 2 atendimentos · cartão de débito</t>
        </is>
      </c>
      <c r="G60" s="36" t="n">
        <v>530</v>
      </c>
      <c r="H60" s="32" t="inlineStr">
        <is>
          <t>Cartão de débito</t>
        </is>
      </c>
      <c r="I60" s="32" t="inlineStr">
        <is>
          <t>Sim</t>
        </is>
      </c>
      <c r="J60" s="35">
        <f>IF(A60="","",MONTH(A60))</f>
        <v>1</v>
      </c>
      <c r="K60" s="35">
        <f>IF(A60="","",YEAR(A60))</f>
        <v>2026</v>
      </c>
    </row>
    <row r="61">
      <c r="A61" s="39" t="n">
        <v>46050</v>
      </c>
      <c r="B61" s="32" t="inlineStr">
        <is>
          <t>Entrada</t>
        </is>
      </c>
      <c r="C61" s="31" t="inlineStr">
        <is>
          <t>Particular à vista</t>
        </is>
      </c>
      <c r="D61" s="31" t="inlineStr"/>
      <c r="E61" s="31" t="inlineStr">
        <is>
          <t>Fechamento do dia</t>
        </is>
      </c>
      <c r="F61" s="31" t="inlineStr">
        <is>
          <t>Fechamento do dia · 1 atendimento · cartão de crédito</t>
        </is>
      </c>
      <c r="G61" s="36" t="n">
        <v>380</v>
      </c>
      <c r="H61" s="32" t="inlineStr">
        <is>
          <t>Cartão de crédito</t>
        </is>
      </c>
      <c r="I61" s="32" t="inlineStr">
        <is>
          <t>Sim</t>
        </is>
      </c>
      <c r="J61" s="35">
        <f>IF(A61="","",MONTH(A61))</f>
        <v>1</v>
      </c>
      <c r="K61" s="35">
        <f>IF(A61="","",YEAR(A61))</f>
        <v>2026</v>
      </c>
    </row>
    <row r="62">
      <c r="A62" s="39" t="n">
        <v>46050</v>
      </c>
      <c r="B62" s="32" t="inlineStr">
        <is>
          <t>Entrada</t>
        </is>
      </c>
      <c r="C62" s="31" t="inlineStr">
        <is>
          <t>Particular à vista</t>
        </is>
      </c>
      <c r="D62" s="31" t="inlineStr"/>
      <c r="E62" s="31" t="inlineStr">
        <is>
          <t>Fechamento do dia</t>
        </is>
      </c>
      <c r="F62" s="31" t="inlineStr">
        <is>
          <t>Fechamento do dia · 1 atendimento · pix</t>
        </is>
      </c>
      <c r="G62" s="36" t="n">
        <v>380</v>
      </c>
      <c r="H62" s="32" t="inlineStr">
        <is>
          <t>Pix</t>
        </is>
      </c>
      <c r="I62" s="32" t="inlineStr">
        <is>
          <t>Sim</t>
        </is>
      </c>
      <c r="J62" s="35">
        <f>IF(A62="","",MONTH(A62))</f>
        <v>1</v>
      </c>
      <c r="K62" s="35">
        <f>IF(A62="","",YEAR(A62))</f>
        <v>2026</v>
      </c>
    </row>
    <row r="63">
      <c r="A63" s="39" t="n">
        <v>46050</v>
      </c>
      <c r="B63" s="32" t="inlineStr">
        <is>
          <t>Saída</t>
        </is>
      </c>
      <c r="C63" s="31" t="inlineStr">
        <is>
          <t>Pró-labore dos sócios</t>
        </is>
      </c>
      <c r="D63" s="31" t="inlineStr"/>
      <c r="E63" s="31" t="inlineStr"/>
      <c r="F63" s="31" t="inlineStr">
        <is>
          <t>Pró-labore · Dr. Paulo Andrade</t>
        </is>
      </c>
      <c r="G63" s="36" t="n">
        <v>9000</v>
      </c>
      <c r="H63" s="32" t="inlineStr">
        <is>
          <t>Transferência</t>
        </is>
      </c>
      <c r="I63" s="32" t="inlineStr">
        <is>
          <t>Sim</t>
        </is>
      </c>
      <c r="J63" s="35">
        <f>IF(A63="","",MONTH(A63))</f>
        <v>1</v>
      </c>
      <c r="K63" s="35">
        <f>IF(A63="","",YEAR(A63))</f>
        <v>2026</v>
      </c>
    </row>
    <row r="64">
      <c r="A64" s="39" t="n">
        <v>46050</v>
      </c>
      <c r="B64" s="32" t="inlineStr">
        <is>
          <t>Saída</t>
        </is>
      </c>
      <c r="C64" s="31" t="inlineStr">
        <is>
          <t>Pró-labore dos sócios</t>
        </is>
      </c>
      <c r="D64" s="31" t="inlineStr"/>
      <c r="E64" s="31" t="inlineStr"/>
      <c r="F64" s="31" t="inlineStr">
        <is>
          <t>Pró-labore · Dra. Carolina Mendes</t>
        </is>
      </c>
      <c r="G64" s="36" t="n">
        <v>9000</v>
      </c>
      <c r="H64" s="32" t="inlineStr">
        <is>
          <t>Transferência</t>
        </is>
      </c>
      <c r="I64" s="32" t="inlineStr">
        <is>
          <t>Sim</t>
        </is>
      </c>
      <c r="J64" s="35">
        <f>IF(A64="","",MONTH(A64))</f>
        <v>1</v>
      </c>
      <c r="K64" s="35">
        <f>IF(A64="","",YEAR(A64))</f>
        <v>2026</v>
      </c>
    </row>
    <row r="65">
      <c r="A65" s="39" t="n">
        <v>46051</v>
      </c>
      <c r="B65" s="32" t="inlineStr">
        <is>
          <t>Entrada</t>
        </is>
      </c>
      <c r="C65" s="31" t="inlineStr">
        <is>
          <t>Particular à vista</t>
        </is>
      </c>
      <c r="D65" s="31" t="inlineStr"/>
      <c r="E65" s="31" t="inlineStr">
        <is>
          <t>Fechamento do dia</t>
        </is>
      </c>
      <c r="F65" s="31" t="inlineStr">
        <is>
          <t>Fechamento do dia · 1 atendimento · cartão de crédito</t>
        </is>
      </c>
      <c r="G65" s="36" t="n">
        <v>400</v>
      </c>
      <c r="H65" s="32" t="inlineStr">
        <is>
          <t>Cartão de crédito</t>
        </is>
      </c>
      <c r="I65" s="32" t="inlineStr">
        <is>
          <t>Sim</t>
        </is>
      </c>
      <c r="J65" s="35">
        <f>IF(A65="","",MONTH(A65))</f>
        <v>1</v>
      </c>
      <c r="K65" s="35">
        <f>IF(A65="","",YEAR(A65))</f>
        <v>2026</v>
      </c>
    </row>
    <row r="66">
      <c r="A66" s="39" t="n">
        <v>46051</v>
      </c>
      <c r="B66" s="32" t="inlineStr">
        <is>
          <t>Entrada</t>
        </is>
      </c>
      <c r="C66" s="31" t="inlineStr">
        <is>
          <t>Particular à vista</t>
        </is>
      </c>
      <c r="D66" s="31" t="inlineStr"/>
      <c r="E66" s="31" t="inlineStr">
        <is>
          <t>Fechamento do dia</t>
        </is>
      </c>
      <c r="F66" s="31" t="inlineStr">
        <is>
          <t>Fechamento do dia · 1 atendimento · cartão de débito</t>
        </is>
      </c>
      <c r="G66" s="36" t="n">
        <v>380</v>
      </c>
      <c r="H66" s="32" t="inlineStr">
        <is>
          <t>Cartão de débito</t>
        </is>
      </c>
      <c r="I66" s="32" t="inlineStr">
        <is>
          <t>Sim</t>
        </is>
      </c>
      <c r="J66" s="35">
        <f>IF(A66="","",MONTH(A66))</f>
        <v>1</v>
      </c>
      <c r="K66" s="35">
        <f>IF(A66="","",YEAR(A66))</f>
        <v>2026</v>
      </c>
    </row>
    <row r="67">
      <c r="A67" s="39" t="n">
        <v>46051</v>
      </c>
      <c r="B67" s="32" t="inlineStr">
        <is>
          <t>Entrada</t>
        </is>
      </c>
      <c r="C67" s="31" t="inlineStr">
        <is>
          <t>Particular à vista</t>
        </is>
      </c>
      <c r="D67" s="31" t="inlineStr"/>
      <c r="E67" s="31" t="inlineStr">
        <is>
          <t>Fechamento do dia</t>
        </is>
      </c>
      <c r="F67" s="31" t="inlineStr">
        <is>
          <t>Fechamento do dia · 3 atendimentos · pix</t>
        </is>
      </c>
      <c r="G67" s="36" t="n">
        <v>1230</v>
      </c>
      <c r="H67" s="32" t="inlineStr">
        <is>
          <t>Pix</t>
        </is>
      </c>
      <c r="I67" s="32" t="inlineStr">
        <is>
          <t>Sim</t>
        </is>
      </c>
      <c r="J67" s="35">
        <f>IF(A67="","",MONTH(A67))</f>
        <v>1</v>
      </c>
      <c r="K67" s="35">
        <f>IF(A67="","",YEAR(A67))</f>
        <v>2026</v>
      </c>
    </row>
    <row r="68">
      <c r="A68" s="39" t="n">
        <v>46053</v>
      </c>
      <c r="B68" s="32" t="inlineStr">
        <is>
          <t>Saída</t>
        </is>
      </c>
      <c r="C68" s="31" t="inlineStr">
        <is>
          <t>Taxas de cartão</t>
        </is>
      </c>
      <c r="D68" s="31" t="inlineStr"/>
      <c r="E68" s="31" t="inlineStr"/>
      <c r="F68" s="31" t="inlineStr">
        <is>
          <t>Taxas da operadora de cartão · vendas de jan</t>
        </is>
      </c>
      <c r="G68" s="36" t="n">
        <v>350.56</v>
      </c>
      <c r="H68" s="32" t="inlineStr">
        <is>
          <t>Transferência</t>
        </is>
      </c>
      <c r="I68" s="32" t="inlineStr">
        <is>
          <t>Sim</t>
        </is>
      </c>
      <c r="J68" s="35">
        <f>IF(A68="","",MONTH(A68))</f>
        <v>1</v>
      </c>
      <c r="K68" s="35">
        <f>IF(A68="","",YEAR(A68))</f>
        <v>2026</v>
      </c>
    </row>
    <row r="69">
      <c r="A69" s="39" t="n">
        <v>46055</v>
      </c>
      <c r="B69" s="32" t="inlineStr">
        <is>
          <t>Entrada</t>
        </is>
      </c>
      <c r="C69" s="31" t="inlineStr">
        <is>
          <t>Particular à vista</t>
        </is>
      </c>
      <c r="D69" s="31" t="inlineStr"/>
      <c r="E69" s="31" t="inlineStr">
        <is>
          <t>Fechamento do dia</t>
        </is>
      </c>
      <c r="F69" s="31" t="inlineStr">
        <is>
          <t>Fechamento do dia · 1 atendimento · cartão de crédito</t>
        </is>
      </c>
      <c r="G69" s="36" t="n">
        <v>380</v>
      </c>
      <c r="H69" s="32" t="inlineStr">
        <is>
          <t>Cartão de crédito</t>
        </is>
      </c>
      <c r="I69" s="32" t="inlineStr">
        <is>
          <t>Sim</t>
        </is>
      </c>
      <c r="J69" s="35">
        <f>IF(A69="","",MONTH(A69))</f>
        <v>2</v>
      </c>
      <c r="K69" s="35">
        <f>IF(A69="","",YEAR(A69))</f>
        <v>2026</v>
      </c>
    </row>
    <row r="70">
      <c r="A70" s="39" t="n">
        <v>46055</v>
      </c>
      <c r="B70" s="32" t="inlineStr">
        <is>
          <t>Entrada</t>
        </is>
      </c>
      <c r="C70" s="31" t="inlineStr">
        <is>
          <t>Particular à vista</t>
        </is>
      </c>
      <c r="D70" s="31" t="inlineStr"/>
      <c r="E70" s="31" t="inlineStr">
        <is>
          <t>Fechamento do dia</t>
        </is>
      </c>
      <c r="F70" s="31" t="inlineStr">
        <is>
          <t>Fechamento do dia · 1 atendimento · cartão de débito</t>
        </is>
      </c>
      <c r="G70" s="36" t="n">
        <v>380</v>
      </c>
      <c r="H70" s="32" t="inlineStr">
        <is>
          <t>Cartão de débito</t>
        </is>
      </c>
      <c r="I70" s="32" t="inlineStr">
        <is>
          <t>Sim</t>
        </is>
      </c>
      <c r="J70" s="35">
        <f>IF(A70="","",MONTH(A70))</f>
        <v>2</v>
      </c>
      <c r="K70" s="35">
        <f>IF(A70="","",YEAR(A70))</f>
        <v>2026</v>
      </c>
    </row>
    <row r="71">
      <c r="A71" s="39" t="n">
        <v>46056</v>
      </c>
      <c r="B71" s="32" t="inlineStr">
        <is>
          <t>Entrada</t>
        </is>
      </c>
      <c r="C71" s="31" t="inlineStr">
        <is>
          <t>Convênio · Vida Care</t>
        </is>
      </c>
      <c r="D71" s="31" t="inlineStr">
        <is>
          <t>Vida Care</t>
        </is>
      </c>
      <c r="E71" s="31" t="inlineStr">
        <is>
          <t>Lote nov/2025</t>
        </is>
      </c>
      <c r="F71" s="31" t="inlineStr">
        <is>
          <t>Pagamento do lote de nov/2025 (20 guias. glosa de R$ 80)</t>
        </is>
      </c>
      <c r="G71" s="36" t="n">
        <v>1500</v>
      </c>
      <c r="H71" s="32" t="inlineStr">
        <is>
          <t>Transferência</t>
        </is>
      </c>
      <c r="I71" s="32" t="inlineStr">
        <is>
          <t>Sim</t>
        </is>
      </c>
      <c r="J71" s="35">
        <f>IF(A71="","",MONTH(A71))</f>
        <v>2</v>
      </c>
      <c r="K71" s="35">
        <f>IF(A71="","",YEAR(A71))</f>
        <v>2026</v>
      </c>
    </row>
    <row r="72">
      <c r="A72" s="39" t="n">
        <v>46056</v>
      </c>
      <c r="B72" s="32" t="inlineStr">
        <is>
          <t>Entrada</t>
        </is>
      </c>
      <c r="C72" s="31" t="inlineStr">
        <is>
          <t>Particular à vista</t>
        </is>
      </c>
      <c r="D72" s="31" t="inlineStr"/>
      <c r="E72" s="31" t="inlineStr">
        <is>
          <t>Fechamento do dia</t>
        </is>
      </c>
      <c r="F72" s="31" t="inlineStr">
        <is>
          <t>Fechamento do dia · 1 atendimento · pix</t>
        </is>
      </c>
      <c r="G72" s="36" t="n">
        <v>400</v>
      </c>
      <c r="H72" s="32" t="inlineStr">
        <is>
          <t>Pix</t>
        </is>
      </c>
      <c r="I72" s="32" t="inlineStr">
        <is>
          <t>Sim</t>
        </is>
      </c>
      <c r="J72" s="35">
        <f>IF(A72="","",MONTH(A72))</f>
        <v>2</v>
      </c>
      <c r="K72" s="35">
        <f>IF(A72="","",YEAR(A72))</f>
        <v>2026</v>
      </c>
    </row>
    <row r="73">
      <c r="A73" s="39" t="n">
        <v>46057</v>
      </c>
      <c r="B73" s="32" t="inlineStr">
        <is>
          <t>Entrada</t>
        </is>
      </c>
      <c r="C73" s="31" t="inlineStr">
        <is>
          <t>Convênio · Saúde Total</t>
        </is>
      </c>
      <c r="D73" s="31" t="inlineStr">
        <is>
          <t>Saúde Total</t>
        </is>
      </c>
      <c r="E73" s="31" t="inlineStr">
        <is>
          <t>Lote dez/2025</t>
        </is>
      </c>
      <c r="F73" s="31" t="inlineStr">
        <is>
          <t>Pagamento do lote de dez/2025 (38 guias. glosa de R$ 140)</t>
        </is>
      </c>
      <c r="G73" s="36" t="n">
        <v>3420</v>
      </c>
      <c r="H73" s="32" t="inlineStr">
        <is>
          <t>Transferência</t>
        </is>
      </c>
      <c r="I73" s="32" t="inlineStr">
        <is>
          <t>Sim</t>
        </is>
      </c>
      <c r="J73" s="35">
        <f>IF(A73="","",MONTH(A73))</f>
        <v>2</v>
      </c>
      <c r="K73" s="35">
        <f>IF(A73="","",YEAR(A73))</f>
        <v>2026</v>
      </c>
    </row>
    <row r="74">
      <c r="A74" s="39" t="n">
        <v>46058</v>
      </c>
      <c r="B74" s="32" t="inlineStr">
        <is>
          <t>Entrada</t>
        </is>
      </c>
      <c r="C74" s="31" t="inlineStr">
        <is>
          <t>Particular à vista</t>
        </is>
      </c>
      <c r="D74" s="31" t="inlineStr"/>
      <c r="E74" s="31" t="inlineStr">
        <is>
          <t>Fechamento do dia</t>
        </is>
      </c>
      <c r="F74" s="31" t="inlineStr">
        <is>
          <t>Fechamento do dia · 1 atendimento · dinheiro</t>
        </is>
      </c>
      <c r="G74" s="36" t="n">
        <v>400</v>
      </c>
      <c r="H74" s="32" t="inlineStr">
        <is>
          <t>Dinheiro</t>
        </is>
      </c>
      <c r="I74" s="32" t="inlineStr">
        <is>
          <t>Sim</t>
        </is>
      </c>
      <c r="J74" s="35">
        <f>IF(A74="","",MONTH(A74))</f>
        <v>2</v>
      </c>
      <c r="K74" s="35">
        <f>IF(A74="","",YEAR(A74))</f>
        <v>2026</v>
      </c>
    </row>
    <row r="75">
      <c r="A75" s="39" t="n">
        <v>46058</v>
      </c>
      <c r="B75" s="32" t="inlineStr">
        <is>
          <t>Entrada</t>
        </is>
      </c>
      <c r="C75" s="31" t="inlineStr">
        <is>
          <t>Particular à vista</t>
        </is>
      </c>
      <c r="D75" s="31" t="inlineStr"/>
      <c r="E75" s="31" t="inlineStr">
        <is>
          <t>Fechamento do dia</t>
        </is>
      </c>
      <c r="F75" s="31" t="inlineStr">
        <is>
          <t>Fechamento do dia · 1 atendimento · pix</t>
        </is>
      </c>
      <c r="G75" s="36" t="n">
        <v>400</v>
      </c>
      <c r="H75" s="32" t="inlineStr">
        <is>
          <t>Pix</t>
        </is>
      </c>
      <c r="I75" s="32" t="inlineStr">
        <is>
          <t>Sim</t>
        </is>
      </c>
      <c r="J75" s="35">
        <f>IF(A75="","",MONTH(A75))</f>
        <v>2</v>
      </c>
      <c r="K75" s="35">
        <f>IF(A75="","",YEAR(A75))</f>
        <v>2026</v>
      </c>
    </row>
    <row r="76">
      <c r="A76" s="39" t="n">
        <v>46058</v>
      </c>
      <c r="B76" s="32" t="inlineStr">
        <is>
          <t>Entrada</t>
        </is>
      </c>
      <c r="C76" s="31" t="inlineStr">
        <is>
          <t>Particular à vista</t>
        </is>
      </c>
      <c r="D76" s="31" t="inlineStr"/>
      <c r="E76" s="31" t="inlineStr">
        <is>
          <t>Fechamento do dia</t>
        </is>
      </c>
      <c r="F76" s="31" t="inlineStr">
        <is>
          <t>Fechamento do dia · 3 atendimentos · cartão de crédito</t>
        </is>
      </c>
      <c r="G76" s="36" t="n">
        <v>1060</v>
      </c>
      <c r="H76" s="32" t="inlineStr">
        <is>
          <t>Cartão de crédito</t>
        </is>
      </c>
      <c r="I76" s="32" t="inlineStr">
        <is>
          <t>Sim</t>
        </is>
      </c>
      <c r="J76" s="35">
        <f>IF(A76="","",MONTH(A76))</f>
        <v>2</v>
      </c>
      <c r="K76" s="35">
        <f>IF(A76="","",YEAR(A76))</f>
        <v>2026</v>
      </c>
    </row>
    <row r="77">
      <c r="A77" s="39" t="n">
        <v>46058</v>
      </c>
      <c r="B77" s="32" t="inlineStr">
        <is>
          <t>Saída</t>
        </is>
      </c>
      <c r="C77" s="31" t="inlineStr">
        <is>
          <t>Aluguel e condomínio</t>
        </is>
      </c>
      <c r="D77" s="31" t="inlineStr"/>
      <c r="E77" s="31" t="inlineStr"/>
      <c r="F77" s="31" t="inlineStr">
        <is>
          <t>Aluguel e condomínio da clínica</t>
        </is>
      </c>
      <c r="G77" s="36" t="n">
        <v>3900</v>
      </c>
      <c r="H77" s="32" t="inlineStr">
        <is>
          <t>Boleto</t>
        </is>
      </c>
      <c r="I77" s="32" t="inlineStr">
        <is>
          <t>Sim</t>
        </is>
      </c>
      <c r="J77" s="35">
        <f>IF(A77="","",MONTH(A77))</f>
        <v>2</v>
      </c>
      <c r="K77" s="35">
        <f>IF(A77="","",YEAR(A77))</f>
        <v>2026</v>
      </c>
    </row>
    <row r="78">
      <c r="A78" s="39" t="n">
        <v>46058</v>
      </c>
      <c r="B78" s="32" t="inlineStr">
        <is>
          <t>Saída</t>
        </is>
      </c>
      <c r="C78" s="31" t="inlineStr">
        <is>
          <t>Recepção (salário e encargos)</t>
        </is>
      </c>
      <c r="D78" s="31" t="inlineStr"/>
      <c r="E78" s="31" t="inlineStr"/>
      <c r="F78" s="31" t="inlineStr">
        <is>
          <t>Salário e encargos · Bruna Carvalho</t>
        </is>
      </c>
      <c r="G78" s="36" t="n">
        <v>3100</v>
      </c>
      <c r="H78" s="32" t="inlineStr">
        <is>
          <t>Transferência</t>
        </is>
      </c>
      <c r="I78" s="32" t="inlineStr">
        <is>
          <t>Sim</t>
        </is>
      </c>
      <c r="J78" s="35">
        <f>IF(A78="","",MONTH(A78))</f>
        <v>2</v>
      </c>
      <c r="K78" s="35">
        <f>IF(A78="","",YEAR(A78))</f>
        <v>2026</v>
      </c>
    </row>
    <row r="79">
      <c r="A79" s="39" t="n">
        <v>46059</v>
      </c>
      <c r="B79" s="32" t="inlineStr">
        <is>
          <t>Entrada</t>
        </is>
      </c>
      <c r="C79" s="31" t="inlineStr">
        <is>
          <t>Convênio · Vida Care</t>
        </is>
      </c>
      <c r="D79" s="31" t="inlineStr">
        <is>
          <t>Vida Care</t>
        </is>
      </c>
      <c r="E79" s="31" t="inlineStr">
        <is>
          <t>Lote out/2025</t>
        </is>
      </c>
      <c r="F79" s="31" t="inlineStr">
        <is>
          <t>Recurso de glosa aceito · lote de out/2025</t>
        </is>
      </c>
      <c r="G79" s="36" t="n">
        <v>140</v>
      </c>
      <c r="H79" s="32" t="inlineStr">
        <is>
          <t>Transferência</t>
        </is>
      </c>
      <c r="I79" s="32" t="inlineStr">
        <is>
          <t>Sim</t>
        </is>
      </c>
      <c r="J79" s="35">
        <f>IF(A79="","",MONTH(A79))</f>
        <v>2</v>
      </c>
      <c r="K79" s="35">
        <f>IF(A79="","",YEAR(A79))</f>
        <v>2026</v>
      </c>
    </row>
    <row r="80">
      <c r="A80" s="39" t="n">
        <v>46059</v>
      </c>
      <c r="B80" s="32" t="inlineStr">
        <is>
          <t>Entrada</t>
        </is>
      </c>
      <c r="C80" s="31" t="inlineStr">
        <is>
          <t>Particular à vista</t>
        </is>
      </c>
      <c r="D80" s="31" t="inlineStr"/>
      <c r="E80" s="31" t="inlineStr">
        <is>
          <t>Fechamento do dia</t>
        </is>
      </c>
      <c r="F80" s="31" t="inlineStr">
        <is>
          <t>Fechamento do dia · 1 atendimento · cartão de crédito</t>
        </is>
      </c>
      <c r="G80" s="36" t="n">
        <v>350</v>
      </c>
      <c r="H80" s="32" t="inlineStr">
        <is>
          <t>Cartão de crédito</t>
        </is>
      </c>
      <c r="I80" s="32" t="inlineStr">
        <is>
          <t>Sim</t>
        </is>
      </c>
      <c r="J80" s="35">
        <f>IF(A80="","",MONTH(A80))</f>
        <v>2</v>
      </c>
      <c r="K80" s="35">
        <f>IF(A80="","",YEAR(A80))</f>
        <v>2026</v>
      </c>
    </row>
    <row r="81">
      <c r="A81" s="39" t="n">
        <v>46059</v>
      </c>
      <c r="B81" s="32" t="inlineStr">
        <is>
          <t>Saída</t>
        </is>
      </c>
      <c r="C81" s="31" t="inlineStr">
        <is>
          <t>Outras saídas</t>
        </is>
      </c>
      <c r="D81" s="31" t="inlineStr"/>
      <c r="E81" s="31" t="inlineStr"/>
      <c r="F81" s="31" t="inlineStr">
        <is>
          <t>Despesa pessoal · Dra. Carolina Mendes · plano de saúde da família (a acertar)</t>
        </is>
      </c>
      <c r="G81" s="36" t="n">
        <v>620</v>
      </c>
      <c r="H81" s="32" t="inlineStr">
        <is>
          <t>Boleto</t>
        </is>
      </c>
      <c r="I81" s="32" t="inlineStr">
        <is>
          <t>Sim</t>
        </is>
      </c>
      <c r="J81" s="35">
        <f>IF(A81="","",MONTH(A81))</f>
        <v>2</v>
      </c>
      <c r="K81" s="35">
        <f>IF(A81="","",YEAR(A81))</f>
        <v>2026</v>
      </c>
    </row>
    <row r="82">
      <c r="A82" s="39" t="n">
        <v>46061</v>
      </c>
      <c r="B82" s="32" t="inlineStr">
        <is>
          <t>Entrada</t>
        </is>
      </c>
      <c r="C82" s="31" t="inlineStr">
        <is>
          <t>Particular a prazo</t>
        </is>
      </c>
      <c r="D82" s="31" t="inlineStr">
        <is>
          <t>Fábio Gomes</t>
        </is>
      </c>
      <c r="E82" s="31" t="inlineStr">
        <is>
          <t>Parcela</t>
        </is>
      </c>
      <c r="F82" s="31" t="inlineStr">
        <is>
          <t>Avaliação endócrina de 06/01 · parcela 1/2</t>
        </is>
      </c>
      <c r="G82" s="36" t="n">
        <v>200</v>
      </c>
      <c r="H82" s="32" t="inlineStr">
        <is>
          <t>Pix</t>
        </is>
      </c>
      <c r="I82" s="32" t="inlineStr">
        <is>
          <t>Sim</t>
        </is>
      </c>
      <c r="J82" s="35">
        <f>IF(A82="","",MONTH(A82))</f>
        <v>2</v>
      </c>
      <c r="K82" s="35">
        <f>IF(A82="","",YEAR(A82))</f>
        <v>2026</v>
      </c>
    </row>
    <row r="83">
      <c r="A83" s="39" t="n">
        <v>46061</v>
      </c>
      <c r="B83" s="32" t="inlineStr">
        <is>
          <t>Saída</t>
        </is>
      </c>
      <c r="C83" s="31" t="inlineStr">
        <is>
          <t>Materiais e insumos de atendimento</t>
        </is>
      </c>
      <c r="D83" s="31" t="inlineStr"/>
      <c r="E83" s="31" t="inlineStr"/>
      <c r="F83" s="31" t="inlineStr">
        <is>
          <t>Eletrodos, manguitos e descartáveis (fornecedor)</t>
        </is>
      </c>
      <c r="G83" s="36" t="n">
        <v>490</v>
      </c>
      <c r="H83" s="32" t="inlineStr">
        <is>
          <t>Boleto</t>
        </is>
      </c>
      <c r="I83" s="32" t="inlineStr">
        <is>
          <t>Sim</t>
        </is>
      </c>
      <c r="J83" s="35">
        <f>IF(A83="","",MONTH(A83))</f>
        <v>2</v>
      </c>
      <c r="K83" s="35">
        <f>IF(A83="","",YEAR(A83))</f>
        <v>2026</v>
      </c>
    </row>
    <row r="84">
      <c r="A84" s="39" t="n">
        <v>46061</v>
      </c>
      <c r="B84" s="32" t="inlineStr">
        <is>
          <t>Saída</t>
        </is>
      </c>
      <c r="C84" s="31" t="inlineStr">
        <is>
          <t>Sistema de agenda e assinaturas</t>
        </is>
      </c>
      <c r="D84" s="31" t="inlineStr"/>
      <c r="E84" s="31" t="inlineStr"/>
      <c r="F84" s="31" t="inlineStr">
        <is>
          <t>Sistema de agenda e assinaturas</t>
        </is>
      </c>
      <c r="G84" s="36" t="n">
        <v>300</v>
      </c>
      <c r="H84" s="32" t="inlineStr">
        <is>
          <t>Cartão de crédito</t>
        </is>
      </c>
      <c r="I84" s="32" t="inlineStr">
        <is>
          <t>Sim</t>
        </is>
      </c>
      <c r="J84" s="35">
        <f>IF(A84="","",MONTH(A84))</f>
        <v>2</v>
      </c>
      <c r="K84" s="35">
        <f>IF(A84="","",YEAR(A84))</f>
        <v>2026</v>
      </c>
    </row>
    <row r="85">
      <c r="A85" s="39" t="n">
        <v>46062</v>
      </c>
      <c r="B85" s="32" t="inlineStr">
        <is>
          <t>Entrada</t>
        </is>
      </c>
      <c r="C85" s="31" t="inlineStr">
        <is>
          <t>Particular à vista</t>
        </is>
      </c>
      <c r="D85" s="31" t="inlineStr"/>
      <c r="E85" s="31" t="inlineStr">
        <is>
          <t>Fechamento do dia</t>
        </is>
      </c>
      <c r="F85" s="31" t="inlineStr">
        <is>
          <t>Fechamento do dia · 1 atendimento · cartão de crédito</t>
        </is>
      </c>
      <c r="G85" s="36" t="n">
        <v>380</v>
      </c>
      <c r="H85" s="32" t="inlineStr">
        <is>
          <t>Cartão de crédito</t>
        </is>
      </c>
      <c r="I85" s="32" t="inlineStr">
        <is>
          <t>Sim</t>
        </is>
      </c>
      <c r="J85" s="35">
        <f>IF(A85="","",MONTH(A85))</f>
        <v>2</v>
      </c>
      <c r="K85" s="35">
        <f>IF(A85="","",YEAR(A85))</f>
        <v>2026</v>
      </c>
    </row>
    <row r="86">
      <c r="A86" s="39" t="n">
        <v>46062</v>
      </c>
      <c r="B86" s="32" t="inlineStr">
        <is>
          <t>Entrada</t>
        </is>
      </c>
      <c r="C86" s="31" t="inlineStr">
        <is>
          <t>Particular à vista</t>
        </is>
      </c>
      <c r="D86" s="31" t="inlineStr"/>
      <c r="E86" s="31" t="inlineStr">
        <is>
          <t>Fechamento do dia</t>
        </is>
      </c>
      <c r="F86" s="31" t="inlineStr">
        <is>
          <t>Fechamento do dia · 2 atendimentos · pix</t>
        </is>
      </c>
      <c r="G86" s="36" t="n">
        <v>510</v>
      </c>
      <c r="H86" s="32" t="inlineStr">
        <is>
          <t>Pix</t>
        </is>
      </c>
      <c r="I86" s="32" t="inlineStr">
        <is>
          <t>Sim</t>
        </is>
      </c>
      <c r="J86" s="35">
        <f>IF(A86="","",MONTH(A86))</f>
        <v>2</v>
      </c>
      <c r="K86" s="35">
        <f>IF(A86="","",YEAR(A86))</f>
        <v>2026</v>
      </c>
    </row>
    <row r="87">
      <c r="A87" s="39" t="n">
        <v>46063</v>
      </c>
      <c r="B87" s="32" t="inlineStr">
        <is>
          <t>Entrada</t>
        </is>
      </c>
      <c r="C87" s="31" t="inlineStr">
        <is>
          <t>Particular a prazo</t>
        </is>
      </c>
      <c r="D87" s="31" t="inlineStr">
        <is>
          <t>Larissa Costa</t>
        </is>
      </c>
      <c r="E87" s="31" t="inlineStr">
        <is>
          <t>Parcela</t>
        </is>
      </c>
      <c r="F87" s="31" t="inlineStr">
        <is>
          <t>Consulta de 08/01 · parcela 1/2</t>
        </is>
      </c>
      <c r="G87" s="36" t="n">
        <v>190</v>
      </c>
      <c r="H87" s="32" t="inlineStr">
        <is>
          <t>Pix</t>
        </is>
      </c>
      <c r="I87" s="32" t="inlineStr">
        <is>
          <t>Sim</t>
        </is>
      </c>
      <c r="J87" s="35">
        <f>IF(A87="","",MONTH(A87))</f>
        <v>2</v>
      </c>
      <c r="K87" s="35">
        <f>IF(A87="","",YEAR(A87))</f>
        <v>2026</v>
      </c>
    </row>
    <row r="88">
      <c r="A88" s="39" t="n">
        <v>46063</v>
      </c>
      <c r="B88" s="32" t="inlineStr">
        <is>
          <t>Entrada</t>
        </is>
      </c>
      <c r="C88" s="31" t="inlineStr">
        <is>
          <t>Particular à vista</t>
        </is>
      </c>
      <c r="D88" s="31" t="inlineStr"/>
      <c r="E88" s="31" t="inlineStr">
        <is>
          <t>Fechamento do dia</t>
        </is>
      </c>
      <c r="F88" s="31" t="inlineStr">
        <is>
          <t>Fechamento do dia · 1 atendimento · cartão de débito</t>
        </is>
      </c>
      <c r="G88" s="36" t="n">
        <v>380</v>
      </c>
      <c r="H88" s="32" t="inlineStr">
        <is>
          <t>Cartão de débito</t>
        </is>
      </c>
      <c r="I88" s="32" t="inlineStr">
        <is>
          <t>Sim</t>
        </is>
      </c>
      <c r="J88" s="35">
        <f>IF(A88="","",MONTH(A88))</f>
        <v>2</v>
      </c>
      <c r="K88" s="35">
        <f>IF(A88="","",YEAR(A88))</f>
        <v>2026</v>
      </c>
    </row>
    <row r="89">
      <c r="A89" s="39" t="n">
        <v>46063</v>
      </c>
      <c r="B89" s="32" t="inlineStr">
        <is>
          <t>Entrada</t>
        </is>
      </c>
      <c r="C89" s="31" t="inlineStr">
        <is>
          <t>Particular à vista</t>
        </is>
      </c>
      <c r="D89" s="31" t="inlineStr"/>
      <c r="E89" s="31" t="inlineStr">
        <is>
          <t>Fechamento do dia</t>
        </is>
      </c>
      <c r="F89" s="31" t="inlineStr">
        <is>
          <t>Fechamento do dia · 2 atendimentos · pix</t>
        </is>
      </c>
      <c r="G89" s="36" t="n">
        <v>780</v>
      </c>
      <c r="H89" s="32" t="inlineStr">
        <is>
          <t>Pix</t>
        </is>
      </c>
      <c r="I89" s="32" t="inlineStr">
        <is>
          <t>Sim</t>
        </is>
      </c>
      <c r="J89" s="35">
        <f>IF(A89="","",MONTH(A89))</f>
        <v>2</v>
      </c>
      <c r="K89" s="35">
        <f>IF(A89="","",YEAR(A89))</f>
        <v>2026</v>
      </c>
    </row>
    <row r="90">
      <c r="A90" s="39" t="n">
        <v>46063</v>
      </c>
      <c r="B90" s="32" t="inlineStr">
        <is>
          <t>Saída</t>
        </is>
      </c>
      <c r="C90" s="31" t="inlineStr">
        <is>
          <t>Contador</t>
        </is>
      </c>
      <c r="D90" s="31" t="inlineStr"/>
      <c r="E90" s="31" t="inlineStr"/>
      <c r="F90" s="31" t="inlineStr">
        <is>
          <t>Honorários do contador</t>
        </is>
      </c>
      <c r="G90" s="36" t="n">
        <v>600</v>
      </c>
      <c r="H90" s="32" t="inlineStr">
        <is>
          <t>Boleto</t>
        </is>
      </c>
      <c r="I90" s="32" t="inlineStr">
        <is>
          <t>Sim</t>
        </is>
      </c>
      <c r="J90" s="35">
        <f>IF(A90="","",MONTH(A90))</f>
        <v>2</v>
      </c>
      <c r="K90" s="35">
        <f>IF(A90="","",YEAR(A90))</f>
        <v>2026</v>
      </c>
    </row>
    <row r="91">
      <c r="A91" s="39" t="n">
        <v>46063</v>
      </c>
      <c r="B91" s="32" t="inlineStr">
        <is>
          <t>Saída</t>
        </is>
      </c>
      <c r="C91" s="31" t="inlineStr">
        <is>
          <t>Repasse à médica parceira</t>
        </is>
      </c>
      <c r="D91" s="31" t="inlineStr">
        <is>
          <t>Dra. Renata Sousa</t>
        </is>
      </c>
      <c r="E91" s="31" t="inlineStr"/>
      <c r="F91" s="31" t="inlineStr">
        <is>
          <t>Repasse · Dra. Renata Sousa · 50 % da produção de jan</t>
        </is>
      </c>
      <c r="G91" s="36" t="n">
        <v>3725</v>
      </c>
      <c r="H91" s="32" t="inlineStr">
        <is>
          <t>Transferência</t>
        </is>
      </c>
      <c r="I91" s="32" t="inlineStr">
        <is>
          <t>Sim</t>
        </is>
      </c>
      <c r="J91" s="35">
        <f>IF(A91="","",MONTH(A91))</f>
        <v>2</v>
      </c>
      <c r="K91" s="35">
        <f>IF(A91="","",YEAR(A91))</f>
        <v>2026</v>
      </c>
    </row>
    <row r="92">
      <c r="A92" s="39" t="n">
        <v>46065</v>
      </c>
      <c r="B92" s="32" t="inlineStr">
        <is>
          <t>Entrada</t>
        </is>
      </c>
      <c r="C92" s="31" t="inlineStr">
        <is>
          <t>Particular a prazo</t>
        </is>
      </c>
      <c r="D92" s="31" t="inlineStr">
        <is>
          <t>Márcia Duarte</t>
        </is>
      </c>
      <c r="E92" s="31" t="inlineStr">
        <is>
          <t>Parcela</t>
        </is>
      </c>
      <c r="F92" s="31" t="inlineStr">
        <is>
          <t>Avaliação endócrina de 13/01 · parcela 1/2 (vencida)</t>
        </is>
      </c>
      <c r="G92" s="36" t="n">
        <v>200</v>
      </c>
      <c r="H92" s="32" t="inlineStr">
        <is>
          <t>Pix</t>
        </is>
      </c>
      <c r="I92" s="32" t="inlineStr">
        <is>
          <t>Não</t>
        </is>
      </c>
      <c r="J92" s="35">
        <f>IF(A92="","",MONTH(A92))</f>
        <v>2</v>
      </c>
      <c r="K92" s="35">
        <f>IF(A92="","",YEAR(A92))</f>
        <v>2026</v>
      </c>
    </row>
    <row r="93">
      <c r="A93" s="39" t="n">
        <v>46065</v>
      </c>
      <c r="B93" s="32" t="inlineStr">
        <is>
          <t>Entrada</t>
        </is>
      </c>
      <c r="C93" s="31" t="inlineStr">
        <is>
          <t>Particular a prazo</t>
        </is>
      </c>
      <c r="D93" s="31" t="inlineStr">
        <is>
          <t>Gisele Ribeiro</t>
        </is>
      </c>
      <c r="E93" s="31" t="inlineStr">
        <is>
          <t>Parcela</t>
        </is>
      </c>
      <c r="F93" s="31" t="inlineStr">
        <is>
          <t>Check-up cardiológico (consulta + ECG + teste ergométrico) de 12/01 · parcela 1/2</t>
        </is>
      </c>
      <c r="G93" s="36" t="n">
        <v>480</v>
      </c>
      <c r="H93" s="32" t="inlineStr">
        <is>
          <t>Pix</t>
        </is>
      </c>
      <c r="I93" s="32" t="inlineStr">
        <is>
          <t>Sim</t>
        </is>
      </c>
      <c r="J93" s="35">
        <f>IF(A93="","",MONTH(A93))</f>
        <v>2</v>
      </c>
      <c r="K93" s="35">
        <f>IF(A93="","",YEAR(A93))</f>
        <v>2026</v>
      </c>
    </row>
    <row r="94">
      <c r="A94" s="39" t="n">
        <v>46065</v>
      </c>
      <c r="B94" s="32" t="inlineStr">
        <is>
          <t>Entrada</t>
        </is>
      </c>
      <c r="C94" s="31" t="inlineStr">
        <is>
          <t>Particular à vista</t>
        </is>
      </c>
      <c r="D94" s="31" t="inlineStr"/>
      <c r="E94" s="31" t="inlineStr">
        <is>
          <t>Fechamento do dia</t>
        </is>
      </c>
      <c r="F94" s="31" t="inlineStr">
        <is>
          <t>Fechamento do dia · 1 atendimento · cartão de débito</t>
        </is>
      </c>
      <c r="G94" s="36" t="n">
        <v>400</v>
      </c>
      <c r="H94" s="32" t="inlineStr">
        <is>
          <t>Cartão de débito</t>
        </is>
      </c>
      <c r="I94" s="32" t="inlineStr">
        <is>
          <t>Sim</t>
        </is>
      </c>
      <c r="J94" s="35">
        <f>IF(A94="","",MONTH(A94))</f>
        <v>2</v>
      </c>
      <c r="K94" s="35">
        <f>IF(A94="","",YEAR(A94))</f>
        <v>2026</v>
      </c>
    </row>
    <row r="95">
      <c r="A95" s="39" t="n">
        <v>46065</v>
      </c>
      <c r="B95" s="32" t="inlineStr">
        <is>
          <t>Entrada</t>
        </is>
      </c>
      <c r="C95" s="31" t="inlineStr">
        <is>
          <t>Particular à vista</t>
        </is>
      </c>
      <c r="D95" s="31" t="inlineStr"/>
      <c r="E95" s="31" t="inlineStr">
        <is>
          <t>Fechamento do dia</t>
        </is>
      </c>
      <c r="F95" s="31" t="inlineStr">
        <is>
          <t>Fechamento do dia · 2 atendimentos · pix</t>
        </is>
      </c>
      <c r="G95" s="36" t="n">
        <v>760</v>
      </c>
      <c r="H95" s="32" t="inlineStr">
        <is>
          <t>Pix</t>
        </is>
      </c>
      <c r="I95" s="32" t="inlineStr">
        <is>
          <t>Sim</t>
        </is>
      </c>
      <c r="J95" s="35">
        <f>IF(A95="","",MONTH(A95))</f>
        <v>2</v>
      </c>
      <c r="K95" s="35">
        <f>IF(A95="","",YEAR(A95))</f>
        <v>2026</v>
      </c>
    </row>
    <row r="96">
      <c r="A96" s="39" t="n">
        <v>46065</v>
      </c>
      <c r="B96" s="32" t="inlineStr">
        <is>
          <t>Entrada</t>
        </is>
      </c>
      <c r="C96" s="31" t="inlineStr">
        <is>
          <t>Particular à vista</t>
        </is>
      </c>
      <c r="D96" s="31" t="inlineStr"/>
      <c r="E96" s="31" t="inlineStr">
        <is>
          <t>Fechamento do dia</t>
        </is>
      </c>
      <c r="F96" s="31" t="inlineStr">
        <is>
          <t>Fechamento do dia · 3 atendimentos · cartão de crédito</t>
        </is>
      </c>
      <c r="G96" s="36" t="n">
        <v>1180</v>
      </c>
      <c r="H96" s="32" t="inlineStr">
        <is>
          <t>Cartão de crédito</t>
        </is>
      </c>
      <c r="I96" s="32" t="inlineStr">
        <is>
          <t>Sim</t>
        </is>
      </c>
      <c r="J96" s="35">
        <f>IF(A96="","",MONTH(A96))</f>
        <v>2</v>
      </c>
      <c r="K96" s="35">
        <f>IF(A96="","",YEAR(A96))</f>
        <v>2026</v>
      </c>
    </row>
    <row r="97">
      <c r="A97" s="39" t="n">
        <v>46065</v>
      </c>
      <c r="B97" s="32" t="inlineStr">
        <is>
          <t>Saída</t>
        </is>
      </c>
      <c r="C97" s="31" t="inlineStr">
        <is>
          <t>Energia, água, internet e telefone</t>
        </is>
      </c>
      <c r="D97" s="31" t="inlineStr"/>
      <c r="E97" s="31" t="inlineStr"/>
      <c r="F97" s="31" t="inlineStr">
        <is>
          <t>Energia, água, internet e telefone</t>
        </is>
      </c>
      <c r="G97" s="36" t="n">
        <v>550</v>
      </c>
      <c r="H97" s="32" t="inlineStr">
        <is>
          <t>Boleto</t>
        </is>
      </c>
      <c r="I97" s="32" t="inlineStr">
        <is>
          <t>Sim</t>
        </is>
      </c>
      <c r="J97" s="35">
        <f>IF(A97="","",MONTH(A97))</f>
        <v>2</v>
      </c>
      <c r="K97" s="35">
        <f>IF(A97="","",YEAR(A97))</f>
        <v>2026</v>
      </c>
    </row>
    <row r="98">
      <c r="A98" s="39" t="n">
        <v>46066</v>
      </c>
      <c r="B98" s="32" t="inlineStr">
        <is>
          <t>Entrada</t>
        </is>
      </c>
      <c r="C98" s="31" t="inlineStr">
        <is>
          <t>Particular à vista</t>
        </is>
      </c>
      <c r="D98" s="31" t="inlineStr"/>
      <c r="E98" s="31" t="inlineStr">
        <is>
          <t>Fechamento do dia</t>
        </is>
      </c>
      <c r="F98" s="31" t="inlineStr">
        <is>
          <t>Fechamento do dia · 1 atendimento · cartão de crédito</t>
        </is>
      </c>
      <c r="G98" s="36" t="n">
        <v>130</v>
      </c>
      <c r="H98" s="32" t="inlineStr">
        <is>
          <t>Cartão de crédito</t>
        </is>
      </c>
      <c r="I98" s="32" t="inlineStr">
        <is>
          <t>Sim</t>
        </is>
      </c>
      <c r="J98" s="35">
        <f>IF(A98="","",MONTH(A98))</f>
        <v>2</v>
      </c>
      <c r="K98" s="35">
        <f>IF(A98="","",YEAR(A98))</f>
        <v>2026</v>
      </c>
    </row>
    <row r="99">
      <c r="A99" s="39" t="n">
        <v>46068</v>
      </c>
      <c r="B99" s="32" t="inlineStr">
        <is>
          <t>Saída</t>
        </is>
      </c>
      <c r="C99" s="31" t="inlineStr">
        <is>
          <t>Anuidade CRM, seguro e cursos</t>
        </is>
      </c>
      <c r="D99" s="31" t="inlineStr"/>
      <c r="E99" s="31" t="inlineStr"/>
      <c r="F99" s="31" t="inlineStr">
        <is>
          <t>Anuidade CRM, seguro e cursos</t>
        </is>
      </c>
      <c r="G99" s="36" t="n">
        <v>450</v>
      </c>
      <c r="H99" s="32" t="inlineStr">
        <is>
          <t>Cartão de crédito</t>
        </is>
      </c>
      <c r="I99" s="32" t="inlineStr">
        <is>
          <t>Sim</t>
        </is>
      </c>
      <c r="J99" s="35">
        <f>IF(A99="","",MONTH(A99))</f>
        <v>2</v>
      </c>
      <c r="K99" s="35">
        <f>IF(A99="","",YEAR(A99))</f>
        <v>2026</v>
      </c>
    </row>
    <row r="100">
      <c r="A100" s="39" t="n">
        <v>46068</v>
      </c>
      <c r="B100" s="32" t="inlineStr">
        <is>
          <t>Saída</t>
        </is>
      </c>
      <c r="C100" s="31" t="inlineStr">
        <is>
          <t>Limpeza e material de escritório</t>
        </is>
      </c>
      <c r="D100" s="31" t="inlineStr"/>
      <c r="E100" s="31" t="inlineStr"/>
      <c r="F100" s="31" t="inlineStr">
        <is>
          <t>Limpeza e material de escritório</t>
        </is>
      </c>
      <c r="G100" s="36" t="n">
        <v>450</v>
      </c>
      <c r="H100" s="32" t="inlineStr">
        <is>
          <t>Cartão de crédito</t>
        </is>
      </c>
      <c r="I100" s="32" t="inlineStr">
        <is>
          <t>Sim</t>
        </is>
      </c>
      <c r="J100" s="35">
        <f>IF(A100="","",MONTH(A100))</f>
        <v>2</v>
      </c>
      <c r="K100" s="35">
        <f>IF(A100="","",YEAR(A100))</f>
        <v>2026</v>
      </c>
    </row>
    <row r="101">
      <c r="A101" s="39" t="n">
        <v>46071</v>
      </c>
      <c r="B101" s="32" t="inlineStr">
        <is>
          <t>Entrada</t>
        </is>
      </c>
      <c r="C101" s="31" t="inlineStr">
        <is>
          <t>Particular a prazo</t>
        </is>
      </c>
      <c r="D101" s="31" t="inlineStr">
        <is>
          <t>Wagner Lima</t>
        </is>
      </c>
      <c r="E101" s="31" t="inlineStr">
        <is>
          <t>Parcela</t>
        </is>
      </c>
      <c r="F101" s="31" t="inlineStr">
        <is>
          <t>Holter de 16/01 · parcela 1/2</t>
        </is>
      </c>
      <c r="G101" s="36" t="n">
        <v>175</v>
      </c>
      <c r="H101" s="32" t="inlineStr">
        <is>
          <t>Pix</t>
        </is>
      </c>
      <c r="I101" s="32" t="inlineStr">
        <is>
          <t>Sim</t>
        </is>
      </c>
      <c r="J101" s="35">
        <f>IF(A101="","",MONTH(A101))</f>
        <v>2</v>
      </c>
      <c r="K101" s="35">
        <f>IF(A101="","",YEAR(A101))</f>
        <v>2026</v>
      </c>
    </row>
    <row r="102">
      <c r="A102" s="39" t="n">
        <v>46071</v>
      </c>
      <c r="B102" s="32" t="inlineStr">
        <is>
          <t>Entrada</t>
        </is>
      </c>
      <c r="C102" s="31" t="inlineStr">
        <is>
          <t>Particular à vista</t>
        </is>
      </c>
      <c r="D102" s="31" t="inlineStr"/>
      <c r="E102" s="31" t="inlineStr">
        <is>
          <t>Fechamento do dia</t>
        </is>
      </c>
      <c r="F102" s="31" t="inlineStr">
        <is>
          <t>Fechamento do dia · 1 atendimento · cartão de débito</t>
        </is>
      </c>
      <c r="G102" s="36" t="n">
        <v>380</v>
      </c>
      <c r="H102" s="32" t="inlineStr">
        <is>
          <t>Cartão de débito</t>
        </is>
      </c>
      <c r="I102" s="32" t="inlineStr">
        <is>
          <t>Sim</t>
        </is>
      </c>
      <c r="J102" s="35">
        <f>IF(A102="","",MONTH(A102))</f>
        <v>2</v>
      </c>
      <c r="K102" s="35">
        <f>IF(A102="","",YEAR(A102))</f>
        <v>2026</v>
      </c>
    </row>
    <row r="103">
      <c r="A103" s="39" t="n">
        <v>46071</v>
      </c>
      <c r="B103" s="32" t="inlineStr">
        <is>
          <t>Entrada</t>
        </is>
      </c>
      <c r="C103" s="31" t="inlineStr">
        <is>
          <t>Particular à vista</t>
        </is>
      </c>
      <c r="D103" s="31" t="inlineStr"/>
      <c r="E103" s="31" t="inlineStr">
        <is>
          <t>Fechamento do dia</t>
        </is>
      </c>
      <c r="F103" s="31" t="inlineStr">
        <is>
          <t>Fechamento do dia · 2 atendimentos · pix</t>
        </is>
      </c>
      <c r="G103" s="36" t="n">
        <v>760</v>
      </c>
      <c r="H103" s="32" t="inlineStr">
        <is>
          <t>Pix</t>
        </is>
      </c>
      <c r="I103" s="32" t="inlineStr">
        <is>
          <t>Sim</t>
        </is>
      </c>
      <c r="J103" s="35">
        <f>IF(A103="","",MONTH(A103))</f>
        <v>2</v>
      </c>
      <c r="K103" s="35">
        <f>IF(A103="","",YEAR(A103))</f>
        <v>2026</v>
      </c>
    </row>
    <row r="104">
      <c r="A104" s="39" t="n">
        <v>46072</v>
      </c>
      <c r="B104" s="32" t="inlineStr">
        <is>
          <t>Entrada</t>
        </is>
      </c>
      <c r="C104" s="31" t="inlineStr">
        <is>
          <t>Particular à vista</t>
        </is>
      </c>
      <c r="D104" s="31" t="inlineStr"/>
      <c r="E104" s="31" t="inlineStr">
        <is>
          <t>Fechamento do dia</t>
        </is>
      </c>
      <c r="F104" s="31" t="inlineStr">
        <is>
          <t>Fechamento do dia · 1 atendimento · cartão de crédito</t>
        </is>
      </c>
      <c r="G104" s="36" t="n">
        <v>300</v>
      </c>
      <c r="H104" s="32" t="inlineStr">
        <is>
          <t>Cartão de crédito</t>
        </is>
      </c>
      <c r="I104" s="32" t="inlineStr">
        <is>
          <t>Sim</t>
        </is>
      </c>
      <c r="J104" s="35">
        <f>IF(A104="","",MONTH(A104))</f>
        <v>2</v>
      </c>
      <c r="K104" s="35">
        <f>IF(A104="","",YEAR(A104))</f>
        <v>2026</v>
      </c>
    </row>
    <row r="105">
      <c r="A105" s="39" t="n">
        <v>46072</v>
      </c>
      <c r="B105" s="32" t="inlineStr">
        <is>
          <t>Entrada</t>
        </is>
      </c>
      <c r="C105" s="31" t="inlineStr">
        <is>
          <t>Particular à vista</t>
        </is>
      </c>
      <c r="D105" s="31" t="inlineStr"/>
      <c r="E105" s="31" t="inlineStr">
        <is>
          <t>Fechamento do dia</t>
        </is>
      </c>
      <c r="F105" s="31" t="inlineStr">
        <is>
          <t>Fechamento do dia · 1 atendimento · cartão de débito</t>
        </is>
      </c>
      <c r="G105" s="36" t="n">
        <v>400</v>
      </c>
      <c r="H105" s="32" t="inlineStr">
        <is>
          <t>Cartão de débito</t>
        </is>
      </c>
      <c r="I105" s="32" t="inlineStr">
        <is>
          <t>Sim</t>
        </is>
      </c>
      <c r="J105" s="35">
        <f>IF(A105="","",MONTH(A105))</f>
        <v>2</v>
      </c>
      <c r="K105" s="35">
        <f>IF(A105="","",YEAR(A105))</f>
        <v>2026</v>
      </c>
    </row>
    <row r="106">
      <c r="A106" s="39" t="n">
        <v>46073</v>
      </c>
      <c r="B106" s="32" t="inlineStr">
        <is>
          <t>Entrada</t>
        </is>
      </c>
      <c r="C106" s="31" t="inlineStr">
        <is>
          <t>Convênio · MediPlan</t>
        </is>
      </c>
      <c r="D106" s="31" t="inlineStr">
        <is>
          <t>MediPlan</t>
        </is>
      </c>
      <c r="E106" s="31" t="inlineStr">
        <is>
          <t>Lote dez/2025</t>
        </is>
      </c>
      <c r="F106" s="31" t="inlineStr">
        <is>
          <t>Pagamento do lote de dez/2025 (27 guias. glosa de R$ 210)</t>
        </is>
      </c>
      <c r="G106" s="36" t="n">
        <v>2040</v>
      </c>
      <c r="H106" s="32" t="inlineStr">
        <is>
          <t>Transferência</t>
        </is>
      </c>
      <c r="I106" s="32" t="inlineStr">
        <is>
          <t>Sim</t>
        </is>
      </c>
      <c r="J106" s="35">
        <f>IF(A106="","",MONTH(A106))</f>
        <v>2</v>
      </c>
      <c r="K106" s="35">
        <f>IF(A106="","",YEAR(A106))</f>
        <v>2026</v>
      </c>
    </row>
    <row r="107">
      <c r="A107" s="39" t="n">
        <v>46073</v>
      </c>
      <c r="B107" s="32" t="inlineStr">
        <is>
          <t>Entrada</t>
        </is>
      </c>
      <c r="C107" s="31" t="inlineStr">
        <is>
          <t>Particular à vista</t>
        </is>
      </c>
      <c r="D107" s="31" t="inlineStr"/>
      <c r="E107" s="31" t="inlineStr">
        <is>
          <t>Fechamento do dia</t>
        </is>
      </c>
      <c r="F107" s="31" t="inlineStr">
        <is>
          <t>Fechamento do dia · 1 atendimento · pix</t>
        </is>
      </c>
      <c r="G107" s="36" t="n">
        <v>130</v>
      </c>
      <c r="H107" s="32" t="inlineStr">
        <is>
          <t>Pix</t>
        </is>
      </c>
      <c r="I107" s="32" t="inlineStr">
        <is>
          <t>Sim</t>
        </is>
      </c>
      <c r="J107" s="35">
        <f>IF(A107="","",MONTH(A107))</f>
        <v>2</v>
      </c>
      <c r="K107" s="35">
        <f>IF(A107="","",YEAR(A107))</f>
        <v>2026</v>
      </c>
    </row>
    <row r="108">
      <c r="A108" s="39" t="n">
        <v>46073</v>
      </c>
      <c r="B108" s="32" t="inlineStr">
        <is>
          <t>Saída</t>
        </is>
      </c>
      <c r="C108" s="31" t="inlineStr">
        <is>
          <t>Impostos e taxas</t>
        </is>
      </c>
      <c r="D108" s="31" t="inlineStr"/>
      <c r="E108" s="31" t="inlineStr"/>
      <c r="F108" s="31" t="inlineStr">
        <is>
          <t>Guia de impostos do mês anterior (alíquota efetiva combinada com o contador)</t>
        </is>
      </c>
      <c r="G108" s="36" t="n">
        <v>3660</v>
      </c>
      <c r="H108" s="32" t="inlineStr">
        <is>
          <t>Boleto</t>
        </is>
      </c>
      <c r="I108" s="32" t="inlineStr">
        <is>
          <t>Sim</t>
        </is>
      </c>
      <c r="J108" s="35">
        <f>IF(A108="","",MONTH(A108))</f>
        <v>2</v>
      </c>
      <c r="K108" s="35">
        <f>IF(A108="","",YEAR(A108))</f>
        <v>2026</v>
      </c>
    </row>
    <row r="109">
      <c r="A109" s="39" t="n">
        <v>46073</v>
      </c>
      <c r="B109" s="32" t="inlineStr">
        <is>
          <t>Saída</t>
        </is>
      </c>
      <c r="C109" s="31" t="inlineStr">
        <is>
          <t>Marketing e site</t>
        </is>
      </c>
      <c r="D109" s="31" t="inlineStr"/>
      <c r="E109" s="31" t="inlineStr"/>
      <c r="F109" s="31" t="inlineStr">
        <is>
          <t>Marketing e site</t>
        </is>
      </c>
      <c r="G109" s="36" t="n">
        <v>650</v>
      </c>
      <c r="H109" s="32" t="inlineStr">
        <is>
          <t>Cartão de crédito</t>
        </is>
      </c>
      <c r="I109" s="32" t="inlineStr">
        <is>
          <t>Sim</t>
        </is>
      </c>
      <c r="J109" s="35">
        <f>IF(A109="","",MONTH(A109))</f>
        <v>2</v>
      </c>
      <c r="K109" s="35">
        <f>IF(A109="","",YEAR(A109))</f>
        <v>2026</v>
      </c>
    </row>
    <row r="110">
      <c r="A110" s="39" t="n">
        <v>46074</v>
      </c>
      <c r="B110" s="32" t="inlineStr">
        <is>
          <t>Entrada</t>
        </is>
      </c>
      <c r="C110" s="31" t="inlineStr">
        <is>
          <t>Particular a prazo</t>
        </is>
      </c>
      <c r="D110" s="31" t="inlineStr">
        <is>
          <t>Gabriel Reis</t>
        </is>
      </c>
      <c r="E110" s="31" t="inlineStr">
        <is>
          <t>Parcela</t>
        </is>
      </c>
      <c r="F110" s="31" t="inlineStr">
        <is>
          <t>Avaliação endócrina de 22/01 · parcela 1/1</t>
        </is>
      </c>
      <c r="G110" s="36" t="n">
        <v>400</v>
      </c>
      <c r="H110" s="32" t="inlineStr">
        <is>
          <t>Pix</t>
        </is>
      </c>
      <c r="I110" s="32" t="inlineStr">
        <is>
          <t>Sim</t>
        </is>
      </c>
      <c r="J110" s="35">
        <f>IF(A110="","",MONTH(A110))</f>
        <v>2</v>
      </c>
      <c r="K110" s="35">
        <f>IF(A110="","",YEAR(A110))</f>
        <v>2026</v>
      </c>
    </row>
    <row r="111">
      <c r="A111" s="39" t="n">
        <v>46075</v>
      </c>
      <c r="B111" s="32" t="inlineStr">
        <is>
          <t>Saída</t>
        </is>
      </c>
      <c r="C111" s="31" t="inlineStr">
        <is>
          <t>Materiais e insumos de atendimento</t>
        </is>
      </c>
      <c r="D111" s="31" t="inlineStr"/>
      <c r="E111" s="31" t="inlineStr"/>
      <c r="F111" s="31" t="inlineStr">
        <is>
          <t>Reposição de descartáveis e papel para ECG</t>
        </is>
      </c>
      <c r="G111" s="36" t="n">
        <v>330</v>
      </c>
      <c r="H111" s="32" t="inlineStr">
        <is>
          <t>Cartão de crédito</t>
        </is>
      </c>
      <c r="I111" s="32" t="inlineStr">
        <is>
          <t>Sim</t>
        </is>
      </c>
      <c r="J111" s="35">
        <f>IF(A111="","",MONTH(A111))</f>
        <v>2</v>
      </c>
      <c r="K111" s="35">
        <f>IF(A111="","",YEAR(A111))</f>
        <v>2026</v>
      </c>
    </row>
    <row r="112">
      <c r="A112" s="39" t="n">
        <v>46076</v>
      </c>
      <c r="B112" s="32" t="inlineStr">
        <is>
          <t>Entrada</t>
        </is>
      </c>
      <c r="C112" s="31" t="inlineStr">
        <is>
          <t>Particular a prazo</t>
        </is>
      </c>
      <c r="D112" s="31" t="inlineStr">
        <is>
          <t>Carlos Oliveira</t>
        </is>
      </c>
      <c r="E112" s="31" t="inlineStr">
        <is>
          <t>Parcela</t>
        </is>
      </c>
      <c r="F112" s="31" t="inlineStr">
        <is>
          <t>Consulta de 22/01 · parcela 1/2</t>
        </is>
      </c>
      <c r="G112" s="36" t="n">
        <v>190</v>
      </c>
      <c r="H112" s="32" t="inlineStr">
        <is>
          <t>Pix</t>
        </is>
      </c>
      <c r="I112" s="32" t="inlineStr">
        <is>
          <t>Sim</t>
        </is>
      </c>
      <c r="J112" s="35">
        <f>IF(A112="","",MONTH(A112))</f>
        <v>2</v>
      </c>
      <c r="K112" s="35">
        <f>IF(A112="","",YEAR(A112))</f>
        <v>2026</v>
      </c>
    </row>
    <row r="113">
      <c r="A113" s="39" t="n">
        <v>46076</v>
      </c>
      <c r="B113" s="32" t="inlineStr">
        <is>
          <t>Entrada</t>
        </is>
      </c>
      <c r="C113" s="31" t="inlineStr">
        <is>
          <t>Particular à vista</t>
        </is>
      </c>
      <c r="D113" s="31" t="inlineStr"/>
      <c r="E113" s="31" t="inlineStr">
        <is>
          <t>Fechamento do dia</t>
        </is>
      </c>
      <c r="F113" s="31" t="inlineStr">
        <is>
          <t>Fechamento do dia · 1 atendimento · cartão de crédito</t>
        </is>
      </c>
      <c r="G113" s="36" t="n">
        <v>380</v>
      </c>
      <c r="H113" s="32" t="inlineStr">
        <is>
          <t>Cartão de crédito</t>
        </is>
      </c>
      <c r="I113" s="32" t="inlineStr">
        <is>
          <t>Sim</t>
        </is>
      </c>
      <c r="J113" s="35">
        <f>IF(A113="","",MONTH(A113))</f>
        <v>2</v>
      </c>
      <c r="K113" s="35">
        <f>IF(A113="","",YEAR(A113))</f>
        <v>2026</v>
      </c>
    </row>
    <row r="114">
      <c r="A114" s="39" t="n">
        <v>46076</v>
      </c>
      <c r="B114" s="32" t="inlineStr">
        <is>
          <t>Entrada</t>
        </is>
      </c>
      <c r="C114" s="31" t="inlineStr">
        <is>
          <t>Particular à vista</t>
        </is>
      </c>
      <c r="D114" s="31" t="inlineStr"/>
      <c r="E114" s="31" t="inlineStr">
        <is>
          <t>Fechamento do dia</t>
        </is>
      </c>
      <c r="F114" s="31" t="inlineStr">
        <is>
          <t>Fechamento do dia · 1 atendimento · dinheiro</t>
        </is>
      </c>
      <c r="G114" s="36" t="n">
        <v>380</v>
      </c>
      <c r="H114" s="32" t="inlineStr">
        <is>
          <t>Dinheiro</t>
        </is>
      </c>
      <c r="I114" s="32" t="inlineStr">
        <is>
          <t>Sim</t>
        </is>
      </c>
      <c r="J114" s="35">
        <f>IF(A114="","",MONTH(A114))</f>
        <v>2</v>
      </c>
      <c r="K114" s="35">
        <f>IF(A114="","",YEAR(A114))</f>
        <v>2026</v>
      </c>
    </row>
    <row r="115">
      <c r="A115" s="39" t="n">
        <v>46076</v>
      </c>
      <c r="B115" s="32" t="inlineStr">
        <is>
          <t>Entrada</t>
        </is>
      </c>
      <c r="C115" s="31" t="inlineStr">
        <is>
          <t>Particular à vista</t>
        </is>
      </c>
      <c r="D115" s="31" t="inlineStr"/>
      <c r="E115" s="31" t="inlineStr">
        <is>
          <t>Fechamento do dia</t>
        </is>
      </c>
      <c r="F115" s="31" t="inlineStr">
        <is>
          <t>Fechamento do dia · 1 atendimento · pix</t>
        </is>
      </c>
      <c r="G115" s="36" t="n">
        <v>130</v>
      </c>
      <c r="H115" s="32" t="inlineStr">
        <is>
          <t>Pix</t>
        </is>
      </c>
      <c r="I115" s="32" t="inlineStr">
        <is>
          <t>Sim</t>
        </is>
      </c>
      <c r="J115" s="35">
        <f>IF(A115="","",MONTH(A115))</f>
        <v>2</v>
      </c>
      <c r="K115" s="35">
        <f>IF(A115="","",YEAR(A115))</f>
        <v>2026</v>
      </c>
    </row>
    <row r="116">
      <c r="A116" s="39" t="n">
        <v>46077</v>
      </c>
      <c r="B116" s="32" t="inlineStr">
        <is>
          <t>Entrada</t>
        </is>
      </c>
      <c r="C116" s="31" t="inlineStr">
        <is>
          <t>Particular à vista</t>
        </is>
      </c>
      <c r="D116" s="31" t="inlineStr"/>
      <c r="E116" s="31" t="inlineStr">
        <is>
          <t>Fechamento do dia</t>
        </is>
      </c>
      <c r="F116" s="31" t="inlineStr">
        <is>
          <t>Fechamento do dia · 2 atendimentos · cartão de crédito</t>
        </is>
      </c>
      <c r="G116" s="36" t="n">
        <v>800</v>
      </c>
      <c r="H116" s="32" t="inlineStr">
        <is>
          <t>Cartão de crédito</t>
        </is>
      </c>
      <c r="I116" s="32" t="inlineStr">
        <is>
          <t>Sim</t>
        </is>
      </c>
      <c r="J116" s="35">
        <f>IF(A116="","",MONTH(A116))</f>
        <v>2</v>
      </c>
      <c r="K116" s="35">
        <f>IF(A116="","",YEAR(A116))</f>
        <v>2026</v>
      </c>
    </row>
    <row r="117">
      <c r="A117" s="39" t="n">
        <v>46077</v>
      </c>
      <c r="B117" s="32" t="inlineStr">
        <is>
          <t>Entrada</t>
        </is>
      </c>
      <c r="C117" s="31" t="inlineStr">
        <is>
          <t>Particular à vista</t>
        </is>
      </c>
      <c r="D117" s="31" t="inlineStr"/>
      <c r="E117" s="31" t="inlineStr">
        <is>
          <t>Fechamento do dia</t>
        </is>
      </c>
      <c r="F117" s="31" t="inlineStr">
        <is>
          <t>Fechamento do dia · 2 atendimentos · pix</t>
        </is>
      </c>
      <c r="G117" s="36" t="n">
        <v>510</v>
      </c>
      <c r="H117" s="32" t="inlineStr">
        <is>
          <t>Pix</t>
        </is>
      </c>
      <c r="I117" s="32" t="inlineStr">
        <is>
          <t>Sim</t>
        </is>
      </c>
      <c r="J117" s="35">
        <f>IF(A117="","",MONTH(A117))</f>
        <v>2</v>
      </c>
      <c r="K117" s="35">
        <f>IF(A117="","",YEAR(A117))</f>
        <v>2026</v>
      </c>
    </row>
    <row r="118">
      <c r="A118" s="39" t="n">
        <v>46078</v>
      </c>
      <c r="B118" s="32" t="inlineStr">
        <is>
          <t>Entrada</t>
        </is>
      </c>
      <c r="C118" s="31" t="inlineStr">
        <is>
          <t>Particular à vista</t>
        </is>
      </c>
      <c r="D118" s="31" t="inlineStr"/>
      <c r="E118" s="31" t="inlineStr">
        <is>
          <t>Fechamento do dia</t>
        </is>
      </c>
      <c r="F118" s="31" t="inlineStr">
        <is>
          <t>Fechamento do dia · 1 atendimento · cartão de débito</t>
        </is>
      </c>
      <c r="G118" s="36" t="n">
        <v>380</v>
      </c>
      <c r="H118" s="32" t="inlineStr">
        <is>
          <t>Cartão de débito</t>
        </is>
      </c>
      <c r="I118" s="32" t="inlineStr">
        <is>
          <t>Sim</t>
        </is>
      </c>
      <c r="J118" s="35">
        <f>IF(A118="","",MONTH(A118))</f>
        <v>2</v>
      </c>
      <c r="K118" s="35">
        <f>IF(A118="","",YEAR(A118))</f>
        <v>2026</v>
      </c>
    </row>
    <row r="119">
      <c r="A119" s="39" t="n">
        <v>46078</v>
      </c>
      <c r="B119" s="32" t="inlineStr">
        <is>
          <t>Entrada</t>
        </is>
      </c>
      <c r="C119" s="31" t="inlineStr">
        <is>
          <t>Particular à vista</t>
        </is>
      </c>
      <c r="D119" s="31" t="inlineStr"/>
      <c r="E119" s="31" t="inlineStr">
        <is>
          <t>Fechamento do dia</t>
        </is>
      </c>
      <c r="F119" s="31" t="inlineStr">
        <is>
          <t>Fechamento do dia · 1 atendimento · pix</t>
        </is>
      </c>
      <c r="G119" s="36" t="n">
        <v>380</v>
      </c>
      <c r="H119" s="32" t="inlineStr">
        <is>
          <t>Pix</t>
        </is>
      </c>
      <c r="I119" s="32" t="inlineStr">
        <is>
          <t>Sim</t>
        </is>
      </c>
      <c r="J119" s="35">
        <f>IF(A119="","",MONTH(A119))</f>
        <v>2</v>
      </c>
      <c r="K119" s="35">
        <f>IF(A119="","",YEAR(A119))</f>
        <v>2026</v>
      </c>
    </row>
    <row r="120">
      <c r="A120" s="39" t="n">
        <v>46078</v>
      </c>
      <c r="B120" s="32" t="inlineStr">
        <is>
          <t>Entrada</t>
        </is>
      </c>
      <c r="C120" s="31" t="inlineStr">
        <is>
          <t>Particular à vista</t>
        </is>
      </c>
      <c r="D120" s="31" t="inlineStr"/>
      <c r="E120" s="31" t="inlineStr">
        <is>
          <t>Fechamento do dia</t>
        </is>
      </c>
      <c r="F120" s="31" t="inlineStr">
        <is>
          <t>Fechamento do dia · 2 atendimentos · cartão de crédito</t>
        </is>
      </c>
      <c r="G120" s="36" t="n">
        <v>760</v>
      </c>
      <c r="H120" s="32" t="inlineStr">
        <is>
          <t>Cartão de crédito</t>
        </is>
      </c>
      <c r="I120" s="32" t="inlineStr">
        <is>
          <t>Sim</t>
        </is>
      </c>
      <c r="J120" s="35">
        <f>IF(A120="","",MONTH(A120))</f>
        <v>2</v>
      </c>
      <c r="K120" s="35">
        <f>IF(A120="","",YEAR(A120))</f>
        <v>2026</v>
      </c>
    </row>
    <row r="121">
      <c r="A121" s="39" t="n">
        <v>46079</v>
      </c>
      <c r="B121" s="32" t="inlineStr">
        <is>
          <t>Entrada</t>
        </is>
      </c>
      <c r="C121" s="31" t="inlineStr">
        <is>
          <t>Particular à vista</t>
        </is>
      </c>
      <c r="D121" s="31" t="inlineStr"/>
      <c r="E121" s="31" t="inlineStr">
        <is>
          <t>Fechamento do dia</t>
        </is>
      </c>
      <c r="F121" s="31" t="inlineStr">
        <is>
          <t>Fechamento do dia · 1 atendimento · cartão de crédito</t>
        </is>
      </c>
      <c r="G121" s="36" t="n">
        <v>400</v>
      </c>
      <c r="H121" s="32" t="inlineStr">
        <is>
          <t>Cartão de crédito</t>
        </is>
      </c>
      <c r="I121" s="32" t="inlineStr">
        <is>
          <t>Sim</t>
        </is>
      </c>
      <c r="J121" s="35">
        <f>IF(A121="","",MONTH(A121))</f>
        <v>2</v>
      </c>
      <c r="K121" s="35">
        <f>IF(A121="","",YEAR(A121))</f>
        <v>2026</v>
      </c>
    </row>
    <row r="122">
      <c r="A122" s="39" t="n">
        <v>46079</v>
      </c>
      <c r="B122" s="32" t="inlineStr">
        <is>
          <t>Entrada</t>
        </is>
      </c>
      <c r="C122" s="31" t="inlineStr">
        <is>
          <t>Particular à vista</t>
        </is>
      </c>
      <c r="D122" s="31" t="inlineStr"/>
      <c r="E122" s="31" t="inlineStr">
        <is>
          <t>Fechamento do dia</t>
        </is>
      </c>
      <c r="F122" s="31" t="inlineStr">
        <is>
          <t>Fechamento do dia · 2 atendimentos · cartão de débito</t>
        </is>
      </c>
      <c r="G122" s="36" t="n">
        <v>730</v>
      </c>
      <c r="H122" s="32" t="inlineStr">
        <is>
          <t>Cartão de débito</t>
        </is>
      </c>
      <c r="I122" s="32" t="inlineStr">
        <is>
          <t>Sim</t>
        </is>
      </c>
      <c r="J122" s="35">
        <f>IF(A122="","",MONTH(A122))</f>
        <v>2</v>
      </c>
      <c r="K122" s="35">
        <f>IF(A122="","",YEAR(A122))</f>
        <v>2026</v>
      </c>
    </row>
    <row r="123">
      <c r="A123" s="39" t="n">
        <v>46079</v>
      </c>
      <c r="B123" s="32" t="inlineStr">
        <is>
          <t>Entrada</t>
        </is>
      </c>
      <c r="C123" s="31" t="inlineStr">
        <is>
          <t>Particular à vista</t>
        </is>
      </c>
      <c r="D123" s="31" t="inlineStr"/>
      <c r="E123" s="31" t="inlineStr">
        <is>
          <t>Fechamento do dia</t>
        </is>
      </c>
      <c r="F123" s="31" t="inlineStr">
        <is>
          <t>Fechamento do dia · 2 atendimentos · pix</t>
        </is>
      </c>
      <c r="G123" s="36" t="n">
        <v>780</v>
      </c>
      <c r="H123" s="32" t="inlineStr">
        <is>
          <t>Pix</t>
        </is>
      </c>
      <c r="I123" s="32" t="inlineStr">
        <is>
          <t>Sim</t>
        </is>
      </c>
      <c r="J123" s="35">
        <f>IF(A123="","",MONTH(A123))</f>
        <v>2</v>
      </c>
      <c r="K123" s="35">
        <f>IF(A123="","",YEAR(A123))</f>
        <v>2026</v>
      </c>
    </row>
    <row r="124">
      <c r="A124" s="39" t="n">
        <v>46080</v>
      </c>
      <c r="B124" s="32" t="inlineStr">
        <is>
          <t>Entrada</t>
        </is>
      </c>
      <c r="C124" s="31" t="inlineStr">
        <is>
          <t>Particular a prazo</t>
        </is>
      </c>
      <c r="D124" s="31" t="inlineStr">
        <is>
          <t>Helena Moreira</t>
        </is>
      </c>
      <c r="E124" s="31" t="inlineStr">
        <is>
          <t>Parcela</t>
        </is>
      </c>
      <c r="F124" s="31" t="inlineStr">
        <is>
          <t>Consulta de 27/01 · parcela 1/2</t>
        </is>
      </c>
      <c r="G124" s="36" t="n">
        <v>190</v>
      </c>
      <c r="H124" s="32" t="inlineStr">
        <is>
          <t>Pix</t>
        </is>
      </c>
      <c r="I124" s="32" t="inlineStr">
        <is>
          <t>Sim</t>
        </is>
      </c>
      <c r="J124" s="35">
        <f>IF(A124="","",MONTH(A124))</f>
        <v>2</v>
      </c>
      <c r="K124" s="35">
        <f>IF(A124="","",YEAR(A124))</f>
        <v>2026</v>
      </c>
    </row>
    <row r="125">
      <c r="A125" s="39" t="n">
        <v>46080</v>
      </c>
      <c r="B125" s="32" t="inlineStr">
        <is>
          <t>Entrada</t>
        </is>
      </c>
      <c r="C125" s="31" t="inlineStr">
        <is>
          <t>Particular à vista</t>
        </is>
      </c>
      <c r="D125" s="31" t="inlineStr"/>
      <c r="E125" s="31" t="inlineStr">
        <is>
          <t>Fechamento do dia</t>
        </is>
      </c>
      <c r="F125" s="31" t="inlineStr">
        <is>
          <t>Fechamento do dia · 1 atendimento · cartão de débito</t>
        </is>
      </c>
      <c r="G125" s="36" t="n">
        <v>380</v>
      </c>
      <c r="H125" s="32" t="inlineStr">
        <is>
          <t>Cartão de débito</t>
        </is>
      </c>
      <c r="I125" s="32" t="inlineStr">
        <is>
          <t>Sim</t>
        </is>
      </c>
      <c r="J125" s="35">
        <f>IF(A125="","",MONTH(A125))</f>
        <v>2</v>
      </c>
      <c r="K125" s="35">
        <f>IF(A125="","",YEAR(A125))</f>
        <v>2026</v>
      </c>
    </row>
    <row r="126">
      <c r="A126" s="39" t="n">
        <v>46081</v>
      </c>
      <c r="B126" s="32" t="inlineStr">
        <is>
          <t>Saída</t>
        </is>
      </c>
      <c r="C126" s="31" t="inlineStr">
        <is>
          <t>Pró-labore dos sócios</t>
        </is>
      </c>
      <c r="D126" s="31" t="inlineStr"/>
      <c r="E126" s="31" t="inlineStr"/>
      <c r="F126" s="31" t="inlineStr">
        <is>
          <t>Pró-labore · Dr. Paulo Andrade</t>
        </is>
      </c>
      <c r="G126" s="36" t="n">
        <v>9000</v>
      </c>
      <c r="H126" s="32" t="inlineStr">
        <is>
          <t>Transferência</t>
        </is>
      </c>
      <c r="I126" s="32" t="inlineStr">
        <is>
          <t>Sim</t>
        </is>
      </c>
      <c r="J126" s="35">
        <f>IF(A126="","",MONTH(A126))</f>
        <v>2</v>
      </c>
      <c r="K126" s="35">
        <f>IF(A126="","",YEAR(A126))</f>
        <v>2026</v>
      </c>
    </row>
    <row r="127">
      <c r="A127" s="39" t="n">
        <v>46081</v>
      </c>
      <c r="B127" s="32" t="inlineStr">
        <is>
          <t>Saída</t>
        </is>
      </c>
      <c r="C127" s="31" t="inlineStr">
        <is>
          <t>Pró-labore dos sócios</t>
        </is>
      </c>
      <c r="D127" s="31" t="inlineStr"/>
      <c r="E127" s="31" t="inlineStr"/>
      <c r="F127" s="31" t="inlineStr">
        <is>
          <t>Pró-labore · Dra. Carolina Mendes</t>
        </is>
      </c>
      <c r="G127" s="36" t="n">
        <v>9000</v>
      </c>
      <c r="H127" s="32" t="inlineStr">
        <is>
          <t>Transferência</t>
        </is>
      </c>
      <c r="I127" s="32" t="inlineStr">
        <is>
          <t>Sim</t>
        </is>
      </c>
      <c r="J127" s="35">
        <f>IF(A127="","",MONTH(A127))</f>
        <v>2</v>
      </c>
      <c r="K127" s="35">
        <f>IF(A127="","",YEAR(A127))</f>
        <v>2026</v>
      </c>
    </row>
    <row r="128">
      <c r="A128" s="39" t="n">
        <v>46081</v>
      </c>
      <c r="B128" s="32" t="inlineStr">
        <is>
          <t>Saída</t>
        </is>
      </c>
      <c r="C128" s="31" t="inlineStr">
        <is>
          <t>Taxas de cartão</t>
        </is>
      </c>
      <c r="D128" s="31" t="inlineStr"/>
      <c r="E128" s="31" t="inlineStr"/>
      <c r="F128" s="31" t="inlineStr">
        <is>
          <t>Taxas da operadora de cartão · vendas de fev</t>
        </is>
      </c>
      <c r="G128" s="36" t="n">
        <v>265.28</v>
      </c>
      <c r="H128" s="32" t="inlineStr">
        <is>
          <t>Transferência</t>
        </is>
      </c>
      <c r="I128" s="32" t="inlineStr">
        <is>
          <t>Sim</t>
        </is>
      </c>
      <c r="J128" s="35">
        <f>IF(A128="","",MONTH(A128))</f>
        <v>2</v>
      </c>
      <c r="K128" s="35">
        <f>IF(A128="","",YEAR(A128))</f>
        <v>2026</v>
      </c>
    </row>
    <row r="129">
      <c r="A129" s="39" t="n">
        <v>46083</v>
      </c>
      <c r="B129" s="32" t="inlineStr">
        <is>
          <t>Entrada</t>
        </is>
      </c>
      <c r="C129" s="31" t="inlineStr">
        <is>
          <t>Particular à vista</t>
        </is>
      </c>
      <c r="D129" s="31" t="inlineStr"/>
      <c r="E129" s="31" t="inlineStr">
        <is>
          <t>Fechamento do dia</t>
        </is>
      </c>
      <c r="F129" s="31" t="inlineStr">
        <is>
          <t>Fechamento do dia · 1 atendimento · cartão de crédito</t>
        </is>
      </c>
      <c r="G129" s="36" t="n">
        <v>300</v>
      </c>
      <c r="H129" s="32" t="inlineStr">
        <is>
          <t>Cartão de crédito</t>
        </is>
      </c>
      <c r="I129" s="32" t="inlineStr">
        <is>
          <t>Sim</t>
        </is>
      </c>
      <c r="J129" s="35">
        <f>IF(A129="","",MONTH(A129))</f>
        <v>3</v>
      </c>
      <c r="K129" s="35">
        <f>IF(A129="","",YEAR(A129))</f>
        <v>2026</v>
      </c>
    </row>
    <row r="130">
      <c r="A130" s="39" t="n">
        <v>46083</v>
      </c>
      <c r="B130" s="32" t="inlineStr">
        <is>
          <t>Entrada</t>
        </is>
      </c>
      <c r="C130" s="31" t="inlineStr">
        <is>
          <t>Particular à vista</t>
        </is>
      </c>
      <c r="D130" s="31" t="inlineStr"/>
      <c r="E130" s="31" t="inlineStr">
        <is>
          <t>Fechamento do dia</t>
        </is>
      </c>
      <c r="F130" s="31" t="inlineStr">
        <is>
          <t>Fechamento do dia · 1 atendimento · cartão de débito</t>
        </is>
      </c>
      <c r="G130" s="36" t="n">
        <v>380</v>
      </c>
      <c r="H130" s="32" t="inlineStr">
        <is>
          <t>Cartão de débito</t>
        </is>
      </c>
      <c r="I130" s="32" t="inlineStr">
        <is>
          <t>Sim</t>
        </is>
      </c>
      <c r="J130" s="35">
        <f>IF(A130="","",MONTH(A130))</f>
        <v>3</v>
      </c>
      <c r="K130" s="35">
        <f>IF(A130="","",YEAR(A130))</f>
        <v>2026</v>
      </c>
    </row>
    <row r="131">
      <c r="A131" s="39" t="n">
        <v>46083</v>
      </c>
      <c r="B131" s="32" t="inlineStr">
        <is>
          <t>Entrada</t>
        </is>
      </c>
      <c r="C131" s="31" t="inlineStr">
        <is>
          <t>Particular à vista</t>
        </is>
      </c>
      <c r="D131" s="31" t="inlineStr"/>
      <c r="E131" s="31" t="inlineStr">
        <is>
          <t>Fechamento do dia</t>
        </is>
      </c>
      <c r="F131" s="31" t="inlineStr">
        <is>
          <t>Fechamento do dia · 1 atendimento · dinheiro</t>
        </is>
      </c>
      <c r="G131" s="36" t="n">
        <v>450</v>
      </c>
      <c r="H131" s="32" t="inlineStr">
        <is>
          <t>Dinheiro</t>
        </is>
      </c>
      <c r="I131" s="32" t="inlineStr">
        <is>
          <t>Sim</t>
        </is>
      </c>
      <c r="J131" s="35">
        <f>IF(A131="","",MONTH(A131))</f>
        <v>3</v>
      </c>
      <c r="K131" s="35">
        <f>IF(A131="","",YEAR(A131))</f>
        <v>2026</v>
      </c>
    </row>
    <row r="132">
      <c r="A132" s="39" t="n">
        <v>46083</v>
      </c>
      <c r="B132" s="32" t="inlineStr">
        <is>
          <t>Entrada</t>
        </is>
      </c>
      <c r="C132" s="31" t="inlineStr">
        <is>
          <t>Particular à vista</t>
        </is>
      </c>
      <c r="D132" s="31" t="inlineStr"/>
      <c r="E132" s="31" t="inlineStr">
        <is>
          <t>Fechamento do dia</t>
        </is>
      </c>
      <c r="F132" s="31" t="inlineStr">
        <is>
          <t>Fechamento do dia · 1 atendimento · pix</t>
        </is>
      </c>
      <c r="G132" s="36" t="n">
        <v>380</v>
      </c>
      <c r="H132" s="32" t="inlineStr">
        <is>
          <t>Pix</t>
        </is>
      </c>
      <c r="I132" s="32" t="inlineStr">
        <is>
          <t>Sim</t>
        </is>
      </c>
      <c r="J132" s="35">
        <f>IF(A132="","",MONTH(A132))</f>
        <v>3</v>
      </c>
      <c r="K132" s="35">
        <f>IF(A132="","",YEAR(A132))</f>
        <v>2026</v>
      </c>
    </row>
    <row r="133">
      <c r="A133" s="39" t="n">
        <v>46084</v>
      </c>
      <c r="B133" s="32" t="inlineStr">
        <is>
          <t>Entrada</t>
        </is>
      </c>
      <c r="C133" s="31" t="inlineStr">
        <is>
          <t>Particular a prazo</t>
        </is>
      </c>
      <c r="D133" s="31" t="inlineStr">
        <is>
          <t>Otávio Nascimento</t>
        </is>
      </c>
      <c r="E133" s="31" t="inlineStr">
        <is>
          <t>Parcela</t>
        </is>
      </c>
      <c r="F133" s="31" t="inlineStr">
        <is>
          <t>Teste ergométrico de 29/01 · parcela 1/1</t>
        </is>
      </c>
      <c r="G133" s="36" t="n">
        <v>450</v>
      </c>
      <c r="H133" s="32" t="inlineStr">
        <is>
          <t>Pix</t>
        </is>
      </c>
      <c r="I133" s="32" t="inlineStr">
        <is>
          <t>Sim</t>
        </is>
      </c>
      <c r="J133" s="35">
        <f>IF(A133="","",MONTH(A133))</f>
        <v>3</v>
      </c>
      <c r="K133" s="35">
        <f>IF(A133="","",YEAR(A133))</f>
        <v>2026</v>
      </c>
    </row>
    <row r="134">
      <c r="A134" s="39" t="n">
        <v>46084</v>
      </c>
      <c r="B134" s="32" t="inlineStr">
        <is>
          <t>Entrada</t>
        </is>
      </c>
      <c r="C134" s="31" t="inlineStr">
        <is>
          <t>Particular à vista</t>
        </is>
      </c>
      <c r="D134" s="31" t="inlineStr"/>
      <c r="E134" s="31" t="inlineStr">
        <is>
          <t>Fechamento do dia</t>
        </is>
      </c>
      <c r="F134" s="31" t="inlineStr">
        <is>
          <t>Fechamento do dia · 1 atendimento · cartão de débito</t>
        </is>
      </c>
      <c r="G134" s="36" t="n">
        <v>400</v>
      </c>
      <c r="H134" s="32" t="inlineStr">
        <is>
          <t>Cartão de débito</t>
        </is>
      </c>
      <c r="I134" s="32" t="inlineStr">
        <is>
          <t>Sim</t>
        </is>
      </c>
      <c r="J134" s="35">
        <f>IF(A134="","",MONTH(A134))</f>
        <v>3</v>
      </c>
      <c r="K134" s="35">
        <f>IF(A134="","",YEAR(A134))</f>
        <v>2026</v>
      </c>
    </row>
    <row r="135">
      <c r="A135" s="39" t="n">
        <v>46084</v>
      </c>
      <c r="B135" s="32" t="inlineStr">
        <is>
          <t>Entrada</t>
        </is>
      </c>
      <c r="C135" s="31" t="inlineStr">
        <is>
          <t>Particular à vista</t>
        </is>
      </c>
      <c r="D135" s="31" t="inlineStr"/>
      <c r="E135" s="31" t="inlineStr">
        <is>
          <t>Fechamento do dia</t>
        </is>
      </c>
      <c r="F135" s="31" t="inlineStr">
        <is>
          <t>Fechamento do dia · 4 atendimentos · cartão de crédito</t>
        </is>
      </c>
      <c r="G135" s="36" t="n">
        <v>1260</v>
      </c>
      <c r="H135" s="32" t="inlineStr">
        <is>
          <t>Cartão de crédito</t>
        </is>
      </c>
      <c r="I135" s="32" t="inlineStr">
        <is>
          <t>Sim</t>
        </is>
      </c>
      <c r="J135" s="35">
        <f>IF(A135="","",MONTH(A135))</f>
        <v>3</v>
      </c>
      <c r="K135" s="35">
        <f>IF(A135="","",YEAR(A135))</f>
        <v>2026</v>
      </c>
    </row>
    <row r="136">
      <c r="A136" s="39" t="n">
        <v>46084</v>
      </c>
      <c r="B136" s="32" t="inlineStr">
        <is>
          <t>Entrada</t>
        </is>
      </c>
      <c r="C136" s="31" t="inlineStr">
        <is>
          <t>Particular à vista</t>
        </is>
      </c>
      <c r="D136" s="31" t="inlineStr"/>
      <c r="E136" s="31" t="inlineStr">
        <is>
          <t>Fechamento do dia</t>
        </is>
      </c>
      <c r="F136" s="31" t="inlineStr">
        <is>
          <t>Fechamento do dia · 4 atendimentos · pix</t>
        </is>
      </c>
      <c r="G136" s="36" t="n">
        <v>1560</v>
      </c>
      <c r="H136" s="32" t="inlineStr">
        <is>
          <t>Pix</t>
        </is>
      </c>
      <c r="I136" s="32" t="inlineStr">
        <is>
          <t>Sim</t>
        </is>
      </c>
      <c r="J136" s="35">
        <f>IF(A136="","",MONTH(A136))</f>
        <v>3</v>
      </c>
      <c r="K136" s="35">
        <f>IF(A136="","",YEAR(A136))</f>
        <v>2026</v>
      </c>
    </row>
    <row r="137">
      <c r="A137" s="39" t="n">
        <v>46085</v>
      </c>
      <c r="B137" s="32" t="inlineStr">
        <is>
          <t>Entrada</t>
        </is>
      </c>
      <c r="C137" s="31" t="inlineStr">
        <is>
          <t>Particular à vista</t>
        </is>
      </c>
      <c r="D137" s="31" t="inlineStr"/>
      <c r="E137" s="31" t="inlineStr">
        <is>
          <t>Fechamento do dia</t>
        </is>
      </c>
      <c r="F137" s="31" t="inlineStr">
        <is>
          <t>Fechamento do dia · 1 atendimento · cartão de débito</t>
        </is>
      </c>
      <c r="G137" s="36" t="n">
        <v>380</v>
      </c>
      <c r="H137" s="32" t="inlineStr">
        <is>
          <t>Cartão de débito</t>
        </is>
      </c>
      <c r="I137" s="32" t="inlineStr">
        <is>
          <t>Sim</t>
        </is>
      </c>
      <c r="J137" s="35">
        <f>IF(A137="","",MONTH(A137))</f>
        <v>3</v>
      </c>
      <c r="K137" s="35">
        <f>IF(A137="","",YEAR(A137))</f>
        <v>2026</v>
      </c>
    </row>
    <row r="138">
      <c r="A138" s="39" t="n">
        <v>46086</v>
      </c>
      <c r="B138" s="32" t="inlineStr">
        <is>
          <t>Entrada</t>
        </is>
      </c>
      <c r="C138" s="31" t="inlineStr">
        <is>
          <t>Particular à vista</t>
        </is>
      </c>
      <c r="D138" s="31" t="inlineStr"/>
      <c r="E138" s="31" t="inlineStr">
        <is>
          <t>Fechamento do dia</t>
        </is>
      </c>
      <c r="F138" s="31" t="inlineStr">
        <is>
          <t>Fechamento do dia · 1 atendimento · cartão de débito</t>
        </is>
      </c>
      <c r="G138" s="36" t="n">
        <v>380</v>
      </c>
      <c r="H138" s="32" t="inlineStr">
        <is>
          <t>Cartão de débito</t>
        </is>
      </c>
      <c r="I138" s="32" t="inlineStr">
        <is>
          <t>Sim</t>
        </is>
      </c>
      <c r="J138" s="35">
        <f>IF(A138="","",MONTH(A138))</f>
        <v>3</v>
      </c>
      <c r="K138" s="35">
        <f>IF(A138="","",YEAR(A138))</f>
        <v>2026</v>
      </c>
    </row>
    <row r="139">
      <c r="A139" s="39" t="n">
        <v>46086</v>
      </c>
      <c r="B139" s="32" t="inlineStr">
        <is>
          <t>Entrada</t>
        </is>
      </c>
      <c r="C139" s="31" t="inlineStr">
        <is>
          <t>Particular à vista</t>
        </is>
      </c>
      <c r="D139" s="31" t="inlineStr"/>
      <c r="E139" s="31" t="inlineStr">
        <is>
          <t>Fechamento do dia</t>
        </is>
      </c>
      <c r="F139" s="31" t="inlineStr">
        <is>
          <t>Fechamento do dia · 7 atendimentos · pix</t>
        </is>
      </c>
      <c r="G139" s="36" t="n">
        <v>2760</v>
      </c>
      <c r="H139" s="32" t="inlineStr">
        <is>
          <t>Pix</t>
        </is>
      </c>
      <c r="I139" s="32" t="inlineStr">
        <is>
          <t>Sim</t>
        </is>
      </c>
      <c r="J139" s="35">
        <f>IF(A139="","",MONTH(A139))</f>
        <v>3</v>
      </c>
      <c r="K139" s="35">
        <f>IF(A139="","",YEAR(A139))</f>
        <v>2026</v>
      </c>
    </row>
    <row r="140">
      <c r="A140" s="39" t="n">
        <v>46086</v>
      </c>
      <c r="B140" s="32" t="inlineStr">
        <is>
          <t>Saída</t>
        </is>
      </c>
      <c r="C140" s="31" t="inlineStr">
        <is>
          <t>Aluguel e condomínio</t>
        </is>
      </c>
      <c r="D140" s="31" t="inlineStr"/>
      <c r="E140" s="31" t="inlineStr"/>
      <c r="F140" s="31" t="inlineStr">
        <is>
          <t>Aluguel e condomínio da clínica</t>
        </is>
      </c>
      <c r="G140" s="36" t="n">
        <v>3900</v>
      </c>
      <c r="H140" s="32" t="inlineStr">
        <is>
          <t>Boleto</t>
        </is>
      </c>
      <c r="I140" s="32" t="inlineStr">
        <is>
          <t>Sim</t>
        </is>
      </c>
      <c r="J140" s="35">
        <f>IF(A140="","",MONTH(A140))</f>
        <v>3</v>
      </c>
      <c r="K140" s="35">
        <f>IF(A140="","",YEAR(A140))</f>
        <v>2026</v>
      </c>
    </row>
    <row r="141">
      <c r="A141" s="39" t="n">
        <v>46086</v>
      </c>
      <c r="B141" s="32" t="inlineStr">
        <is>
          <t>Saída</t>
        </is>
      </c>
      <c r="C141" s="31" t="inlineStr">
        <is>
          <t>Recepção (salário e encargos)</t>
        </is>
      </c>
      <c r="D141" s="31" t="inlineStr"/>
      <c r="E141" s="31" t="inlineStr"/>
      <c r="F141" s="31" t="inlineStr">
        <is>
          <t>Salário e encargos · Bruna Carvalho</t>
        </is>
      </c>
      <c r="G141" s="36" t="n">
        <v>3100</v>
      </c>
      <c r="H141" s="32" t="inlineStr">
        <is>
          <t>Transferência</t>
        </is>
      </c>
      <c r="I141" s="32" t="inlineStr">
        <is>
          <t>Sim</t>
        </is>
      </c>
      <c r="J141" s="35">
        <f>IF(A141="","",MONTH(A141))</f>
        <v>3</v>
      </c>
      <c r="K141" s="35">
        <f>IF(A141="","",YEAR(A141))</f>
        <v>2026</v>
      </c>
    </row>
    <row r="142">
      <c r="A142" s="39" t="n">
        <v>46088</v>
      </c>
      <c r="B142" s="32" t="inlineStr">
        <is>
          <t>Entrada</t>
        </is>
      </c>
      <c r="C142" s="31" t="inlineStr">
        <is>
          <t>Particular a prazo</t>
        </is>
      </c>
      <c r="D142" s="31" t="inlineStr">
        <is>
          <t>Rafael Pereira</t>
        </is>
      </c>
      <c r="E142" s="31" t="inlineStr">
        <is>
          <t>Parcela</t>
        </is>
      </c>
      <c r="F142" s="31" t="inlineStr">
        <is>
          <t>Avaliação endócrina de 03/02 · parcela 1/1</t>
        </is>
      </c>
      <c r="G142" s="36" t="n">
        <v>400</v>
      </c>
      <c r="H142" s="32" t="inlineStr">
        <is>
          <t>Pix</t>
        </is>
      </c>
      <c r="I142" s="32" t="inlineStr">
        <is>
          <t>Sim</t>
        </is>
      </c>
      <c r="J142" s="35">
        <f>IF(A142="","",MONTH(A142))</f>
        <v>3</v>
      </c>
      <c r="K142" s="35">
        <f>IF(A142="","",YEAR(A142))</f>
        <v>2026</v>
      </c>
    </row>
    <row r="143">
      <c r="A143" s="39" t="n">
        <v>46088</v>
      </c>
      <c r="B143" s="32" t="inlineStr">
        <is>
          <t>Entrada</t>
        </is>
      </c>
      <c r="C143" s="31" t="inlineStr">
        <is>
          <t>Particular a prazo</t>
        </is>
      </c>
      <c r="D143" s="31" t="inlineStr">
        <is>
          <t>Fábio Gomes</t>
        </is>
      </c>
      <c r="E143" s="31" t="inlineStr">
        <is>
          <t>Parcela</t>
        </is>
      </c>
      <c r="F143" s="31" t="inlineStr">
        <is>
          <t>Avaliação endócrina de 06/01 · parcela 2/2</t>
        </is>
      </c>
      <c r="G143" s="36" t="n">
        <v>200</v>
      </c>
      <c r="H143" s="32" t="inlineStr">
        <is>
          <t>Pix</t>
        </is>
      </c>
      <c r="I143" s="32" t="inlineStr">
        <is>
          <t>Sim</t>
        </is>
      </c>
      <c r="J143" s="35">
        <f>IF(A143="","",MONTH(A143))</f>
        <v>3</v>
      </c>
      <c r="K143" s="35">
        <f>IF(A143="","",YEAR(A143))</f>
        <v>2026</v>
      </c>
    </row>
    <row r="144">
      <c r="A144" s="39" t="n">
        <v>46089</v>
      </c>
      <c r="B144" s="32" t="inlineStr">
        <is>
          <t>Saída</t>
        </is>
      </c>
      <c r="C144" s="31" t="inlineStr">
        <is>
          <t>Materiais e insumos de atendimento</t>
        </is>
      </c>
      <c r="D144" s="31" t="inlineStr"/>
      <c r="E144" s="31" t="inlineStr"/>
      <c r="F144" s="31" t="inlineStr">
        <is>
          <t>Eletrodos, manguitos e descartáveis (fornecedor)</t>
        </is>
      </c>
      <c r="G144" s="36" t="n">
        <v>930</v>
      </c>
      <c r="H144" s="32" t="inlineStr">
        <is>
          <t>Boleto</t>
        </is>
      </c>
      <c r="I144" s="32" t="inlineStr">
        <is>
          <t>Sim</t>
        </is>
      </c>
      <c r="J144" s="35">
        <f>IF(A144="","",MONTH(A144))</f>
        <v>3</v>
      </c>
      <c r="K144" s="35">
        <f>IF(A144="","",YEAR(A144))</f>
        <v>2026</v>
      </c>
    </row>
    <row r="145">
      <c r="A145" s="39" t="n">
        <v>46089</v>
      </c>
      <c r="B145" s="32" t="inlineStr">
        <is>
          <t>Saída</t>
        </is>
      </c>
      <c r="C145" s="31" t="inlineStr">
        <is>
          <t>Sistema de agenda e assinaturas</t>
        </is>
      </c>
      <c r="D145" s="31" t="inlineStr"/>
      <c r="E145" s="31" t="inlineStr"/>
      <c r="F145" s="31" t="inlineStr">
        <is>
          <t>Sistema de agenda e assinaturas</t>
        </is>
      </c>
      <c r="G145" s="36" t="n">
        <v>300</v>
      </c>
      <c r="H145" s="32" t="inlineStr">
        <is>
          <t>Cartão de crédito</t>
        </is>
      </c>
      <c r="I145" s="32" t="inlineStr">
        <is>
          <t>Sim</t>
        </is>
      </c>
      <c r="J145" s="35">
        <f>IF(A145="","",MONTH(A145))</f>
        <v>3</v>
      </c>
      <c r="K145" s="35">
        <f>IF(A145="","",YEAR(A145))</f>
        <v>2026</v>
      </c>
    </row>
    <row r="146">
      <c r="A146" s="39" t="n">
        <v>46090</v>
      </c>
      <c r="B146" s="32" t="inlineStr">
        <is>
          <t>Entrada</t>
        </is>
      </c>
      <c r="C146" s="31" t="inlineStr">
        <is>
          <t>Convênio · Vida Care</t>
        </is>
      </c>
      <c r="D146" s="31" t="inlineStr">
        <is>
          <t>Vida Care</t>
        </is>
      </c>
      <c r="E146" s="31" t="inlineStr">
        <is>
          <t>Lote dez/2025</t>
        </is>
      </c>
      <c r="F146" s="31" t="inlineStr">
        <is>
          <t>Pagamento do lote de dez/2025 (17 guias. glosa de R$ 80)</t>
        </is>
      </c>
      <c r="G146" s="36" t="n">
        <v>1270</v>
      </c>
      <c r="H146" s="32" t="inlineStr">
        <is>
          <t>Transferência</t>
        </is>
      </c>
      <c r="I146" s="32" t="inlineStr">
        <is>
          <t>Sim</t>
        </is>
      </c>
      <c r="J146" s="35">
        <f>IF(A146="","",MONTH(A146))</f>
        <v>3</v>
      </c>
      <c r="K146" s="35">
        <f>IF(A146="","",YEAR(A146))</f>
        <v>2026</v>
      </c>
    </row>
    <row r="147">
      <c r="A147" s="39" t="n">
        <v>46090</v>
      </c>
      <c r="B147" s="32" t="inlineStr">
        <is>
          <t>Entrada</t>
        </is>
      </c>
      <c r="C147" s="31" t="inlineStr">
        <is>
          <t>Particular à vista</t>
        </is>
      </c>
      <c r="D147" s="31" t="inlineStr"/>
      <c r="E147" s="31" t="inlineStr">
        <is>
          <t>Fechamento do dia</t>
        </is>
      </c>
      <c r="F147" s="31" t="inlineStr">
        <is>
          <t>Fechamento do dia · 1 atendimento · cartão de débito</t>
        </is>
      </c>
      <c r="G147" s="36" t="n">
        <v>130</v>
      </c>
      <c r="H147" s="32" t="inlineStr">
        <is>
          <t>Cartão de débito</t>
        </is>
      </c>
      <c r="I147" s="32" t="inlineStr">
        <is>
          <t>Sim</t>
        </is>
      </c>
      <c r="J147" s="35">
        <f>IF(A147="","",MONTH(A147))</f>
        <v>3</v>
      </c>
      <c r="K147" s="35">
        <f>IF(A147="","",YEAR(A147))</f>
        <v>2026</v>
      </c>
    </row>
    <row r="148">
      <c r="A148" s="39" t="n">
        <v>46090</v>
      </c>
      <c r="B148" s="32" t="inlineStr">
        <is>
          <t>Entrada</t>
        </is>
      </c>
      <c r="C148" s="31" t="inlineStr">
        <is>
          <t>Particular à vista</t>
        </is>
      </c>
      <c r="D148" s="31" t="inlineStr"/>
      <c r="E148" s="31" t="inlineStr">
        <is>
          <t>Fechamento do dia</t>
        </is>
      </c>
      <c r="F148" s="31" t="inlineStr">
        <is>
          <t>Fechamento do dia · 2 atendimentos · pix</t>
        </is>
      </c>
      <c r="G148" s="36" t="n">
        <v>510</v>
      </c>
      <c r="H148" s="32" t="inlineStr">
        <is>
          <t>Pix</t>
        </is>
      </c>
      <c r="I148" s="32" t="inlineStr">
        <is>
          <t>Sim</t>
        </is>
      </c>
      <c r="J148" s="35">
        <f>IF(A148="","",MONTH(A148))</f>
        <v>3</v>
      </c>
      <c r="K148" s="35">
        <f>IF(A148="","",YEAR(A148))</f>
        <v>2026</v>
      </c>
    </row>
    <row r="149">
      <c r="A149" s="39" t="n">
        <v>46090</v>
      </c>
      <c r="B149" s="32" t="inlineStr">
        <is>
          <t>Entrada</t>
        </is>
      </c>
      <c r="C149" s="31" t="inlineStr">
        <is>
          <t>Particular à vista</t>
        </is>
      </c>
      <c r="D149" s="31" t="inlineStr"/>
      <c r="E149" s="31" t="inlineStr">
        <is>
          <t>Fechamento do dia</t>
        </is>
      </c>
      <c r="F149" s="31" t="inlineStr">
        <is>
          <t>Fechamento do dia · 4 atendimentos · cartão de crédito</t>
        </is>
      </c>
      <c r="G149" s="36" t="n">
        <v>1490</v>
      </c>
      <c r="H149" s="32" t="inlineStr">
        <is>
          <t>Cartão de crédito</t>
        </is>
      </c>
      <c r="I149" s="32" t="inlineStr">
        <is>
          <t>Sim</t>
        </is>
      </c>
      <c r="J149" s="35">
        <f>IF(A149="","",MONTH(A149))</f>
        <v>3</v>
      </c>
      <c r="K149" s="35">
        <f>IF(A149="","",YEAR(A149))</f>
        <v>2026</v>
      </c>
    </row>
    <row r="150">
      <c r="A150" s="39" t="n">
        <v>46091</v>
      </c>
      <c r="B150" s="32" t="inlineStr">
        <is>
          <t>Entrada</t>
        </is>
      </c>
      <c r="C150" s="31" t="inlineStr">
        <is>
          <t>Convênio · Saúde Total</t>
        </is>
      </c>
      <c r="D150" s="31" t="inlineStr">
        <is>
          <t>Saúde Total</t>
        </is>
      </c>
      <c r="E150" s="31" t="inlineStr">
        <is>
          <t>Lote jan/2026</t>
        </is>
      </c>
      <c r="F150" s="31" t="inlineStr">
        <is>
          <t>Pagamento do lote de jan/2026 (34 guias. glosa de R$ 80)</t>
        </is>
      </c>
      <c r="G150" s="36" t="n">
        <v>3750</v>
      </c>
      <c r="H150" s="32" t="inlineStr">
        <is>
          <t>Transferência</t>
        </is>
      </c>
      <c r="I150" s="32" t="inlineStr">
        <is>
          <t>Sim</t>
        </is>
      </c>
      <c r="J150" s="35">
        <f>IF(A150="","",MONTH(A150))</f>
        <v>3</v>
      </c>
      <c r="K150" s="35">
        <f>IF(A150="","",YEAR(A150))</f>
        <v>2026</v>
      </c>
    </row>
    <row r="151">
      <c r="A151" s="39" t="n">
        <v>46091</v>
      </c>
      <c r="B151" s="32" t="inlineStr">
        <is>
          <t>Entrada</t>
        </is>
      </c>
      <c r="C151" s="31" t="inlineStr">
        <is>
          <t>Particular a prazo</t>
        </is>
      </c>
      <c r="D151" s="31" t="inlineStr">
        <is>
          <t>Larissa Costa</t>
        </is>
      </c>
      <c r="E151" s="31" t="inlineStr">
        <is>
          <t>Parcela</t>
        </is>
      </c>
      <c r="F151" s="31" t="inlineStr">
        <is>
          <t>Consulta de 08/01 · parcela 2/2</t>
        </is>
      </c>
      <c r="G151" s="36" t="n">
        <v>190</v>
      </c>
      <c r="H151" s="32" t="inlineStr">
        <is>
          <t>Pix</t>
        </is>
      </c>
      <c r="I151" s="32" t="inlineStr">
        <is>
          <t>Sim</t>
        </is>
      </c>
      <c r="J151" s="35">
        <f>IF(A151="","",MONTH(A151))</f>
        <v>3</v>
      </c>
      <c r="K151" s="35">
        <f>IF(A151="","",YEAR(A151))</f>
        <v>2026</v>
      </c>
    </row>
    <row r="152">
      <c r="A152" s="39" t="n">
        <v>46091</v>
      </c>
      <c r="B152" s="32" t="inlineStr">
        <is>
          <t>Entrada</t>
        </is>
      </c>
      <c r="C152" s="31" t="inlineStr">
        <is>
          <t>Particular à vista</t>
        </is>
      </c>
      <c r="D152" s="31" t="inlineStr"/>
      <c r="E152" s="31" t="inlineStr">
        <is>
          <t>Fechamento do dia</t>
        </is>
      </c>
      <c r="F152" s="31" t="inlineStr">
        <is>
          <t>Fechamento do dia · 1 atendimento · cartão de crédito</t>
        </is>
      </c>
      <c r="G152" s="36" t="n">
        <v>380</v>
      </c>
      <c r="H152" s="32" t="inlineStr">
        <is>
          <t>Cartão de crédito</t>
        </is>
      </c>
      <c r="I152" s="32" t="inlineStr">
        <is>
          <t>Sim</t>
        </is>
      </c>
      <c r="J152" s="35">
        <f>IF(A152="","",MONTH(A152))</f>
        <v>3</v>
      </c>
      <c r="K152" s="35">
        <f>IF(A152="","",YEAR(A152))</f>
        <v>2026</v>
      </c>
    </row>
    <row r="153">
      <c r="A153" s="39" t="n">
        <v>46091</v>
      </c>
      <c r="B153" s="32" t="inlineStr">
        <is>
          <t>Entrada</t>
        </is>
      </c>
      <c r="C153" s="31" t="inlineStr">
        <is>
          <t>Particular à vista</t>
        </is>
      </c>
      <c r="D153" s="31" t="inlineStr"/>
      <c r="E153" s="31" t="inlineStr">
        <is>
          <t>Fechamento do dia</t>
        </is>
      </c>
      <c r="F153" s="31" t="inlineStr">
        <is>
          <t>Fechamento do dia · 1 atendimento · cartão de débito</t>
        </is>
      </c>
      <c r="G153" s="36" t="n">
        <v>380</v>
      </c>
      <c r="H153" s="32" t="inlineStr">
        <is>
          <t>Cartão de débito</t>
        </is>
      </c>
      <c r="I153" s="32" t="inlineStr">
        <is>
          <t>Sim</t>
        </is>
      </c>
      <c r="J153" s="35">
        <f>IF(A153="","",MONTH(A153))</f>
        <v>3</v>
      </c>
      <c r="K153" s="35">
        <f>IF(A153="","",YEAR(A153))</f>
        <v>2026</v>
      </c>
    </row>
    <row r="154">
      <c r="A154" s="39" t="n">
        <v>46091</v>
      </c>
      <c r="B154" s="32" t="inlineStr">
        <is>
          <t>Entrada</t>
        </is>
      </c>
      <c r="C154" s="31" t="inlineStr">
        <is>
          <t>Particular à vista</t>
        </is>
      </c>
      <c r="D154" s="31" t="inlineStr"/>
      <c r="E154" s="31" t="inlineStr">
        <is>
          <t>Fechamento do dia</t>
        </is>
      </c>
      <c r="F154" s="31" t="inlineStr">
        <is>
          <t>Fechamento do dia · 2 atendimentos · dinheiro</t>
        </is>
      </c>
      <c r="G154" s="36" t="n">
        <v>800</v>
      </c>
      <c r="H154" s="32" t="inlineStr">
        <is>
          <t>Dinheiro</t>
        </is>
      </c>
      <c r="I154" s="32" t="inlineStr">
        <is>
          <t>Sim</t>
        </is>
      </c>
      <c r="J154" s="35">
        <f>IF(A154="","",MONTH(A154))</f>
        <v>3</v>
      </c>
      <c r="K154" s="35">
        <f>IF(A154="","",YEAR(A154))</f>
        <v>2026</v>
      </c>
    </row>
    <row r="155">
      <c r="A155" s="39" t="n">
        <v>46091</v>
      </c>
      <c r="B155" s="32" t="inlineStr">
        <is>
          <t>Entrada</t>
        </is>
      </c>
      <c r="C155" s="31" t="inlineStr">
        <is>
          <t>Particular à vista</t>
        </is>
      </c>
      <c r="D155" s="31" t="inlineStr"/>
      <c r="E155" s="31" t="inlineStr">
        <is>
          <t>Fechamento do dia</t>
        </is>
      </c>
      <c r="F155" s="31" t="inlineStr">
        <is>
          <t>Fechamento do dia · 5 atendimentos · pix</t>
        </is>
      </c>
      <c r="G155" s="36" t="n">
        <v>1670</v>
      </c>
      <c r="H155" s="32" t="inlineStr">
        <is>
          <t>Pix</t>
        </is>
      </c>
      <c r="I155" s="32" t="inlineStr">
        <is>
          <t>Sim</t>
        </is>
      </c>
      <c r="J155" s="35">
        <f>IF(A155="","",MONTH(A155))</f>
        <v>3</v>
      </c>
      <c r="K155" s="35">
        <f>IF(A155="","",YEAR(A155))</f>
        <v>2026</v>
      </c>
    </row>
    <row r="156">
      <c r="A156" s="39" t="n">
        <v>46091</v>
      </c>
      <c r="B156" s="32" t="inlineStr">
        <is>
          <t>Saída</t>
        </is>
      </c>
      <c r="C156" s="31" t="inlineStr">
        <is>
          <t>Contador</t>
        </is>
      </c>
      <c r="D156" s="31" t="inlineStr"/>
      <c r="E156" s="31" t="inlineStr"/>
      <c r="F156" s="31" t="inlineStr">
        <is>
          <t>Honorários do contador</t>
        </is>
      </c>
      <c r="G156" s="36" t="n">
        <v>600</v>
      </c>
      <c r="H156" s="32" t="inlineStr">
        <is>
          <t>Boleto</t>
        </is>
      </c>
      <c r="I156" s="32" t="inlineStr">
        <is>
          <t>Sim</t>
        </is>
      </c>
      <c r="J156" s="35">
        <f>IF(A156="","",MONTH(A156))</f>
        <v>3</v>
      </c>
      <c r="K156" s="35">
        <f>IF(A156="","",YEAR(A156))</f>
        <v>2026</v>
      </c>
    </row>
    <row r="157">
      <c r="A157" s="39" t="n">
        <v>46091</v>
      </c>
      <c r="B157" s="32" t="inlineStr">
        <is>
          <t>Saída</t>
        </is>
      </c>
      <c r="C157" s="31" t="inlineStr">
        <is>
          <t>Repasse à médica parceira</t>
        </is>
      </c>
      <c r="D157" s="31" t="inlineStr">
        <is>
          <t>Dra. Renata Sousa</t>
        </is>
      </c>
      <c r="E157" s="31" t="inlineStr"/>
      <c r="F157" s="31" t="inlineStr">
        <is>
          <t>Repasse · Dra. Renata Sousa · 50 % da produção de fev</t>
        </is>
      </c>
      <c r="G157" s="36" t="n">
        <v>3255</v>
      </c>
      <c r="H157" s="32" t="inlineStr">
        <is>
          <t>Transferência</t>
        </is>
      </c>
      <c r="I157" s="32" t="inlineStr">
        <is>
          <t>Sim</t>
        </is>
      </c>
      <c r="J157" s="35">
        <f>IF(A157="","",MONTH(A157))</f>
        <v>3</v>
      </c>
      <c r="K157" s="35">
        <f>IF(A157="","",YEAR(A157))</f>
        <v>2026</v>
      </c>
    </row>
    <row r="158">
      <c r="A158" s="39" t="n">
        <v>46092</v>
      </c>
      <c r="B158" s="32" t="inlineStr">
        <is>
          <t>Entrada</t>
        </is>
      </c>
      <c r="C158" s="31" t="inlineStr">
        <is>
          <t>Particular à vista</t>
        </is>
      </c>
      <c r="D158" s="31" t="inlineStr"/>
      <c r="E158" s="31" t="inlineStr">
        <is>
          <t>Fechamento do dia</t>
        </is>
      </c>
      <c r="F158" s="31" t="inlineStr">
        <is>
          <t>Fechamento do dia · 1 atendimento · cartão de crédito</t>
        </is>
      </c>
      <c r="G158" s="36" t="n">
        <v>380</v>
      </c>
      <c r="H158" s="32" t="inlineStr">
        <is>
          <t>Cartão de crédito</t>
        </is>
      </c>
      <c r="I158" s="32" t="inlineStr">
        <is>
          <t>Sim</t>
        </is>
      </c>
      <c r="J158" s="35">
        <f>IF(A158="","",MONTH(A158))</f>
        <v>3</v>
      </c>
      <c r="K158" s="35">
        <f>IF(A158="","",YEAR(A158))</f>
        <v>2026</v>
      </c>
    </row>
    <row r="159">
      <c r="A159" s="39" t="n">
        <v>46092</v>
      </c>
      <c r="B159" s="32" t="inlineStr">
        <is>
          <t>Saída</t>
        </is>
      </c>
      <c r="C159" s="31" t="inlineStr">
        <is>
          <t>Outras saídas</t>
        </is>
      </c>
      <c r="D159" s="31" t="inlineStr"/>
      <c r="E159" s="31" t="inlineStr"/>
      <c r="F159" s="31" t="inlineStr">
        <is>
          <t>Despesa pessoal · Dr. Paulo Andrade · combustível particular (a acertar)</t>
        </is>
      </c>
      <c r="G159" s="36" t="n">
        <v>350</v>
      </c>
      <c r="H159" s="32" t="inlineStr">
        <is>
          <t>Cartão de crédito</t>
        </is>
      </c>
      <c r="I159" s="32" t="inlineStr">
        <is>
          <t>Sim</t>
        </is>
      </c>
      <c r="J159" s="35">
        <f>IF(A159="","",MONTH(A159))</f>
        <v>3</v>
      </c>
      <c r="K159" s="35">
        <f>IF(A159="","",YEAR(A159))</f>
        <v>2026</v>
      </c>
    </row>
    <row r="160">
      <c r="A160" s="39" t="n">
        <v>46093</v>
      </c>
      <c r="B160" s="32" t="inlineStr">
        <is>
          <t>Entrada</t>
        </is>
      </c>
      <c r="C160" s="31" t="inlineStr">
        <is>
          <t>Particular à vista</t>
        </is>
      </c>
      <c r="D160" s="31" t="inlineStr"/>
      <c r="E160" s="31" t="inlineStr">
        <is>
          <t>Fechamento do dia</t>
        </is>
      </c>
      <c r="F160" s="31" t="inlineStr">
        <is>
          <t>Fechamento do dia · 1 atendimento · cartão de débito</t>
        </is>
      </c>
      <c r="G160" s="36" t="n">
        <v>400</v>
      </c>
      <c r="H160" s="32" t="inlineStr">
        <is>
          <t>Cartão de débito</t>
        </is>
      </c>
      <c r="I160" s="32" t="inlineStr">
        <is>
          <t>Sim</t>
        </is>
      </c>
      <c r="J160" s="35">
        <f>IF(A160="","",MONTH(A160))</f>
        <v>3</v>
      </c>
      <c r="K160" s="35">
        <f>IF(A160="","",YEAR(A160))</f>
        <v>2026</v>
      </c>
    </row>
    <row r="161">
      <c r="A161" s="39" t="n">
        <v>46093</v>
      </c>
      <c r="B161" s="32" t="inlineStr">
        <is>
          <t>Entrada</t>
        </is>
      </c>
      <c r="C161" s="31" t="inlineStr">
        <is>
          <t>Particular à vista</t>
        </is>
      </c>
      <c r="D161" s="31" t="inlineStr"/>
      <c r="E161" s="31" t="inlineStr">
        <is>
          <t>Fechamento do dia</t>
        </is>
      </c>
      <c r="F161" s="31" t="inlineStr">
        <is>
          <t>Fechamento do dia · 1 atendimento · dinheiro</t>
        </is>
      </c>
      <c r="G161" s="36" t="n">
        <v>300</v>
      </c>
      <c r="H161" s="32" t="inlineStr">
        <is>
          <t>Dinheiro</t>
        </is>
      </c>
      <c r="I161" s="32" t="inlineStr">
        <is>
          <t>Sim</t>
        </is>
      </c>
      <c r="J161" s="35">
        <f>IF(A161="","",MONTH(A161))</f>
        <v>3</v>
      </c>
      <c r="K161" s="35">
        <f>IF(A161="","",YEAR(A161))</f>
        <v>2026</v>
      </c>
    </row>
    <row r="162">
      <c r="A162" s="39" t="n">
        <v>46093</v>
      </c>
      <c r="B162" s="32" t="inlineStr">
        <is>
          <t>Entrada</t>
        </is>
      </c>
      <c r="C162" s="31" t="inlineStr">
        <is>
          <t>Particular à vista</t>
        </is>
      </c>
      <c r="D162" s="31" t="inlineStr"/>
      <c r="E162" s="31" t="inlineStr">
        <is>
          <t>Fechamento do dia</t>
        </is>
      </c>
      <c r="F162" s="31" t="inlineStr">
        <is>
          <t>Fechamento do dia · 3 atendimentos · pix</t>
        </is>
      </c>
      <c r="G162" s="36" t="n">
        <v>1160</v>
      </c>
      <c r="H162" s="32" t="inlineStr">
        <is>
          <t>Pix</t>
        </is>
      </c>
      <c r="I162" s="32" t="inlineStr">
        <is>
          <t>Sim</t>
        </is>
      </c>
      <c r="J162" s="35">
        <f>IF(A162="","",MONTH(A162))</f>
        <v>3</v>
      </c>
      <c r="K162" s="35">
        <f>IF(A162="","",YEAR(A162))</f>
        <v>2026</v>
      </c>
    </row>
    <row r="163">
      <c r="A163" s="39" t="n">
        <v>46093</v>
      </c>
      <c r="B163" s="32" t="inlineStr">
        <is>
          <t>Entrada</t>
        </is>
      </c>
      <c r="C163" s="31" t="inlineStr">
        <is>
          <t>Particular à vista</t>
        </is>
      </c>
      <c r="D163" s="31" t="inlineStr"/>
      <c r="E163" s="31" t="inlineStr">
        <is>
          <t>Fechamento do dia</t>
        </is>
      </c>
      <c r="F163" s="31" t="inlineStr">
        <is>
          <t>Fechamento do dia · 4 atendimentos · cartão de crédito</t>
        </is>
      </c>
      <c r="G163" s="36" t="n">
        <v>1340</v>
      </c>
      <c r="H163" s="32" t="inlineStr">
        <is>
          <t>Cartão de crédito</t>
        </is>
      </c>
      <c r="I163" s="32" t="inlineStr">
        <is>
          <t>Sim</t>
        </is>
      </c>
      <c r="J163" s="35">
        <f>IF(A163="","",MONTH(A163))</f>
        <v>3</v>
      </c>
      <c r="K163" s="35">
        <f>IF(A163="","",YEAR(A163))</f>
        <v>2026</v>
      </c>
    </row>
    <row r="164">
      <c r="A164" s="39" t="n">
        <v>46093</v>
      </c>
      <c r="B164" s="32" t="inlineStr">
        <is>
          <t>Saída</t>
        </is>
      </c>
      <c r="C164" s="31" t="inlineStr">
        <is>
          <t>Energia, água, internet e telefone</t>
        </is>
      </c>
      <c r="D164" s="31" t="inlineStr"/>
      <c r="E164" s="31" t="inlineStr"/>
      <c r="F164" s="31" t="inlineStr">
        <is>
          <t>Energia, água, internet e telefone</t>
        </is>
      </c>
      <c r="G164" s="36" t="n">
        <v>550</v>
      </c>
      <c r="H164" s="32" t="inlineStr">
        <is>
          <t>Boleto</t>
        </is>
      </c>
      <c r="I164" s="32" t="inlineStr">
        <is>
          <t>Sim</t>
        </is>
      </c>
      <c r="J164" s="35">
        <f>IF(A164="","",MONTH(A164))</f>
        <v>3</v>
      </c>
      <c r="K164" s="35">
        <f>IF(A164="","",YEAR(A164))</f>
        <v>2026</v>
      </c>
    </row>
    <row r="165">
      <c r="A165" s="39" t="n">
        <v>46094</v>
      </c>
      <c r="B165" s="32" t="inlineStr">
        <is>
          <t>Entrada</t>
        </is>
      </c>
      <c r="C165" s="31" t="inlineStr">
        <is>
          <t>Particular a prazo</t>
        </is>
      </c>
      <c r="D165" s="31" t="inlineStr">
        <is>
          <t>Gisele Ribeiro</t>
        </is>
      </c>
      <c r="E165" s="31" t="inlineStr">
        <is>
          <t>Parcela</t>
        </is>
      </c>
      <c r="F165" s="31" t="inlineStr">
        <is>
          <t>Check-up cardiológico (consulta + ECG + teste ergométrico) de 12/01 · parcela 2/2</t>
        </is>
      </c>
      <c r="G165" s="36" t="n">
        <v>480</v>
      </c>
      <c r="H165" s="32" t="inlineStr">
        <is>
          <t>Pix</t>
        </is>
      </c>
      <c r="I165" s="32" t="inlineStr">
        <is>
          <t>Sim</t>
        </is>
      </c>
      <c r="J165" s="35">
        <f>IF(A165="","",MONTH(A165))</f>
        <v>3</v>
      </c>
      <c r="K165" s="35">
        <f>IF(A165="","",YEAR(A165))</f>
        <v>2026</v>
      </c>
    </row>
    <row r="166">
      <c r="A166" s="39" t="n">
        <v>46094</v>
      </c>
      <c r="B166" s="32" t="inlineStr">
        <is>
          <t>Entrada</t>
        </is>
      </c>
      <c r="C166" s="31" t="inlineStr">
        <is>
          <t>Particular a prazo</t>
        </is>
      </c>
      <c r="D166" s="31" t="inlineStr">
        <is>
          <t>Mônica Martins</t>
        </is>
      </c>
      <c r="E166" s="31" t="inlineStr">
        <is>
          <t>Parcela</t>
        </is>
      </c>
      <c r="F166" s="31" t="inlineStr">
        <is>
          <t>Consulta de 11/02 · parcela 1/2 (vencida)</t>
        </is>
      </c>
      <c r="G166" s="36" t="n">
        <v>190</v>
      </c>
      <c r="H166" s="32" t="inlineStr">
        <is>
          <t>Pix</t>
        </is>
      </c>
      <c r="I166" s="32" t="inlineStr">
        <is>
          <t>Não</t>
        </is>
      </c>
      <c r="J166" s="35">
        <f>IF(A166="","",MONTH(A166))</f>
        <v>3</v>
      </c>
      <c r="K166" s="35">
        <f>IF(A166="","",YEAR(A166))</f>
        <v>2026</v>
      </c>
    </row>
    <row r="167">
      <c r="A167" s="39" t="n">
        <v>46094</v>
      </c>
      <c r="B167" s="32" t="inlineStr">
        <is>
          <t>Entrada</t>
        </is>
      </c>
      <c r="C167" s="31" t="inlineStr">
        <is>
          <t>Particular à vista</t>
        </is>
      </c>
      <c r="D167" s="31" t="inlineStr"/>
      <c r="E167" s="31" t="inlineStr">
        <is>
          <t>Fechamento do dia</t>
        </is>
      </c>
      <c r="F167" s="31" t="inlineStr">
        <is>
          <t>Fechamento do dia · 2 atendimentos · pix</t>
        </is>
      </c>
      <c r="G167" s="36" t="n">
        <v>830</v>
      </c>
      <c r="H167" s="32" t="inlineStr">
        <is>
          <t>Pix</t>
        </is>
      </c>
      <c r="I167" s="32" t="inlineStr">
        <is>
          <t>Sim</t>
        </is>
      </c>
      <c r="J167" s="35">
        <f>IF(A167="","",MONTH(A167))</f>
        <v>3</v>
      </c>
      <c r="K167" s="35">
        <f>IF(A167="","",YEAR(A167))</f>
        <v>2026</v>
      </c>
    </row>
    <row r="168">
      <c r="A168" s="39" t="n">
        <v>46096</v>
      </c>
      <c r="B168" s="32" t="inlineStr">
        <is>
          <t>Entrada</t>
        </is>
      </c>
      <c r="C168" s="31" t="inlineStr">
        <is>
          <t>Particular a prazo</t>
        </is>
      </c>
      <c r="D168" s="31" t="inlineStr">
        <is>
          <t>Henrique Ribeiro</t>
        </is>
      </c>
      <c r="E168" s="31" t="inlineStr">
        <is>
          <t>Parcela</t>
        </is>
      </c>
      <c r="F168" s="31" t="inlineStr">
        <is>
          <t>Holter de 13/02 · parcela 1/2</t>
        </is>
      </c>
      <c r="G168" s="36" t="n">
        <v>175</v>
      </c>
      <c r="H168" s="32" t="inlineStr">
        <is>
          <t>Pix</t>
        </is>
      </c>
      <c r="I168" s="32" t="inlineStr">
        <is>
          <t>Sim</t>
        </is>
      </c>
      <c r="J168" s="35">
        <f>IF(A168="","",MONTH(A168))</f>
        <v>3</v>
      </c>
      <c r="K168" s="35">
        <f>IF(A168="","",YEAR(A168))</f>
        <v>2026</v>
      </c>
    </row>
    <row r="169">
      <c r="A169" s="39" t="n">
        <v>46096</v>
      </c>
      <c r="B169" s="32" t="inlineStr">
        <is>
          <t>Saída</t>
        </is>
      </c>
      <c r="C169" s="31" t="inlineStr">
        <is>
          <t>Anuidade CRM, seguro e cursos</t>
        </is>
      </c>
      <c r="D169" s="31" t="inlineStr"/>
      <c r="E169" s="31" t="inlineStr"/>
      <c r="F169" s="31" t="inlineStr">
        <is>
          <t>Anuidade CRM, seguro e cursos</t>
        </is>
      </c>
      <c r="G169" s="36" t="n">
        <v>450</v>
      </c>
      <c r="H169" s="32" t="inlineStr">
        <is>
          <t>Cartão de crédito</t>
        </is>
      </c>
      <c r="I169" s="32" t="inlineStr">
        <is>
          <t>Sim</t>
        </is>
      </c>
      <c r="J169" s="35">
        <f>IF(A169="","",MONTH(A169))</f>
        <v>3</v>
      </c>
      <c r="K169" s="35">
        <f>IF(A169="","",YEAR(A169))</f>
        <v>2026</v>
      </c>
    </row>
    <row r="170">
      <c r="A170" s="39" t="n">
        <v>46096</v>
      </c>
      <c r="B170" s="32" t="inlineStr">
        <is>
          <t>Saída</t>
        </is>
      </c>
      <c r="C170" s="31" t="inlineStr">
        <is>
          <t>Limpeza e material de escritório</t>
        </is>
      </c>
      <c r="D170" s="31" t="inlineStr"/>
      <c r="E170" s="31" t="inlineStr"/>
      <c r="F170" s="31" t="inlineStr">
        <is>
          <t>Limpeza e material de escritório</t>
        </is>
      </c>
      <c r="G170" s="36" t="n">
        <v>450</v>
      </c>
      <c r="H170" s="32" t="inlineStr">
        <is>
          <t>Cartão de crédito</t>
        </is>
      </c>
      <c r="I170" s="32" t="inlineStr">
        <is>
          <t>Sim</t>
        </is>
      </c>
      <c r="J170" s="35">
        <f>IF(A170="","",MONTH(A170))</f>
        <v>3</v>
      </c>
      <c r="K170" s="35">
        <f>IF(A170="","",YEAR(A170))</f>
        <v>2026</v>
      </c>
    </row>
    <row r="171">
      <c r="A171" s="39" t="n">
        <v>46097</v>
      </c>
      <c r="B171" s="32" t="inlineStr">
        <is>
          <t>Entrada</t>
        </is>
      </c>
      <c r="C171" s="31" t="inlineStr">
        <is>
          <t>Particular a prazo</t>
        </is>
      </c>
      <c r="D171" s="31" t="inlineStr">
        <is>
          <t>Carlos Oliveira</t>
        </is>
      </c>
      <c r="E171" s="31" t="inlineStr">
        <is>
          <t>Parcela</t>
        </is>
      </c>
      <c r="F171" s="31" t="inlineStr">
        <is>
          <t>Consulta de 13/02 · parcela 1/2</t>
        </is>
      </c>
      <c r="G171" s="36" t="n">
        <v>190</v>
      </c>
      <c r="H171" s="32" t="inlineStr">
        <is>
          <t>Pix</t>
        </is>
      </c>
      <c r="I171" s="32" t="inlineStr">
        <is>
          <t>Sim</t>
        </is>
      </c>
      <c r="J171" s="35">
        <f>IF(A171="","",MONTH(A171))</f>
        <v>3</v>
      </c>
      <c r="K171" s="35">
        <f>IF(A171="","",YEAR(A171))</f>
        <v>2026</v>
      </c>
    </row>
    <row r="172">
      <c r="A172" s="39" t="n">
        <v>46097</v>
      </c>
      <c r="B172" s="32" t="inlineStr">
        <is>
          <t>Entrada</t>
        </is>
      </c>
      <c r="C172" s="31" t="inlineStr">
        <is>
          <t>Particular à vista</t>
        </is>
      </c>
      <c r="D172" s="31" t="inlineStr"/>
      <c r="E172" s="31" t="inlineStr">
        <is>
          <t>Fechamento do dia</t>
        </is>
      </c>
      <c r="F172" s="31" t="inlineStr">
        <is>
          <t>Fechamento do dia · 1 atendimento · cartão de crédito</t>
        </is>
      </c>
      <c r="G172" s="36" t="n">
        <v>130</v>
      </c>
      <c r="H172" s="32" t="inlineStr">
        <is>
          <t>Cartão de crédito</t>
        </is>
      </c>
      <c r="I172" s="32" t="inlineStr">
        <is>
          <t>Sim</t>
        </is>
      </c>
      <c r="J172" s="35">
        <f>IF(A172="","",MONTH(A172))</f>
        <v>3</v>
      </c>
      <c r="K172" s="35">
        <f>IF(A172="","",YEAR(A172))</f>
        <v>2026</v>
      </c>
    </row>
    <row r="173">
      <c r="A173" s="39" t="n">
        <v>46097</v>
      </c>
      <c r="B173" s="32" t="inlineStr">
        <is>
          <t>Entrada</t>
        </is>
      </c>
      <c r="C173" s="31" t="inlineStr">
        <is>
          <t>Particular à vista</t>
        </is>
      </c>
      <c r="D173" s="31" t="inlineStr"/>
      <c r="E173" s="31" t="inlineStr">
        <is>
          <t>Fechamento do dia</t>
        </is>
      </c>
      <c r="F173" s="31" t="inlineStr">
        <is>
          <t>Fechamento do dia · 1 atendimento · dinheiro</t>
        </is>
      </c>
      <c r="G173" s="36" t="n">
        <v>380</v>
      </c>
      <c r="H173" s="32" t="inlineStr">
        <is>
          <t>Dinheiro</t>
        </is>
      </c>
      <c r="I173" s="32" t="inlineStr">
        <is>
          <t>Sim</t>
        </is>
      </c>
      <c r="J173" s="35">
        <f>IF(A173="","",MONTH(A173))</f>
        <v>3</v>
      </c>
      <c r="K173" s="35">
        <f>IF(A173="","",YEAR(A173))</f>
        <v>2026</v>
      </c>
    </row>
    <row r="174">
      <c r="A174" s="39" t="n">
        <v>46097</v>
      </c>
      <c r="B174" s="32" t="inlineStr">
        <is>
          <t>Entrada</t>
        </is>
      </c>
      <c r="C174" s="31" t="inlineStr">
        <is>
          <t>Particular à vista</t>
        </is>
      </c>
      <c r="D174" s="31" t="inlineStr"/>
      <c r="E174" s="31" t="inlineStr">
        <is>
          <t>Fechamento do dia</t>
        </is>
      </c>
      <c r="F174" s="31" t="inlineStr">
        <is>
          <t>Fechamento do dia · 2 atendimentos · pix</t>
        </is>
      </c>
      <c r="G174" s="36" t="n">
        <v>760</v>
      </c>
      <c r="H174" s="32" t="inlineStr">
        <is>
          <t>Pix</t>
        </is>
      </c>
      <c r="I174" s="32" t="inlineStr">
        <is>
          <t>Sim</t>
        </is>
      </c>
      <c r="J174" s="35">
        <f>IF(A174="","",MONTH(A174))</f>
        <v>3</v>
      </c>
      <c r="K174" s="35">
        <f>IF(A174="","",YEAR(A174))</f>
        <v>2026</v>
      </c>
    </row>
    <row r="175">
      <c r="A175" s="39" t="n">
        <v>46097</v>
      </c>
      <c r="B175" s="32" t="inlineStr">
        <is>
          <t>Saída</t>
        </is>
      </c>
      <c r="C175" s="31" t="inlineStr">
        <is>
          <t>Pró-labore dos sócios</t>
        </is>
      </c>
      <c r="D175" s="31" t="inlineStr"/>
      <c r="E175" s="31" t="inlineStr"/>
      <c r="F175" s="31" t="inlineStr">
        <is>
          <t>Retirada extra · Dr. Paulo Andrade · adiantamento para congresso</t>
        </is>
      </c>
      <c r="G175" s="36" t="n">
        <v>2000</v>
      </c>
      <c r="H175" s="32" t="inlineStr">
        <is>
          <t>Transferência</t>
        </is>
      </c>
      <c r="I175" s="32" t="inlineStr">
        <is>
          <t>Sim</t>
        </is>
      </c>
      <c r="J175" s="35">
        <f>IF(A175="","",MONTH(A175))</f>
        <v>3</v>
      </c>
      <c r="K175" s="35">
        <f>IF(A175="","",YEAR(A175))</f>
        <v>2026</v>
      </c>
    </row>
    <row r="176">
      <c r="A176" s="39" t="n">
        <v>46098</v>
      </c>
      <c r="B176" s="32" t="inlineStr">
        <is>
          <t>Entrada</t>
        </is>
      </c>
      <c r="C176" s="31" t="inlineStr">
        <is>
          <t>Particular a prazo</t>
        </is>
      </c>
      <c r="D176" s="31" t="inlineStr">
        <is>
          <t>Fernanda Freitas</t>
        </is>
      </c>
      <c r="E176" s="31" t="inlineStr">
        <is>
          <t>Parcela</t>
        </is>
      </c>
      <c r="F176" s="31" t="inlineStr">
        <is>
          <t>Consulta de 10/02 · parcela 1/1</t>
        </is>
      </c>
      <c r="G176" s="36" t="n">
        <v>380</v>
      </c>
      <c r="H176" s="32" t="inlineStr">
        <is>
          <t>Pix</t>
        </is>
      </c>
      <c r="I176" s="32" t="inlineStr">
        <is>
          <t>Sim</t>
        </is>
      </c>
      <c r="J176" s="35">
        <f>IF(A176="","",MONTH(A176))</f>
        <v>3</v>
      </c>
      <c r="K176" s="35">
        <f>IF(A176="","",YEAR(A176))</f>
        <v>2026</v>
      </c>
    </row>
    <row r="177">
      <c r="A177" s="39" t="n">
        <v>46098</v>
      </c>
      <c r="B177" s="32" t="inlineStr">
        <is>
          <t>Entrada</t>
        </is>
      </c>
      <c r="C177" s="31" t="inlineStr">
        <is>
          <t>Particular a prazo</t>
        </is>
      </c>
      <c r="D177" s="31" t="inlineStr">
        <is>
          <t>Wagner Lima</t>
        </is>
      </c>
      <c r="E177" s="31" t="inlineStr">
        <is>
          <t>Parcela</t>
        </is>
      </c>
      <c r="F177" s="31" t="inlineStr">
        <is>
          <t>Holter de 16/01 · parcela 2/2</t>
        </is>
      </c>
      <c r="G177" s="36" t="n">
        <v>175</v>
      </c>
      <c r="H177" s="32" t="inlineStr">
        <is>
          <t>Pix</t>
        </is>
      </c>
      <c r="I177" s="32" t="inlineStr">
        <is>
          <t>Sim</t>
        </is>
      </c>
      <c r="J177" s="35">
        <f>IF(A177="","",MONTH(A177))</f>
        <v>3</v>
      </c>
      <c r="K177" s="35">
        <f>IF(A177="","",YEAR(A177))</f>
        <v>2026</v>
      </c>
    </row>
    <row r="178">
      <c r="A178" s="39" t="n">
        <v>46098</v>
      </c>
      <c r="B178" s="32" t="inlineStr">
        <is>
          <t>Entrada</t>
        </is>
      </c>
      <c r="C178" s="31" t="inlineStr">
        <is>
          <t>Particular à vista</t>
        </is>
      </c>
      <c r="D178" s="31" t="inlineStr"/>
      <c r="E178" s="31" t="inlineStr">
        <is>
          <t>Fechamento do dia</t>
        </is>
      </c>
      <c r="F178" s="31" t="inlineStr">
        <is>
          <t>Fechamento do dia · 3 atendimentos · cartão de crédito</t>
        </is>
      </c>
      <c r="G178" s="36" t="n">
        <v>930</v>
      </c>
      <c r="H178" s="32" t="inlineStr">
        <is>
          <t>Cartão de crédito</t>
        </is>
      </c>
      <c r="I178" s="32" t="inlineStr">
        <is>
          <t>Sim</t>
        </is>
      </c>
      <c r="J178" s="35">
        <f>IF(A178="","",MONTH(A178))</f>
        <v>3</v>
      </c>
      <c r="K178" s="35">
        <f>IF(A178="","",YEAR(A178))</f>
        <v>2026</v>
      </c>
    </row>
    <row r="179">
      <c r="A179" s="39" t="n">
        <v>46098</v>
      </c>
      <c r="B179" s="32" t="inlineStr">
        <is>
          <t>Entrada</t>
        </is>
      </c>
      <c r="C179" s="31" t="inlineStr">
        <is>
          <t>Particular à vista</t>
        </is>
      </c>
      <c r="D179" s="31" t="inlineStr"/>
      <c r="E179" s="31" t="inlineStr">
        <is>
          <t>Fechamento do dia</t>
        </is>
      </c>
      <c r="F179" s="31" t="inlineStr">
        <is>
          <t>Fechamento do dia · 3 atendimentos · pix</t>
        </is>
      </c>
      <c r="G179" s="36" t="n">
        <v>910</v>
      </c>
      <c r="H179" s="32" t="inlineStr">
        <is>
          <t>Pix</t>
        </is>
      </c>
      <c r="I179" s="32" t="inlineStr">
        <is>
          <t>Sim</t>
        </is>
      </c>
      <c r="J179" s="35">
        <f>IF(A179="","",MONTH(A179))</f>
        <v>3</v>
      </c>
      <c r="K179" s="35">
        <f>IF(A179="","",YEAR(A179))</f>
        <v>2026</v>
      </c>
    </row>
    <row r="180">
      <c r="A180" s="39" t="n">
        <v>46099</v>
      </c>
      <c r="B180" s="32" t="inlineStr">
        <is>
          <t>Entrada</t>
        </is>
      </c>
      <c r="C180" s="31" t="inlineStr">
        <is>
          <t>Particular à vista</t>
        </is>
      </c>
      <c r="D180" s="31" t="inlineStr"/>
      <c r="E180" s="31" t="inlineStr">
        <is>
          <t>Fechamento do dia</t>
        </is>
      </c>
      <c r="F180" s="31" t="inlineStr">
        <is>
          <t>Fechamento do dia · 2 atendimentos · cartão de crédito</t>
        </is>
      </c>
      <c r="G180" s="36" t="n">
        <v>760</v>
      </c>
      <c r="H180" s="32" t="inlineStr">
        <is>
          <t>Cartão de crédito</t>
        </is>
      </c>
      <c r="I180" s="32" t="inlineStr">
        <is>
          <t>Sim</t>
        </is>
      </c>
      <c r="J180" s="35">
        <f>IF(A180="","",MONTH(A180))</f>
        <v>3</v>
      </c>
      <c r="K180" s="35">
        <f>IF(A180="","",YEAR(A180))</f>
        <v>2026</v>
      </c>
    </row>
    <row r="181">
      <c r="A181" s="39" t="n">
        <v>46100</v>
      </c>
      <c r="B181" s="32" t="inlineStr">
        <is>
          <t>Entrada</t>
        </is>
      </c>
      <c r="C181" s="31" t="inlineStr">
        <is>
          <t>Particular a prazo</t>
        </is>
      </c>
      <c r="D181" s="31" t="inlineStr">
        <is>
          <t>Márcia Duarte</t>
        </is>
      </c>
      <c r="E181" s="31" t="inlineStr">
        <is>
          <t>Parcela</t>
        </is>
      </c>
      <c r="F181" s="31" t="inlineStr">
        <is>
          <t>Avaliação endócrina de 13/01 · parcela 2/2</t>
        </is>
      </c>
      <c r="G181" s="36" t="n">
        <v>200</v>
      </c>
      <c r="H181" s="32" t="inlineStr">
        <is>
          <t>Pix</t>
        </is>
      </c>
      <c r="I181" s="32" t="inlineStr">
        <is>
          <t>Sim</t>
        </is>
      </c>
      <c r="J181" s="35">
        <f>IF(A181="","",MONTH(A181))</f>
        <v>3</v>
      </c>
      <c r="K181" s="35">
        <f>IF(A181="","",YEAR(A181))</f>
        <v>2026</v>
      </c>
    </row>
    <row r="182">
      <c r="A182" s="39" t="n">
        <v>46100</v>
      </c>
      <c r="B182" s="32" t="inlineStr">
        <is>
          <t>Entrada</t>
        </is>
      </c>
      <c r="C182" s="31" t="inlineStr">
        <is>
          <t>Particular à vista</t>
        </is>
      </c>
      <c r="D182" s="31" t="inlineStr"/>
      <c r="E182" s="31" t="inlineStr">
        <is>
          <t>Fechamento do dia</t>
        </is>
      </c>
      <c r="F182" s="31" t="inlineStr">
        <is>
          <t>Fechamento do dia · 1 atendimento · cartão de crédito</t>
        </is>
      </c>
      <c r="G182" s="36" t="n">
        <v>380</v>
      </c>
      <c r="H182" s="32" t="inlineStr">
        <is>
          <t>Cartão de crédito</t>
        </is>
      </c>
      <c r="I182" s="32" t="inlineStr">
        <is>
          <t>Sim</t>
        </is>
      </c>
      <c r="J182" s="35">
        <f>IF(A182="","",MONTH(A182))</f>
        <v>3</v>
      </c>
      <c r="K182" s="35">
        <f>IF(A182="","",YEAR(A182))</f>
        <v>2026</v>
      </c>
    </row>
    <row r="183">
      <c r="A183" s="39" t="n">
        <v>46100</v>
      </c>
      <c r="B183" s="32" t="inlineStr">
        <is>
          <t>Entrada</t>
        </is>
      </c>
      <c r="C183" s="31" t="inlineStr">
        <is>
          <t>Particular à vista</t>
        </is>
      </c>
      <c r="D183" s="31" t="inlineStr"/>
      <c r="E183" s="31" t="inlineStr">
        <is>
          <t>Fechamento do dia</t>
        </is>
      </c>
      <c r="F183" s="31" t="inlineStr">
        <is>
          <t>Fechamento do dia · 2 atendimentos · pix</t>
        </is>
      </c>
      <c r="G183" s="36" t="n">
        <v>780</v>
      </c>
      <c r="H183" s="32" t="inlineStr">
        <is>
          <t>Pix</t>
        </is>
      </c>
      <c r="I183" s="32" t="inlineStr">
        <is>
          <t>Sim</t>
        </is>
      </c>
      <c r="J183" s="35">
        <f>IF(A183="","",MONTH(A183))</f>
        <v>3</v>
      </c>
      <c r="K183" s="35">
        <f>IF(A183="","",YEAR(A183))</f>
        <v>2026</v>
      </c>
    </row>
    <row r="184">
      <c r="A184" s="39" t="n">
        <v>46100</v>
      </c>
      <c r="B184" s="32" t="inlineStr">
        <is>
          <t>Entrada</t>
        </is>
      </c>
      <c r="C184" s="31" t="inlineStr">
        <is>
          <t>Particular à vista</t>
        </is>
      </c>
      <c r="D184" s="31" t="inlineStr"/>
      <c r="E184" s="31" t="inlineStr">
        <is>
          <t>Fechamento do dia</t>
        </is>
      </c>
      <c r="F184" s="31" t="inlineStr">
        <is>
          <t>Fechamento do dia · 4 atendimentos · cartão de débito</t>
        </is>
      </c>
      <c r="G184" s="36" t="n">
        <v>1210</v>
      </c>
      <c r="H184" s="32" t="inlineStr">
        <is>
          <t>Cartão de débito</t>
        </is>
      </c>
      <c r="I184" s="32" t="inlineStr">
        <is>
          <t>Sim</t>
        </is>
      </c>
      <c r="J184" s="35">
        <f>IF(A184="","",MONTH(A184))</f>
        <v>3</v>
      </c>
      <c r="K184" s="35">
        <f>IF(A184="","",YEAR(A184))</f>
        <v>2026</v>
      </c>
    </row>
    <row r="185">
      <c r="A185" s="39" t="n">
        <v>46101</v>
      </c>
      <c r="B185" s="32" t="inlineStr">
        <is>
          <t>Entrada</t>
        </is>
      </c>
      <c r="C185" s="31" t="inlineStr">
        <is>
          <t>Particular à vista</t>
        </is>
      </c>
      <c r="D185" s="31" t="inlineStr"/>
      <c r="E185" s="31" t="inlineStr">
        <is>
          <t>Fechamento do dia</t>
        </is>
      </c>
      <c r="F185" s="31" t="inlineStr">
        <is>
          <t>Fechamento do dia · 1 atendimento · cartão de crédito</t>
        </is>
      </c>
      <c r="G185" s="36" t="n">
        <v>380</v>
      </c>
      <c r="H185" s="32" t="inlineStr">
        <is>
          <t>Cartão de crédito</t>
        </is>
      </c>
      <c r="I185" s="32" t="inlineStr">
        <is>
          <t>Sim</t>
        </is>
      </c>
      <c r="J185" s="35">
        <f>IF(A185="","",MONTH(A185))</f>
        <v>3</v>
      </c>
      <c r="K185" s="35">
        <f>IF(A185="","",YEAR(A185))</f>
        <v>2026</v>
      </c>
    </row>
    <row r="186">
      <c r="A186" s="39" t="n">
        <v>46101</v>
      </c>
      <c r="B186" s="32" t="inlineStr">
        <is>
          <t>Entrada</t>
        </is>
      </c>
      <c r="C186" s="31" t="inlineStr">
        <is>
          <t>Particular à vista</t>
        </is>
      </c>
      <c r="D186" s="31" t="inlineStr"/>
      <c r="E186" s="31" t="inlineStr">
        <is>
          <t>Fechamento do dia</t>
        </is>
      </c>
      <c r="F186" s="31" t="inlineStr">
        <is>
          <t>Fechamento do dia · 1 atendimento · pix</t>
        </is>
      </c>
      <c r="G186" s="36" t="n">
        <v>130</v>
      </c>
      <c r="H186" s="32" t="inlineStr">
        <is>
          <t>Pix</t>
        </is>
      </c>
      <c r="I186" s="32" t="inlineStr">
        <is>
          <t>Sim</t>
        </is>
      </c>
      <c r="J186" s="35">
        <f>IF(A186="","",MONTH(A186))</f>
        <v>3</v>
      </c>
      <c r="K186" s="35">
        <f>IF(A186="","",YEAR(A186))</f>
        <v>2026</v>
      </c>
    </row>
    <row r="187">
      <c r="A187" s="39" t="n">
        <v>46101</v>
      </c>
      <c r="B187" s="32" t="inlineStr">
        <is>
          <t>Saída</t>
        </is>
      </c>
      <c r="C187" s="31" t="inlineStr">
        <is>
          <t>Impostos e taxas</t>
        </is>
      </c>
      <c r="D187" s="31" t="inlineStr"/>
      <c r="E187" s="31" t="inlineStr"/>
      <c r="F187" s="31" t="inlineStr">
        <is>
          <t>Guia de impostos do mês anterior (alíquota efetiva combinada com o contador)</t>
        </is>
      </c>
      <c r="G187" s="36" t="n">
        <v>2727</v>
      </c>
      <c r="H187" s="32" t="inlineStr">
        <is>
          <t>Boleto</t>
        </is>
      </c>
      <c r="I187" s="32" t="inlineStr">
        <is>
          <t>Sim</t>
        </is>
      </c>
      <c r="J187" s="35">
        <f>IF(A187="","",MONTH(A187))</f>
        <v>3</v>
      </c>
      <c r="K187" s="35">
        <f>IF(A187="","",YEAR(A187))</f>
        <v>2026</v>
      </c>
    </row>
    <row r="188">
      <c r="A188" s="39" t="n">
        <v>46101</v>
      </c>
      <c r="B188" s="32" t="inlineStr">
        <is>
          <t>Saída</t>
        </is>
      </c>
      <c r="C188" s="31" t="inlineStr">
        <is>
          <t>Marketing e site</t>
        </is>
      </c>
      <c r="D188" s="31" t="inlineStr"/>
      <c r="E188" s="31" t="inlineStr"/>
      <c r="F188" s="31" t="inlineStr">
        <is>
          <t>Marketing e site</t>
        </is>
      </c>
      <c r="G188" s="36" t="n">
        <v>650</v>
      </c>
      <c r="H188" s="32" t="inlineStr">
        <is>
          <t>Cartão de crédito</t>
        </is>
      </c>
      <c r="I188" s="32" t="inlineStr">
        <is>
          <t>Sim</t>
        </is>
      </c>
      <c r="J188" s="35">
        <f>IF(A188="","",MONTH(A188))</f>
        <v>3</v>
      </c>
      <c r="K188" s="35">
        <f>IF(A188="","",YEAR(A188))</f>
        <v>2026</v>
      </c>
    </row>
    <row r="189">
      <c r="A189" s="39" t="n">
        <v>46103</v>
      </c>
      <c r="B189" s="32" t="inlineStr">
        <is>
          <t>Saída</t>
        </is>
      </c>
      <c r="C189" s="31" t="inlineStr">
        <is>
          <t>Materiais e insumos de atendimento</t>
        </is>
      </c>
      <c r="D189" s="31" t="inlineStr"/>
      <c r="E189" s="31" t="inlineStr"/>
      <c r="F189" s="31" t="inlineStr">
        <is>
          <t>Reposição de descartáveis e papel para ECG</t>
        </is>
      </c>
      <c r="G189" s="36" t="n">
        <v>620</v>
      </c>
      <c r="H189" s="32" t="inlineStr">
        <is>
          <t>Cartão de crédito</t>
        </is>
      </c>
      <c r="I189" s="32" t="inlineStr">
        <is>
          <t>Sim</t>
        </is>
      </c>
      <c r="J189" s="35">
        <f>IF(A189="","",MONTH(A189))</f>
        <v>3</v>
      </c>
      <c r="K189" s="35">
        <f>IF(A189="","",YEAR(A189))</f>
        <v>2026</v>
      </c>
    </row>
    <row r="190">
      <c r="A190" s="39" t="n">
        <v>46104</v>
      </c>
      <c r="B190" s="32" t="inlineStr">
        <is>
          <t>Entrada</t>
        </is>
      </c>
      <c r="C190" s="31" t="inlineStr">
        <is>
          <t>Particular a prazo</t>
        </is>
      </c>
      <c r="D190" s="31" t="inlineStr">
        <is>
          <t>Carlos Oliveira</t>
        </is>
      </c>
      <c r="E190" s="31" t="inlineStr">
        <is>
          <t>Parcela</t>
        </is>
      </c>
      <c r="F190" s="31" t="inlineStr">
        <is>
          <t>Consulta de 22/01 · parcela 2/2</t>
        </is>
      </c>
      <c r="G190" s="36" t="n">
        <v>190</v>
      </c>
      <c r="H190" s="32" t="inlineStr">
        <is>
          <t>Pix</t>
        </is>
      </c>
      <c r="I190" s="32" t="inlineStr">
        <is>
          <t>Sim</t>
        </is>
      </c>
      <c r="J190" s="35">
        <f>IF(A190="","",MONTH(A190))</f>
        <v>3</v>
      </c>
      <c r="K190" s="35">
        <f>IF(A190="","",YEAR(A190))</f>
        <v>2026</v>
      </c>
    </row>
    <row r="191">
      <c r="A191" s="39" t="n">
        <v>46104</v>
      </c>
      <c r="B191" s="32" t="inlineStr">
        <is>
          <t>Entrada</t>
        </is>
      </c>
      <c r="C191" s="31" t="inlineStr">
        <is>
          <t>Particular à vista</t>
        </is>
      </c>
      <c r="D191" s="31" t="inlineStr"/>
      <c r="E191" s="31" t="inlineStr">
        <is>
          <t>Fechamento do dia</t>
        </is>
      </c>
      <c r="F191" s="31" t="inlineStr">
        <is>
          <t>Fechamento do dia · 1 atendimento · pix</t>
        </is>
      </c>
      <c r="G191" s="36" t="n">
        <v>130</v>
      </c>
      <c r="H191" s="32" t="inlineStr">
        <is>
          <t>Pix</t>
        </is>
      </c>
      <c r="I191" s="32" t="inlineStr">
        <is>
          <t>Sim</t>
        </is>
      </c>
      <c r="J191" s="35">
        <f>IF(A191="","",MONTH(A191))</f>
        <v>3</v>
      </c>
      <c r="K191" s="35">
        <f>IF(A191="","",YEAR(A191))</f>
        <v>2026</v>
      </c>
    </row>
    <row r="192">
      <c r="A192" s="39" t="n">
        <v>46104</v>
      </c>
      <c r="B192" s="32" t="inlineStr">
        <is>
          <t>Entrada</t>
        </is>
      </c>
      <c r="C192" s="31" t="inlineStr">
        <is>
          <t>Particular à vista</t>
        </is>
      </c>
      <c r="D192" s="31" t="inlineStr"/>
      <c r="E192" s="31" t="inlineStr">
        <is>
          <t>Fechamento do dia</t>
        </is>
      </c>
      <c r="F192" s="31" t="inlineStr">
        <is>
          <t>Fechamento do dia · 2 atendimentos · cartão de crédito</t>
        </is>
      </c>
      <c r="G192" s="36" t="n">
        <v>760</v>
      </c>
      <c r="H192" s="32" t="inlineStr">
        <is>
          <t>Cartão de crédito</t>
        </is>
      </c>
      <c r="I192" s="32" t="inlineStr">
        <is>
          <t>Sim</t>
        </is>
      </c>
      <c r="J192" s="35">
        <f>IF(A192="","",MONTH(A192))</f>
        <v>3</v>
      </c>
      <c r="K192" s="35">
        <f>IF(A192="","",YEAR(A192))</f>
        <v>2026</v>
      </c>
    </row>
    <row r="193">
      <c r="A193" s="39" t="n">
        <v>46105</v>
      </c>
      <c r="B193" s="32" t="inlineStr">
        <is>
          <t>Entrada</t>
        </is>
      </c>
      <c r="C193" s="31" t="inlineStr">
        <is>
          <t>Particular à vista</t>
        </is>
      </c>
      <c r="D193" s="31" t="inlineStr"/>
      <c r="E193" s="31" t="inlineStr">
        <is>
          <t>Fechamento do dia</t>
        </is>
      </c>
      <c r="F193" s="31" t="inlineStr">
        <is>
          <t>Fechamento do dia · 1 atendimento · cartão de débito</t>
        </is>
      </c>
      <c r="G193" s="36" t="n">
        <v>380</v>
      </c>
      <c r="H193" s="32" t="inlineStr">
        <is>
          <t>Cartão de débito</t>
        </is>
      </c>
      <c r="I193" s="32" t="inlineStr">
        <is>
          <t>Sim</t>
        </is>
      </c>
      <c r="J193" s="35">
        <f>IF(A193="","",MONTH(A193))</f>
        <v>3</v>
      </c>
      <c r="K193" s="35">
        <f>IF(A193="","",YEAR(A193))</f>
        <v>2026</v>
      </c>
    </row>
    <row r="194">
      <c r="A194" s="39" t="n">
        <v>46105</v>
      </c>
      <c r="B194" s="32" t="inlineStr">
        <is>
          <t>Entrada</t>
        </is>
      </c>
      <c r="C194" s="31" t="inlineStr">
        <is>
          <t>Particular à vista</t>
        </is>
      </c>
      <c r="D194" s="31" t="inlineStr"/>
      <c r="E194" s="31" t="inlineStr">
        <is>
          <t>Fechamento do dia</t>
        </is>
      </c>
      <c r="F194" s="31" t="inlineStr">
        <is>
          <t>Fechamento do dia · 2 atendimentos · cartão de crédito</t>
        </is>
      </c>
      <c r="G194" s="36" t="n">
        <v>800</v>
      </c>
      <c r="H194" s="32" t="inlineStr">
        <is>
          <t>Cartão de crédito</t>
        </is>
      </c>
      <c r="I194" s="32" t="inlineStr">
        <is>
          <t>Sim</t>
        </is>
      </c>
      <c r="J194" s="35">
        <f>IF(A194="","",MONTH(A194))</f>
        <v>3</v>
      </c>
      <c r="K194" s="35">
        <f>IF(A194="","",YEAR(A194))</f>
        <v>2026</v>
      </c>
    </row>
    <row r="195">
      <c r="A195" s="39" t="n">
        <v>46105</v>
      </c>
      <c r="B195" s="32" t="inlineStr">
        <is>
          <t>Entrada</t>
        </is>
      </c>
      <c r="C195" s="31" t="inlineStr">
        <is>
          <t>Particular à vista</t>
        </is>
      </c>
      <c r="D195" s="31" t="inlineStr"/>
      <c r="E195" s="31" t="inlineStr">
        <is>
          <t>Fechamento do dia</t>
        </is>
      </c>
      <c r="F195" s="31" t="inlineStr">
        <is>
          <t>Fechamento do dia · 3 atendimentos · pix</t>
        </is>
      </c>
      <c r="G195" s="36" t="n">
        <v>1060</v>
      </c>
      <c r="H195" s="32" t="inlineStr">
        <is>
          <t>Pix</t>
        </is>
      </c>
      <c r="I195" s="32" t="inlineStr">
        <is>
          <t>Sim</t>
        </is>
      </c>
      <c r="J195" s="35">
        <f>IF(A195="","",MONTH(A195))</f>
        <v>3</v>
      </c>
      <c r="K195" s="35">
        <f>IF(A195="","",YEAR(A195))</f>
        <v>2026</v>
      </c>
    </row>
    <row r="196">
      <c r="A196" s="39" t="n">
        <v>46106</v>
      </c>
      <c r="B196" s="32" t="inlineStr">
        <is>
          <t>Entrada</t>
        </is>
      </c>
      <c r="C196" s="31" t="inlineStr">
        <is>
          <t>Convênio · MediPlan</t>
        </is>
      </c>
      <c r="D196" s="31" t="inlineStr">
        <is>
          <t>MediPlan</t>
        </is>
      </c>
      <c r="E196" s="31" t="inlineStr">
        <is>
          <t>Lote jan/2026</t>
        </is>
      </c>
      <c r="F196" s="31" t="inlineStr">
        <is>
          <t>Pagamento do lote de jan/2026 (18 guias. glosa de R$ 70)</t>
        </is>
      </c>
      <c r="G196" s="36" t="n">
        <v>1530</v>
      </c>
      <c r="H196" s="32" t="inlineStr">
        <is>
          <t>Transferência</t>
        </is>
      </c>
      <c r="I196" s="32" t="inlineStr">
        <is>
          <t>Sim</t>
        </is>
      </c>
      <c r="J196" s="35">
        <f>IF(A196="","",MONTH(A196))</f>
        <v>3</v>
      </c>
      <c r="K196" s="35">
        <f>IF(A196="","",YEAR(A196))</f>
        <v>2026</v>
      </c>
    </row>
    <row r="197">
      <c r="A197" s="39" t="n">
        <v>46106</v>
      </c>
      <c r="B197" s="32" t="inlineStr">
        <is>
          <t>Entrada</t>
        </is>
      </c>
      <c r="C197" s="31" t="inlineStr">
        <is>
          <t>Particular a prazo</t>
        </is>
      </c>
      <c r="D197" s="31" t="inlineStr">
        <is>
          <t>Natália Martins</t>
        </is>
      </c>
      <c r="E197" s="31" t="inlineStr">
        <is>
          <t>Parcela</t>
        </is>
      </c>
      <c r="F197" s="31" t="inlineStr">
        <is>
          <t>Consulta de 23/02 · parcela 1/2</t>
        </is>
      </c>
      <c r="G197" s="36" t="n">
        <v>190</v>
      </c>
      <c r="H197" s="32" t="inlineStr">
        <is>
          <t>Pix</t>
        </is>
      </c>
      <c r="I197" s="32" t="inlineStr">
        <is>
          <t>Sim</t>
        </is>
      </c>
      <c r="J197" s="35">
        <f>IF(A197="","",MONTH(A197))</f>
        <v>3</v>
      </c>
      <c r="K197" s="35">
        <f>IF(A197="","",YEAR(A197))</f>
        <v>2026</v>
      </c>
    </row>
    <row r="198">
      <c r="A198" s="39" t="n">
        <v>46106</v>
      </c>
      <c r="B198" s="32" t="inlineStr">
        <is>
          <t>Entrada</t>
        </is>
      </c>
      <c r="C198" s="31" t="inlineStr">
        <is>
          <t>Particular à vista</t>
        </is>
      </c>
      <c r="D198" s="31" t="inlineStr"/>
      <c r="E198" s="31" t="inlineStr">
        <is>
          <t>Fechamento do dia</t>
        </is>
      </c>
      <c r="F198" s="31" t="inlineStr">
        <is>
          <t>Fechamento do dia · 1 atendimento · cartão de crédito</t>
        </is>
      </c>
      <c r="G198" s="36" t="n">
        <v>380</v>
      </c>
      <c r="H198" s="32" t="inlineStr">
        <is>
          <t>Cartão de crédito</t>
        </is>
      </c>
      <c r="I198" s="32" t="inlineStr">
        <is>
          <t>Sim</t>
        </is>
      </c>
      <c r="J198" s="35">
        <f>IF(A198="","",MONTH(A198))</f>
        <v>3</v>
      </c>
      <c r="K198" s="35">
        <f>IF(A198="","",YEAR(A198))</f>
        <v>2026</v>
      </c>
    </row>
    <row r="199">
      <c r="A199" s="39" t="n">
        <v>46106</v>
      </c>
      <c r="B199" s="32" t="inlineStr">
        <is>
          <t>Entrada</t>
        </is>
      </c>
      <c r="C199" s="31" t="inlineStr">
        <is>
          <t>Particular à vista</t>
        </is>
      </c>
      <c r="D199" s="31" t="inlineStr"/>
      <c r="E199" s="31" t="inlineStr">
        <is>
          <t>Fechamento do dia</t>
        </is>
      </c>
      <c r="F199" s="31" t="inlineStr">
        <is>
          <t>Fechamento do dia · 1 atendimento · cartão de débito</t>
        </is>
      </c>
      <c r="G199" s="36" t="n">
        <v>380</v>
      </c>
      <c r="H199" s="32" t="inlineStr">
        <is>
          <t>Cartão de débito</t>
        </is>
      </c>
      <c r="I199" s="32" t="inlineStr">
        <is>
          <t>Sim</t>
        </is>
      </c>
      <c r="J199" s="35">
        <f>IF(A199="","",MONTH(A199))</f>
        <v>3</v>
      </c>
      <c r="K199" s="35">
        <f>IF(A199="","",YEAR(A199))</f>
        <v>2026</v>
      </c>
    </row>
    <row r="200">
      <c r="A200" s="39" t="n">
        <v>46106</v>
      </c>
      <c r="B200" s="32" t="inlineStr">
        <is>
          <t>Entrada</t>
        </is>
      </c>
      <c r="C200" s="31" t="inlineStr">
        <is>
          <t>Particular à vista</t>
        </is>
      </c>
      <c r="D200" s="31" t="inlineStr"/>
      <c r="E200" s="31" t="inlineStr">
        <is>
          <t>Fechamento do dia</t>
        </is>
      </c>
      <c r="F200" s="31" t="inlineStr">
        <is>
          <t>Fechamento do dia · 2 atendimentos · pix</t>
        </is>
      </c>
      <c r="G200" s="36" t="n">
        <v>760</v>
      </c>
      <c r="H200" s="32" t="inlineStr">
        <is>
          <t>Pix</t>
        </is>
      </c>
      <c r="I200" s="32" t="inlineStr">
        <is>
          <t>Sim</t>
        </is>
      </c>
      <c r="J200" s="35">
        <f>IF(A200="","",MONTH(A200))</f>
        <v>3</v>
      </c>
      <c r="K200" s="35">
        <f>IF(A200="","",YEAR(A200))</f>
        <v>2026</v>
      </c>
    </row>
    <row r="201">
      <c r="A201" s="39" t="n">
        <v>46107</v>
      </c>
      <c r="B201" s="32" t="inlineStr">
        <is>
          <t>Entrada</t>
        </is>
      </c>
      <c r="C201" s="31" t="inlineStr">
        <is>
          <t>Particular à vista</t>
        </is>
      </c>
      <c r="D201" s="31" t="inlineStr"/>
      <c r="E201" s="31" t="inlineStr">
        <is>
          <t>Fechamento do dia</t>
        </is>
      </c>
      <c r="F201" s="31" t="inlineStr">
        <is>
          <t>Fechamento do dia · 3 atendimentos · cartão de crédito</t>
        </is>
      </c>
      <c r="G201" s="36" t="n">
        <v>1160</v>
      </c>
      <c r="H201" s="32" t="inlineStr">
        <is>
          <t>Cartão de crédito</t>
        </is>
      </c>
      <c r="I201" s="32" t="inlineStr">
        <is>
          <t>Sim</t>
        </is>
      </c>
      <c r="J201" s="35">
        <f>IF(A201="","",MONTH(A201))</f>
        <v>3</v>
      </c>
      <c r="K201" s="35">
        <f>IF(A201="","",YEAR(A201))</f>
        <v>2026</v>
      </c>
    </row>
    <row r="202">
      <c r="A202" s="39" t="n">
        <v>46107</v>
      </c>
      <c r="B202" s="32" t="inlineStr">
        <is>
          <t>Entrada</t>
        </is>
      </c>
      <c r="C202" s="31" t="inlineStr">
        <is>
          <t>Particular à vista</t>
        </is>
      </c>
      <c r="D202" s="31" t="inlineStr"/>
      <c r="E202" s="31" t="inlineStr">
        <is>
          <t>Fechamento do dia</t>
        </is>
      </c>
      <c r="F202" s="31" t="inlineStr">
        <is>
          <t>Fechamento do dia · 4 atendimentos · pix</t>
        </is>
      </c>
      <c r="G202" s="36" t="n">
        <v>1630</v>
      </c>
      <c r="H202" s="32" t="inlineStr">
        <is>
          <t>Pix</t>
        </is>
      </c>
      <c r="I202" s="32" t="inlineStr">
        <is>
          <t>Sim</t>
        </is>
      </c>
      <c r="J202" s="35">
        <f>IF(A202="","",MONTH(A202))</f>
        <v>3</v>
      </c>
      <c r="K202" s="35">
        <f>IF(A202="","",YEAR(A202))</f>
        <v>2026</v>
      </c>
    </row>
    <row r="203">
      <c r="A203" s="39" t="n">
        <v>46108</v>
      </c>
      <c r="B203" s="32" t="inlineStr">
        <is>
          <t>Entrada</t>
        </is>
      </c>
      <c r="C203" s="31" t="inlineStr">
        <is>
          <t>Particular à vista</t>
        </is>
      </c>
      <c r="D203" s="31" t="inlineStr"/>
      <c r="E203" s="31" t="inlineStr">
        <is>
          <t>Fechamento do dia</t>
        </is>
      </c>
      <c r="F203" s="31" t="inlineStr">
        <is>
          <t>Fechamento do dia · 1 atendimento · pix</t>
        </is>
      </c>
      <c r="G203" s="36" t="n">
        <v>380</v>
      </c>
      <c r="H203" s="32" t="inlineStr">
        <is>
          <t>Pix</t>
        </is>
      </c>
      <c r="I203" s="32" t="inlineStr">
        <is>
          <t>Sim</t>
        </is>
      </c>
      <c r="J203" s="35">
        <f>IF(A203="","",MONTH(A203))</f>
        <v>3</v>
      </c>
      <c r="K203" s="35">
        <f>IF(A203="","",YEAR(A203))</f>
        <v>2026</v>
      </c>
    </row>
    <row r="204">
      <c r="A204" s="39" t="n">
        <v>46109</v>
      </c>
      <c r="B204" s="32" t="inlineStr">
        <is>
          <t>Saída</t>
        </is>
      </c>
      <c r="C204" s="31" t="inlineStr">
        <is>
          <t>Pró-labore dos sócios</t>
        </is>
      </c>
      <c r="D204" s="31" t="inlineStr"/>
      <c r="E204" s="31" t="inlineStr"/>
      <c r="F204" s="31" t="inlineStr">
        <is>
          <t>Pró-labore · Dr. Paulo Andrade</t>
        </is>
      </c>
      <c r="G204" s="36" t="n">
        <v>9000</v>
      </c>
      <c r="H204" s="32" t="inlineStr">
        <is>
          <t>Transferência</t>
        </is>
      </c>
      <c r="I204" s="32" t="inlineStr">
        <is>
          <t>Sim</t>
        </is>
      </c>
      <c r="J204" s="35">
        <f>IF(A204="","",MONTH(A204))</f>
        <v>3</v>
      </c>
      <c r="K204" s="35">
        <f>IF(A204="","",YEAR(A204))</f>
        <v>2026</v>
      </c>
    </row>
    <row r="205">
      <c r="A205" s="39" t="n">
        <v>46109</v>
      </c>
      <c r="B205" s="32" t="inlineStr">
        <is>
          <t>Saída</t>
        </is>
      </c>
      <c r="C205" s="31" t="inlineStr">
        <is>
          <t>Pró-labore dos sócios</t>
        </is>
      </c>
      <c r="D205" s="31" t="inlineStr"/>
      <c r="E205" s="31" t="inlineStr"/>
      <c r="F205" s="31" t="inlineStr">
        <is>
          <t>Pró-labore · Dra. Carolina Mendes</t>
        </is>
      </c>
      <c r="G205" s="36" t="n">
        <v>9000</v>
      </c>
      <c r="H205" s="32" t="inlineStr">
        <is>
          <t>Transferência</t>
        </is>
      </c>
      <c r="I205" s="32" t="inlineStr">
        <is>
          <t>Sim</t>
        </is>
      </c>
      <c r="J205" s="35">
        <f>IF(A205="","",MONTH(A205))</f>
        <v>3</v>
      </c>
      <c r="K205" s="35">
        <f>IF(A205="","",YEAR(A205))</f>
        <v>2026</v>
      </c>
    </row>
    <row r="206">
      <c r="A206" s="39" t="n">
        <v>46110</v>
      </c>
      <c r="B206" s="32" t="inlineStr">
        <is>
          <t>Entrada</t>
        </is>
      </c>
      <c r="C206" s="31" t="inlineStr">
        <is>
          <t>Particular a prazo</t>
        </is>
      </c>
      <c r="D206" s="31" t="inlineStr">
        <is>
          <t>Carlos Freitas</t>
        </is>
      </c>
      <c r="E206" s="31" t="inlineStr">
        <is>
          <t>Parcela</t>
        </is>
      </c>
      <c r="F206" s="31" t="inlineStr">
        <is>
          <t>Avaliação endócrina de 24/02 · parcela 1/2</t>
        </is>
      </c>
      <c r="G206" s="36" t="n">
        <v>200</v>
      </c>
      <c r="H206" s="32" t="inlineStr">
        <is>
          <t>Pix</t>
        </is>
      </c>
      <c r="I206" s="32" t="inlineStr">
        <is>
          <t>Sim</t>
        </is>
      </c>
      <c r="J206" s="35">
        <f>IF(A206="","",MONTH(A206))</f>
        <v>3</v>
      </c>
      <c r="K206" s="35">
        <f>IF(A206="","",YEAR(A206))</f>
        <v>2026</v>
      </c>
    </row>
    <row r="207">
      <c r="A207" s="39" t="n">
        <v>46110</v>
      </c>
      <c r="B207" s="32" t="inlineStr">
        <is>
          <t>Entrada</t>
        </is>
      </c>
      <c r="C207" s="31" t="inlineStr">
        <is>
          <t>Particular a prazo</t>
        </is>
      </c>
      <c r="D207" s="31" t="inlineStr">
        <is>
          <t>Otávio Nascimento</t>
        </is>
      </c>
      <c r="E207" s="31" t="inlineStr">
        <is>
          <t>Parcela</t>
        </is>
      </c>
      <c r="F207" s="31" t="inlineStr">
        <is>
          <t>Consulta de 26/02 · parcela 1/1</t>
        </is>
      </c>
      <c r="G207" s="36" t="n">
        <v>380</v>
      </c>
      <c r="H207" s="32" t="inlineStr">
        <is>
          <t>Pix</t>
        </is>
      </c>
      <c r="I207" s="32" t="inlineStr">
        <is>
          <t>Sim</t>
        </is>
      </c>
      <c r="J207" s="35">
        <f>IF(A207="","",MONTH(A207))</f>
        <v>3</v>
      </c>
      <c r="K207" s="35">
        <f>IF(A207="","",YEAR(A207))</f>
        <v>2026</v>
      </c>
    </row>
    <row r="208">
      <c r="A208" s="39" t="n">
        <v>46110</v>
      </c>
      <c r="B208" s="32" t="inlineStr">
        <is>
          <t>Entrada</t>
        </is>
      </c>
      <c r="C208" s="31" t="inlineStr">
        <is>
          <t>Particular a prazo</t>
        </is>
      </c>
      <c r="D208" s="31" t="inlineStr">
        <is>
          <t>Helena Moreira</t>
        </is>
      </c>
      <c r="E208" s="31" t="inlineStr">
        <is>
          <t>Parcela</t>
        </is>
      </c>
      <c r="F208" s="31" t="inlineStr">
        <is>
          <t>Consulta de 27/01 · parcela 2/2</t>
        </is>
      </c>
      <c r="G208" s="36" t="n">
        <v>190</v>
      </c>
      <c r="H208" s="32" t="inlineStr">
        <is>
          <t>Pix</t>
        </is>
      </c>
      <c r="I208" s="32" t="inlineStr">
        <is>
          <t>Sim</t>
        </is>
      </c>
      <c r="J208" s="35">
        <f>IF(A208="","",MONTH(A208))</f>
        <v>3</v>
      </c>
      <c r="K208" s="35">
        <f>IF(A208="","",YEAR(A208))</f>
        <v>2026</v>
      </c>
    </row>
    <row r="209">
      <c r="A209" s="39" t="n">
        <v>46111</v>
      </c>
      <c r="B209" s="32" t="inlineStr">
        <is>
          <t>Entrada</t>
        </is>
      </c>
      <c r="C209" s="31" t="inlineStr">
        <is>
          <t>Particular à vista</t>
        </is>
      </c>
      <c r="D209" s="31" t="inlineStr"/>
      <c r="E209" s="31" t="inlineStr">
        <is>
          <t>Fechamento do dia</t>
        </is>
      </c>
      <c r="F209" s="31" t="inlineStr">
        <is>
          <t>Fechamento do dia · 1 atendimento · cartão de débito</t>
        </is>
      </c>
      <c r="G209" s="36" t="n">
        <v>380</v>
      </c>
      <c r="H209" s="32" t="inlineStr">
        <is>
          <t>Cartão de débito</t>
        </is>
      </c>
      <c r="I209" s="32" t="inlineStr">
        <is>
          <t>Sim</t>
        </is>
      </c>
      <c r="J209" s="35">
        <f>IF(A209="","",MONTH(A209))</f>
        <v>3</v>
      </c>
      <c r="K209" s="35">
        <f>IF(A209="","",YEAR(A209))</f>
        <v>2026</v>
      </c>
    </row>
    <row r="210">
      <c r="A210" s="39" t="n">
        <v>46111</v>
      </c>
      <c r="B210" s="32" t="inlineStr">
        <is>
          <t>Entrada</t>
        </is>
      </c>
      <c r="C210" s="31" t="inlineStr">
        <is>
          <t>Particular à vista</t>
        </is>
      </c>
      <c r="D210" s="31" t="inlineStr"/>
      <c r="E210" s="31" t="inlineStr">
        <is>
          <t>Fechamento do dia</t>
        </is>
      </c>
      <c r="F210" s="31" t="inlineStr">
        <is>
          <t>Fechamento do dia · 2 atendimentos · cartão de crédito</t>
        </is>
      </c>
      <c r="G210" s="36" t="n">
        <v>760</v>
      </c>
      <c r="H210" s="32" t="inlineStr">
        <is>
          <t>Cartão de crédito</t>
        </is>
      </c>
      <c r="I210" s="32" t="inlineStr">
        <is>
          <t>Sim</t>
        </is>
      </c>
      <c r="J210" s="35">
        <f>IF(A210="","",MONTH(A210))</f>
        <v>3</v>
      </c>
      <c r="K210" s="35">
        <f>IF(A210="","",YEAR(A210))</f>
        <v>2026</v>
      </c>
    </row>
    <row r="211">
      <c r="A211" s="39" t="n">
        <v>46111</v>
      </c>
      <c r="B211" s="32" t="inlineStr">
        <is>
          <t>Entrada</t>
        </is>
      </c>
      <c r="C211" s="31" t="inlineStr">
        <is>
          <t>Particular à vista</t>
        </is>
      </c>
      <c r="D211" s="31" t="inlineStr"/>
      <c r="E211" s="31" t="inlineStr">
        <is>
          <t>Fechamento do dia</t>
        </is>
      </c>
      <c r="F211" s="31" t="inlineStr">
        <is>
          <t>Fechamento do dia · 2 atendimentos · pix</t>
        </is>
      </c>
      <c r="G211" s="36" t="n">
        <v>680</v>
      </c>
      <c r="H211" s="32" t="inlineStr">
        <is>
          <t>Pix</t>
        </is>
      </c>
      <c r="I211" s="32" t="inlineStr">
        <is>
          <t>Sim</t>
        </is>
      </c>
      <c r="J211" s="35">
        <f>IF(A211="","",MONTH(A211))</f>
        <v>3</v>
      </c>
      <c r="K211" s="35">
        <f>IF(A211="","",YEAR(A211))</f>
        <v>2026</v>
      </c>
    </row>
    <row r="212">
      <c r="A212" s="39" t="n">
        <v>46112</v>
      </c>
      <c r="B212" s="32" t="inlineStr">
        <is>
          <t>Entrada</t>
        </is>
      </c>
      <c r="C212" s="31" t="inlineStr">
        <is>
          <t>Particular à vista</t>
        </is>
      </c>
      <c r="D212" s="31" t="inlineStr"/>
      <c r="E212" s="31" t="inlineStr">
        <is>
          <t>Fechamento do dia</t>
        </is>
      </c>
      <c r="F212" s="31" t="inlineStr">
        <is>
          <t>Fechamento do dia · 1 atendimento · dinheiro</t>
        </is>
      </c>
      <c r="G212" s="36" t="n">
        <v>380</v>
      </c>
      <c r="H212" s="32" t="inlineStr">
        <is>
          <t>Dinheiro</t>
        </is>
      </c>
      <c r="I212" s="32" t="inlineStr">
        <is>
          <t>Sim</t>
        </is>
      </c>
      <c r="J212" s="35">
        <f>IF(A212="","",MONTH(A212))</f>
        <v>3</v>
      </c>
      <c r="K212" s="35">
        <f>IF(A212="","",YEAR(A212))</f>
        <v>2026</v>
      </c>
    </row>
    <row r="213">
      <c r="A213" s="39" t="n">
        <v>46112</v>
      </c>
      <c r="B213" s="32" t="inlineStr">
        <is>
          <t>Entrada</t>
        </is>
      </c>
      <c r="C213" s="31" t="inlineStr">
        <is>
          <t>Particular à vista</t>
        </is>
      </c>
      <c r="D213" s="31" t="inlineStr"/>
      <c r="E213" s="31" t="inlineStr">
        <is>
          <t>Fechamento do dia</t>
        </is>
      </c>
      <c r="F213" s="31" t="inlineStr">
        <is>
          <t>Fechamento do dia · 2 atendimentos · cartão de débito</t>
        </is>
      </c>
      <c r="G213" s="36" t="n">
        <v>780</v>
      </c>
      <c r="H213" s="32" t="inlineStr">
        <is>
          <t>Cartão de débito</t>
        </is>
      </c>
      <c r="I213" s="32" t="inlineStr">
        <is>
          <t>Sim</t>
        </is>
      </c>
      <c r="J213" s="35">
        <f>IF(A213="","",MONTH(A213))</f>
        <v>3</v>
      </c>
      <c r="K213" s="35">
        <f>IF(A213="","",YEAR(A213))</f>
        <v>2026</v>
      </c>
    </row>
    <row r="214">
      <c r="A214" s="39" t="n">
        <v>46112</v>
      </c>
      <c r="B214" s="32" t="inlineStr">
        <is>
          <t>Entrada</t>
        </is>
      </c>
      <c r="C214" s="31" t="inlineStr">
        <is>
          <t>Particular à vista</t>
        </is>
      </c>
      <c r="D214" s="31" t="inlineStr"/>
      <c r="E214" s="31" t="inlineStr">
        <is>
          <t>Fechamento do dia</t>
        </is>
      </c>
      <c r="F214" s="31" t="inlineStr">
        <is>
          <t>Fechamento do dia · 2 atendimentos · pix</t>
        </is>
      </c>
      <c r="G214" s="36" t="n">
        <v>530</v>
      </c>
      <c r="H214" s="32" t="inlineStr">
        <is>
          <t>Pix</t>
        </is>
      </c>
      <c r="I214" s="32" t="inlineStr">
        <is>
          <t>Sim</t>
        </is>
      </c>
      <c r="J214" s="35">
        <f>IF(A214="","",MONTH(A214))</f>
        <v>3</v>
      </c>
      <c r="K214" s="35">
        <f>IF(A214="","",YEAR(A214))</f>
        <v>2026</v>
      </c>
    </row>
    <row r="215">
      <c r="A215" s="39" t="n">
        <v>46112</v>
      </c>
      <c r="B215" s="32" t="inlineStr">
        <is>
          <t>Entrada</t>
        </is>
      </c>
      <c r="C215" s="31" t="inlineStr">
        <is>
          <t>Particular à vista</t>
        </is>
      </c>
      <c r="D215" s="31" t="inlineStr"/>
      <c r="E215" s="31" t="inlineStr">
        <is>
          <t>Fechamento do dia</t>
        </is>
      </c>
      <c r="F215" s="31" t="inlineStr">
        <is>
          <t>Fechamento do dia · 4 atendimentos · cartão de crédito</t>
        </is>
      </c>
      <c r="G215" s="36" t="n">
        <v>1240</v>
      </c>
      <c r="H215" s="32" t="inlineStr">
        <is>
          <t>Cartão de crédito</t>
        </is>
      </c>
      <c r="I215" s="32" t="inlineStr">
        <is>
          <t>Sim</t>
        </is>
      </c>
      <c r="J215" s="35">
        <f>IF(A215="","",MONTH(A215))</f>
        <v>3</v>
      </c>
      <c r="K215" s="35">
        <f>IF(A215="","",YEAR(A215))</f>
        <v>2026</v>
      </c>
    </row>
    <row r="216">
      <c r="A216" s="39" t="n">
        <v>46112</v>
      </c>
      <c r="B216" s="32" t="inlineStr">
        <is>
          <t>Saída</t>
        </is>
      </c>
      <c r="C216" s="31" t="inlineStr">
        <is>
          <t>Taxas de cartão</t>
        </is>
      </c>
      <c r="D216" s="31" t="inlineStr"/>
      <c r="E216" s="31" t="inlineStr"/>
      <c r="F216" s="31" t="inlineStr">
        <is>
          <t>Taxas da operadora de cartão · vendas de mar</t>
        </is>
      </c>
      <c r="G216" s="36" t="n">
        <v>533.25</v>
      </c>
      <c r="H216" s="32" t="inlineStr">
        <is>
          <t>Transferência</t>
        </is>
      </c>
      <c r="I216" s="32" t="inlineStr">
        <is>
          <t>Sim</t>
        </is>
      </c>
      <c r="J216" s="35">
        <f>IF(A216="","",MONTH(A216))</f>
        <v>3</v>
      </c>
      <c r="K216" s="35">
        <f>IF(A216="","",YEAR(A216))</f>
        <v>2026</v>
      </c>
    </row>
    <row r="217">
      <c r="A217" s="39" t="n">
        <v>46113</v>
      </c>
      <c r="B217" s="32" t="inlineStr">
        <is>
          <t>Entrada</t>
        </is>
      </c>
      <c r="C217" s="31" t="inlineStr">
        <is>
          <t>Particular à vista</t>
        </is>
      </c>
      <c r="D217" s="31" t="inlineStr"/>
      <c r="E217" s="31" t="inlineStr">
        <is>
          <t>Fechamento do dia</t>
        </is>
      </c>
      <c r="F217" s="31" t="inlineStr">
        <is>
          <t>Fechamento do dia · 1 atendimento · cartão de débito</t>
        </is>
      </c>
      <c r="G217" s="36" t="n">
        <v>380</v>
      </c>
      <c r="H217" s="32" t="inlineStr">
        <is>
          <t>Cartão de débito</t>
        </is>
      </c>
      <c r="I217" s="32" t="inlineStr">
        <is>
          <t>Sim</t>
        </is>
      </c>
      <c r="J217" s="35">
        <f>IF(A217="","",MONTH(A217))</f>
        <v>4</v>
      </c>
      <c r="K217" s="35">
        <f>IF(A217="","",YEAR(A217))</f>
        <v>2026</v>
      </c>
    </row>
    <row r="218">
      <c r="A218" s="39" t="n">
        <v>46113</v>
      </c>
      <c r="B218" s="32" t="inlineStr">
        <is>
          <t>Entrada</t>
        </is>
      </c>
      <c r="C218" s="31" t="inlineStr">
        <is>
          <t>Particular à vista</t>
        </is>
      </c>
      <c r="D218" s="31" t="inlineStr"/>
      <c r="E218" s="31" t="inlineStr">
        <is>
          <t>Fechamento do dia</t>
        </is>
      </c>
      <c r="F218" s="31" t="inlineStr">
        <is>
          <t>Fechamento do dia · 2 atendimentos · pix</t>
        </is>
      </c>
      <c r="G218" s="36" t="n">
        <v>760</v>
      </c>
      <c r="H218" s="32" t="inlineStr">
        <is>
          <t>Pix</t>
        </is>
      </c>
      <c r="I218" s="32" t="inlineStr">
        <is>
          <t>Sim</t>
        </is>
      </c>
      <c r="J218" s="35">
        <f>IF(A218="","",MONTH(A218))</f>
        <v>4</v>
      </c>
      <c r="K218" s="35">
        <f>IF(A218="","",YEAR(A218))</f>
        <v>2026</v>
      </c>
    </row>
    <row r="219">
      <c r="A219" s="39" t="n">
        <v>46114</v>
      </c>
      <c r="B219" s="32" t="inlineStr">
        <is>
          <t>Entrada</t>
        </is>
      </c>
      <c r="C219" s="31" t="inlineStr">
        <is>
          <t>Particular a prazo</t>
        </is>
      </c>
      <c r="D219" s="31" t="inlineStr">
        <is>
          <t>Elaine Cardoso</t>
        </is>
      </c>
      <c r="E219" s="31" t="inlineStr">
        <is>
          <t>Parcela</t>
        </is>
      </c>
      <c r="F219" s="31" t="inlineStr">
        <is>
          <t>Consulta de 03/03 · parcela 1/2</t>
        </is>
      </c>
      <c r="G219" s="36" t="n">
        <v>190</v>
      </c>
      <c r="H219" s="32" t="inlineStr">
        <is>
          <t>Pix</t>
        </is>
      </c>
      <c r="I219" s="32" t="inlineStr">
        <is>
          <t>Sim</t>
        </is>
      </c>
      <c r="J219" s="35">
        <f>IF(A219="","",MONTH(A219))</f>
        <v>4</v>
      </c>
      <c r="K219" s="35">
        <f>IF(A219="","",YEAR(A219))</f>
        <v>2026</v>
      </c>
    </row>
    <row r="220">
      <c r="A220" s="39" t="n">
        <v>46114</v>
      </c>
      <c r="B220" s="32" t="inlineStr">
        <is>
          <t>Entrada</t>
        </is>
      </c>
      <c r="C220" s="31" t="inlineStr">
        <is>
          <t>Particular à vista</t>
        </is>
      </c>
      <c r="D220" s="31" t="inlineStr"/>
      <c r="E220" s="31" t="inlineStr">
        <is>
          <t>Fechamento do dia</t>
        </is>
      </c>
      <c r="F220" s="31" t="inlineStr">
        <is>
          <t>Fechamento do dia · 1 atendimento · dinheiro</t>
        </is>
      </c>
      <c r="G220" s="36" t="n">
        <v>380</v>
      </c>
      <c r="H220" s="32" t="inlineStr">
        <is>
          <t>Dinheiro</t>
        </is>
      </c>
      <c r="I220" s="32" t="inlineStr">
        <is>
          <t>Sim</t>
        </is>
      </c>
      <c r="J220" s="35">
        <f>IF(A220="","",MONTH(A220))</f>
        <v>4</v>
      </c>
      <c r="K220" s="35">
        <f>IF(A220="","",YEAR(A220))</f>
        <v>2026</v>
      </c>
    </row>
    <row r="221">
      <c r="A221" s="39" t="n">
        <v>46114</v>
      </c>
      <c r="B221" s="32" t="inlineStr">
        <is>
          <t>Entrada</t>
        </is>
      </c>
      <c r="C221" s="31" t="inlineStr">
        <is>
          <t>Particular à vista</t>
        </is>
      </c>
      <c r="D221" s="31" t="inlineStr"/>
      <c r="E221" s="31" t="inlineStr">
        <is>
          <t>Fechamento do dia</t>
        </is>
      </c>
      <c r="F221" s="31" t="inlineStr">
        <is>
          <t>Fechamento do dia · 3 atendimentos · pix</t>
        </is>
      </c>
      <c r="G221" s="36" t="n">
        <v>1180</v>
      </c>
      <c r="H221" s="32" t="inlineStr">
        <is>
          <t>Pix</t>
        </is>
      </c>
      <c r="I221" s="32" t="inlineStr">
        <is>
          <t>Sim</t>
        </is>
      </c>
      <c r="J221" s="35">
        <f>IF(A221="","",MONTH(A221))</f>
        <v>4</v>
      </c>
      <c r="K221" s="35">
        <f>IF(A221="","",YEAR(A221))</f>
        <v>2026</v>
      </c>
    </row>
    <row r="222">
      <c r="A222" s="39" t="n">
        <v>46114</v>
      </c>
      <c r="B222" s="32" t="inlineStr">
        <is>
          <t>Entrada</t>
        </is>
      </c>
      <c r="C222" s="31" t="inlineStr">
        <is>
          <t>Particular à vista</t>
        </is>
      </c>
      <c r="D222" s="31" t="inlineStr"/>
      <c r="E222" s="31" t="inlineStr">
        <is>
          <t>Fechamento do dia</t>
        </is>
      </c>
      <c r="F222" s="31" t="inlineStr">
        <is>
          <t>Fechamento do dia · 4 atendimentos · cartão de crédito</t>
        </is>
      </c>
      <c r="G222" s="36" t="n">
        <v>1510</v>
      </c>
      <c r="H222" s="32" t="inlineStr">
        <is>
          <t>Cartão de crédito</t>
        </is>
      </c>
      <c r="I222" s="32" t="inlineStr">
        <is>
          <t>Sim</t>
        </is>
      </c>
      <c r="J222" s="35">
        <f>IF(A222="","",MONTH(A222))</f>
        <v>4</v>
      </c>
      <c r="K222" s="35">
        <f>IF(A222="","",YEAR(A222))</f>
        <v>2026</v>
      </c>
    </row>
    <row r="223">
      <c r="A223" s="39" t="n">
        <v>46115</v>
      </c>
      <c r="B223" s="32" t="inlineStr">
        <is>
          <t>Entrada</t>
        </is>
      </c>
      <c r="C223" s="31" t="inlineStr">
        <is>
          <t>Particular a prazo</t>
        </is>
      </c>
      <c r="D223" s="31" t="inlineStr">
        <is>
          <t>Roberta Araújo</t>
        </is>
      </c>
      <c r="E223" s="31" t="inlineStr">
        <is>
          <t>Parcela</t>
        </is>
      </c>
      <c r="F223" s="31" t="inlineStr">
        <is>
          <t>Holter de 03/03 · parcela 1/2</t>
        </is>
      </c>
      <c r="G223" s="36" t="n">
        <v>175</v>
      </c>
      <c r="H223" s="32" t="inlineStr">
        <is>
          <t>Pix</t>
        </is>
      </c>
      <c r="I223" s="32" t="inlineStr">
        <is>
          <t>Sim</t>
        </is>
      </c>
      <c r="J223" s="35">
        <f>IF(A223="","",MONTH(A223))</f>
        <v>4</v>
      </c>
      <c r="K223" s="35">
        <f>IF(A223="","",YEAR(A223))</f>
        <v>2026</v>
      </c>
    </row>
    <row r="224">
      <c r="A224" s="39" t="n">
        <v>46117</v>
      </c>
      <c r="B224" s="32" t="inlineStr">
        <is>
          <t>Entrada</t>
        </is>
      </c>
      <c r="C224" s="31" t="inlineStr">
        <is>
          <t>Particular a prazo</t>
        </is>
      </c>
      <c r="D224" s="31" t="inlineStr">
        <is>
          <t>Gisele Xavier</t>
        </is>
      </c>
      <c r="E224" s="31" t="inlineStr">
        <is>
          <t>Parcela</t>
        </is>
      </c>
      <c r="F224" s="31" t="inlineStr">
        <is>
          <t>Consulta de 05/03 · parcela 1/1</t>
        </is>
      </c>
      <c r="G224" s="36" t="n">
        <v>380</v>
      </c>
      <c r="H224" s="32" t="inlineStr">
        <is>
          <t>Pix</t>
        </is>
      </c>
      <c r="I224" s="32" t="inlineStr">
        <is>
          <t>Sim</t>
        </is>
      </c>
      <c r="J224" s="35">
        <f>IF(A224="","",MONTH(A224))</f>
        <v>4</v>
      </c>
      <c r="K224" s="35">
        <f>IF(A224="","",YEAR(A224))</f>
        <v>2026</v>
      </c>
    </row>
    <row r="225">
      <c r="A225" s="39" t="n">
        <v>46117</v>
      </c>
      <c r="B225" s="32" t="inlineStr">
        <is>
          <t>Saída</t>
        </is>
      </c>
      <c r="C225" s="31" t="inlineStr">
        <is>
          <t>Aluguel e condomínio</t>
        </is>
      </c>
      <c r="D225" s="31" t="inlineStr"/>
      <c r="E225" s="31" t="inlineStr"/>
      <c r="F225" s="31" t="inlineStr">
        <is>
          <t>Aluguel e condomínio da clínica</t>
        </is>
      </c>
      <c r="G225" s="36" t="n">
        <v>3900</v>
      </c>
      <c r="H225" s="32" t="inlineStr">
        <is>
          <t>Boleto</t>
        </is>
      </c>
      <c r="I225" s="32" t="inlineStr">
        <is>
          <t>Sim</t>
        </is>
      </c>
      <c r="J225" s="35">
        <f>IF(A225="","",MONTH(A225))</f>
        <v>4</v>
      </c>
      <c r="K225" s="35">
        <f>IF(A225="","",YEAR(A225))</f>
        <v>2026</v>
      </c>
    </row>
    <row r="226">
      <c r="A226" s="39" t="n">
        <v>46117</v>
      </c>
      <c r="B226" s="32" t="inlineStr">
        <is>
          <t>Saída</t>
        </is>
      </c>
      <c r="C226" s="31" t="inlineStr">
        <is>
          <t>Recepção (salário e encargos)</t>
        </is>
      </c>
      <c r="D226" s="31" t="inlineStr"/>
      <c r="E226" s="31" t="inlineStr"/>
      <c r="F226" s="31" t="inlineStr">
        <is>
          <t>Salário e encargos · Bruna Carvalho</t>
        </is>
      </c>
      <c r="G226" s="36" t="n">
        <v>3100</v>
      </c>
      <c r="H226" s="32" t="inlineStr">
        <is>
          <t>Transferência</t>
        </is>
      </c>
      <c r="I226" s="32" t="inlineStr">
        <is>
          <t>Sim</t>
        </is>
      </c>
      <c r="J226" s="35">
        <f>IF(A226="","",MONTH(A226))</f>
        <v>4</v>
      </c>
      <c r="K226" s="35">
        <f>IF(A226="","",YEAR(A226))</f>
        <v>2026</v>
      </c>
    </row>
    <row r="227">
      <c r="A227" s="39" t="n">
        <v>46118</v>
      </c>
      <c r="B227" s="32" t="inlineStr">
        <is>
          <t>Entrada</t>
        </is>
      </c>
      <c r="C227" s="31" t="inlineStr">
        <is>
          <t>Convênio · Saúde Total</t>
        </is>
      </c>
      <c r="D227" s="31" t="inlineStr">
        <is>
          <t>Saúde Total</t>
        </is>
      </c>
      <c r="E227" s="31" t="inlineStr">
        <is>
          <t>Lote fev/2026</t>
        </is>
      </c>
      <c r="F227" s="31" t="inlineStr">
        <is>
          <t>Pagamento do lote de fev/2026 (30 guias. glosa de R$ 160)</t>
        </is>
      </c>
      <c r="G227" s="36" t="n">
        <v>3295</v>
      </c>
      <c r="H227" s="32" t="inlineStr">
        <is>
          <t>Transferência</t>
        </is>
      </c>
      <c r="I227" s="32" t="inlineStr">
        <is>
          <t>Sim</t>
        </is>
      </c>
      <c r="J227" s="35">
        <f>IF(A227="","",MONTH(A227))</f>
        <v>4</v>
      </c>
      <c r="K227" s="35">
        <f>IF(A227="","",YEAR(A227))</f>
        <v>2026</v>
      </c>
    </row>
    <row r="228">
      <c r="A228" s="39" t="n">
        <v>46118</v>
      </c>
      <c r="B228" s="32" t="inlineStr">
        <is>
          <t>Entrada</t>
        </is>
      </c>
      <c r="C228" s="31" t="inlineStr">
        <is>
          <t>Convênio · Vida Care</t>
        </is>
      </c>
      <c r="D228" s="31" t="inlineStr">
        <is>
          <t>Vida Care</t>
        </is>
      </c>
      <c r="E228" s="31" t="inlineStr">
        <is>
          <t>Lote jan/2026</t>
        </is>
      </c>
      <c r="F228" s="31" t="inlineStr">
        <is>
          <t>Pagamento do lote de jan/2026 (17 guias. glosa de R$ 255)</t>
        </is>
      </c>
      <c r="G228" s="36" t="n">
        <v>1315</v>
      </c>
      <c r="H228" s="32" t="inlineStr">
        <is>
          <t>Transferência</t>
        </is>
      </c>
      <c r="I228" s="32" t="inlineStr">
        <is>
          <t>Sim</t>
        </is>
      </c>
      <c r="J228" s="35">
        <f>IF(A228="","",MONTH(A228))</f>
        <v>4</v>
      </c>
      <c r="K228" s="35">
        <f>IF(A228="","",YEAR(A228))</f>
        <v>2026</v>
      </c>
    </row>
    <row r="229">
      <c r="A229" s="39" t="n">
        <v>46118</v>
      </c>
      <c r="B229" s="32" t="inlineStr">
        <is>
          <t>Entrada</t>
        </is>
      </c>
      <c r="C229" s="31" t="inlineStr">
        <is>
          <t>Particular à vista</t>
        </is>
      </c>
      <c r="D229" s="31" t="inlineStr"/>
      <c r="E229" s="31" t="inlineStr">
        <is>
          <t>Fechamento do dia</t>
        </is>
      </c>
      <c r="F229" s="31" t="inlineStr">
        <is>
          <t>Fechamento do dia · 2 atendimentos · pix</t>
        </is>
      </c>
      <c r="G229" s="36" t="n">
        <v>510</v>
      </c>
      <c r="H229" s="32" t="inlineStr">
        <is>
          <t>Pix</t>
        </is>
      </c>
      <c r="I229" s="32" t="inlineStr">
        <is>
          <t>Sim</t>
        </is>
      </c>
      <c r="J229" s="35">
        <f>IF(A229="","",MONTH(A229))</f>
        <v>4</v>
      </c>
      <c r="K229" s="35">
        <f>IF(A229="","",YEAR(A229))</f>
        <v>2026</v>
      </c>
    </row>
    <row r="230">
      <c r="A230" s="39" t="n">
        <v>46119</v>
      </c>
      <c r="B230" s="32" t="inlineStr">
        <is>
          <t>Entrada</t>
        </is>
      </c>
      <c r="C230" s="31" t="inlineStr">
        <is>
          <t>Particular à vista</t>
        </is>
      </c>
      <c r="D230" s="31" t="inlineStr"/>
      <c r="E230" s="31" t="inlineStr">
        <is>
          <t>Fechamento do dia</t>
        </is>
      </c>
      <c r="F230" s="31" t="inlineStr">
        <is>
          <t>Fechamento do dia · 2 atendimentos · cartão de débito</t>
        </is>
      </c>
      <c r="G230" s="36" t="n">
        <v>760</v>
      </c>
      <c r="H230" s="32" t="inlineStr">
        <is>
          <t>Cartão de débito</t>
        </is>
      </c>
      <c r="I230" s="32" t="inlineStr">
        <is>
          <t>Sim</t>
        </is>
      </c>
      <c r="J230" s="35">
        <f>IF(A230="","",MONTH(A230))</f>
        <v>4</v>
      </c>
      <c r="K230" s="35">
        <f>IF(A230="","",YEAR(A230))</f>
        <v>2026</v>
      </c>
    </row>
    <row r="231">
      <c r="A231" s="39" t="n">
        <v>46119</v>
      </c>
      <c r="B231" s="32" t="inlineStr">
        <is>
          <t>Entrada</t>
        </is>
      </c>
      <c r="C231" s="31" t="inlineStr">
        <is>
          <t>Particular à vista</t>
        </is>
      </c>
      <c r="D231" s="31" t="inlineStr"/>
      <c r="E231" s="31" t="inlineStr">
        <is>
          <t>Fechamento do dia</t>
        </is>
      </c>
      <c r="F231" s="31" t="inlineStr">
        <is>
          <t>Fechamento do dia · 3 atendimentos · cartão de crédito</t>
        </is>
      </c>
      <c r="G231" s="36" t="n">
        <v>1160</v>
      </c>
      <c r="H231" s="32" t="inlineStr">
        <is>
          <t>Cartão de crédito</t>
        </is>
      </c>
      <c r="I231" s="32" t="inlineStr">
        <is>
          <t>Sim</t>
        </is>
      </c>
      <c r="J231" s="35">
        <f>IF(A231="","",MONTH(A231))</f>
        <v>4</v>
      </c>
      <c r="K231" s="35">
        <f>IF(A231="","",YEAR(A231))</f>
        <v>2026</v>
      </c>
    </row>
    <row r="232">
      <c r="A232" s="39" t="n">
        <v>46120</v>
      </c>
      <c r="B232" s="32" t="inlineStr">
        <is>
          <t>Entrada</t>
        </is>
      </c>
      <c r="C232" s="31" t="inlineStr">
        <is>
          <t>Particular à vista</t>
        </is>
      </c>
      <c r="D232" s="31" t="inlineStr"/>
      <c r="E232" s="31" t="inlineStr">
        <is>
          <t>Fechamento do dia</t>
        </is>
      </c>
      <c r="F232" s="31" t="inlineStr">
        <is>
          <t>Fechamento do dia · 1 atendimento · dinheiro</t>
        </is>
      </c>
      <c r="G232" s="36" t="n">
        <v>380</v>
      </c>
      <c r="H232" s="32" t="inlineStr">
        <is>
          <t>Dinheiro</t>
        </is>
      </c>
      <c r="I232" s="32" t="inlineStr">
        <is>
          <t>Sim</t>
        </is>
      </c>
      <c r="J232" s="35">
        <f>IF(A232="","",MONTH(A232))</f>
        <v>4</v>
      </c>
      <c r="K232" s="35">
        <f>IF(A232="","",YEAR(A232))</f>
        <v>2026</v>
      </c>
    </row>
    <row r="233">
      <c r="A233" s="39" t="n">
        <v>46120</v>
      </c>
      <c r="B233" s="32" t="inlineStr">
        <is>
          <t>Entrada</t>
        </is>
      </c>
      <c r="C233" s="31" t="inlineStr">
        <is>
          <t>Particular à vista</t>
        </is>
      </c>
      <c r="D233" s="31" t="inlineStr"/>
      <c r="E233" s="31" t="inlineStr">
        <is>
          <t>Fechamento do dia</t>
        </is>
      </c>
      <c r="F233" s="31" t="inlineStr">
        <is>
          <t>Fechamento do dia · 1 atendimento · pix</t>
        </is>
      </c>
      <c r="G233" s="36" t="n">
        <v>380</v>
      </c>
      <c r="H233" s="32" t="inlineStr">
        <is>
          <t>Pix</t>
        </is>
      </c>
      <c r="I233" s="32" t="inlineStr">
        <is>
          <t>Sim</t>
        </is>
      </c>
      <c r="J233" s="35">
        <f>IF(A233="","",MONTH(A233))</f>
        <v>4</v>
      </c>
      <c r="K233" s="35">
        <f>IF(A233="","",YEAR(A233))</f>
        <v>2026</v>
      </c>
    </row>
    <row r="234">
      <c r="A234" s="39" t="n">
        <v>46120</v>
      </c>
      <c r="B234" s="32" t="inlineStr">
        <is>
          <t>Entrada</t>
        </is>
      </c>
      <c r="C234" s="31" t="inlineStr">
        <is>
          <t>Particular à vista</t>
        </is>
      </c>
      <c r="D234" s="31" t="inlineStr"/>
      <c r="E234" s="31" t="inlineStr">
        <is>
          <t>Fechamento do dia</t>
        </is>
      </c>
      <c r="F234" s="31" t="inlineStr">
        <is>
          <t>Fechamento do dia · 2 atendimentos · cartão de crédito</t>
        </is>
      </c>
      <c r="G234" s="36" t="n">
        <v>760</v>
      </c>
      <c r="H234" s="32" t="inlineStr">
        <is>
          <t>Cartão de crédito</t>
        </is>
      </c>
      <c r="I234" s="32" t="inlineStr">
        <is>
          <t>Sim</t>
        </is>
      </c>
      <c r="J234" s="35">
        <f>IF(A234="","",MONTH(A234))</f>
        <v>4</v>
      </c>
      <c r="K234" s="35">
        <f>IF(A234="","",YEAR(A234))</f>
        <v>2026</v>
      </c>
    </row>
    <row r="235">
      <c r="A235" s="39" t="n">
        <v>46120</v>
      </c>
      <c r="B235" s="32" t="inlineStr">
        <is>
          <t>Saída</t>
        </is>
      </c>
      <c r="C235" s="31" t="inlineStr">
        <is>
          <t>Materiais e insumos de atendimento</t>
        </is>
      </c>
      <c r="D235" s="31" t="inlineStr"/>
      <c r="E235" s="31" t="inlineStr"/>
      <c r="F235" s="31" t="inlineStr">
        <is>
          <t>Eletrodos, manguitos e descartáveis (fornecedor)</t>
        </is>
      </c>
      <c r="G235" s="36" t="n">
        <v>760</v>
      </c>
      <c r="H235" s="32" t="inlineStr">
        <is>
          <t>Boleto</t>
        </is>
      </c>
      <c r="I235" s="32" t="inlineStr">
        <is>
          <t>Sim</t>
        </is>
      </c>
      <c r="J235" s="35">
        <f>IF(A235="","",MONTH(A235))</f>
        <v>4</v>
      </c>
      <c r="K235" s="35">
        <f>IF(A235="","",YEAR(A235))</f>
        <v>2026</v>
      </c>
    </row>
    <row r="236">
      <c r="A236" s="39" t="n">
        <v>46120</v>
      </c>
      <c r="B236" s="32" t="inlineStr">
        <is>
          <t>Saída</t>
        </is>
      </c>
      <c r="C236" s="31" t="inlineStr">
        <is>
          <t>Sistema de agenda e assinaturas</t>
        </is>
      </c>
      <c r="D236" s="31" t="inlineStr"/>
      <c r="E236" s="31" t="inlineStr"/>
      <c r="F236" s="31" t="inlineStr">
        <is>
          <t>Sistema de agenda e assinaturas</t>
        </is>
      </c>
      <c r="G236" s="36" t="n">
        <v>300</v>
      </c>
      <c r="H236" s="32" t="inlineStr">
        <is>
          <t>Cartão de crédito</t>
        </is>
      </c>
      <c r="I236" s="32" t="inlineStr">
        <is>
          <t>Sim</t>
        </is>
      </c>
      <c r="J236" s="35">
        <f>IF(A236="","",MONTH(A236))</f>
        <v>4</v>
      </c>
      <c r="K236" s="35">
        <f>IF(A236="","",YEAR(A236))</f>
        <v>2026</v>
      </c>
    </row>
    <row r="237">
      <c r="A237" s="39" t="n">
        <v>46121</v>
      </c>
      <c r="B237" s="32" t="inlineStr">
        <is>
          <t>Entrada</t>
        </is>
      </c>
      <c r="C237" s="31" t="inlineStr">
        <is>
          <t>Particular a prazo</t>
        </is>
      </c>
      <c r="D237" s="31" t="inlineStr">
        <is>
          <t>Gabriel Reis</t>
        </is>
      </c>
      <c r="E237" s="31" t="inlineStr">
        <is>
          <t>Parcela</t>
        </is>
      </c>
      <c r="F237" s="31" t="inlineStr">
        <is>
          <t>Avaliação endócrina de 10/03 · parcela 1/1 (vencida)</t>
        </is>
      </c>
      <c r="G237" s="36" t="n">
        <v>400</v>
      </c>
      <c r="H237" s="32" t="inlineStr">
        <is>
          <t>Pix</t>
        </is>
      </c>
      <c r="I237" s="32" t="inlineStr">
        <is>
          <t>Não</t>
        </is>
      </c>
      <c r="J237" s="35">
        <f>IF(A237="","",MONTH(A237))</f>
        <v>4</v>
      </c>
      <c r="K237" s="35">
        <f>IF(A237="","",YEAR(A237))</f>
        <v>2026</v>
      </c>
    </row>
    <row r="238">
      <c r="A238" s="39" t="n">
        <v>46121</v>
      </c>
      <c r="B238" s="32" t="inlineStr">
        <is>
          <t>Entrada</t>
        </is>
      </c>
      <c r="C238" s="31" t="inlineStr">
        <is>
          <t>Particular a prazo</t>
        </is>
      </c>
      <c r="D238" s="31" t="inlineStr">
        <is>
          <t>Rafael Correia</t>
        </is>
      </c>
      <c r="E238" s="31" t="inlineStr">
        <is>
          <t>Parcela</t>
        </is>
      </c>
      <c r="F238" s="31" t="inlineStr">
        <is>
          <t>Consulta de 09/03 · parcela 1/2</t>
        </is>
      </c>
      <c r="G238" s="36" t="n">
        <v>190</v>
      </c>
      <c r="H238" s="32" t="inlineStr">
        <is>
          <t>Pix</t>
        </is>
      </c>
      <c r="I238" s="32" t="inlineStr">
        <is>
          <t>Sim</t>
        </is>
      </c>
      <c r="J238" s="35">
        <f>IF(A238="","",MONTH(A238))</f>
        <v>4</v>
      </c>
      <c r="K238" s="35">
        <f>IF(A238="","",YEAR(A238))</f>
        <v>2026</v>
      </c>
    </row>
    <row r="239">
      <c r="A239" s="39" t="n">
        <v>46121</v>
      </c>
      <c r="B239" s="32" t="inlineStr">
        <is>
          <t>Entrada</t>
        </is>
      </c>
      <c r="C239" s="31" t="inlineStr">
        <is>
          <t>Particular à vista</t>
        </is>
      </c>
      <c r="D239" s="31" t="inlineStr"/>
      <c r="E239" s="31" t="inlineStr">
        <is>
          <t>Fechamento do dia</t>
        </is>
      </c>
      <c r="F239" s="31" t="inlineStr">
        <is>
          <t>Fechamento do dia · 1 atendimento · cartão de crédito</t>
        </is>
      </c>
      <c r="G239" s="36" t="n">
        <v>380</v>
      </c>
      <c r="H239" s="32" t="inlineStr">
        <is>
          <t>Cartão de crédito</t>
        </is>
      </c>
      <c r="I239" s="32" t="inlineStr">
        <is>
          <t>Sim</t>
        </is>
      </c>
      <c r="J239" s="35">
        <f>IF(A239="","",MONTH(A239))</f>
        <v>4</v>
      </c>
      <c r="K239" s="35">
        <f>IF(A239="","",YEAR(A239))</f>
        <v>2026</v>
      </c>
    </row>
    <row r="240">
      <c r="A240" s="39" t="n">
        <v>46121</v>
      </c>
      <c r="B240" s="32" t="inlineStr">
        <is>
          <t>Entrada</t>
        </is>
      </c>
      <c r="C240" s="31" t="inlineStr">
        <is>
          <t>Particular à vista</t>
        </is>
      </c>
      <c r="D240" s="31" t="inlineStr"/>
      <c r="E240" s="31" t="inlineStr">
        <is>
          <t>Fechamento do dia</t>
        </is>
      </c>
      <c r="F240" s="31" t="inlineStr">
        <is>
          <t>Fechamento do dia · 1 atendimento · dinheiro</t>
        </is>
      </c>
      <c r="G240" s="36" t="n">
        <v>400</v>
      </c>
      <c r="H240" s="32" t="inlineStr">
        <is>
          <t>Dinheiro</t>
        </is>
      </c>
      <c r="I240" s="32" t="inlineStr">
        <is>
          <t>Sim</t>
        </is>
      </c>
      <c r="J240" s="35">
        <f>IF(A240="","",MONTH(A240))</f>
        <v>4</v>
      </c>
      <c r="K240" s="35">
        <f>IF(A240="","",YEAR(A240))</f>
        <v>2026</v>
      </c>
    </row>
    <row r="241">
      <c r="A241" s="39" t="n">
        <v>46121</v>
      </c>
      <c r="B241" s="32" t="inlineStr">
        <is>
          <t>Entrada</t>
        </is>
      </c>
      <c r="C241" s="31" t="inlineStr">
        <is>
          <t>Particular à vista</t>
        </is>
      </c>
      <c r="D241" s="31" t="inlineStr"/>
      <c r="E241" s="31" t="inlineStr">
        <is>
          <t>Fechamento do dia</t>
        </is>
      </c>
      <c r="F241" s="31" t="inlineStr">
        <is>
          <t>Fechamento do dia · 2 atendimentos · cartão de débito</t>
        </is>
      </c>
      <c r="G241" s="36" t="n">
        <v>780</v>
      </c>
      <c r="H241" s="32" t="inlineStr">
        <is>
          <t>Cartão de débito</t>
        </is>
      </c>
      <c r="I241" s="32" t="inlineStr">
        <is>
          <t>Sim</t>
        </is>
      </c>
      <c r="J241" s="35">
        <f>IF(A241="","",MONTH(A241))</f>
        <v>4</v>
      </c>
      <c r="K241" s="35">
        <f>IF(A241="","",YEAR(A241))</f>
        <v>2026</v>
      </c>
    </row>
    <row r="242">
      <c r="A242" s="39" t="n">
        <v>46121</v>
      </c>
      <c r="B242" s="32" t="inlineStr">
        <is>
          <t>Entrada</t>
        </is>
      </c>
      <c r="C242" s="31" t="inlineStr">
        <is>
          <t>Particular à vista</t>
        </is>
      </c>
      <c r="D242" s="31" t="inlineStr"/>
      <c r="E242" s="31" t="inlineStr">
        <is>
          <t>Fechamento do dia</t>
        </is>
      </c>
      <c r="F242" s="31" t="inlineStr">
        <is>
          <t>Fechamento do dia · 3 atendimentos · pix</t>
        </is>
      </c>
      <c r="G242" s="36" t="n">
        <v>1230</v>
      </c>
      <c r="H242" s="32" t="inlineStr">
        <is>
          <t>Pix</t>
        </is>
      </c>
      <c r="I242" s="32" t="inlineStr">
        <is>
          <t>Sim</t>
        </is>
      </c>
      <c r="J242" s="35">
        <f>IF(A242="","",MONTH(A242))</f>
        <v>4</v>
      </c>
      <c r="K242" s="35">
        <f>IF(A242="","",YEAR(A242))</f>
        <v>2026</v>
      </c>
    </row>
    <row r="243">
      <c r="A243" s="39" t="n">
        <v>46122</v>
      </c>
      <c r="B243" s="32" t="inlineStr">
        <is>
          <t>Entrada</t>
        </is>
      </c>
      <c r="C243" s="31" t="inlineStr">
        <is>
          <t>Particular à vista</t>
        </is>
      </c>
      <c r="D243" s="31" t="inlineStr"/>
      <c r="E243" s="31" t="inlineStr">
        <is>
          <t>Fechamento do dia</t>
        </is>
      </c>
      <c r="F243" s="31" t="inlineStr">
        <is>
          <t>Fechamento do dia · 1 atendimento · pix</t>
        </is>
      </c>
      <c r="G243" s="36" t="n">
        <v>380</v>
      </c>
      <c r="H243" s="32" t="inlineStr">
        <is>
          <t>Pix</t>
        </is>
      </c>
      <c r="I243" s="32" t="inlineStr">
        <is>
          <t>Sim</t>
        </is>
      </c>
      <c r="J243" s="35">
        <f>IF(A243="","",MONTH(A243))</f>
        <v>4</v>
      </c>
      <c r="K243" s="35">
        <f>IF(A243="","",YEAR(A243))</f>
        <v>2026</v>
      </c>
    </row>
    <row r="244">
      <c r="A244" s="39" t="n">
        <v>46122</v>
      </c>
      <c r="B244" s="32" t="inlineStr">
        <is>
          <t>Saída</t>
        </is>
      </c>
      <c r="C244" s="31" t="inlineStr">
        <is>
          <t>Contador</t>
        </is>
      </c>
      <c r="D244" s="31" t="inlineStr"/>
      <c r="E244" s="31" t="inlineStr"/>
      <c r="F244" s="31" t="inlineStr">
        <is>
          <t>Honorários do contador</t>
        </is>
      </c>
      <c r="G244" s="36" t="n">
        <v>600</v>
      </c>
      <c r="H244" s="32" t="inlineStr">
        <is>
          <t>Boleto</t>
        </is>
      </c>
      <c r="I244" s="32" t="inlineStr">
        <is>
          <t>Sim</t>
        </is>
      </c>
      <c r="J244" s="35">
        <f>IF(A244="","",MONTH(A244))</f>
        <v>4</v>
      </c>
      <c r="K244" s="35">
        <f>IF(A244="","",YEAR(A244))</f>
        <v>2026</v>
      </c>
    </row>
    <row r="245">
      <c r="A245" s="39" t="n">
        <v>46122</v>
      </c>
      <c r="B245" s="32" t="inlineStr">
        <is>
          <t>Saída</t>
        </is>
      </c>
      <c r="C245" s="31" t="inlineStr">
        <is>
          <t>Repasse à médica parceira</t>
        </is>
      </c>
      <c r="D245" s="31" t="inlineStr">
        <is>
          <t>Dra. Renata Sousa</t>
        </is>
      </c>
      <c r="E245" s="31" t="inlineStr"/>
      <c r="F245" s="31" t="inlineStr">
        <is>
          <t>Repasse · Dra. Renata Sousa · 50 % da produção de mar</t>
        </is>
      </c>
      <c r="G245" s="36" t="n">
        <v>6050</v>
      </c>
      <c r="H245" s="32" t="inlineStr">
        <is>
          <t>Transferência</t>
        </is>
      </c>
      <c r="I245" s="32" t="inlineStr">
        <is>
          <t>Sim</t>
        </is>
      </c>
      <c r="J245" s="35">
        <f>IF(A245="","",MONTH(A245))</f>
        <v>4</v>
      </c>
      <c r="K245" s="35">
        <f>IF(A245="","",YEAR(A245))</f>
        <v>2026</v>
      </c>
    </row>
    <row r="246">
      <c r="A246" s="39" t="n">
        <v>46124</v>
      </c>
      <c r="B246" s="32" t="inlineStr">
        <is>
          <t>Entrada</t>
        </is>
      </c>
      <c r="C246" s="31" t="inlineStr">
        <is>
          <t>Particular a prazo</t>
        </is>
      </c>
      <c r="D246" s="31" t="inlineStr">
        <is>
          <t>Mônica Martins</t>
        </is>
      </c>
      <c r="E246" s="31" t="inlineStr">
        <is>
          <t>Parcela</t>
        </is>
      </c>
      <c r="F246" s="31" t="inlineStr">
        <is>
          <t>Consulta de 11/02 · parcela 2/2</t>
        </is>
      </c>
      <c r="G246" s="36" t="n">
        <v>190</v>
      </c>
      <c r="H246" s="32" t="inlineStr">
        <is>
          <t>Pix</t>
        </is>
      </c>
      <c r="I246" s="32" t="inlineStr">
        <is>
          <t>Sim</t>
        </is>
      </c>
      <c r="J246" s="35">
        <f>IF(A246="","",MONTH(A246))</f>
        <v>4</v>
      </c>
      <c r="K246" s="35">
        <f>IF(A246="","",YEAR(A246))</f>
        <v>2026</v>
      </c>
    </row>
    <row r="247">
      <c r="A247" s="39" t="n">
        <v>46124</v>
      </c>
      <c r="B247" s="32" t="inlineStr">
        <is>
          <t>Entrada</t>
        </is>
      </c>
      <c r="C247" s="31" t="inlineStr">
        <is>
          <t>Particular a prazo</t>
        </is>
      </c>
      <c r="D247" s="31" t="inlineStr">
        <is>
          <t>Fernanda Freitas</t>
        </is>
      </c>
      <c r="E247" s="31" t="inlineStr">
        <is>
          <t>Parcela</t>
        </is>
      </c>
      <c r="F247" s="31" t="inlineStr">
        <is>
          <t>Teste ergométrico de 13/03 · parcela 1/2</t>
        </is>
      </c>
      <c r="G247" s="36" t="n">
        <v>225</v>
      </c>
      <c r="H247" s="32" t="inlineStr">
        <is>
          <t>Pix</t>
        </is>
      </c>
      <c r="I247" s="32" t="inlineStr">
        <is>
          <t>Sim</t>
        </is>
      </c>
      <c r="J247" s="35">
        <f>IF(A247="","",MONTH(A247))</f>
        <v>4</v>
      </c>
      <c r="K247" s="35">
        <f>IF(A247="","",YEAR(A247))</f>
        <v>2026</v>
      </c>
    </row>
    <row r="248">
      <c r="A248" s="39" t="n">
        <v>46124</v>
      </c>
      <c r="B248" s="32" t="inlineStr">
        <is>
          <t>Saída</t>
        </is>
      </c>
      <c r="C248" s="31" t="inlineStr">
        <is>
          <t>Energia, água, internet e telefone</t>
        </is>
      </c>
      <c r="D248" s="31" t="inlineStr"/>
      <c r="E248" s="31" t="inlineStr"/>
      <c r="F248" s="31" t="inlineStr">
        <is>
          <t>Energia, água, internet e telefone</t>
        </is>
      </c>
      <c r="G248" s="36" t="n">
        <v>550</v>
      </c>
      <c r="H248" s="32" t="inlineStr">
        <is>
          <t>Boleto</t>
        </is>
      </c>
      <c r="I248" s="32" t="inlineStr">
        <is>
          <t>Sim</t>
        </is>
      </c>
      <c r="J248" s="35">
        <f>IF(A248="","",MONTH(A248))</f>
        <v>4</v>
      </c>
      <c r="K248" s="35">
        <f>IF(A248="","",YEAR(A248))</f>
        <v>2026</v>
      </c>
    </row>
    <row r="249">
      <c r="A249" s="39" t="n">
        <v>46125</v>
      </c>
      <c r="B249" s="32" t="inlineStr">
        <is>
          <t>Entrada</t>
        </is>
      </c>
      <c r="C249" s="31" t="inlineStr">
        <is>
          <t>Particular à vista</t>
        </is>
      </c>
      <c r="D249" s="31" t="inlineStr"/>
      <c r="E249" s="31" t="inlineStr">
        <is>
          <t>Fechamento do dia</t>
        </is>
      </c>
      <c r="F249" s="31" t="inlineStr">
        <is>
          <t>Fechamento do dia · 1 atendimento · cartão de débito</t>
        </is>
      </c>
      <c r="G249" s="36" t="n">
        <v>130</v>
      </c>
      <c r="H249" s="32" t="inlineStr">
        <is>
          <t>Cartão de débito</t>
        </is>
      </c>
      <c r="I249" s="32" t="inlineStr">
        <is>
          <t>Sim</t>
        </is>
      </c>
      <c r="J249" s="35">
        <f>IF(A249="","",MONTH(A249))</f>
        <v>4</v>
      </c>
      <c r="K249" s="35">
        <f>IF(A249="","",YEAR(A249))</f>
        <v>2026</v>
      </c>
    </row>
    <row r="250">
      <c r="A250" s="39" t="n">
        <v>46125</v>
      </c>
      <c r="B250" s="32" t="inlineStr">
        <is>
          <t>Entrada</t>
        </is>
      </c>
      <c r="C250" s="31" t="inlineStr">
        <is>
          <t>Particular à vista</t>
        </is>
      </c>
      <c r="D250" s="31" t="inlineStr"/>
      <c r="E250" s="31" t="inlineStr">
        <is>
          <t>Fechamento do dia</t>
        </is>
      </c>
      <c r="F250" s="31" t="inlineStr">
        <is>
          <t>Fechamento do dia · 1 atendimento · dinheiro</t>
        </is>
      </c>
      <c r="G250" s="36" t="n">
        <v>380</v>
      </c>
      <c r="H250" s="32" t="inlineStr">
        <is>
          <t>Dinheiro</t>
        </is>
      </c>
      <c r="I250" s="32" t="inlineStr">
        <is>
          <t>Sim</t>
        </is>
      </c>
      <c r="J250" s="35">
        <f>IF(A250="","",MONTH(A250))</f>
        <v>4</v>
      </c>
      <c r="K250" s="35">
        <f>IF(A250="","",YEAR(A250))</f>
        <v>2026</v>
      </c>
    </row>
    <row r="251">
      <c r="A251" s="39" t="n">
        <v>46125</v>
      </c>
      <c r="B251" s="32" t="inlineStr">
        <is>
          <t>Entrada</t>
        </is>
      </c>
      <c r="C251" s="31" t="inlineStr">
        <is>
          <t>Particular à vista</t>
        </is>
      </c>
      <c r="D251" s="31" t="inlineStr"/>
      <c r="E251" s="31" t="inlineStr">
        <is>
          <t>Fechamento do dia</t>
        </is>
      </c>
      <c r="F251" s="31" t="inlineStr">
        <is>
          <t>Fechamento do dia · 1 atendimento · pix</t>
        </is>
      </c>
      <c r="G251" s="36" t="n">
        <v>380</v>
      </c>
      <c r="H251" s="32" t="inlineStr">
        <is>
          <t>Pix</t>
        </is>
      </c>
      <c r="I251" s="32" t="inlineStr">
        <is>
          <t>Sim</t>
        </is>
      </c>
      <c r="J251" s="35">
        <f>IF(A251="","",MONTH(A251))</f>
        <v>4</v>
      </c>
      <c r="K251" s="35">
        <f>IF(A251="","",YEAR(A251))</f>
        <v>2026</v>
      </c>
    </row>
    <row r="252">
      <c r="A252" s="39" t="n">
        <v>46126</v>
      </c>
      <c r="B252" s="32" t="inlineStr">
        <is>
          <t>Entrada</t>
        </is>
      </c>
      <c r="C252" s="31" t="inlineStr">
        <is>
          <t>Outras entradas</t>
        </is>
      </c>
      <c r="D252" s="31" t="inlineStr"/>
      <c r="E252" s="31" t="inlineStr"/>
      <c r="F252" s="31" t="inlineStr">
        <is>
          <t>Devolução de despesa pessoal · Dra. Carolina Mendes</t>
        </is>
      </c>
      <c r="G252" s="36" t="n">
        <v>620</v>
      </c>
      <c r="H252" s="32" t="inlineStr">
        <is>
          <t>Pix</t>
        </is>
      </c>
      <c r="I252" s="32" t="inlineStr">
        <is>
          <t>Sim</t>
        </is>
      </c>
      <c r="J252" s="35">
        <f>IF(A252="","",MONTH(A252))</f>
        <v>4</v>
      </c>
      <c r="K252" s="35">
        <f>IF(A252="","",YEAR(A252))</f>
        <v>2026</v>
      </c>
    </row>
    <row r="253">
      <c r="A253" s="39" t="n">
        <v>46126</v>
      </c>
      <c r="B253" s="32" t="inlineStr">
        <is>
          <t>Entrada</t>
        </is>
      </c>
      <c r="C253" s="31" t="inlineStr">
        <is>
          <t>Particular a prazo</t>
        </is>
      </c>
      <c r="D253" s="31" t="inlineStr">
        <is>
          <t>Henrique Ribeiro</t>
        </is>
      </c>
      <c r="E253" s="31" t="inlineStr">
        <is>
          <t>Parcela</t>
        </is>
      </c>
      <c r="F253" s="31" t="inlineStr">
        <is>
          <t>Holter de 13/02 · parcela 2/2</t>
        </is>
      </c>
      <c r="G253" s="36" t="n">
        <v>175</v>
      </c>
      <c r="H253" s="32" t="inlineStr">
        <is>
          <t>Pix</t>
        </is>
      </c>
      <c r="I253" s="32" t="inlineStr">
        <is>
          <t>Sim</t>
        </is>
      </c>
      <c r="J253" s="35">
        <f>IF(A253="","",MONTH(A253))</f>
        <v>4</v>
      </c>
      <c r="K253" s="35">
        <f>IF(A253="","",YEAR(A253))</f>
        <v>2026</v>
      </c>
    </row>
    <row r="254">
      <c r="A254" s="39" t="n">
        <v>46126</v>
      </c>
      <c r="B254" s="32" t="inlineStr">
        <is>
          <t>Entrada</t>
        </is>
      </c>
      <c r="C254" s="31" t="inlineStr">
        <is>
          <t>Particular à vista</t>
        </is>
      </c>
      <c r="D254" s="31" t="inlineStr"/>
      <c r="E254" s="31" t="inlineStr">
        <is>
          <t>Fechamento do dia</t>
        </is>
      </c>
      <c r="F254" s="31" t="inlineStr">
        <is>
          <t>Fechamento do dia · 1 atendimento · cartão de débito</t>
        </is>
      </c>
      <c r="G254" s="36" t="n">
        <v>380</v>
      </c>
      <c r="H254" s="32" t="inlineStr">
        <is>
          <t>Cartão de débito</t>
        </is>
      </c>
      <c r="I254" s="32" t="inlineStr">
        <is>
          <t>Sim</t>
        </is>
      </c>
      <c r="J254" s="35">
        <f>IF(A254="","",MONTH(A254))</f>
        <v>4</v>
      </c>
      <c r="K254" s="35">
        <f>IF(A254="","",YEAR(A254))</f>
        <v>2026</v>
      </c>
    </row>
    <row r="255">
      <c r="A255" s="39" t="n">
        <v>46126</v>
      </c>
      <c r="B255" s="32" t="inlineStr">
        <is>
          <t>Entrada</t>
        </is>
      </c>
      <c r="C255" s="31" t="inlineStr">
        <is>
          <t>Particular à vista</t>
        </is>
      </c>
      <c r="D255" s="31" t="inlineStr"/>
      <c r="E255" s="31" t="inlineStr">
        <is>
          <t>Fechamento do dia</t>
        </is>
      </c>
      <c r="F255" s="31" t="inlineStr">
        <is>
          <t>Fechamento do dia · 2 atendimentos · cartão de crédito</t>
        </is>
      </c>
      <c r="G255" s="36" t="n">
        <v>760</v>
      </c>
      <c r="H255" s="32" t="inlineStr">
        <is>
          <t>Cartão de crédito</t>
        </is>
      </c>
      <c r="I255" s="32" t="inlineStr">
        <is>
          <t>Sim</t>
        </is>
      </c>
      <c r="J255" s="35">
        <f>IF(A255="","",MONTH(A255))</f>
        <v>4</v>
      </c>
      <c r="K255" s="35">
        <f>IF(A255="","",YEAR(A255))</f>
        <v>2026</v>
      </c>
    </row>
    <row r="256">
      <c r="A256" s="39" t="n">
        <v>46126</v>
      </c>
      <c r="B256" s="32" t="inlineStr">
        <is>
          <t>Entrada</t>
        </is>
      </c>
      <c r="C256" s="31" t="inlineStr">
        <is>
          <t>Particular à vista</t>
        </is>
      </c>
      <c r="D256" s="31" t="inlineStr"/>
      <c r="E256" s="31" t="inlineStr">
        <is>
          <t>Fechamento do dia</t>
        </is>
      </c>
      <c r="F256" s="31" t="inlineStr">
        <is>
          <t>Fechamento do dia · 2 atendimentos · pix</t>
        </is>
      </c>
      <c r="G256" s="36" t="n">
        <v>780</v>
      </c>
      <c r="H256" s="32" t="inlineStr">
        <is>
          <t>Pix</t>
        </is>
      </c>
      <c r="I256" s="32" t="inlineStr">
        <is>
          <t>Sim</t>
        </is>
      </c>
      <c r="J256" s="35">
        <f>IF(A256="","",MONTH(A256))</f>
        <v>4</v>
      </c>
      <c r="K256" s="35">
        <f>IF(A256="","",YEAR(A256))</f>
        <v>2026</v>
      </c>
    </row>
    <row r="257">
      <c r="A257" s="39" t="n">
        <v>46127</v>
      </c>
      <c r="B257" s="32" t="inlineStr">
        <is>
          <t>Entrada</t>
        </is>
      </c>
      <c r="C257" s="31" t="inlineStr">
        <is>
          <t>Particular à vista</t>
        </is>
      </c>
      <c r="D257" s="31" t="inlineStr"/>
      <c r="E257" s="31" t="inlineStr">
        <is>
          <t>Fechamento do dia</t>
        </is>
      </c>
      <c r="F257" s="31" t="inlineStr">
        <is>
          <t>Fechamento do dia · 2 atendimentos · pix</t>
        </is>
      </c>
      <c r="G257" s="36" t="n">
        <v>760</v>
      </c>
      <c r="H257" s="32" t="inlineStr">
        <is>
          <t>Pix</t>
        </is>
      </c>
      <c r="I257" s="32" t="inlineStr">
        <is>
          <t>Sim</t>
        </is>
      </c>
      <c r="J257" s="35">
        <f>IF(A257="","",MONTH(A257))</f>
        <v>4</v>
      </c>
      <c r="K257" s="35">
        <f>IF(A257="","",YEAR(A257))</f>
        <v>2026</v>
      </c>
    </row>
    <row r="258">
      <c r="A258" s="39" t="n">
        <v>46127</v>
      </c>
      <c r="B258" s="32" t="inlineStr">
        <is>
          <t>Saída</t>
        </is>
      </c>
      <c r="C258" s="31" t="inlineStr">
        <is>
          <t>Anuidade CRM, seguro e cursos</t>
        </is>
      </c>
      <c r="D258" s="31" t="inlineStr"/>
      <c r="E258" s="31" t="inlineStr"/>
      <c r="F258" s="31" t="inlineStr">
        <is>
          <t>Anuidade CRM, seguro e cursos</t>
        </is>
      </c>
      <c r="G258" s="36" t="n">
        <v>450</v>
      </c>
      <c r="H258" s="32" t="inlineStr">
        <is>
          <t>Cartão de crédito</t>
        </is>
      </c>
      <c r="I258" s="32" t="inlineStr">
        <is>
          <t>Sim</t>
        </is>
      </c>
      <c r="J258" s="35">
        <f>IF(A258="","",MONTH(A258))</f>
        <v>4</v>
      </c>
      <c r="K258" s="35">
        <f>IF(A258="","",YEAR(A258))</f>
        <v>2026</v>
      </c>
    </row>
    <row r="259">
      <c r="A259" s="39" t="n">
        <v>46127</v>
      </c>
      <c r="B259" s="32" t="inlineStr">
        <is>
          <t>Saída</t>
        </is>
      </c>
      <c r="C259" s="31" t="inlineStr">
        <is>
          <t>Limpeza e material de escritório</t>
        </is>
      </c>
      <c r="D259" s="31" t="inlineStr"/>
      <c r="E259" s="31" t="inlineStr"/>
      <c r="F259" s="31" t="inlineStr">
        <is>
          <t>Limpeza e material de escritório</t>
        </is>
      </c>
      <c r="G259" s="36" t="n">
        <v>450</v>
      </c>
      <c r="H259" s="32" t="inlineStr">
        <is>
          <t>Cartão de crédito</t>
        </is>
      </c>
      <c r="I259" s="32" t="inlineStr">
        <is>
          <t>Sim</t>
        </is>
      </c>
      <c r="J259" s="35">
        <f>IF(A259="","",MONTH(A259))</f>
        <v>4</v>
      </c>
      <c r="K259" s="35">
        <f>IF(A259="","",YEAR(A259))</f>
        <v>2026</v>
      </c>
    </row>
    <row r="260">
      <c r="A260" s="39" t="n">
        <v>46128</v>
      </c>
      <c r="B260" s="32" t="inlineStr">
        <is>
          <t>Entrada</t>
        </is>
      </c>
      <c r="C260" s="31" t="inlineStr">
        <is>
          <t>Particular a prazo</t>
        </is>
      </c>
      <c r="D260" s="31" t="inlineStr">
        <is>
          <t>Carlos Oliveira</t>
        </is>
      </c>
      <c r="E260" s="31" t="inlineStr">
        <is>
          <t>Parcela</t>
        </is>
      </c>
      <c r="F260" s="31" t="inlineStr">
        <is>
          <t>Consulta de 13/02 · parcela 2/2</t>
        </is>
      </c>
      <c r="G260" s="36" t="n">
        <v>190</v>
      </c>
      <c r="H260" s="32" t="inlineStr">
        <is>
          <t>Pix</t>
        </is>
      </c>
      <c r="I260" s="32" t="inlineStr">
        <is>
          <t>Sim</t>
        </is>
      </c>
      <c r="J260" s="35">
        <f>IF(A260="","",MONTH(A260))</f>
        <v>4</v>
      </c>
      <c r="K260" s="35">
        <f>IF(A260="","",YEAR(A260))</f>
        <v>2026</v>
      </c>
    </row>
    <row r="261">
      <c r="A261" s="39" t="n">
        <v>46128</v>
      </c>
      <c r="B261" s="32" t="inlineStr">
        <is>
          <t>Entrada</t>
        </is>
      </c>
      <c r="C261" s="31" t="inlineStr">
        <is>
          <t>Particular a prazo</t>
        </is>
      </c>
      <c r="D261" s="31" t="inlineStr">
        <is>
          <t>Natália Martins</t>
        </is>
      </c>
      <c r="E261" s="31" t="inlineStr">
        <is>
          <t>Parcela</t>
        </is>
      </c>
      <c r="F261" s="31" t="inlineStr">
        <is>
          <t>Consulta de 16/03 · parcela 1/1</t>
        </is>
      </c>
      <c r="G261" s="36" t="n">
        <v>380</v>
      </c>
      <c r="H261" s="32" t="inlineStr">
        <is>
          <t>Pix</t>
        </is>
      </c>
      <c r="I261" s="32" t="inlineStr">
        <is>
          <t>Sim</t>
        </is>
      </c>
      <c r="J261" s="35">
        <f>IF(A261="","",MONTH(A261))</f>
        <v>4</v>
      </c>
      <c r="K261" s="35">
        <f>IF(A261="","",YEAR(A261))</f>
        <v>2026</v>
      </c>
    </row>
    <row r="262">
      <c r="A262" s="39" t="n">
        <v>46128</v>
      </c>
      <c r="B262" s="32" t="inlineStr">
        <is>
          <t>Entrada</t>
        </is>
      </c>
      <c r="C262" s="31" t="inlineStr">
        <is>
          <t>Particular a prazo</t>
        </is>
      </c>
      <c r="D262" s="31" t="inlineStr">
        <is>
          <t>Otávio Cardoso</t>
        </is>
      </c>
      <c r="E262" s="31" t="inlineStr">
        <is>
          <t>Parcela</t>
        </is>
      </c>
      <c r="F262" s="31" t="inlineStr">
        <is>
          <t>Consulta de 17/03 · parcela 1/2</t>
        </is>
      </c>
      <c r="G262" s="36" t="n">
        <v>190</v>
      </c>
      <c r="H262" s="32" t="inlineStr">
        <is>
          <t>Pix</t>
        </is>
      </c>
      <c r="I262" s="32" t="inlineStr">
        <is>
          <t>Sim</t>
        </is>
      </c>
      <c r="J262" s="35">
        <f>IF(A262="","",MONTH(A262))</f>
        <v>4</v>
      </c>
      <c r="K262" s="35">
        <f>IF(A262="","",YEAR(A262))</f>
        <v>2026</v>
      </c>
    </row>
    <row r="263">
      <c r="A263" s="39" t="n">
        <v>46128</v>
      </c>
      <c r="B263" s="32" t="inlineStr">
        <is>
          <t>Entrada</t>
        </is>
      </c>
      <c r="C263" s="31" t="inlineStr">
        <is>
          <t>Particular à vista</t>
        </is>
      </c>
      <c r="D263" s="31" t="inlineStr"/>
      <c r="E263" s="31" t="inlineStr">
        <is>
          <t>Fechamento do dia</t>
        </is>
      </c>
      <c r="F263" s="31" t="inlineStr">
        <is>
          <t>Fechamento do dia · 1 atendimento · dinheiro</t>
        </is>
      </c>
      <c r="G263" s="36" t="n">
        <v>380</v>
      </c>
      <c r="H263" s="32" t="inlineStr">
        <is>
          <t>Dinheiro</t>
        </is>
      </c>
      <c r="I263" s="32" t="inlineStr">
        <is>
          <t>Sim</t>
        </is>
      </c>
      <c r="J263" s="35">
        <f>IF(A263="","",MONTH(A263))</f>
        <v>4</v>
      </c>
      <c r="K263" s="35">
        <f>IF(A263="","",YEAR(A263))</f>
        <v>2026</v>
      </c>
    </row>
    <row r="264">
      <c r="A264" s="39" t="n">
        <v>46128</v>
      </c>
      <c r="B264" s="32" t="inlineStr">
        <is>
          <t>Entrada</t>
        </is>
      </c>
      <c r="C264" s="31" t="inlineStr">
        <is>
          <t>Particular à vista</t>
        </is>
      </c>
      <c r="D264" s="31" t="inlineStr"/>
      <c r="E264" s="31" t="inlineStr">
        <is>
          <t>Fechamento do dia</t>
        </is>
      </c>
      <c r="F264" s="31" t="inlineStr">
        <is>
          <t>Fechamento do dia · 2 atendimentos · cartão de débito</t>
        </is>
      </c>
      <c r="G264" s="36" t="n">
        <v>760</v>
      </c>
      <c r="H264" s="32" t="inlineStr">
        <is>
          <t>Cartão de débito</t>
        </is>
      </c>
      <c r="I264" s="32" t="inlineStr">
        <is>
          <t>Sim</t>
        </is>
      </c>
      <c r="J264" s="35">
        <f>IF(A264="","",MONTH(A264))</f>
        <v>4</v>
      </c>
      <c r="K264" s="35">
        <f>IF(A264="","",YEAR(A264))</f>
        <v>2026</v>
      </c>
    </row>
    <row r="265">
      <c r="A265" s="39" t="n">
        <v>46128</v>
      </c>
      <c r="B265" s="32" t="inlineStr">
        <is>
          <t>Entrada</t>
        </is>
      </c>
      <c r="C265" s="31" t="inlineStr">
        <is>
          <t>Particular à vista</t>
        </is>
      </c>
      <c r="D265" s="31" t="inlineStr"/>
      <c r="E265" s="31" t="inlineStr">
        <is>
          <t>Fechamento do dia</t>
        </is>
      </c>
      <c r="F265" s="31" t="inlineStr">
        <is>
          <t>Fechamento do dia · 4 atendimentos · cartão de crédito</t>
        </is>
      </c>
      <c r="G265" s="36" t="n">
        <v>1540</v>
      </c>
      <c r="H265" s="32" t="inlineStr">
        <is>
          <t>Cartão de crédito</t>
        </is>
      </c>
      <c r="I265" s="32" t="inlineStr">
        <is>
          <t>Sim</t>
        </is>
      </c>
      <c r="J265" s="35">
        <f>IF(A265="","",MONTH(A265))</f>
        <v>4</v>
      </c>
      <c r="K265" s="35">
        <f>IF(A265="","",YEAR(A265))</f>
        <v>2026</v>
      </c>
    </row>
    <row r="266">
      <c r="A266" s="39" t="n">
        <v>46131</v>
      </c>
      <c r="B266" s="32" t="inlineStr">
        <is>
          <t>Entrada</t>
        </is>
      </c>
      <c r="C266" s="31" t="inlineStr">
        <is>
          <t>Particular a prazo</t>
        </is>
      </c>
      <c r="D266" s="31" t="inlineStr">
        <is>
          <t>Camila Freitas</t>
        </is>
      </c>
      <c r="E266" s="31" t="inlineStr">
        <is>
          <t>Parcela</t>
        </is>
      </c>
      <c r="F266" s="31" t="inlineStr">
        <is>
          <t>Consulta de 20/03 · parcela 1/2</t>
        </is>
      </c>
      <c r="G266" s="36" t="n">
        <v>190</v>
      </c>
      <c r="H266" s="32" t="inlineStr">
        <is>
          <t>Pix</t>
        </is>
      </c>
      <c r="I266" s="32" t="inlineStr">
        <is>
          <t>Sim</t>
        </is>
      </c>
      <c r="J266" s="35">
        <f>IF(A266="","",MONTH(A266))</f>
        <v>4</v>
      </c>
      <c r="K266" s="35">
        <f>IF(A266="","",YEAR(A266))</f>
        <v>2026</v>
      </c>
    </row>
    <row r="267">
      <c r="A267" s="39" t="n">
        <v>46132</v>
      </c>
      <c r="B267" s="32" t="inlineStr">
        <is>
          <t>Entrada</t>
        </is>
      </c>
      <c r="C267" s="31" t="inlineStr">
        <is>
          <t>Particular à vista</t>
        </is>
      </c>
      <c r="D267" s="31" t="inlineStr"/>
      <c r="E267" s="31" t="inlineStr">
        <is>
          <t>Fechamento do dia</t>
        </is>
      </c>
      <c r="F267" s="31" t="inlineStr">
        <is>
          <t>Fechamento do dia · 1 atendimento · dinheiro</t>
        </is>
      </c>
      <c r="G267" s="36" t="n">
        <v>300</v>
      </c>
      <c r="H267" s="32" t="inlineStr">
        <is>
          <t>Dinheiro</t>
        </is>
      </c>
      <c r="I267" s="32" t="inlineStr">
        <is>
          <t>Sim</t>
        </is>
      </c>
      <c r="J267" s="35">
        <f>IF(A267="","",MONTH(A267))</f>
        <v>4</v>
      </c>
      <c r="K267" s="35">
        <f>IF(A267="","",YEAR(A267))</f>
        <v>2026</v>
      </c>
    </row>
    <row r="268">
      <c r="A268" s="39" t="n">
        <v>46132</v>
      </c>
      <c r="B268" s="32" t="inlineStr">
        <is>
          <t>Entrada</t>
        </is>
      </c>
      <c r="C268" s="31" t="inlineStr">
        <is>
          <t>Particular à vista</t>
        </is>
      </c>
      <c r="D268" s="31" t="inlineStr"/>
      <c r="E268" s="31" t="inlineStr">
        <is>
          <t>Fechamento do dia</t>
        </is>
      </c>
      <c r="F268" s="31" t="inlineStr">
        <is>
          <t>Fechamento do dia · 2 atendimentos · cartão de crédito</t>
        </is>
      </c>
      <c r="G268" s="36" t="n">
        <v>760</v>
      </c>
      <c r="H268" s="32" t="inlineStr">
        <is>
          <t>Cartão de crédito</t>
        </is>
      </c>
      <c r="I268" s="32" t="inlineStr">
        <is>
          <t>Sim</t>
        </is>
      </c>
      <c r="J268" s="35">
        <f>IF(A268="","",MONTH(A268))</f>
        <v>4</v>
      </c>
      <c r="K268" s="35">
        <f>IF(A268="","",YEAR(A268))</f>
        <v>2026</v>
      </c>
    </row>
    <row r="269">
      <c r="A269" s="39" t="n">
        <v>46132</v>
      </c>
      <c r="B269" s="32" t="inlineStr">
        <is>
          <t>Entrada</t>
        </is>
      </c>
      <c r="C269" s="31" t="inlineStr">
        <is>
          <t>Particular à vista</t>
        </is>
      </c>
      <c r="D269" s="31" t="inlineStr"/>
      <c r="E269" s="31" t="inlineStr">
        <is>
          <t>Fechamento do dia</t>
        </is>
      </c>
      <c r="F269" s="31" t="inlineStr">
        <is>
          <t>Fechamento do dia · 2 atendimentos · pix</t>
        </is>
      </c>
      <c r="G269" s="36" t="n">
        <v>830</v>
      </c>
      <c r="H269" s="32" t="inlineStr">
        <is>
          <t>Pix</t>
        </is>
      </c>
      <c r="I269" s="32" t="inlineStr">
        <is>
          <t>Sim</t>
        </is>
      </c>
      <c r="J269" s="35">
        <f>IF(A269="","",MONTH(A269))</f>
        <v>4</v>
      </c>
      <c r="K269" s="35">
        <f>IF(A269="","",YEAR(A269))</f>
        <v>2026</v>
      </c>
    </row>
    <row r="270">
      <c r="A270" s="39" t="n">
        <v>46132</v>
      </c>
      <c r="B270" s="32" t="inlineStr">
        <is>
          <t>Saída</t>
        </is>
      </c>
      <c r="C270" s="31" t="inlineStr">
        <is>
          <t>Impostos e taxas</t>
        </is>
      </c>
      <c r="D270" s="31" t="inlineStr"/>
      <c r="E270" s="31" t="inlineStr"/>
      <c r="F270" s="31" t="inlineStr">
        <is>
          <t>Guia de impostos do mês anterior (alíquota efetiva combinada com o contador)</t>
        </is>
      </c>
      <c r="G270" s="36" t="n">
        <v>5267</v>
      </c>
      <c r="H270" s="32" t="inlineStr">
        <is>
          <t>Boleto</t>
        </is>
      </c>
      <c r="I270" s="32" t="inlineStr">
        <is>
          <t>Sim</t>
        </is>
      </c>
      <c r="J270" s="35">
        <f>IF(A270="","",MONTH(A270))</f>
        <v>4</v>
      </c>
      <c r="K270" s="35">
        <f>IF(A270="","",YEAR(A270))</f>
        <v>2026</v>
      </c>
    </row>
    <row r="271">
      <c r="A271" s="39" t="n">
        <v>46132</v>
      </c>
      <c r="B271" s="32" t="inlineStr">
        <is>
          <t>Saída</t>
        </is>
      </c>
      <c r="C271" s="31" t="inlineStr">
        <is>
          <t>Marketing e site</t>
        </is>
      </c>
      <c r="D271" s="31" t="inlineStr"/>
      <c r="E271" s="31" t="inlineStr"/>
      <c r="F271" s="31" t="inlineStr">
        <is>
          <t>Marketing e site</t>
        </is>
      </c>
      <c r="G271" s="36" t="n">
        <v>650</v>
      </c>
      <c r="H271" s="32" t="inlineStr">
        <is>
          <t>Cartão de crédito</t>
        </is>
      </c>
      <c r="I271" s="32" t="inlineStr">
        <is>
          <t>Sim</t>
        </is>
      </c>
      <c r="J271" s="35">
        <f>IF(A271="","",MONTH(A271))</f>
        <v>4</v>
      </c>
      <c r="K271" s="35">
        <f>IF(A271="","",YEAR(A271))</f>
        <v>2026</v>
      </c>
    </row>
    <row r="272">
      <c r="A272" s="39" t="n">
        <v>46134</v>
      </c>
      <c r="B272" s="32" t="inlineStr">
        <is>
          <t>Entrada</t>
        </is>
      </c>
      <c r="C272" s="31" t="inlineStr">
        <is>
          <t>Convênio · MediPlan</t>
        </is>
      </c>
      <c r="D272" s="31" t="inlineStr">
        <is>
          <t>MediPlan</t>
        </is>
      </c>
      <c r="E272" s="31" t="inlineStr">
        <is>
          <t>Lote fev/2026</t>
        </is>
      </c>
      <c r="F272" s="31" t="inlineStr">
        <is>
          <t>Pagamento do lote de fev/2026 (17 guias. glosa de R$ 100)</t>
        </is>
      </c>
      <c r="G272" s="36" t="n">
        <v>1555</v>
      </c>
      <c r="H272" s="32" t="inlineStr">
        <is>
          <t>Transferência</t>
        </is>
      </c>
      <c r="I272" s="32" t="inlineStr">
        <is>
          <t>Sim</t>
        </is>
      </c>
      <c r="J272" s="35">
        <f>IF(A272="","",MONTH(A272))</f>
        <v>4</v>
      </c>
      <c r="K272" s="35">
        <f>IF(A272="","",YEAR(A272))</f>
        <v>2026</v>
      </c>
    </row>
    <row r="273">
      <c r="A273" s="39" t="n">
        <v>46134</v>
      </c>
      <c r="B273" s="32" t="inlineStr">
        <is>
          <t>Entrada</t>
        </is>
      </c>
      <c r="C273" s="31" t="inlineStr">
        <is>
          <t>Particular à vista</t>
        </is>
      </c>
      <c r="D273" s="31" t="inlineStr"/>
      <c r="E273" s="31" t="inlineStr">
        <is>
          <t>Fechamento do dia</t>
        </is>
      </c>
      <c r="F273" s="31" t="inlineStr">
        <is>
          <t>Fechamento do dia · 1 atendimento · dinheiro</t>
        </is>
      </c>
      <c r="G273" s="36" t="n">
        <v>380</v>
      </c>
      <c r="H273" s="32" t="inlineStr">
        <is>
          <t>Dinheiro</t>
        </is>
      </c>
      <c r="I273" s="32" t="inlineStr">
        <is>
          <t>Sim</t>
        </is>
      </c>
      <c r="J273" s="35">
        <f>IF(A273="","",MONTH(A273))</f>
        <v>4</v>
      </c>
      <c r="K273" s="35">
        <f>IF(A273="","",YEAR(A273))</f>
        <v>2026</v>
      </c>
    </row>
    <row r="274">
      <c r="A274" s="39" t="n">
        <v>46134</v>
      </c>
      <c r="B274" s="32" t="inlineStr">
        <is>
          <t>Entrada</t>
        </is>
      </c>
      <c r="C274" s="31" t="inlineStr">
        <is>
          <t>Particular à vista</t>
        </is>
      </c>
      <c r="D274" s="31" t="inlineStr"/>
      <c r="E274" s="31" t="inlineStr">
        <is>
          <t>Fechamento do dia</t>
        </is>
      </c>
      <c r="F274" s="31" t="inlineStr">
        <is>
          <t>Fechamento do dia · 2 atendimentos · cartão de crédito</t>
        </is>
      </c>
      <c r="G274" s="36" t="n">
        <v>760</v>
      </c>
      <c r="H274" s="32" t="inlineStr">
        <is>
          <t>Cartão de crédito</t>
        </is>
      </c>
      <c r="I274" s="32" t="inlineStr">
        <is>
          <t>Sim</t>
        </is>
      </c>
      <c r="J274" s="35">
        <f>IF(A274="","",MONTH(A274))</f>
        <v>4</v>
      </c>
      <c r="K274" s="35">
        <f>IF(A274="","",YEAR(A274))</f>
        <v>2026</v>
      </c>
    </row>
    <row r="275">
      <c r="A275" s="39" t="n">
        <v>46134</v>
      </c>
      <c r="B275" s="32" t="inlineStr">
        <is>
          <t>Saída</t>
        </is>
      </c>
      <c r="C275" s="31" t="inlineStr">
        <is>
          <t>Materiais e insumos de atendimento</t>
        </is>
      </c>
      <c r="D275" s="31" t="inlineStr"/>
      <c r="E275" s="31" t="inlineStr"/>
      <c r="F275" s="31" t="inlineStr">
        <is>
          <t>Reposição de descartáveis e papel para ECG</t>
        </is>
      </c>
      <c r="G275" s="36" t="n">
        <v>500</v>
      </c>
      <c r="H275" s="32" t="inlineStr">
        <is>
          <t>Cartão de crédito</t>
        </is>
      </c>
      <c r="I275" s="32" t="inlineStr">
        <is>
          <t>Sim</t>
        </is>
      </c>
      <c r="J275" s="35">
        <f>IF(A275="","",MONTH(A275))</f>
        <v>4</v>
      </c>
      <c r="K275" s="35">
        <f>IF(A275="","",YEAR(A275))</f>
        <v>2026</v>
      </c>
    </row>
    <row r="276">
      <c r="A276" s="39" t="n">
        <v>46135</v>
      </c>
      <c r="B276" s="32" t="inlineStr">
        <is>
          <t>Entrada</t>
        </is>
      </c>
      <c r="C276" s="31" t="inlineStr">
        <is>
          <t>Particular a prazo</t>
        </is>
      </c>
      <c r="D276" s="31" t="inlineStr">
        <is>
          <t>Patrícia Fernandes</t>
        </is>
      </c>
      <c r="E276" s="31" t="inlineStr">
        <is>
          <t>Parcela</t>
        </is>
      </c>
      <c r="F276" s="31" t="inlineStr">
        <is>
          <t>Consulta de 19/03 · parcela 1/1</t>
        </is>
      </c>
      <c r="G276" s="36" t="n">
        <v>380</v>
      </c>
      <c r="H276" s="32" t="inlineStr">
        <is>
          <t>Pix</t>
        </is>
      </c>
      <c r="I276" s="32" t="inlineStr">
        <is>
          <t>Sim</t>
        </is>
      </c>
      <c r="J276" s="35">
        <f>IF(A276="","",MONTH(A276))</f>
        <v>4</v>
      </c>
      <c r="K276" s="35">
        <f>IF(A276="","",YEAR(A276))</f>
        <v>2026</v>
      </c>
    </row>
    <row r="277">
      <c r="A277" s="39" t="n">
        <v>46135</v>
      </c>
      <c r="B277" s="32" t="inlineStr">
        <is>
          <t>Entrada</t>
        </is>
      </c>
      <c r="C277" s="31" t="inlineStr">
        <is>
          <t>Particular a prazo</t>
        </is>
      </c>
      <c r="D277" s="31" t="inlineStr">
        <is>
          <t>Rafael Dias</t>
        </is>
      </c>
      <c r="E277" s="31" t="inlineStr">
        <is>
          <t>Parcela</t>
        </is>
      </c>
      <c r="F277" s="31" t="inlineStr">
        <is>
          <t>Consulta de 24/03 · parcela 1/1</t>
        </is>
      </c>
      <c r="G277" s="36" t="n">
        <v>380</v>
      </c>
      <c r="H277" s="32" t="inlineStr">
        <is>
          <t>Pix</t>
        </is>
      </c>
      <c r="I277" s="32" t="inlineStr">
        <is>
          <t>Sim</t>
        </is>
      </c>
      <c r="J277" s="35">
        <f>IF(A277="","",MONTH(A277))</f>
        <v>4</v>
      </c>
      <c r="K277" s="35">
        <f>IF(A277="","",YEAR(A277))</f>
        <v>2026</v>
      </c>
    </row>
    <row r="278">
      <c r="A278" s="39" t="n">
        <v>46135</v>
      </c>
      <c r="B278" s="32" t="inlineStr">
        <is>
          <t>Entrada</t>
        </is>
      </c>
      <c r="C278" s="31" t="inlineStr">
        <is>
          <t>Particular à vista</t>
        </is>
      </c>
      <c r="D278" s="31" t="inlineStr"/>
      <c r="E278" s="31" t="inlineStr">
        <is>
          <t>Fechamento do dia</t>
        </is>
      </c>
      <c r="F278" s="31" t="inlineStr">
        <is>
          <t>Fechamento do dia · 1 atendimento · pix</t>
        </is>
      </c>
      <c r="G278" s="36" t="n">
        <v>400</v>
      </c>
      <c r="H278" s="32" t="inlineStr">
        <is>
          <t>Pix</t>
        </is>
      </c>
      <c r="I278" s="32" t="inlineStr">
        <is>
          <t>Sim</t>
        </is>
      </c>
      <c r="J278" s="35">
        <f>IF(A278="","",MONTH(A278))</f>
        <v>4</v>
      </c>
      <c r="K278" s="35">
        <f>IF(A278="","",YEAR(A278))</f>
        <v>2026</v>
      </c>
    </row>
    <row r="279">
      <c r="A279" s="39" t="n">
        <v>46135</v>
      </c>
      <c r="B279" s="32" t="inlineStr">
        <is>
          <t>Entrada</t>
        </is>
      </c>
      <c r="C279" s="31" t="inlineStr">
        <is>
          <t>Particular à vista</t>
        </is>
      </c>
      <c r="D279" s="31" t="inlineStr"/>
      <c r="E279" s="31" t="inlineStr">
        <is>
          <t>Fechamento do dia</t>
        </is>
      </c>
      <c r="F279" s="31" t="inlineStr">
        <is>
          <t>Fechamento do dia · 2 atendimentos · cartão de crédito</t>
        </is>
      </c>
      <c r="G279" s="36" t="n">
        <v>760</v>
      </c>
      <c r="H279" s="32" t="inlineStr">
        <is>
          <t>Cartão de crédito</t>
        </is>
      </c>
      <c r="I279" s="32" t="inlineStr">
        <is>
          <t>Sim</t>
        </is>
      </c>
      <c r="J279" s="35">
        <f>IF(A279="","",MONTH(A279))</f>
        <v>4</v>
      </c>
      <c r="K279" s="35">
        <f>IF(A279="","",YEAR(A279))</f>
        <v>2026</v>
      </c>
    </row>
    <row r="280">
      <c r="A280" s="39" t="n">
        <v>46135</v>
      </c>
      <c r="B280" s="32" t="inlineStr">
        <is>
          <t>Entrada</t>
        </is>
      </c>
      <c r="C280" s="31" t="inlineStr">
        <is>
          <t>Particular à vista</t>
        </is>
      </c>
      <c r="D280" s="31" t="inlineStr"/>
      <c r="E280" s="31" t="inlineStr">
        <is>
          <t>Fechamento do dia</t>
        </is>
      </c>
      <c r="F280" s="31" t="inlineStr">
        <is>
          <t>Fechamento do dia · 2 atendimentos · cartão de débito</t>
        </is>
      </c>
      <c r="G280" s="36" t="n">
        <v>780</v>
      </c>
      <c r="H280" s="32" t="inlineStr">
        <is>
          <t>Cartão de débito</t>
        </is>
      </c>
      <c r="I280" s="32" t="inlineStr">
        <is>
          <t>Sim</t>
        </is>
      </c>
      <c r="J280" s="35">
        <f>IF(A280="","",MONTH(A280))</f>
        <v>4</v>
      </c>
      <c r="K280" s="35">
        <f>IF(A280="","",YEAR(A280))</f>
        <v>2026</v>
      </c>
    </row>
    <row r="281">
      <c r="A281" s="39" t="n">
        <v>46137</v>
      </c>
      <c r="B281" s="32" t="inlineStr">
        <is>
          <t>Entrada</t>
        </is>
      </c>
      <c r="C281" s="31" t="inlineStr">
        <is>
          <t>Particular a prazo</t>
        </is>
      </c>
      <c r="D281" s="31" t="inlineStr">
        <is>
          <t>Renato Dias</t>
        </is>
      </c>
      <c r="E281" s="31" t="inlineStr">
        <is>
          <t>Parcela</t>
        </is>
      </c>
      <c r="F281" s="31" t="inlineStr">
        <is>
          <t>Consulta de 26/03 · parcela 1/1</t>
        </is>
      </c>
      <c r="G281" s="36" t="n">
        <v>380</v>
      </c>
      <c r="H281" s="32" t="inlineStr">
        <is>
          <t>Pix</t>
        </is>
      </c>
      <c r="I281" s="32" t="inlineStr">
        <is>
          <t>Sim</t>
        </is>
      </c>
      <c r="J281" s="35">
        <f>IF(A281="","",MONTH(A281))</f>
        <v>4</v>
      </c>
      <c r="K281" s="35">
        <f>IF(A281="","",YEAR(A281))</f>
        <v>2026</v>
      </c>
    </row>
    <row r="282">
      <c r="A282" s="39" t="n">
        <v>46138</v>
      </c>
      <c r="B282" s="32" t="inlineStr">
        <is>
          <t>Entrada</t>
        </is>
      </c>
      <c r="C282" s="31" t="inlineStr">
        <is>
          <t>Particular a prazo</t>
        </is>
      </c>
      <c r="D282" s="31" t="inlineStr">
        <is>
          <t>Carlos Freitas</t>
        </is>
      </c>
      <c r="E282" s="31" t="inlineStr">
        <is>
          <t>Parcela</t>
        </is>
      </c>
      <c r="F282" s="31" t="inlineStr">
        <is>
          <t>Avaliação endócrina de 24/02 · parcela 2/2</t>
        </is>
      </c>
      <c r="G282" s="36" t="n">
        <v>200</v>
      </c>
      <c r="H282" s="32" t="inlineStr">
        <is>
          <t>Pix</t>
        </is>
      </c>
      <c r="I282" s="32" t="inlineStr">
        <is>
          <t>Sim</t>
        </is>
      </c>
      <c r="J282" s="35">
        <f>IF(A282="","",MONTH(A282))</f>
        <v>4</v>
      </c>
      <c r="K282" s="35">
        <f>IF(A282="","",YEAR(A282))</f>
        <v>2026</v>
      </c>
    </row>
    <row r="283">
      <c r="A283" s="39" t="n">
        <v>46138</v>
      </c>
      <c r="B283" s="32" t="inlineStr">
        <is>
          <t>Entrada</t>
        </is>
      </c>
      <c r="C283" s="31" t="inlineStr">
        <is>
          <t>Particular a prazo</t>
        </is>
      </c>
      <c r="D283" s="31" t="inlineStr">
        <is>
          <t>Natália Martins</t>
        </is>
      </c>
      <c r="E283" s="31" t="inlineStr">
        <is>
          <t>Parcela</t>
        </is>
      </c>
      <c r="F283" s="31" t="inlineStr">
        <is>
          <t>Consulta de 23/02 · parcela 2/2</t>
        </is>
      </c>
      <c r="G283" s="36" t="n">
        <v>190</v>
      </c>
      <c r="H283" s="32" t="inlineStr">
        <is>
          <t>Pix</t>
        </is>
      </c>
      <c r="I283" s="32" t="inlineStr">
        <is>
          <t>Sim</t>
        </is>
      </c>
      <c r="J283" s="35">
        <f>IF(A283="","",MONTH(A283))</f>
        <v>4</v>
      </c>
      <c r="K283" s="35">
        <f>IF(A283="","",YEAR(A283))</f>
        <v>2026</v>
      </c>
    </row>
    <row r="284">
      <c r="A284" s="39" t="n">
        <v>46139</v>
      </c>
      <c r="B284" s="32" t="inlineStr">
        <is>
          <t>Entrada</t>
        </is>
      </c>
      <c r="C284" s="31" t="inlineStr">
        <is>
          <t>Particular à vista</t>
        </is>
      </c>
      <c r="D284" s="31" t="inlineStr"/>
      <c r="E284" s="31" t="inlineStr">
        <is>
          <t>Fechamento do dia</t>
        </is>
      </c>
      <c r="F284" s="31" t="inlineStr">
        <is>
          <t>Fechamento do dia · 1 atendimento · cartão de débito</t>
        </is>
      </c>
      <c r="G284" s="36" t="n">
        <v>380</v>
      </c>
      <c r="H284" s="32" t="inlineStr">
        <is>
          <t>Cartão de débito</t>
        </is>
      </c>
      <c r="I284" s="32" t="inlineStr">
        <is>
          <t>Sim</t>
        </is>
      </c>
      <c r="J284" s="35">
        <f>IF(A284="","",MONTH(A284))</f>
        <v>4</v>
      </c>
      <c r="K284" s="35">
        <f>IF(A284="","",YEAR(A284))</f>
        <v>2026</v>
      </c>
    </row>
    <row r="285">
      <c r="A285" s="39" t="n">
        <v>46139</v>
      </c>
      <c r="B285" s="32" t="inlineStr">
        <is>
          <t>Entrada</t>
        </is>
      </c>
      <c r="C285" s="31" t="inlineStr">
        <is>
          <t>Particular à vista</t>
        </is>
      </c>
      <c r="D285" s="31" t="inlineStr"/>
      <c r="E285" s="31" t="inlineStr">
        <is>
          <t>Fechamento do dia</t>
        </is>
      </c>
      <c r="F285" s="31" t="inlineStr">
        <is>
          <t>Fechamento do dia · 2 atendimentos · pix</t>
        </is>
      </c>
      <c r="G285" s="36" t="n">
        <v>510</v>
      </c>
      <c r="H285" s="32" t="inlineStr">
        <is>
          <t>Pix</t>
        </is>
      </c>
      <c r="I285" s="32" t="inlineStr">
        <is>
          <t>Sim</t>
        </is>
      </c>
      <c r="J285" s="35">
        <f>IF(A285="","",MONTH(A285))</f>
        <v>4</v>
      </c>
      <c r="K285" s="35">
        <f>IF(A285="","",YEAR(A285))</f>
        <v>2026</v>
      </c>
    </row>
    <row r="286">
      <c r="A286" s="39" t="n">
        <v>46140</v>
      </c>
      <c r="B286" s="32" t="inlineStr">
        <is>
          <t>Entrada</t>
        </is>
      </c>
      <c r="C286" s="31" t="inlineStr">
        <is>
          <t>Particular à vista</t>
        </is>
      </c>
      <c r="D286" s="31" t="inlineStr"/>
      <c r="E286" s="31" t="inlineStr">
        <is>
          <t>Fechamento do dia</t>
        </is>
      </c>
      <c r="F286" s="31" t="inlineStr">
        <is>
          <t>Fechamento do dia · 1 atendimento · cartão de débito</t>
        </is>
      </c>
      <c r="G286" s="36" t="n">
        <v>380</v>
      </c>
      <c r="H286" s="32" t="inlineStr">
        <is>
          <t>Cartão de débito</t>
        </is>
      </c>
      <c r="I286" s="32" t="inlineStr">
        <is>
          <t>Sim</t>
        </is>
      </c>
      <c r="J286" s="35">
        <f>IF(A286="","",MONTH(A286))</f>
        <v>4</v>
      </c>
      <c r="K286" s="35">
        <f>IF(A286="","",YEAR(A286))</f>
        <v>2026</v>
      </c>
    </row>
    <row r="287">
      <c r="A287" s="39" t="n">
        <v>46140</v>
      </c>
      <c r="B287" s="32" t="inlineStr">
        <is>
          <t>Entrada</t>
        </is>
      </c>
      <c r="C287" s="31" t="inlineStr">
        <is>
          <t>Particular à vista</t>
        </is>
      </c>
      <c r="D287" s="31" t="inlineStr"/>
      <c r="E287" s="31" t="inlineStr">
        <is>
          <t>Fechamento do dia</t>
        </is>
      </c>
      <c r="F287" s="31" t="inlineStr">
        <is>
          <t>Fechamento do dia · 1 atendimento · dinheiro</t>
        </is>
      </c>
      <c r="G287" s="36" t="n">
        <v>400</v>
      </c>
      <c r="H287" s="32" t="inlineStr">
        <is>
          <t>Dinheiro</t>
        </is>
      </c>
      <c r="I287" s="32" t="inlineStr">
        <is>
          <t>Sim</t>
        </is>
      </c>
      <c r="J287" s="35">
        <f>IF(A287="","",MONTH(A287))</f>
        <v>4</v>
      </c>
      <c r="K287" s="35">
        <f>IF(A287="","",YEAR(A287))</f>
        <v>2026</v>
      </c>
    </row>
    <row r="288">
      <c r="A288" s="39" t="n">
        <v>46140</v>
      </c>
      <c r="B288" s="32" t="inlineStr">
        <is>
          <t>Entrada</t>
        </is>
      </c>
      <c r="C288" s="31" t="inlineStr">
        <is>
          <t>Particular à vista</t>
        </is>
      </c>
      <c r="D288" s="31" t="inlineStr"/>
      <c r="E288" s="31" t="inlineStr">
        <is>
          <t>Fechamento do dia</t>
        </is>
      </c>
      <c r="F288" s="31" t="inlineStr">
        <is>
          <t>Fechamento do dia · 3 atendimentos · cartão de crédito</t>
        </is>
      </c>
      <c r="G288" s="36" t="n">
        <v>860</v>
      </c>
      <c r="H288" s="32" t="inlineStr">
        <is>
          <t>Cartão de crédito</t>
        </is>
      </c>
      <c r="I288" s="32" t="inlineStr">
        <is>
          <t>Sim</t>
        </is>
      </c>
      <c r="J288" s="35">
        <f>IF(A288="","",MONTH(A288))</f>
        <v>4</v>
      </c>
      <c r="K288" s="35">
        <f>IF(A288="","",YEAR(A288))</f>
        <v>2026</v>
      </c>
    </row>
    <row r="289">
      <c r="A289" s="39" t="n">
        <v>46140</v>
      </c>
      <c r="B289" s="32" t="inlineStr">
        <is>
          <t>Saída</t>
        </is>
      </c>
      <c r="C289" s="31" t="inlineStr">
        <is>
          <t>Pró-labore dos sócios</t>
        </is>
      </c>
      <c r="D289" s="31" t="inlineStr"/>
      <c r="E289" s="31" t="inlineStr"/>
      <c r="F289" s="31" t="inlineStr">
        <is>
          <t>Pró-labore · Dr. Paulo Andrade</t>
        </is>
      </c>
      <c r="G289" s="36" t="n">
        <v>9000</v>
      </c>
      <c r="H289" s="32" t="inlineStr">
        <is>
          <t>Transferência</t>
        </is>
      </c>
      <c r="I289" s="32" t="inlineStr">
        <is>
          <t>Sim</t>
        </is>
      </c>
      <c r="J289" s="35">
        <f>IF(A289="","",MONTH(A289))</f>
        <v>4</v>
      </c>
      <c r="K289" s="35">
        <f>IF(A289="","",YEAR(A289))</f>
        <v>2026</v>
      </c>
    </row>
    <row r="290">
      <c r="A290" s="39" t="n">
        <v>46140</v>
      </c>
      <c r="B290" s="32" t="inlineStr">
        <is>
          <t>Saída</t>
        </is>
      </c>
      <c r="C290" s="31" t="inlineStr">
        <is>
          <t>Pró-labore dos sócios</t>
        </is>
      </c>
      <c r="D290" s="31" t="inlineStr"/>
      <c r="E290" s="31" t="inlineStr"/>
      <c r="F290" s="31" t="inlineStr">
        <is>
          <t>Pró-labore · Dra. Carolina Mendes</t>
        </is>
      </c>
      <c r="G290" s="36" t="n">
        <v>9000</v>
      </c>
      <c r="H290" s="32" t="inlineStr">
        <is>
          <t>Transferência</t>
        </is>
      </c>
      <c r="I290" s="32" t="inlineStr">
        <is>
          <t>Sim</t>
        </is>
      </c>
      <c r="J290" s="35">
        <f>IF(A290="","",MONTH(A290))</f>
        <v>4</v>
      </c>
      <c r="K290" s="35">
        <f>IF(A290="","",YEAR(A290))</f>
        <v>2026</v>
      </c>
    </row>
    <row r="291">
      <c r="A291" s="39" t="n">
        <v>46141</v>
      </c>
      <c r="B291" s="32" t="inlineStr">
        <is>
          <t>Entrada</t>
        </is>
      </c>
      <c r="C291" s="31" t="inlineStr">
        <is>
          <t>Particular a prazo</t>
        </is>
      </c>
      <c r="D291" s="31" t="inlineStr">
        <is>
          <t>Fábio Correia</t>
        </is>
      </c>
      <c r="E291" s="31" t="inlineStr">
        <is>
          <t>Parcela</t>
        </is>
      </c>
      <c r="F291" s="31" t="inlineStr">
        <is>
          <t>Consulta de 30/03 · parcela 1/2</t>
        </is>
      </c>
      <c r="G291" s="36" t="n">
        <v>190</v>
      </c>
      <c r="H291" s="32" t="inlineStr">
        <is>
          <t>Pix</t>
        </is>
      </c>
      <c r="I291" s="32" t="inlineStr">
        <is>
          <t>Sim</t>
        </is>
      </c>
      <c r="J291" s="35">
        <f>IF(A291="","",MONTH(A291))</f>
        <v>4</v>
      </c>
      <c r="K291" s="35">
        <f>IF(A291="","",YEAR(A291))</f>
        <v>2026</v>
      </c>
    </row>
    <row r="292">
      <c r="A292" s="39" t="n">
        <v>46141</v>
      </c>
      <c r="B292" s="32" t="inlineStr">
        <is>
          <t>Entrada</t>
        </is>
      </c>
      <c r="C292" s="31" t="inlineStr">
        <is>
          <t>Particular à vista</t>
        </is>
      </c>
      <c r="D292" s="31" t="inlineStr"/>
      <c r="E292" s="31" t="inlineStr">
        <is>
          <t>Fechamento do dia</t>
        </is>
      </c>
      <c r="F292" s="31" t="inlineStr">
        <is>
          <t>Fechamento do dia · 1 atendimento · cartão de crédito</t>
        </is>
      </c>
      <c r="G292" s="36" t="n">
        <v>380</v>
      </c>
      <c r="H292" s="32" t="inlineStr">
        <is>
          <t>Cartão de crédito</t>
        </is>
      </c>
      <c r="I292" s="32" t="inlineStr">
        <is>
          <t>Sim</t>
        </is>
      </c>
      <c r="J292" s="35">
        <f>IF(A292="","",MONTH(A292))</f>
        <v>4</v>
      </c>
      <c r="K292" s="35">
        <f>IF(A292="","",YEAR(A292))</f>
        <v>2026</v>
      </c>
    </row>
    <row r="293">
      <c r="A293" s="39" t="n">
        <v>46141</v>
      </c>
      <c r="B293" s="32" t="inlineStr">
        <is>
          <t>Entrada</t>
        </is>
      </c>
      <c r="C293" s="31" t="inlineStr">
        <is>
          <t>Particular à vista</t>
        </is>
      </c>
      <c r="D293" s="31" t="inlineStr"/>
      <c r="E293" s="31" t="inlineStr">
        <is>
          <t>Fechamento do dia</t>
        </is>
      </c>
      <c r="F293" s="31" t="inlineStr">
        <is>
          <t>Fechamento do dia · 2 atendimentos · cartão de débito</t>
        </is>
      </c>
      <c r="G293" s="36" t="n">
        <v>760</v>
      </c>
      <c r="H293" s="32" t="inlineStr">
        <is>
          <t>Cartão de débito</t>
        </is>
      </c>
      <c r="I293" s="32" t="inlineStr">
        <is>
          <t>Sim</t>
        </is>
      </c>
      <c r="J293" s="35">
        <f>IF(A293="","",MONTH(A293))</f>
        <v>4</v>
      </c>
      <c r="K293" s="35">
        <f>IF(A293="","",YEAR(A293))</f>
        <v>2026</v>
      </c>
    </row>
    <row r="294">
      <c r="A294" s="39" t="n">
        <v>46142</v>
      </c>
      <c r="B294" s="32" t="inlineStr">
        <is>
          <t>Entrada</t>
        </is>
      </c>
      <c r="C294" s="31" t="inlineStr">
        <is>
          <t>Particular à vista</t>
        </is>
      </c>
      <c r="D294" s="31" t="inlineStr"/>
      <c r="E294" s="31" t="inlineStr">
        <is>
          <t>Fechamento do dia</t>
        </is>
      </c>
      <c r="F294" s="31" t="inlineStr">
        <is>
          <t>Fechamento do dia · 1 atendimento · cartão de crédito</t>
        </is>
      </c>
      <c r="G294" s="36" t="n">
        <v>130</v>
      </c>
      <c r="H294" s="32" t="inlineStr">
        <is>
          <t>Cartão de crédito</t>
        </is>
      </c>
      <c r="I294" s="32" t="inlineStr">
        <is>
          <t>Sim</t>
        </is>
      </c>
      <c r="J294" s="35">
        <f>IF(A294="","",MONTH(A294))</f>
        <v>4</v>
      </c>
      <c r="K294" s="35">
        <f>IF(A294="","",YEAR(A294))</f>
        <v>2026</v>
      </c>
    </row>
    <row r="295">
      <c r="A295" s="39" t="n">
        <v>46142</v>
      </c>
      <c r="B295" s="32" t="inlineStr">
        <is>
          <t>Entrada</t>
        </is>
      </c>
      <c r="C295" s="31" t="inlineStr">
        <is>
          <t>Particular à vista</t>
        </is>
      </c>
      <c r="D295" s="31" t="inlineStr"/>
      <c r="E295" s="31" t="inlineStr">
        <is>
          <t>Fechamento do dia</t>
        </is>
      </c>
      <c r="F295" s="31" t="inlineStr">
        <is>
          <t>Fechamento do dia · 1 atendimento · dinheiro</t>
        </is>
      </c>
      <c r="G295" s="36" t="n">
        <v>380</v>
      </c>
      <c r="H295" s="32" t="inlineStr">
        <is>
          <t>Dinheiro</t>
        </is>
      </c>
      <c r="I295" s="32" t="inlineStr">
        <is>
          <t>Sim</t>
        </is>
      </c>
      <c r="J295" s="35">
        <f>IF(A295="","",MONTH(A295))</f>
        <v>4</v>
      </c>
      <c r="K295" s="35">
        <f>IF(A295="","",YEAR(A295))</f>
        <v>2026</v>
      </c>
    </row>
    <row r="296">
      <c r="A296" s="39" t="n">
        <v>46142</v>
      </c>
      <c r="B296" s="32" t="inlineStr">
        <is>
          <t>Entrada</t>
        </is>
      </c>
      <c r="C296" s="31" t="inlineStr">
        <is>
          <t>Particular à vista</t>
        </is>
      </c>
      <c r="D296" s="31" t="inlineStr"/>
      <c r="E296" s="31" t="inlineStr">
        <is>
          <t>Fechamento do dia</t>
        </is>
      </c>
      <c r="F296" s="31" t="inlineStr">
        <is>
          <t>Fechamento do dia · 2 atendimentos · pix</t>
        </is>
      </c>
      <c r="G296" s="36" t="n">
        <v>750</v>
      </c>
      <c r="H296" s="32" t="inlineStr">
        <is>
          <t>Pix</t>
        </is>
      </c>
      <c r="I296" s="32" t="inlineStr">
        <is>
          <t>Sim</t>
        </is>
      </c>
      <c r="J296" s="35">
        <f>IF(A296="","",MONTH(A296))</f>
        <v>4</v>
      </c>
      <c r="K296" s="35">
        <f>IF(A296="","",YEAR(A296))</f>
        <v>2026</v>
      </c>
    </row>
    <row r="297">
      <c r="A297" s="39" t="n">
        <v>46142</v>
      </c>
      <c r="B297" s="32" t="inlineStr">
        <is>
          <t>Entrada</t>
        </is>
      </c>
      <c r="C297" s="31" t="inlineStr">
        <is>
          <t>Particular à vista</t>
        </is>
      </c>
      <c r="D297" s="31" t="inlineStr"/>
      <c r="E297" s="31" t="inlineStr">
        <is>
          <t>Fechamento do dia</t>
        </is>
      </c>
      <c r="F297" s="31" t="inlineStr">
        <is>
          <t>Fechamento do dia · 3 atendimentos · cartão de débito</t>
        </is>
      </c>
      <c r="G297" s="36" t="n">
        <v>1130</v>
      </c>
      <c r="H297" s="32" t="inlineStr">
        <is>
          <t>Cartão de débito</t>
        </is>
      </c>
      <c r="I297" s="32" t="inlineStr">
        <is>
          <t>Sim</t>
        </is>
      </c>
      <c r="J297" s="35">
        <f>IF(A297="","",MONTH(A297))</f>
        <v>4</v>
      </c>
      <c r="K297" s="35">
        <f>IF(A297="","",YEAR(A297))</f>
        <v>2026</v>
      </c>
    </row>
    <row r="298">
      <c r="A298" s="39" t="n">
        <v>46142</v>
      </c>
      <c r="B298" s="32" t="inlineStr">
        <is>
          <t>Saída</t>
        </is>
      </c>
      <c r="C298" s="31" t="inlineStr">
        <is>
          <t>Taxas de cartão</t>
        </is>
      </c>
      <c r="D298" s="31" t="inlineStr"/>
      <c r="E298" s="31" t="inlineStr"/>
      <c r="F298" s="31" t="inlineStr">
        <is>
          <t>Taxas da operadora de cartão · vendas de abr</t>
        </is>
      </c>
      <c r="G298" s="36" t="n">
        <v>435.7</v>
      </c>
      <c r="H298" s="32" t="inlineStr">
        <is>
          <t>Transferência</t>
        </is>
      </c>
      <c r="I298" s="32" t="inlineStr">
        <is>
          <t>Sim</t>
        </is>
      </c>
      <c r="J298" s="35">
        <f>IF(A298="","",MONTH(A298))</f>
        <v>4</v>
      </c>
      <c r="K298" s="35">
        <f>IF(A298="","",YEAR(A298))</f>
        <v>2026</v>
      </c>
    </row>
    <row r="299">
      <c r="A299" s="39" t="n">
        <v>46144</v>
      </c>
      <c r="B299" s="32" t="inlineStr">
        <is>
          <t>Entrada</t>
        </is>
      </c>
      <c r="C299" s="31" t="inlineStr">
        <is>
          <t>Particular a prazo</t>
        </is>
      </c>
      <c r="D299" s="31" t="inlineStr">
        <is>
          <t>Gabriel Fernandes</t>
        </is>
      </c>
      <c r="E299" s="31" t="inlineStr">
        <is>
          <t>Parcela</t>
        </is>
      </c>
      <c r="F299" s="31" t="inlineStr">
        <is>
          <t>Consulta de 02/04 · parcela 1/1</t>
        </is>
      </c>
      <c r="G299" s="36" t="n">
        <v>380</v>
      </c>
      <c r="H299" s="32" t="inlineStr">
        <is>
          <t>Pix</t>
        </is>
      </c>
      <c r="I299" s="32" t="inlineStr">
        <is>
          <t>Sim</t>
        </is>
      </c>
      <c r="J299" s="35">
        <f>IF(A299="","",MONTH(A299))</f>
        <v>5</v>
      </c>
      <c r="K299" s="35">
        <f>IF(A299="","",YEAR(A299))</f>
        <v>2026</v>
      </c>
    </row>
    <row r="300">
      <c r="A300" s="39" t="n">
        <v>46144</v>
      </c>
      <c r="B300" s="32" t="inlineStr">
        <is>
          <t>Entrada</t>
        </is>
      </c>
      <c r="C300" s="31" t="inlineStr">
        <is>
          <t>Particular a prazo</t>
        </is>
      </c>
      <c r="D300" s="31" t="inlineStr">
        <is>
          <t>Elaine Cardoso</t>
        </is>
      </c>
      <c r="E300" s="31" t="inlineStr">
        <is>
          <t>Parcela</t>
        </is>
      </c>
      <c r="F300" s="31" t="inlineStr">
        <is>
          <t>Consulta de 03/03 · parcela 2/2</t>
        </is>
      </c>
      <c r="G300" s="36" t="n">
        <v>190</v>
      </c>
      <c r="H300" s="32" t="inlineStr">
        <is>
          <t>Pix</t>
        </is>
      </c>
      <c r="I300" s="32" t="inlineStr">
        <is>
          <t>Sim</t>
        </is>
      </c>
      <c r="J300" s="35">
        <f>IF(A300="","",MONTH(A300))</f>
        <v>5</v>
      </c>
      <c r="K300" s="35">
        <f>IF(A300="","",YEAR(A300))</f>
        <v>2026</v>
      </c>
    </row>
    <row r="301">
      <c r="A301" s="39" t="n">
        <v>46144</v>
      </c>
      <c r="B301" s="32" t="inlineStr">
        <is>
          <t>Entrada</t>
        </is>
      </c>
      <c r="C301" s="31" t="inlineStr">
        <is>
          <t>Particular a prazo</t>
        </is>
      </c>
      <c r="D301" s="31" t="inlineStr">
        <is>
          <t>Regina Teixeira</t>
        </is>
      </c>
      <c r="E301" s="31" t="inlineStr">
        <is>
          <t>Parcela</t>
        </is>
      </c>
      <c r="F301" s="31" t="inlineStr">
        <is>
          <t>Consulta de 31/03 · parcela 1/1</t>
        </is>
      </c>
      <c r="G301" s="36" t="n">
        <v>380</v>
      </c>
      <c r="H301" s="32" t="inlineStr">
        <is>
          <t>Pix</t>
        </is>
      </c>
      <c r="I301" s="32" t="inlineStr">
        <is>
          <t>Sim</t>
        </is>
      </c>
      <c r="J301" s="35">
        <f>IF(A301="","",MONTH(A301))</f>
        <v>5</v>
      </c>
      <c r="K301" s="35">
        <f>IF(A301="","",YEAR(A301))</f>
        <v>2026</v>
      </c>
    </row>
    <row r="302">
      <c r="A302" s="39" t="n">
        <v>46144</v>
      </c>
      <c r="B302" s="32" t="inlineStr">
        <is>
          <t>Entrada</t>
        </is>
      </c>
      <c r="C302" s="31" t="inlineStr">
        <is>
          <t>Particular a prazo</t>
        </is>
      </c>
      <c r="D302" s="31" t="inlineStr">
        <is>
          <t>Roberta Araújo</t>
        </is>
      </c>
      <c r="E302" s="31" t="inlineStr">
        <is>
          <t>Parcela</t>
        </is>
      </c>
      <c r="F302" s="31" t="inlineStr">
        <is>
          <t>Holter de 03/03 · parcela 2/2</t>
        </is>
      </c>
      <c r="G302" s="36" t="n">
        <v>175</v>
      </c>
      <c r="H302" s="32" t="inlineStr">
        <is>
          <t>Pix</t>
        </is>
      </c>
      <c r="I302" s="32" t="inlineStr">
        <is>
          <t>Sim</t>
        </is>
      </c>
      <c r="J302" s="35">
        <f>IF(A302="","",MONTH(A302))</f>
        <v>5</v>
      </c>
      <c r="K302" s="35">
        <f>IF(A302="","",YEAR(A302))</f>
        <v>2026</v>
      </c>
    </row>
    <row r="303">
      <c r="A303" s="39" t="n">
        <v>46146</v>
      </c>
      <c r="B303" s="32" t="inlineStr">
        <is>
          <t>Entrada</t>
        </is>
      </c>
      <c r="C303" s="31" t="inlineStr">
        <is>
          <t>Convênio · Vida Care</t>
        </is>
      </c>
      <c r="D303" s="31" t="inlineStr">
        <is>
          <t>Vida Care</t>
        </is>
      </c>
      <c r="E303" s="31" t="inlineStr">
        <is>
          <t>Lote fev/2026</t>
        </is>
      </c>
      <c r="F303" s="31" t="inlineStr">
        <is>
          <t>Pagamento do lote de fev/2026 (15 guias. glosa de R$ 96)</t>
        </is>
      </c>
      <c r="G303" s="36" t="n">
        <v>1060</v>
      </c>
      <c r="H303" s="32" t="inlineStr">
        <is>
          <t>Transferência</t>
        </is>
      </c>
      <c r="I303" s="32" t="inlineStr">
        <is>
          <t>Sim</t>
        </is>
      </c>
      <c r="J303" s="35">
        <f>IF(A303="","",MONTH(A303))</f>
        <v>5</v>
      </c>
      <c r="K303" s="35">
        <f>IF(A303="","",YEAR(A303))</f>
        <v>2026</v>
      </c>
    </row>
    <row r="304">
      <c r="A304" s="39" t="n">
        <v>46146</v>
      </c>
      <c r="B304" s="32" t="inlineStr">
        <is>
          <t>Entrada</t>
        </is>
      </c>
      <c r="C304" s="31" t="inlineStr">
        <is>
          <t>Particular à vista</t>
        </is>
      </c>
      <c r="D304" s="31" t="inlineStr"/>
      <c r="E304" s="31" t="inlineStr">
        <is>
          <t>Fechamento do dia</t>
        </is>
      </c>
      <c r="F304" s="31" t="inlineStr">
        <is>
          <t>Fechamento do dia · 2 atendimentos · cartão de crédito</t>
        </is>
      </c>
      <c r="G304" s="36" t="n">
        <v>760</v>
      </c>
      <c r="H304" s="32" t="inlineStr">
        <is>
          <t>Cartão de crédito</t>
        </is>
      </c>
      <c r="I304" s="32" t="inlineStr">
        <is>
          <t>Sim</t>
        </is>
      </c>
      <c r="J304" s="35">
        <f>IF(A304="","",MONTH(A304))</f>
        <v>5</v>
      </c>
      <c r="K304" s="35">
        <f>IF(A304="","",YEAR(A304))</f>
        <v>2026</v>
      </c>
    </row>
    <row r="305">
      <c r="A305" s="39" t="n">
        <v>46146</v>
      </c>
      <c r="B305" s="32" t="inlineStr">
        <is>
          <t>Entrada</t>
        </is>
      </c>
      <c r="C305" s="31" t="inlineStr">
        <is>
          <t>Particular à vista</t>
        </is>
      </c>
      <c r="D305" s="31" t="inlineStr"/>
      <c r="E305" s="31" t="inlineStr">
        <is>
          <t>Fechamento do dia</t>
        </is>
      </c>
      <c r="F305" s="31" t="inlineStr">
        <is>
          <t>Fechamento do dia · 3 atendimentos · pix</t>
        </is>
      </c>
      <c r="G305" s="36" t="n">
        <v>730</v>
      </c>
      <c r="H305" s="32" t="inlineStr">
        <is>
          <t>Pix</t>
        </is>
      </c>
      <c r="I305" s="32" t="inlineStr">
        <is>
          <t>Sim</t>
        </is>
      </c>
      <c r="J305" s="35">
        <f>IF(A305="","",MONTH(A305))</f>
        <v>5</v>
      </c>
      <c r="K305" s="35">
        <f>IF(A305="","",YEAR(A305))</f>
        <v>2026</v>
      </c>
    </row>
    <row r="306">
      <c r="A306" s="39" t="n">
        <v>46147</v>
      </c>
      <c r="B306" s="32" t="inlineStr">
        <is>
          <t>Entrada</t>
        </is>
      </c>
      <c r="C306" s="31" t="inlineStr">
        <is>
          <t>Particular à vista</t>
        </is>
      </c>
      <c r="D306" s="31" t="inlineStr"/>
      <c r="E306" s="31" t="inlineStr">
        <is>
          <t>Fechamento do dia</t>
        </is>
      </c>
      <c r="F306" s="31" t="inlineStr">
        <is>
          <t>Fechamento do dia · 1 atendimento · dinheiro</t>
        </is>
      </c>
      <c r="G306" s="36" t="n">
        <v>380</v>
      </c>
      <c r="H306" s="32" t="inlineStr">
        <is>
          <t>Dinheiro</t>
        </is>
      </c>
      <c r="I306" s="32" t="inlineStr">
        <is>
          <t>Sim</t>
        </is>
      </c>
      <c r="J306" s="35">
        <f>IF(A306="","",MONTH(A306))</f>
        <v>5</v>
      </c>
      <c r="K306" s="35">
        <f>IF(A306="","",YEAR(A306))</f>
        <v>2026</v>
      </c>
    </row>
    <row r="307">
      <c r="A307" s="39" t="n">
        <v>46147</v>
      </c>
      <c r="B307" s="32" t="inlineStr">
        <is>
          <t>Entrada</t>
        </is>
      </c>
      <c r="C307" s="31" t="inlineStr">
        <is>
          <t>Particular à vista</t>
        </is>
      </c>
      <c r="D307" s="31" t="inlineStr"/>
      <c r="E307" s="31" t="inlineStr">
        <is>
          <t>Fechamento do dia</t>
        </is>
      </c>
      <c r="F307" s="31" t="inlineStr">
        <is>
          <t>Fechamento do dia · 2 atendimentos · cartão de débito</t>
        </is>
      </c>
      <c r="G307" s="36" t="n">
        <v>800</v>
      </c>
      <c r="H307" s="32" t="inlineStr">
        <is>
          <t>Cartão de débito</t>
        </is>
      </c>
      <c r="I307" s="32" t="inlineStr">
        <is>
          <t>Sim</t>
        </is>
      </c>
      <c r="J307" s="35">
        <f>IF(A307="","",MONTH(A307))</f>
        <v>5</v>
      </c>
      <c r="K307" s="35">
        <f>IF(A307="","",YEAR(A307))</f>
        <v>2026</v>
      </c>
    </row>
    <row r="308">
      <c r="A308" s="39" t="n">
        <v>46147</v>
      </c>
      <c r="B308" s="32" t="inlineStr">
        <is>
          <t>Entrada</t>
        </is>
      </c>
      <c r="C308" s="31" t="inlineStr">
        <is>
          <t>Particular à vista</t>
        </is>
      </c>
      <c r="D308" s="31" t="inlineStr"/>
      <c r="E308" s="31" t="inlineStr">
        <is>
          <t>Fechamento do dia</t>
        </is>
      </c>
      <c r="F308" s="31" t="inlineStr">
        <is>
          <t>Fechamento do dia · 2 atendimentos · pix</t>
        </is>
      </c>
      <c r="G308" s="36" t="n">
        <v>780</v>
      </c>
      <c r="H308" s="32" t="inlineStr">
        <is>
          <t>Pix</t>
        </is>
      </c>
      <c r="I308" s="32" t="inlineStr">
        <is>
          <t>Sim</t>
        </is>
      </c>
      <c r="J308" s="35">
        <f>IF(A308="","",MONTH(A308))</f>
        <v>5</v>
      </c>
      <c r="K308" s="35">
        <f>IF(A308="","",YEAR(A308))</f>
        <v>2026</v>
      </c>
    </row>
    <row r="309">
      <c r="A309" s="39" t="n">
        <v>46147</v>
      </c>
      <c r="B309" s="32" t="inlineStr">
        <is>
          <t>Entrada</t>
        </is>
      </c>
      <c r="C309" s="31" t="inlineStr">
        <is>
          <t>Particular à vista</t>
        </is>
      </c>
      <c r="D309" s="31" t="inlineStr"/>
      <c r="E309" s="31" t="inlineStr">
        <is>
          <t>Fechamento do dia</t>
        </is>
      </c>
      <c r="F309" s="31" t="inlineStr">
        <is>
          <t>Fechamento do dia · 6 atendimentos · cartão de crédito</t>
        </is>
      </c>
      <c r="G309" s="36" t="n">
        <v>2120</v>
      </c>
      <c r="H309" s="32" t="inlineStr">
        <is>
          <t>Cartão de crédito</t>
        </is>
      </c>
      <c r="I309" s="32" t="inlineStr">
        <is>
          <t>Sim</t>
        </is>
      </c>
      <c r="J309" s="35">
        <f>IF(A309="","",MONTH(A309))</f>
        <v>5</v>
      </c>
      <c r="K309" s="35">
        <f>IF(A309="","",YEAR(A309))</f>
        <v>2026</v>
      </c>
    </row>
    <row r="310">
      <c r="A310" s="39" t="n">
        <v>46147</v>
      </c>
      <c r="B310" s="32" t="inlineStr">
        <is>
          <t>Saída</t>
        </is>
      </c>
      <c r="C310" s="31" t="inlineStr">
        <is>
          <t>Aluguel e condomínio</t>
        </is>
      </c>
      <c r="D310" s="31" t="inlineStr"/>
      <c r="E310" s="31" t="inlineStr"/>
      <c r="F310" s="31" t="inlineStr">
        <is>
          <t>Aluguel e condomínio da clínica</t>
        </is>
      </c>
      <c r="G310" s="36" t="n">
        <v>3900</v>
      </c>
      <c r="H310" s="32" t="inlineStr">
        <is>
          <t>Boleto</t>
        </is>
      </c>
      <c r="I310" s="32" t="inlineStr">
        <is>
          <t>Sim</t>
        </is>
      </c>
      <c r="J310" s="35">
        <f>IF(A310="","",MONTH(A310))</f>
        <v>5</v>
      </c>
      <c r="K310" s="35">
        <f>IF(A310="","",YEAR(A310))</f>
        <v>2026</v>
      </c>
    </row>
    <row r="311">
      <c r="A311" s="39" t="n">
        <v>46147</v>
      </c>
      <c r="B311" s="32" t="inlineStr">
        <is>
          <t>Saída</t>
        </is>
      </c>
      <c r="C311" s="31" t="inlineStr">
        <is>
          <t>Recepção (salário e encargos)</t>
        </is>
      </c>
      <c r="D311" s="31" t="inlineStr"/>
      <c r="E311" s="31" t="inlineStr"/>
      <c r="F311" s="31" t="inlineStr">
        <is>
          <t>Salário e encargos · Bruna Carvalho</t>
        </is>
      </c>
      <c r="G311" s="36" t="n">
        <v>3100</v>
      </c>
      <c r="H311" s="32" t="inlineStr">
        <is>
          <t>Transferência</t>
        </is>
      </c>
      <c r="I311" s="32" t="inlineStr">
        <is>
          <t>Sim</t>
        </is>
      </c>
      <c r="J311" s="35">
        <f>IF(A311="","",MONTH(A311))</f>
        <v>5</v>
      </c>
      <c r="K311" s="35">
        <f>IF(A311="","",YEAR(A311))</f>
        <v>2026</v>
      </c>
    </row>
    <row r="312">
      <c r="A312" s="39" t="n">
        <v>46148</v>
      </c>
      <c r="B312" s="32" t="inlineStr">
        <is>
          <t>Entrada</t>
        </is>
      </c>
      <c r="C312" s="31" t="inlineStr">
        <is>
          <t>Particular a prazo</t>
        </is>
      </c>
      <c r="D312" s="31" t="inlineStr">
        <is>
          <t>Gisele Xavier</t>
        </is>
      </c>
      <c r="E312" s="31" t="inlineStr">
        <is>
          <t>Parcela</t>
        </is>
      </c>
      <c r="F312" s="31" t="inlineStr">
        <is>
          <t>Consulta de 06/04 · parcela 1/1</t>
        </is>
      </c>
      <c r="G312" s="36" t="n">
        <v>380</v>
      </c>
      <c r="H312" s="32" t="inlineStr">
        <is>
          <t>Pix</t>
        </is>
      </c>
      <c r="I312" s="32" t="inlineStr">
        <is>
          <t>Sim</t>
        </is>
      </c>
      <c r="J312" s="35">
        <f>IF(A312="","",MONTH(A312))</f>
        <v>5</v>
      </c>
      <c r="K312" s="35">
        <f>IF(A312="","",YEAR(A312))</f>
        <v>2026</v>
      </c>
    </row>
    <row r="313">
      <c r="A313" s="39" t="n">
        <v>46148</v>
      </c>
      <c r="B313" s="32" t="inlineStr">
        <is>
          <t>Entrada</t>
        </is>
      </c>
      <c r="C313" s="31" t="inlineStr">
        <is>
          <t>Particular a prazo</t>
        </is>
      </c>
      <c r="D313" s="31" t="inlineStr">
        <is>
          <t>Marcelo Santos</t>
        </is>
      </c>
      <c r="E313" s="31" t="inlineStr">
        <is>
          <t>Parcela</t>
        </is>
      </c>
      <c r="F313" s="31" t="inlineStr">
        <is>
          <t>Holter de 06/04 · parcela 1/1</t>
        </is>
      </c>
      <c r="G313" s="36" t="n">
        <v>350</v>
      </c>
      <c r="H313" s="32" t="inlineStr">
        <is>
          <t>Pix</t>
        </is>
      </c>
      <c r="I313" s="32" t="inlineStr">
        <is>
          <t>Sim</t>
        </is>
      </c>
      <c r="J313" s="35">
        <f>IF(A313="","",MONTH(A313))</f>
        <v>5</v>
      </c>
      <c r="K313" s="35">
        <f>IF(A313="","",YEAR(A313))</f>
        <v>2026</v>
      </c>
    </row>
    <row r="314">
      <c r="A314" s="39" t="n">
        <v>46148</v>
      </c>
      <c r="B314" s="32" t="inlineStr">
        <is>
          <t>Entrada</t>
        </is>
      </c>
      <c r="C314" s="31" t="inlineStr">
        <is>
          <t>Particular à vista</t>
        </is>
      </c>
      <c r="D314" s="31" t="inlineStr"/>
      <c r="E314" s="31" t="inlineStr">
        <is>
          <t>Fechamento do dia</t>
        </is>
      </c>
      <c r="F314" s="31" t="inlineStr">
        <is>
          <t>Fechamento do dia · 1 atendimento · cartão de crédito</t>
        </is>
      </c>
      <c r="G314" s="36" t="n">
        <v>380</v>
      </c>
      <c r="H314" s="32" t="inlineStr">
        <is>
          <t>Cartão de crédito</t>
        </is>
      </c>
      <c r="I314" s="32" t="inlineStr">
        <is>
          <t>Sim</t>
        </is>
      </c>
      <c r="J314" s="35">
        <f>IF(A314="","",MONTH(A314))</f>
        <v>5</v>
      </c>
      <c r="K314" s="35">
        <f>IF(A314="","",YEAR(A314))</f>
        <v>2026</v>
      </c>
    </row>
    <row r="315">
      <c r="A315" s="39" t="n">
        <v>46148</v>
      </c>
      <c r="B315" s="32" t="inlineStr">
        <is>
          <t>Entrada</t>
        </is>
      </c>
      <c r="C315" s="31" t="inlineStr">
        <is>
          <t>Particular à vista</t>
        </is>
      </c>
      <c r="D315" s="31" t="inlineStr"/>
      <c r="E315" s="31" t="inlineStr">
        <is>
          <t>Fechamento do dia</t>
        </is>
      </c>
      <c r="F315" s="31" t="inlineStr">
        <is>
          <t>Fechamento do dia · 1 atendimento · cartão de débito</t>
        </is>
      </c>
      <c r="G315" s="36" t="n">
        <v>380</v>
      </c>
      <c r="H315" s="32" t="inlineStr">
        <is>
          <t>Cartão de débito</t>
        </is>
      </c>
      <c r="I315" s="32" t="inlineStr">
        <is>
          <t>Sim</t>
        </is>
      </c>
      <c r="J315" s="35">
        <f>IF(A315="","",MONTH(A315))</f>
        <v>5</v>
      </c>
      <c r="K315" s="35">
        <f>IF(A315="","",YEAR(A315))</f>
        <v>2026</v>
      </c>
    </row>
    <row r="316">
      <c r="A316" s="39" t="n">
        <v>46148</v>
      </c>
      <c r="B316" s="32" t="inlineStr">
        <is>
          <t>Entrada</t>
        </is>
      </c>
      <c r="C316" s="31" t="inlineStr">
        <is>
          <t>Particular à vista</t>
        </is>
      </c>
      <c r="D316" s="31" t="inlineStr"/>
      <c r="E316" s="31" t="inlineStr">
        <is>
          <t>Fechamento do dia</t>
        </is>
      </c>
      <c r="F316" s="31" t="inlineStr">
        <is>
          <t>Fechamento do dia · 2 atendimentos · pix</t>
        </is>
      </c>
      <c r="G316" s="36" t="n">
        <v>760</v>
      </c>
      <c r="H316" s="32" t="inlineStr">
        <is>
          <t>Pix</t>
        </is>
      </c>
      <c r="I316" s="32" t="inlineStr">
        <is>
          <t>Sim</t>
        </is>
      </c>
      <c r="J316" s="35">
        <f>IF(A316="","",MONTH(A316))</f>
        <v>5</v>
      </c>
      <c r="K316" s="35">
        <f>IF(A316="","",YEAR(A316))</f>
        <v>2026</v>
      </c>
    </row>
    <row r="317">
      <c r="A317" s="39" t="n">
        <v>46148</v>
      </c>
      <c r="B317" s="32" t="inlineStr">
        <is>
          <t>Saída</t>
        </is>
      </c>
      <c r="C317" s="31" t="inlineStr">
        <is>
          <t>Outras saídas</t>
        </is>
      </c>
      <c r="D317" s="31" t="inlineStr"/>
      <c r="E317" s="31" t="inlineStr"/>
      <c r="F317" s="31" t="inlineStr">
        <is>
          <t>Despesa pessoal · Dra. Carolina Mendes · plano de saúde da família (a acertar)</t>
        </is>
      </c>
      <c r="G317" s="36" t="n">
        <v>620</v>
      </c>
      <c r="H317" s="32" t="inlineStr">
        <is>
          <t>Boleto</t>
        </is>
      </c>
      <c r="I317" s="32" t="inlineStr">
        <is>
          <t>Sim</t>
        </is>
      </c>
      <c r="J317" s="35">
        <f>IF(A317="","",MONTH(A317))</f>
        <v>5</v>
      </c>
      <c r="K317" s="35">
        <f>IF(A317="","",YEAR(A317))</f>
        <v>2026</v>
      </c>
    </row>
    <row r="318">
      <c r="A318" s="39" t="n">
        <v>46149</v>
      </c>
      <c r="B318" s="32" t="inlineStr">
        <is>
          <t>Entrada</t>
        </is>
      </c>
      <c r="C318" s="31" t="inlineStr">
        <is>
          <t>Particular a prazo</t>
        </is>
      </c>
      <c r="D318" s="31" t="inlineStr">
        <is>
          <t>Natália Martins</t>
        </is>
      </c>
      <c r="E318" s="31" t="inlineStr">
        <is>
          <t>Parcela</t>
        </is>
      </c>
      <c r="F318" s="31" t="inlineStr">
        <is>
          <t>Consulta de 06/04 · parcela 1/1</t>
        </is>
      </c>
      <c r="G318" s="36" t="n">
        <v>380</v>
      </c>
      <c r="H318" s="32" t="inlineStr">
        <is>
          <t>Pix</t>
        </is>
      </c>
      <c r="I318" s="32" t="inlineStr">
        <is>
          <t>Sim</t>
        </is>
      </c>
      <c r="J318" s="35">
        <f>IF(A318="","",MONTH(A318))</f>
        <v>5</v>
      </c>
      <c r="K318" s="35">
        <f>IF(A318="","",YEAR(A318))</f>
        <v>2026</v>
      </c>
    </row>
    <row r="319">
      <c r="A319" s="39" t="n">
        <v>46149</v>
      </c>
      <c r="B319" s="32" t="inlineStr">
        <is>
          <t>Entrada</t>
        </is>
      </c>
      <c r="C319" s="31" t="inlineStr">
        <is>
          <t>Particular a prazo</t>
        </is>
      </c>
      <c r="D319" s="31" t="inlineStr">
        <is>
          <t>Regina Teixeira</t>
        </is>
      </c>
      <c r="E319" s="31" t="inlineStr">
        <is>
          <t>Parcela</t>
        </is>
      </c>
      <c r="F319" s="31" t="inlineStr">
        <is>
          <t>Consulta de 07/04 · parcela 1/1 (vencida)</t>
        </is>
      </c>
      <c r="G319" s="36" t="n">
        <v>380</v>
      </c>
      <c r="H319" s="32" t="inlineStr">
        <is>
          <t>Pix</t>
        </is>
      </c>
      <c r="I319" s="32" t="inlineStr">
        <is>
          <t>Não</t>
        </is>
      </c>
      <c r="J319" s="35">
        <f>IF(A319="","",MONTH(A319))</f>
        <v>5</v>
      </c>
      <c r="K319" s="35">
        <f>IF(A319="","",YEAR(A319))</f>
        <v>2026</v>
      </c>
    </row>
    <row r="320">
      <c r="A320" s="39" t="n">
        <v>46149</v>
      </c>
      <c r="B320" s="32" t="inlineStr">
        <is>
          <t>Entrada</t>
        </is>
      </c>
      <c r="C320" s="31" t="inlineStr">
        <is>
          <t>Particular à vista</t>
        </is>
      </c>
      <c r="D320" s="31" t="inlineStr"/>
      <c r="E320" s="31" t="inlineStr">
        <is>
          <t>Fechamento do dia</t>
        </is>
      </c>
      <c r="F320" s="31" t="inlineStr">
        <is>
          <t>Fechamento do dia · 1 atendimento · cartão de crédito</t>
        </is>
      </c>
      <c r="G320" s="36" t="n">
        <v>450</v>
      </c>
      <c r="H320" s="32" t="inlineStr">
        <is>
          <t>Cartão de crédito</t>
        </is>
      </c>
      <c r="I320" s="32" t="inlineStr">
        <is>
          <t>Sim</t>
        </is>
      </c>
      <c r="J320" s="35">
        <f>IF(A320="","",MONTH(A320))</f>
        <v>5</v>
      </c>
      <c r="K320" s="35">
        <f>IF(A320="","",YEAR(A320))</f>
        <v>2026</v>
      </c>
    </row>
    <row r="321">
      <c r="A321" s="39" t="n">
        <v>46149</v>
      </c>
      <c r="B321" s="32" t="inlineStr">
        <is>
          <t>Entrada</t>
        </is>
      </c>
      <c r="C321" s="31" t="inlineStr">
        <is>
          <t>Particular à vista</t>
        </is>
      </c>
      <c r="D321" s="31" t="inlineStr"/>
      <c r="E321" s="31" t="inlineStr">
        <is>
          <t>Fechamento do dia</t>
        </is>
      </c>
      <c r="F321" s="31" t="inlineStr">
        <is>
          <t>Fechamento do dia · 3 atendimentos · cartão de débito</t>
        </is>
      </c>
      <c r="G321" s="36" t="n">
        <v>910</v>
      </c>
      <c r="H321" s="32" t="inlineStr">
        <is>
          <t>Cartão de débito</t>
        </is>
      </c>
      <c r="I321" s="32" t="inlineStr">
        <is>
          <t>Sim</t>
        </is>
      </c>
      <c r="J321" s="35">
        <f>IF(A321="","",MONTH(A321))</f>
        <v>5</v>
      </c>
      <c r="K321" s="35">
        <f>IF(A321="","",YEAR(A321))</f>
        <v>2026</v>
      </c>
    </row>
    <row r="322">
      <c r="A322" s="39" t="n">
        <v>46149</v>
      </c>
      <c r="B322" s="32" t="inlineStr">
        <is>
          <t>Entrada</t>
        </is>
      </c>
      <c r="C322" s="31" t="inlineStr">
        <is>
          <t>Particular à vista</t>
        </is>
      </c>
      <c r="D322" s="31" t="inlineStr"/>
      <c r="E322" s="31" t="inlineStr">
        <is>
          <t>Fechamento do dia</t>
        </is>
      </c>
      <c r="F322" s="31" t="inlineStr">
        <is>
          <t>Fechamento do dia · 4 atendimentos · pix</t>
        </is>
      </c>
      <c r="G322" s="36" t="n">
        <v>1520</v>
      </c>
      <c r="H322" s="32" t="inlineStr">
        <is>
          <t>Pix</t>
        </is>
      </c>
      <c r="I322" s="32" t="inlineStr">
        <is>
          <t>Sim</t>
        </is>
      </c>
      <c r="J322" s="35">
        <f>IF(A322="","",MONTH(A322))</f>
        <v>5</v>
      </c>
      <c r="K322" s="35">
        <f>IF(A322="","",YEAR(A322))</f>
        <v>2026</v>
      </c>
    </row>
    <row r="323">
      <c r="A323" s="39" t="n">
        <v>46150</v>
      </c>
      <c r="B323" s="32" t="inlineStr">
        <is>
          <t>Entrada</t>
        </is>
      </c>
      <c r="C323" s="31" t="inlineStr">
        <is>
          <t>Convênio · Saúde Total</t>
        </is>
      </c>
      <c r="D323" s="31" t="inlineStr">
        <is>
          <t>Saúde Total</t>
        </is>
      </c>
      <c r="E323" s="31" t="inlineStr">
        <is>
          <t>Lote mar/2026</t>
        </is>
      </c>
      <c r="F323" s="31" t="inlineStr">
        <is>
          <t>Pagamento do lote de mar/2026 (65 guias. glosa de R$ 235)</t>
        </is>
      </c>
      <c r="G323" s="36" t="n">
        <v>7220</v>
      </c>
      <c r="H323" s="32" t="inlineStr">
        <is>
          <t>Transferência</t>
        </is>
      </c>
      <c r="I323" s="32" t="inlineStr">
        <is>
          <t>Sim</t>
        </is>
      </c>
      <c r="J323" s="35">
        <f>IF(A323="","",MONTH(A323))</f>
        <v>5</v>
      </c>
      <c r="K323" s="35">
        <f>IF(A323="","",YEAR(A323))</f>
        <v>2026</v>
      </c>
    </row>
    <row r="324">
      <c r="A324" s="39" t="n">
        <v>46150</v>
      </c>
      <c r="B324" s="32" t="inlineStr">
        <is>
          <t>Entrada</t>
        </is>
      </c>
      <c r="C324" s="31" t="inlineStr">
        <is>
          <t>Particular a prazo</t>
        </is>
      </c>
      <c r="D324" s="31" t="inlineStr">
        <is>
          <t>Priscila Reis</t>
        </is>
      </c>
      <c r="E324" s="31" t="inlineStr">
        <is>
          <t>Parcela</t>
        </is>
      </c>
      <c r="F324" s="31" t="inlineStr">
        <is>
          <t>Avaliação endócrina de 07/04 · parcela 1/2</t>
        </is>
      </c>
      <c r="G324" s="36" t="n">
        <v>200</v>
      </c>
      <c r="H324" s="32" t="inlineStr">
        <is>
          <t>Pix</t>
        </is>
      </c>
      <c r="I324" s="32" t="inlineStr">
        <is>
          <t>Sim</t>
        </is>
      </c>
      <c r="J324" s="35">
        <f>IF(A324="","",MONTH(A324))</f>
        <v>5</v>
      </c>
      <c r="K324" s="35">
        <f>IF(A324="","",YEAR(A324))</f>
        <v>2026</v>
      </c>
    </row>
    <row r="325">
      <c r="A325" s="39" t="n">
        <v>46150</v>
      </c>
      <c r="B325" s="32" t="inlineStr">
        <is>
          <t>Entrada</t>
        </is>
      </c>
      <c r="C325" s="31" t="inlineStr">
        <is>
          <t>Particular à vista</t>
        </is>
      </c>
      <c r="D325" s="31" t="inlineStr"/>
      <c r="E325" s="31" t="inlineStr">
        <is>
          <t>Fechamento do dia</t>
        </is>
      </c>
      <c r="F325" s="31" t="inlineStr">
        <is>
          <t>Fechamento do dia · 1 atendimento · cartão de débito</t>
        </is>
      </c>
      <c r="G325" s="36" t="n">
        <v>350</v>
      </c>
      <c r="H325" s="32" t="inlineStr">
        <is>
          <t>Cartão de débito</t>
        </is>
      </c>
      <c r="I325" s="32" t="inlineStr">
        <is>
          <t>Sim</t>
        </is>
      </c>
      <c r="J325" s="35">
        <f>IF(A325="","",MONTH(A325))</f>
        <v>5</v>
      </c>
      <c r="K325" s="35">
        <f>IF(A325="","",YEAR(A325))</f>
        <v>2026</v>
      </c>
    </row>
    <row r="326">
      <c r="A326" s="39" t="n">
        <v>46150</v>
      </c>
      <c r="B326" s="32" t="inlineStr">
        <is>
          <t>Saída</t>
        </is>
      </c>
      <c r="C326" s="31" t="inlineStr">
        <is>
          <t>Materiais e insumos de atendimento</t>
        </is>
      </c>
      <c r="D326" s="31" t="inlineStr"/>
      <c r="E326" s="31" t="inlineStr"/>
      <c r="F326" s="31" t="inlineStr">
        <is>
          <t>Eletrodos, manguitos e descartáveis (fornecedor)</t>
        </is>
      </c>
      <c r="G326" s="36" t="n">
        <v>850</v>
      </c>
      <c r="H326" s="32" t="inlineStr">
        <is>
          <t>Boleto</t>
        </is>
      </c>
      <c r="I326" s="32" t="inlineStr">
        <is>
          <t>Sim</t>
        </is>
      </c>
      <c r="J326" s="35">
        <f>IF(A326="","",MONTH(A326))</f>
        <v>5</v>
      </c>
      <c r="K326" s="35">
        <f>IF(A326="","",YEAR(A326))</f>
        <v>2026</v>
      </c>
    </row>
    <row r="327">
      <c r="A327" s="39" t="n">
        <v>46150</v>
      </c>
      <c r="B327" s="32" t="inlineStr">
        <is>
          <t>Saída</t>
        </is>
      </c>
      <c r="C327" s="31" t="inlineStr">
        <is>
          <t>Sistema de agenda e assinaturas</t>
        </is>
      </c>
      <c r="D327" s="31" t="inlineStr"/>
      <c r="E327" s="31" t="inlineStr"/>
      <c r="F327" s="31" t="inlineStr">
        <is>
          <t>Sistema de agenda e assinaturas</t>
        </is>
      </c>
      <c r="G327" s="36" t="n">
        <v>300</v>
      </c>
      <c r="H327" s="32" t="inlineStr">
        <is>
          <t>Cartão de crédito</t>
        </is>
      </c>
      <c r="I327" s="32" t="inlineStr">
        <is>
          <t>Sim</t>
        </is>
      </c>
      <c r="J327" s="35">
        <f>IF(A327="","",MONTH(A327))</f>
        <v>5</v>
      </c>
      <c r="K327" s="35">
        <f>IF(A327="","",YEAR(A327))</f>
        <v>2026</v>
      </c>
    </row>
    <row r="328">
      <c r="A328" s="39" t="n">
        <v>46151</v>
      </c>
      <c r="B328" s="32" t="inlineStr">
        <is>
          <t>Entrada</t>
        </is>
      </c>
      <c r="C328" s="31" t="inlineStr">
        <is>
          <t>Particular a prazo</t>
        </is>
      </c>
      <c r="D328" s="31" t="inlineStr">
        <is>
          <t>Mariana Nascimento</t>
        </is>
      </c>
      <c r="E328" s="31" t="inlineStr">
        <is>
          <t>Parcela</t>
        </is>
      </c>
      <c r="F328" s="31" t="inlineStr">
        <is>
          <t>MAPA de 09/04 · parcela 1/2</t>
        </is>
      </c>
      <c r="G328" s="36" t="n">
        <v>150</v>
      </c>
      <c r="H328" s="32" t="inlineStr">
        <is>
          <t>Pix</t>
        </is>
      </c>
      <c r="I328" s="32" t="inlineStr">
        <is>
          <t>Sim</t>
        </is>
      </c>
      <c r="J328" s="35">
        <f>IF(A328="","",MONTH(A328))</f>
        <v>5</v>
      </c>
      <c r="K328" s="35">
        <f>IF(A328="","",YEAR(A328))</f>
        <v>2026</v>
      </c>
    </row>
    <row r="329">
      <c r="A329" s="39" t="n">
        <v>46152</v>
      </c>
      <c r="B329" s="32" t="inlineStr">
        <is>
          <t>Saída</t>
        </is>
      </c>
      <c r="C329" s="31" t="inlineStr">
        <is>
          <t>Contador</t>
        </is>
      </c>
      <c r="D329" s="31" t="inlineStr"/>
      <c r="E329" s="31" t="inlineStr"/>
      <c r="F329" s="31" t="inlineStr">
        <is>
          <t>Honorários do contador</t>
        </is>
      </c>
      <c r="G329" s="36" t="n">
        <v>600</v>
      </c>
      <c r="H329" s="32" t="inlineStr">
        <is>
          <t>Boleto</t>
        </is>
      </c>
      <c r="I329" s="32" t="inlineStr">
        <is>
          <t>Sim</t>
        </is>
      </c>
      <c r="J329" s="35">
        <f>IF(A329="","",MONTH(A329))</f>
        <v>5</v>
      </c>
      <c r="K329" s="35">
        <f>IF(A329="","",YEAR(A329))</f>
        <v>2026</v>
      </c>
    </row>
    <row r="330">
      <c r="A330" s="39" t="n">
        <v>46152</v>
      </c>
      <c r="B330" s="32" t="inlineStr">
        <is>
          <t>Saída</t>
        </is>
      </c>
      <c r="C330" s="31" t="inlineStr">
        <is>
          <t>Repasse à médica parceira</t>
        </is>
      </c>
      <c r="D330" s="31" t="inlineStr">
        <is>
          <t>Dra. Renata Sousa</t>
        </is>
      </c>
      <c r="E330" s="31" t="inlineStr"/>
      <c r="F330" s="31" t="inlineStr">
        <is>
          <t>Repasse · Dra. Renata Sousa · 50 % da produção de abr</t>
        </is>
      </c>
      <c r="G330" s="36" t="n">
        <v>4385</v>
      </c>
      <c r="H330" s="32" t="inlineStr">
        <is>
          <t>Transferência</t>
        </is>
      </c>
      <c r="I330" s="32" t="inlineStr">
        <is>
          <t>Sim</t>
        </is>
      </c>
      <c r="J330" s="35">
        <f>IF(A330="","",MONTH(A330))</f>
        <v>5</v>
      </c>
      <c r="K330" s="35">
        <f>IF(A330="","",YEAR(A330))</f>
        <v>2026</v>
      </c>
    </row>
    <row r="331">
      <c r="A331" s="39" t="n">
        <v>46153</v>
      </c>
      <c r="B331" s="32" t="inlineStr">
        <is>
          <t>Entrada</t>
        </is>
      </c>
      <c r="C331" s="31" t="inlineStr">
        <is>
          <t>Particular a prazo</t>
        </is>
      </c>
      <c r="D331" s="31" t="inlineStr">
        <is>
          <t>Rafael Correia</t>
        </is>
      </c>
      <c r="E331" s="31" t="inlineStr">
        <is>
          <t>Parcela</t>
        </is>
      </c>
      <c r="F331" s="31" t="inlineStr">
        <is>
          <t>Consulta de 09/03 · parcela 2/2</t>
        </is>
      </c>
      <c r="G331" s="36" t="n">
        <v>190</v>
      </c>
      <c r="H331" s="32" t="inlineStr">
        <is>
          <t>Pix</t>
        </is>
      </c>
      <c r="I331" s="32" t="inlineStr">
        <is>
          <t>Sim</t>
        </is>
      </c>
      <c r="J331" s="35">
        <f>IF(A331="","",MONTH(A331))</f>
        <v>5</v>
      </c>
      <c r="K331" s="35">
        <f>IF(A331="","",YEAR(A331))</f>
        <v>2026</v>
      </c>
    </row>
    <row r="332">
      <c r="A332" s="39" t="n">
        <v>46153</v>
      </c>
      <c r="B332" s="32" t="inlineStr">
        <is>
          <t>Entrada</t>
        </is>
      </c>
      <c r="C332" s="31" t="inlineStr">
        <is>
          <t>Particular à vista</t>
        </is>
      </c>
      <c r="D332" s="31" t="inlineStr"/>
      <c r="E332" s="31" t="inlineStr">
        <is>
          <t>Fechamento do dia</t>
        </is>
      </c>
      <c r="F332" s="31" t="inlineStr">
        <is>
          <t>Fechamento do dia · 1 atendimento · pix</t>
        </is>
      </c>
      <c r="G332" s="36" t="n">
        <v>380</v>
      </c>
      <c r="H332" s="32" t="inlineStr">
        <is>
          <t>Pix</t>
        </is>
      </c>
      <c r="I332" s="32" t="inlineStr">
        <is>
          <t>Sim</t>
        </is>
      </c>
      <c r="J332" s="35">
        <f>IF(A332="","",MONTH(A332))</f>
        <v>5</v>
      </c>
      <c r="K332" s="35">
        <f>IF(A332="","",YEAR(A332))</f>
        <v>2026</v>
      </c>
    </row>
    <row r="333">
      <c r="A333" s="39" t="n">
        <v>46154</v>
      </c>
      <c r="B333" s="32" t="inlineStr">
        <is>
          <t>Entrada</t>
        </is>
      </c>
      <c r="C333" s="31" t="inlineStr">
        <is>
          <t>Particular à vista</t>
        </is>
      </c>
      <c r="D333" s="31" t="inlineStr"/>
      <c r="E333" s="31" t="inlineStr">
        <is>
          <t>Fechamento do dia</t>
        </is>
      </c>
      <c r="F333" s="31" t="inlineStr">
        <is>
          <t>Fechamento do dia · 1 atendimento · dinheiro</t>
        </is>
      </c>
      <c r="G333" s="36" t="n">
        <v>400</v>
      </c>
      <c r="H333" s="32" t="inlineStr">
        <is>
          <t>Dinheiro</t>
        </is>
      </c>
      <c r="I333" s="32" t="inlineStr">
        <is>
          <t>Sim</t>
        </is>
      </c>
      <c r="J333" s="35">
        <f>IF(A333="","",MONTH(A333))</f>
        <v>5</v>
      </c>
      <c r="K333" s="35">
        <f>IF(A333="","",YEAR(A333))</f>
        <v>2026</v>
      </c>
    </row>
    <row r="334">
      <c r="A334" s="39" t="n">
        <v>46154</v>
      </c>
      <c r="B334" s="32" t="inlineStr">
        <is>
          <t>Entrada</t>
        </is>
      </c>
      <c r="C334" s="31" t="inlineStr">
        <is>
          <t>Particular à vista</t>
        </is>
      </c>
      <c r="D334" s="31" t="inlineStr"/>
      <c r="E334" s="31" t="inlineStr">
        <is>
          <t>Fechamento do dia</t>
        </is>
      </c>
      <c r="F334" s="31" t="inlineStr">
        <is>
          <t>Fechamento do dia · 2 atendimentos · cartão de débito</t>
        </is>
      </c>
      <c r="G334" s="36" t="n">
        <v>510</v>
      </c>
      <c r="H334" s="32" t="inlineStr">
        <is>
          <t>Cartão de débito</t>
        </is>
      </c>
      <c r="I334" s="32" t="inlineStr">
        <is>
          <t>Sim</t>
        </is>
      </c>
      <c r="J334" s="35">
        <f>IF(A334="","",MONTH(A334))</f>
        <v>5</v>
      </c>
      <c r="K334" s="35">
        <f>IF(A334="","",YEAR(A334))</f>
        <v>2026</v>
      </c>
    </row>
    <row r="335">
      <c r="A335" s="39" t="n">
        <v>46154</v>
      </c>
      <c r="B335" s="32" t="inlineStr">
        <is>
          <t>Entrada</t>
        </is>
      </c>
      <c r="C335" s="31" t="inlineStr">
        <is>
          <t>Particular à vista</t>
        </is>
      </c>
      <c r="D335" s="31" t="inlineStr"/>
      <c r="E335" s="31" t="inlineStr">
        <is>
          <t>Fechamento do dia</t>
        </is>
      </c>
      <c r="F335" s="31" t="inlineStr">
        <is>
          <t>Fechamento do dia · 2 atendimentos · pix</t>
        </is>
      </c>
      <c r="G335" s="36" t="n">
        <v>700</v>
      </c>
      <c r="H335" s="32" t="inlineStr">
        <is>
          <t>Pix</t>
        </is>
      </c>
      <c r="I335" s="32" t="inlineStr">
        <is>
          <t>Sim</t>
        </is>
      </c>
      <c r="J335" s="35">
        <f>IF(A335="","",MONTH(A335))</f>
        <v>5</v>
      </c>
      <c r="K335" s="35">
        <f>IF(A335="","",YEAR(A335))</f>
        <v>2026</v>
      </c>
    </row>
    <row r="336">
      <c r="A336" s="39" t="n">
        <v>46154</v>
      </c>
      <c r="B336" s="32" t="inlineStr">
        <is>
          <t>Entrada</t>
        </is>
      </c>
      <c r="C336" s="31" t="inlineStr">
        <is>
          <t>Particular à vista</t>
        </is>
      </c>
      <c r="D336" s="31" t="inlineStr"/>
      <c r="E336" s="31" t="inlineStr">
        <is>
          <t>Fechamento do dia</t>
        </is>
      </c>
      <c r="F336" s="31" t="inlineStr">
        <is>
          <t>Fechamento do dia · 5 atendimentos · cartão de crédito</t>
        </is>
      </c>
      <c r="G336" s="36" t="n">
        <v>1740</v>
      </c>
      <c r="H336" s="32" t="inlineStr">
        <is>
          <t>Cartão de crédito</t>
        </is>
      </c>
      <c r="I336" s="32" t="inlineStr">
        <is>
          <t>Sim</t>
        </is>
      </c>
      <c r="J336" s="35">
        <f>IF(A336="","",MONTH(A336))</f>
        <v>5</v>
      </c>
      <c r="K336" s="35">
        <f>IF(A336="","",YEAR(A336))</f>
        <v>2026</v>
      </c>
    </row>
    <row r="337">
      <c r="A337" s="39" t="n">
        <v>46154</v>
      </c>
      <c r="B337" s="32" t="inlineStr">
        <is>
          <t>Saída</t>
        </is>
      </c>
      <c r="C337" s="31" t="inlineStr">
        <is>
          <t>Energia, água, internet e telefone</t>
        </is>
      </c>
      <c r="D337" s="31" t="inlineStr"/>
      <c r="E337" s="31" t="inlineStr"/>
      <c r="F337" s="31" t="inlineStr">
        <is>
          <t>Energia, água, internet e telefone</t>
        </is>
      </c>
      <c r="G337" s="36" t="n">
        <v>550</v>
      </c>
      <c r="H337" s="32" t="inlineStr">
        <is>
          <t>Boleto</t>
        </is>
      </c>
      <c r="I337" s="32" t="inlineStr">
        <is>
          <t>Sim</t>
        </is>
      </c>
      <c r="J337" s="35">
        <f>IF(A337="","",MONTH(A337))</f>
        <v>5</v>
      </c>
      <c r="K337" s="35">
        <f>IF(A337="","",YEAR(A337))</f>
        <v>2026</v>
      </c>
    </row>
    <row r="338">
      <c r="A338" s="39" t="n">
        <v>46154</v>
      </c>
      <c r="B338" s="32" t="inlineStr">
        <is>
          <t>Saída</t>
        </is>
      </c>
      <c r="C338" s="31" t="inlineStr">
        <is>
          <t>Manutenção de equipamentos</t>
        </is>
      </c>
      <c r="D338" s="31" t="inlineStr"/>
      <c r="E338" s="31" t="inlineStr"/>
      <c r="F338" s="31" t="inlineStr">
        <is>
          <t>Calibração e manutenção do MAPA e do Holter</t>
        </is>
      </c>
      <c r="G338" s="36" t="n">
        <v>800</v>
      </c>
      <c r="H338" s="32" t="inlineStr">
        <is>
          <t>Boleto</t>
        </is>
      </c>
      <c r="I338" s="32" t="inlineStr">
        <is>
          <t>Sim</t>
        </is>
      </c>
      <c r="J338" s="35">
        <f>IF(A338="","",MONTH(A338))</f>
        <v>5</v>
      </c>
      <c r="K338" s="35">
        <f>IF(A338="","",YEAR(A338))</f>
        <v>2026</v>
      </c>
    </row>
    <row r="339">
      <c r="A339" s="39" t="n">
        <v>46155</v>
      </c>
      <c r="B339" s="32" t="inlineStr">
        <is>
          <t>Entrada</t>
        </is>
      </c>
      <c r="C339" s="31" t="inlineStr">
        <is>
          <t>Particular à vista</t>
        </is>
      </c>
      <c r="D339" s="31" t="inlineStr"/>
      <c r="E339" s="31" t="inlineStr">
        <is>
          <t>Fechamento do dia</t>
        </is>
      </c>
      <c r="F339" s="31" t="inlineStr">
        <is>
          <t>Fechamento do dia · 1 atendimento · pix</t>
        </is>
      </c>
      <c r="G339" s="36" t="n">
        <v>380</v>
      </c>
      <c r="H339" s="32" t="inlineStr">
        <is>
          <t>Pix</t>
        </is>
      </c>
      <c r="I339" s="32" t="inlineStr">
        <is>
          <t>Sim</t>
        </is>
      </c>
      <c r="J339" s="35">
        <f>IF(A339="","",MONTH(A339))</f>
        <v>5</v>
      </c>
      <c r="K339" s="35">
        <f>IF(A339="","",YEAR(A339))</f>
        <v>2026</v>
      </c>
    </row>
    <row r="340">
      <c r="A340" s="39" t="n">
        <v>46156</v>
      </c>
      <c r="B340" s="32" t="inlineStr">
        <is>
          <t>Entrada</t>
        </is>
      </c>
      <c r="C340" s="31" t="inlineStr">
        <is>
          <t>Particular a prazo</t>
        </is>
      </c>
      <c r="D340" s="31" t="inlineStr">
        <is>
          <t>Larissa Costa</t>
        </is>
      </c>
      <c r="E340" s="31" t="inlineStr">
        <is>
          <t>Parcela</t>
        </is>
      </c>
      <c r="F340" s="31" t="inlineStr">
        <is>
          <t>Consulta de 13/04 · parcela 1/1</t>
        </is>
      </c>
      <c r="G340" s="36" t="n">
        <v>380</v>
      </c>
      <c r="H340" s="32" t="inlineStr">
        <is>
          <t>Pix</t>
        </is>
      </c>
      <c r="I340" s="32" t="inlineStr">
        <is>
          <t>Sim</t>
        </is>
      </c>
      <c r="J340" s="35">
        <f>IF(A340="","",MONTH(A340))</f>
        <v>5</v>
      </c>
      <c r="K340" s="35">
        <f>IF(A340="","",YEAR(A340))</f>
        <v>2026</v>
      </c>
    </row>
    <row r="341">
      <c r="A341" s="39" t="n">
        <v>46156</v>
      </c>
      <c r="B341" s="32" t="inlineStr">
        <is>
          <t>Entrada</t>
        </is>
      </c>
      <c r="C341" s="31" t="inlineStr">
        <is>
          <t>Particular a prazo</t>
        </is>
      </c>
      <c r="D341" s="31" t="inlineStr">
        <is>
          <t>Fernanda Freitas</t>
        </is>
      </c>
      <c r="E341" s="31" t="inlineStr">
        <is>
          <t>Parcela</t>
        </is>
      </c>
      <c r="F341" s="31" t="inlineStr">
        <is>
          <t>Teste ergométrico de 13/03 · parcela 2/2</t>
        </is>
      </c>
      <c r="G341" s="36" t="n">
        <v>225</v>
      </c>
      <c r="H341" s="32" t="inlineStr">
        <is>
          <t>Pix</t>
        </is>
      </c>
      <c r="I341" s="32" t="inlineStr">
        <is>
          <t>Sim</t>
        </is>
      </c>
      <c r="J341" s="35">
        <f>IF(A341="","",MONTH(A341))</f>
        <v>5</v>
      </c>
      <c r="K341" s="35">
        <f>IF(A341="","",YEAR(A341))</f>
        <v>2026</v>
      </c>
    </row>
    <row r="342">
      <c r="A342" s="39" t="n">
        <v>46156</v>
      </c>
      <c r="B342" s="32" t="inlineStr">
        <is>
          <t>Entrada</t>
        </is>
      </c>
      <c r="C342" s="31" t="inlineStr">
        <is>
          <t>Particular à vista</t>
        </is>
      </c>
      <c r="D342" s="31" t="inlineStr"/>
      <c r="E342" s="31" t="inlineStr">
        <is>
          <t>Fechamento do dia</t>
        </is>
      </c>
      <c r="F342" s="31" t="inlineStr">
        <is>
          <t>Fechamento do dia · 1 atendimento · cartão de débito</t>
        </is>
      </c>
      <c r="G342" s="36" t="n">
        <v>130</v>
      </c>
      <c r="H342" s="32" t="inlineStr">
        <is>
          <t>Cartão de débito</t>
        </is>
      </c>
      <c r="I342" s="32" t="inlineStr">
        <is>
          <t>Sim</t>
        </is>
      </c>
      <c r="J342" s="35">
        <f>IF(A342="","",MONTH(A342))</f>
        <v>5</v>
      </c>
      <c r="K342" s="35">
        <f>IF(A342="","",YEAR(A342))</f>
        <v>2026</v>
      </c>
    </row>
    <row r="343">
      <c r="A343" s="39" t="n">
        <v>46156</v>
      </c>
      <c r="B343" s="32" t="inlineStr">
        <is>
          <t>Entrada</t>
        </is>
      </c>
      <c r="C343" s="31" t="inlineStr">
        <is>
          <t>Particular à vista</t>
        </is>
      </c>
      <c r="D343" s="31" t="inlineStr"/>
      <c r="E343" s="31" t="inlineStr">
        <is>
          <t>Fechamento do dia</t>
        </is>
      </c>
      <c r="F343" s="31" t="inlineStr">
        <is>
          <t>Fechamento do dia · 3 atendimentos · cartão de crédito</t>
        </is>
      </c>
      <c r="G343" s="36" t="n">
        <v>1180</v>
      </c>
      <c r="H343" s="32" t="inlineStr">
        <is>
          <t>Cartão de crédito</t>
        </is>
      </c>
      <c r="I343" s="32" t="inlineStr">
        <is>
          <t>Sim</t>
        </is>
      </c>
      <c r="J343" s="35">
        <f>IF(A343="","",MONTH(A343))</f>
        <v>5</v>
      </c>
      <c r="K343" s="35">
        <f>IF(A343="","",YEAR(A343))</f>
        <v>2026</v>
      </c>
    </row>
    <row r="344">
      <c r="A344" s="39" t="n">
        <v>46157</v>
      </c>
      <c r="B344" s="32" t="inlineStr">
        <is>
          <t>Entrada</t>
        </is>
      </c>
      <c r="C344" s="31" t="inlineStr">
        <is>
          <t>Convênio · Vida Care</t>
        </is>
      </c>
      <c r="D344" s="31" t="inlineStr">
        <is>
          <t>Vida Care</t>
        </is>
      </c>
      <c r="E344" s="31" t="inlineStr">
        <is>
          <t>Lote jan/2026</t>
        </is>
      </c>
      <c r="F344" s="31" t="inlineStr">
        <is>
          <t>Recurso de glosa aceito · lote de jan/2026</t>
        </is>
      </c>
      <c r="G344" s="36" t="n">
        <v>190</v>
      </c>
      <c r="H344" s="32" t="inlineStr">
        <is>
          <t>Transferência</t>
        </is>
      </c>
      <c r="I344" s="32" t="inlineStr">
        <is>
          <t>Sim</t>
        </is>
      </c>
      <c r="J344" s="35">
        <f>IF(A344="","",MONTH(A344))</f>
        <v>5</v>
      </c>
      <c r="K344" s="35">
        <f>IF(A344="","",YEAR(A344))</f>
        <v>2026</v>
      </c>
    </row>
    <row r="345">
      <c r="A345" s="39" t="n">
        <v>46157</v>
      </c>
      <c r="B345" s="32" t="inlineStr">
        <is>
          <t>Entrada</t>
        </is>
      </c>
      <c r="C345" s="31" t="inlineStr">
        <is>
          <t>Particular a prazo</t>
        </is>
      </c>
      <c r="D345" s="31" t="inlineStr">
        <is>
          <t>Mariana Reis</t>
        </is>
      </c>
      <c r="E345" s="31" t="inlineStr">
        <is>
          <t>Parcela</t>
        </is>
      </c>
      <c r="F345" s="31" t="inlineStr">
        <is>
          <t>Avaliação endócrina de 14/04 · parcela 1/2</t>
        </is>
      </c>
      <c r="G345" s="36" t="n">
        <v>200</v>
      </c>
      <c r="H345" s="32" t="inlineStr">
        <is>
          <t>Pix</t>
        </is>
      </c>
      <c r="I345" s="32" t="inlineStr">
        <is>
          <t>Sim</t>
        </is>
      </c>
      <c r="J345" s="35">
        <f>IF(A345="","",MONTH(A345))</f>
        <v>5</v>
      </c>
      <c r="K345" s="35">
        <f>IF(A345="","",YEAR(A345))</f>
        <v>2026</v>
      </c>
    </row>
    <row r="346">
      <c r="A346" s="39" t="n">
        <v>46157</v>
      </c>
      <c r="B346" s="32" t="inlineStr">
        <is>
          <t>Entrada</t>
        </is>
      </c>
      <c r="C346" s="31" t="inlineStr">
        <is>
          <t>Particular a prazo</t>
        </is>
      </c>
      <c r="D346" s="31" t="inlineStr">
        <is>
          <t>Camila Dias</t>
        </is>
      </c>
      <c r="E346" s="31" t="inlineStr">
        <is>
          <t>Parcela</t>
        </is>
      </c>
      <c r="F346" s="31" t="inlineStr">
        <is>
          <t>Avaliação endócrina de 14/04 · parcela 1/2</t>
        </is>
      </c>
      <c r="G346" s="36" t="n">
        <v>200</v>
      </c>
      <c r="H346" s="32" t="inlineStr">
        <is>
          <t>Pix</t>
        </is>
      </c>
      <c r="I346" s="32" t="inlineStr">
        <is>
          <t>Sim</t>
        </is>
      </c>
      <c r="J346" s="35">
        <f>IF(A346="","",MONTH(A346))</f>
        <v>5</v>
      </c>
      <c r="K346" s="35">
        <f>IF(A346="","",YEAR(A346))</f>
        <v>2026</v>
      </c>
    </row>
    <row r="347">
      <c r="A347" s="39" t="n">
        <v>46157</v>
      </c>
      <c r="B347" s="32" t="inlineStr">
        <is>
          <t>Saída</t>
        </is>
      </c>
      <c r="C347" s="31" t="inlineStr">
        <is>
          <t>Anuidade CRM, seguro e cursos</t>
        </is>
      </c>
      <c r="D347" s="31" t="inlineStr"/>
      <c r="E347" s="31" t="inlineStr"/>
      <c r="F347" s="31" t="inlineStr">
        <is>
          <t>Anuidade CRM, seguro e cursos</t>
        </is>
      </c>
      <c r="G347" s="36" t="n">
        <v>450</v>
      </c>
      <c r="H347" s="32" t="inlineStr">
        <is>
          <t>Cartão de crédito</t>
        </is>
      </c>
      <c r="I347" s="32" t="inlineStr">
        <is>
          <t>Sim</t>
        </is>
      </c>
      <c r="J347" s="35">
        <f>IF(A347="","",MONTH(A347))</f>
        <v>5</v>
      </c>
      <c r="K347" s="35">
        <f>IF(A347="","",YEAR(A347))</f>
        <v>2026</v>
      </c>
    </row>
    <row r="348">
      <c r="A348" s="39" t="n">
        <v>46157</v>
      </c>
      <c r="B348" s="32" t="inlineStr">
        <is>
          <t>Saída</t>
        </is>
      </c>
      <c r="C348" s="31" t="inlineStr">
        <is>
          <t>Limpeza e material de escritório</t>
        </is>
      </c>
      <c r="D348" s="31" t="inlineStr"/>
      <c r="E348" s="31" t="inlineStr"/>
      <c r="F348" s="31" t="inlineStr">
        <is>
          <t>Limpeza e material de escritório</t>
        </is>
      </c>
      <c r="G348" s="36" t="n">
        <v>450</v>
      </c>
      <c r="H348" s="32" t="inlineStr">
        <is>
          <t>Cartão de crédito</t>
        </is>
      </c>
      <c r="I348" s="32" t="inlineStr">
        <is>
          <t>Sim</t>
        </is>
      </c>
      <c r="J348" s="35">
        <f>IF(A348="","",MONTH(A348))</f>
        <v>5</v>
      </c>
      <c r="K348" s="35">
        <f>IF(A348="","",YEAR(A348))</f>
        <v>2026</v>
      </c>
    </row>
    <row r="349">
      <c r="A349" s="39" t="n">
        <v>46158</v>
      </c>
      <c r="B349" s="32" t="inlineStr">
        <is>
          <t>Entrada</t>
        </is>
      </c>
      <c r="C349" s="31" t="inlineStr">
        <is>
          <t>Particular a prazo</t>
        </is>
      </c>
      <c r="D349" s="31" t="inlineStr">
        <is>
          <t>Otávio Cardoso</t>
        </is>
      </c>
      <c r="E349" s="31" t="inlineStr">
        <is>
          <t>Parcela</t>
        </is>
      </c>
      <c r="F349" s="31" t="inlineStr">
        <is>
          <t>Consulta de 17/03 · parcela 2/2 (vencida)</t>
        </is>
      </c>
      <c r="G349" s="36" t="n">
        <v>190</v>
      </c>
      <c r="H349" s="32" t="inlineStr">
        <is>
          <t>Pix</t>
        </is>
      </c>
      <c r="I349" s="32" t="inlineStr">
        <is>
          <t>Não</t>
        </is>
      </c>
      <c r="J349" s="35">
        <f>IF(A349="","",MONTH(A349))</f>
        <v>5</v>
      </c>
      <c r="K349" s="35">
        <f>IF(A349="","",YEAR(A349))</f>
        <v>2026</v>
      </c>
    </row>
    <row r="350">
      <c r="A350" s="39" t="n">
        <v>46159</v>
      </c>
      <c r="B350" s="32" t="inlineStr">
        <is>
          <t>Entrada</t>
        </is>
      </c>
      <c r="C350" s="31" t="inlineStr">
        <is>
          <t>Particular a prazo</t>
        </is>
      </c>
      <c r="D350" s="31" t="inlineStr">
        <is>
          <t>Carlos Freitas</t>
        </is>
      </c>
      <c r="E350" s="31" t="inlineStr">
        <is>
          <t>Parcela</t>
        </is>
      </c>
      <c r="F350" s="31" t="inlineStr">
        <is>
          <t>Avaliação endócrina de 14/04 · parcela 1/2</t>
        </is>
      </c>
      <c r="G350" s="36" t="n">
        <v>200</v>
      </c>
      <c r="H350" s="32" t="inlineStr">
        <is>
          <t>Pix</t>
        </is>
      </c>
      <c r="I350" s="32" t="inlineStr">
        <is>
          <t>Sim</t>
        </is>
      </c>
      <c r="J350" s="35">
        <f>IF(A350="","",MONTH(A350))</f>
        <v>5</v>
      </c>
      <c r="K350" s="35">
        <f>IF(A350="","",YEAR(A350))</f>
        <v>2026</v>
      </c>
    </row>
    <row r="351">
      <c r="A351" s="39" t="n">
        <v>46160</v>
      </c>
      <c r="B351" s="32" t="inlineStr">
        <is>
          <t>Entrada</t>
        </is>
      </c>
      <c r="C351" s="31" t="inlineStr">
        <is>
          <t>Particular à vista</t>
        </is>
      </c>
      <c r="D351" s="31" t="inlineStr"/>
      <c r="E351" s="31" t="inlineStr">
        <is>
          <t>Fechamento do dia</t>
        </is>
      </c>
      <c r="F351" s="31" t="inlineStr">
        <is>
          <t>Fechamento do dia · 2 atendimentos · pix</t>
        </is>
      </c>
      <c r="G351" s="36" t="n">
        <v>730</v>
      </c>
      <c r="H351" s="32" t="inlineStr">
        <is>
          <t>Pix</t>
        </is>
      </c>
      <c r="I351" s="32" t="inlineStr">
        <is>
          <t>Sim</t>
        </is>
      </c>
      <c r="J351" s="35">
        <f>IF(A351="","",MONTH(A351))</f>
        <v>5</v>
      </c>
      <c r="K351" s="35">
        <f>IF(A351="","",YEAR(A351))</f>
        <v>2026</v>
      </c>
    </row>
    <row r="352">
      <c r="A352" s="39" t="n">
        <v>46160</v>
      </c>
      <c r="B352" s="32" t="inlineStr">
        <is>
          <t>Entrada</t>
        </is>
      </c>
      <c r="C352" s="31" t="inlineStr">
        <is>
          <t>Particular à vista</t>
        </is>
      </c>
      <c r="D352" s="31" t="inlineStr"/>
      <c r="E352" s="31" t="inlineStr">
        <is>
          <t>Fechamento do dia</t>
        </is>
      </c>
      <c r="F352" s="31" t="inlineStr">
        <is>
          <t>Fechamento do dia · 4 atendimentos · cartão de crédito</t>
        </is>
      </c>
      <c r="G352" s="36" t="n">
        <v>1190</v>
      </c>
      <c r="H352" s="32" t="inlineStr">
        <is>
          <t>Cartão de crédito</t>
        </is>
      </c>
      <c r="I352" s="32" t="inlineStr">
        <is>
          <t>Sim</t>
        </is>
      </c>
      <c r="J352" s="35">
        <f>IF(A352="","",MONTH(A352))</f>
        <v>5</v>
      </c>
      <c r="K352" s="35">
        <f>IF(A352="","",YEAR(A352))</f>
        <v>2026</v>
      </c>
    </row>
    <row r="353">
      <c r="A353" s="39" t="n">
        <v>46161</v>
      </c>
      <c r="B353" s="32" t="inlineStr">
        <is>
          <t>Entrada</t>
        </is>
      </c>
      <c r="C353" s="31" t="inlineStr">
        <is>
          <t>Particular a prazo</t>
        </is>
      </c>
      <c r="D353" s="31" t="inlineStr">
        <is>
          <t>Camila Freitas</t>
        </is>
      </c>
      <c r="E353" s="31" t="inlineStr">
        <is>
          <t>Parcela</t>
        </is>
      </c>
      <c r="F353" s="31" t="inlineStr">
        <is>
          <t>Consulta de 20/03 · parcela 2/2 (vencida)</t>
        </is>
      </c>
      <c r="G353" s="36" t="n">
        <v>190</v>
      </c>
      <c r="H353" s="32" t="inlineStr">
        <is>
          <t>Pix</t>
        </is>
      </c>
      <c r="I353" s="32" t="inlineStr">
        <is>
          <t>Não</t>
        </is>
      </c>
      <c r="J353" s="35">
        <f>IF(A353="","",MONTH(A353))</f>
        <v>5</v>
      </c>
      <c r="K353" s="35">
        <f>IF(A353="","",YEAR(A353))</f>
        <v>2026</v>
      </c>
    </row>
    <row r="354">
      <c r="A354" s="39" t="n">
        <v>46161</v>
      </c>
      <c r="B354" s="32" t="inlineStr">
        <is>
          <t>Entrada</t>
        </is>
      </c>
      <c r="C354" s="31" t="inlineStr">
        <is>
          <t>Particular à vista</t>
        </is>
      </c>
      <c r="D354" s="31" t="inlineStr"/>
      <c r="E354" s="31" t="inlineStr">
        <is>
          <t>Fechamento do dia</t>
        </is>
      </c>
      <c r="F354" s="31" t="inlineStr">
        <is>
          <t>Fechamento do dia · 1 atendimento · cartão de crédito</t>
        </is>
      </c>
      <c r="G354" s="36" t="n">
        <v>400</v>
      </c>
      <c r="H354" s="32" t="inlineStr">
        <is>
          <t>Cartão de crédito</t>
        </is>
      </c>
      <c r="I354" s="32" t="inlineStr">
        <is>
          <t>Sim</t>
        </is>
      </c>
      <c r="J354" s="35">
        <f>IF(A354="","",MONTH(A354))</f>
        <v>5</v>
      </c>
      <c r="K354" s="35">
        <f>IF(A354="","",YEAR(A354))</f>
        <v>2026</v>
      </c>
    </row>
    <row r="355">
      <c r="A355" s="39" t="n">
        <v>46161</v>
      </c>
      <c r="B355" s="32" t="inlineStr">
        <is>
          <t>Entrada</t>
        </is>
      </c>
      <c r="C355" s="31" t="inlineStr">
        <is>
          <t>Particular à vista</t>
        </is>
      </c>
      <c r="D355" s="31" t="inlineStr"/>
      <c r="E355" s="31" t="inlineStr">
        <is>
          <t>Fechamento do dia</t>
        </is>
      </c>
      <c r="F355" s="31" t="inlineStr">
        <is>
          <t>Fechamento do dia · 1 atendimento · cartão de débito</t>
        </is>
      </c>
      <c r="G355" s="36" t="n">
        <v>380</v>
      </c>
      <c r="H355" s="32" t="inlineStr">
        <is>
          <t>Cartão de débito</t>
        </is>
      </c>
      <c r="I355" s="32" t="inlineStr">
        <is>
          <t>Sim</t>
        </is>
      </c>
      <c r="J355" s="35">
        <f>IF(A355="","",MONTH(A355))</f>
        <v>5</v>
      </c>
      <c r="K355" s="35">
        <f>IF(A355="","",YEAR(A355))</f>
        <v>2026</v>
      </c>
    </row>
    <row r="356">
      <c r="A356" s="39" t="n">
        <v>46161</v>
      </c>
      <c r="B356" s="32" t="inlineStr">
        <is>
          <t>Entrada</t>
        </is>
      </c>
      <c r="C356" s="31" t="inlineStr">
        <is>
          <t>Particular à vista</t>
        </is>
      </c>
      <c r="D356" s="31" t="inlineStr"/>
      <c r="E356" s="31" t="inlineStr">
        <is>
          <t>Fechamento do dia</t>
        </is>
      </c>
      <c r="F356" s="31" t="inlineStr">
        <is>
          <t>Fechamento do dia · 2 atendimentos · pix</t>
        </is>
      </c>
      <c r="G356" s="36" t="n">
        <v>780</v>
      </c>
      <c r="H356" s="32" t="inlineStr">
        <is>
          <t>Pix</t>
        </is>
      </c>
      <c r="I356" s="32" t="inlineStr">
        <is>
          <t>Sim</t>
        </is>
      </c>
      <c r="J356" s="35">
        <f>IF(A356="","",MONTH(A356))</f>
        <v>5</v>
      </c>
      <c r="K356" s="35">
        <f>IF(A356="","",YEAR(A356))</f>
        <v>2026</v>
      </c>
    </row>
    <row r="357">
      <c r="A357" s="39" t="n">
        <v>46162</v>
      </c>
      <c r="B357" s="32" t="inlineStr">
        <is>
          <t>Entrada</t>
        </is>
      </c>
      <c r="C357" s="31" t="inlineStr">
        <is>
          <t>Particular à vista</t>
        </is>
      </c>
      <c r="D357" s="31" t="inlineStr"/>
      <c r="E357" s="31" t="inlineStr">
        <is>
          <t>Fechamento do dia</t>
        </is>
      </c>
      <c r="F357" s="31" t="inlineStr">
        <is>
          <t>Fechamento do dia · 1 atendimento · cartão de crédito</t>
        </is>
      </c>
      <c r="G357" s="36" t="n">
        <v>380</v>
      </c>
      <c r="H357" s="32" t="inlineStr">
        <is>
          <t>Cartão de crédito</t>
        </is>
      </c>
      <c r="I357" s="32" t="inlineStr">
        <is>
          <t>Sim</t>
        </is>
      </c>
      <c r="J357" s="35">
        <f>IF(A357="","",MONTH(A357))</f>
        <v>5</v>
      </c>
      <c r="K357" s="35">
        <f>IF(A357="","",YEAR(A357))</f>
        <v>2026</v>
      </c>
    </row>
    <row r="358">
      <c r="A358" s="39" t="n">
        <v>46162</v>
      </c>
      <c r="B358" s="32" t="inlineStr">
        <is>
          <t>Saída</t>
        </is>
      </c>
      <c r="C358" s="31" t="inlineStr">
        <is>
          <t>Impostos e taxas</t>
        </is>
      </c>
      <c r="D358" s="31" t="inlineStr"/>
      <c r="E358" s="31" t="inlineStr"/>
      <c r="F358" s="31" t="inlineStr">
        <is>
          <t>Guia de impostos do mês anterior (alíquota efetiva combinada com o contador)</t>
        </is>
      </c>
      <c r="G358" s="36" t="n">
        <v>4287</v>
      </c>
      <c r="H358" s="32" t="inlineStr">
        <is>
          <t>Boleto</t>
        </is>
      </c>
      <c r="I358" s="32" t="inlineStr">
        <is>
          <t>Sim</t>
        </is>
      </c>
      <c r="J358" s="35">
        <f>IF(A358="","",MONTH(A358))</f>
        <v>5</v>
      </c>
      <c r="K358" s="35">
        <f>IF(A358="","",YEAR(A358))</f>
        <v>2026</v>
      </c>
    </row>
    <row r="359">
      <c r="A359" s="39" t="n">
        <v>46162</v>
      </c>
      <c r="B359" s="32" t="inlineStr">
        <is>
          <t>Saída</t>
        </is>
      </c>
      <c r="C359" s="31" t="inlineStr">
        <is>
          <t>Marketing e site</t>
        </is>
      </c>
      <c r="D359" s="31" t="inlineStr"/>
      <c r="E359" s="31" t="inlineStr"/>
      <c r="F359" s="31" t="inlineStr">
        <is>
          <t>Marketing e site</t>
        </is>
      </c>
      <c r="G359" s="36" t="n">
        <v>650</v>
      </c>
      <c r="H359" s="32" t="inlineStr">
        <is>
          <t>Cartão de crédito</t>
        </is>
      </c>
      <c r="I359" s="32" t="inlineStr">
        <is>
          <t>Sim</t>
        </is>
      </c>
      <c r="J359" s="35">
        <f>IF(A359="","",MONTH(A359))</f>
        <v>5</v>
      </c>
      <c r="K359" s="35">
        <f>IF(A359="","",YEAR(A359))</f>
        <v>2026</v>
      </c>
    </row>
    <row r="360">
      <c r="A360" s="39" t="n">
        <v>46163</v>
      </c>
      <c r="B360" s="32" t="inlineStr">
        <is>
          <t>Entrada</t>
        </is>
      </c>
      <c r="C360" s="31" t="inlineStr">
        <is>
          <t>Particular à vista</t>
        </is>
      </c>
      <c r="D360" s="31" t="inlineStr"/>
      <c r="E360" s="31" t="inlineStr">
        <is>
          <t>Fechamento do dia</t>
        </is>
      </c>
      <c r="F360" s="31" t="inlineStr">
        <is>
          <t>Fechamento do dia · 1 atendimento · pix</t>
        </is>
      </c>
      <c r="G360" s="36" t="n">
        <v>400</v>
      </c>
      <c r="H360" s="32" t="inlineStr">
        <is>
          <t>Pix</t>
        </is>
      </c>
      <c r="I360" s="32" t="inlineStr">
        <is>
          <t>Sim</t>
        </is>
      </c>
      <c r="J360" s="35">
        <f>IF(A360="","",MONTH(A360))</f>
        <v>5</v>
      </c>
      <c r="K360" s="35">
        <f>IF(A360="","",YEAR(A360))</f>
        <v>2026</v>
      </c>
    </row>
    <row r="361">
      <c r="A361" s="39" t="n">
        <v>46163</v>
      </c>
      <c r="B361" s="32" t="inlineStr">
        <is>
          <t>Entrada</t>
        </is>
      </c>
      <c r="C361" s="31" t="inlineStr">
        <is>
          <t>Particular à vista</t>
        </is>
      </c>
      <c r="D361" s="31" t="inlineStr"/>
      <c r="E361" s="31" t="inlineStr">
        <is>
          <t>Fechamento do dia</t>
        </is>
      </c>
      <c r="F361" s="31" t="inlineStr">
        <is>
          <t>Fechamento do dia · 2 atendimentos · cartão de crédito</t>
        </is>
      </c>
      <c r="G361" s="36" t="n">
        <v>700</v>
      </c>
      <c r="H361" s="32" t="inlineStr">
        <is>
          <t>Cartão de crédito</t>
        </is>
      </c>
      <c r="I361" s="32" t="inlineStr">
        <is>
          <t>Sim</t>
        </is>
      </c>
      <c r="J361" s="35">
        <f>IF(A361="","",MONTH(A361))</f>
        <v>5</v>
      </c>
      <c r="K361" s="35">
        <f>IF(A361="","",YEAR(A361))</f>
        <v>2026</v>
      </c>
    </row>
    <row r="362">
      <c r="A362" s="39" t="n">
        <v>46164</v>
      </c>
      <c r="B362" s="32" t="inlineStr">
        <is>
          <t>Entrada</t>
        </is>
      </c>
      <c r="C362" s="31" t="inlineStr">
        <is>
          <t>Convênio · MediPlan</t>
        </is>
      </c>
      <c r="D362" s="31" t="inlineStr">
        <is>
          <t>MediPlan</t>
        </is>
      </c>
      <c r="E362" s="31" t="inlineStr">
        <is>
          <t>Lote mar/2026</t>
        </is>
      </c>
      <c r="F362" s="31" t="inlineStr">
        <is>
          <t>Pagamento do lote de mar/2026 (31 guias. glosa de R$ 235)</t>
        </is>
      </c>
      <c r="G362" s="36" t="n">
        <v>2610</v>
      </c>
      <c r="H362" s="32" t="inlineStr">
        <is>
          <t>Transferência</t>
        </is>
      </c>
      <c r="I362" s="32" t="inlineStr">
        <is>
          <t>Sim</t>
        </is>
      </c>
      <c r="J362" s="35">
        <f>IF(A362="","",MONTH(A362))</f>
        <v>5</v>
      </c>
      <c r="K362" s="35">
        <f>IF(A362="","",YEAR(A362))</f>
        <v>2026</v>
      </c>
    </row>
    <row r="363">
      <c r="A363" s="39" t="n">
        <v>46164</v>
      </c>
      <c r="B363" s="32" t="inlineStr">
        <is>
          <t>Entrada</t>
        </is>
      </c>
      <c r="C363" s="31" t="inlineStr">
        <is>
          <t>Particular à vista</t>
        </is>
      </c>
      <c r="D363" s="31" t="inlineStr"/>
      <c r="E363" s="31" t="inlineStr">
        <is>
          <t>Fechamento do dia</t>
        </is>
      </c>
      <c r="F363" s="31" t="inlineStr">
        <is>
          <t>Fechamento do dia · 1 atendimento · cartão de crédito</t>
        </is>
      </c>
      <c r="G363" s="36" t="n">
        <v>130</v>
      </c>
      <c r="H363" s="32" t="inlineStr">
        <is>
          <t>Cartão de crédito</t>
        </is>
      </c>
      <c r="I363" s="32" t="inlineStr">
        <is>
          <t>Sim</t>
        </is>
      </c>
      <c r="J363" s="35">
        <f>IF(A363="","",MONTH(A363))</f>
        <v>5</v>
      </c>
      <c r="K363" s="35">
        <f>IF(A363="","",YEAR(A363))</f>
        <v>2026</v>
      </c>
    </row>
    <row r="364">
      <c r="A364" s="39" t="n">
        <v>46164</v>
      </c>
      <c r="B364" s="32" t="inlineStr">
        <is>
          <t>Entrada</t>
        </is>
      </c>
      <c r="C364" s="31" t="inlineStr">
        <is>
          <t>Particular à vista</t>
        </is>
      </c>
      <c r="D364" s="31" t="inlineStr"/>
      <c r="E364" s="31" t="inlineStr">
        <is>
          <t>Fechamento do dia</t>
        </is>
      </c>
      <c r="F364" s="31" t="inlineStr">
        <is>
          <t>Fechamento do dia · 1 atendimento · cartão de débito</t>
        </is>
      </c>
      <c r="G364" s="36" t="n">
        <v>380</v>
      </c>
      <c r="H364" s="32" t="inlineStr">
        <is>
          <t>Cartão de débito</t>
        </is>
      </c>
      <c r="I364" s="32" t="inlineStr">
        <is>
          <t>Sim</t>
        </is>
      </c>
      <c r="J364" s="35">
        <f>IF(A364="","",MONTH(A364))</f>
        <v>5</v>
      </c>
      <c r="K364" s="35">
        <f>IF(A364="","",YEAR(A364))</f>
        <v>2026</v>
      </c>
    </row>
    <row r="365">
      <c r="A365" s="39" t="n">
        <v>46164</v>
      </c>
      <c r="B365" s="32" t="inlineStr">
        <is>
          <t>Entrada</t>
        </is>
      </c>
      <c r="C365" s="31" t="inlineStr">
        <is>
          <t>Particular à vista</t>
        </is>
      </c>
      <c r="D365" s="31" t="inlineStr"/>
      <c r="E365" s="31" t="inlineStr">
        <is>
          <t>Fechamento do dia</t>
        </is>
      </c>
      <c r="F365" s="31" t="inlineStr">
        <is>
          <t>Fechamento do dia · 1 atendimento · pix</t>
        </is>
      </c>
      <c r="G365" s="36" t="n">
        <v>130</v>
      </c>
      <c r="H365" s="32" t="inlineStr">
        <is>
          <t>Pix</t>
        </is>
      </c>
      <c r="I365" s="32" t="inlineStr">
        <is>
          <t>Sim</t>
        </is>
      </c>
      <c r="J365" s="35">
        <f>IF(A365="","",MONTH(A365))</f>
        <v>5</v>
      </c>
      <c r="K365" s="35">
        <f>IF(A365="","",YEAR(A365))</f>
        <v>2026</v>
      </c>
    </row>
    <row r="366">
      <c r="A366" s="39" t="n">
        <v>46164</v>
      </c>
      <c r="B366" s="32" t="inlineStr">
        <is>
          <t>Saída</t>
        </is>
      </c>
      <c r="C366" s="31" t="inlineStr">
        <is>
          <t>Materiais e insumos de atendimento</t>
        </is>
      </c>
      <c r="D366" s="31" t="inlineStr"/>
      <c r="E366" s="31" t="inlineStr"/>
      <c r="F366" s="31" t="inlineStr">
        <is>
          <t>Reposição de descartáveis e papel para ECG</t>
        </is>
      </c>
      <c r="G366" s="36" t="n">
        <v>570</v>
      </c>
      <c r="H366" s="32" t="inlineStr">
        <is>
          <t>Cartão de crédito</t>
        </is>
      </c>
      <c r="I366" s="32" t="inlineStr">
        <is>
          <t>Sim</t>
        </is>
      </c>
      <c r="J366" s="35">
        <f>IF(A366="","",MONTH(A366))</f>
        <v>5</v>
      </c>
      <c r="K366" s="35">
        <f>IF(A366="","",YEAR(A366))</f>
        <v>2026</v>
      </c>
    </row>
    <row r="367">
      <c r="A367" s="39" t="n">
        <v>46165</v>
      </c>
      <c r="B367" s="32" t="inlineStr">
        <is>
          <t>Entrada</t>
        </is>
      </c>
      <c r="C367" s="31" t="inlineStr">
        <is>
          <t>Particular a prazo</t>
        </is>
      </c>
      <c r="D367" s="31" t="inlineStr">
        <is>
          <t>Patrícia Fernandes</t>
        </is>
      </c>
      <c r="E367" s="31" t="inlineStr">
        <is>
          <t>Parcela</t>
        </is>
      </c>
      <c r="F367" s="31" t="inlineStr">
        <is>
          <t>Consulta de 20/04 · parcela 1/1</t>
        </is>
      </c>
      <c r="G367" s="36" t="n">
        <v>380</v>
      </c>
      <c r="H367" s="32" t="inlineStr">
        <is>
          <t>Pix</t>
        </is>
      </c>
      <c r="I367" s="32" t="inlineStr">
        <is>
          <t>Sim</t>
        </is>
      </c>
      <c r="J367" s="35">
        <f>IF(A367="","",MONTH(A367))</f>
        <v>5</v>
      </c>
      <c r="K367" s="35">
        <f>IF(A367="","",YEAR(A367))</f>
        <v>2026</v>
      </c>
    </row>
    <row r="368">
      <c r="A368" s="39" t="n">
        <v>46166</v>
      </c>
      <c r="B368" s="32" t="inlineStr">
        <is>
          <t>Entrada</t>
        </is>
      </c>
      <c r="C368" s="31" t="inlineStr">
        <is>
          <t>Particular a prazo</t>
        </is>
      </c>
      <c r="D368" s="31" t="inlineStr">
        <is>
          <t>Henrique Ribeiro</t>
        </is>
      </c>
      <c r="E368" s="31" t="inlineStr">
        <is>
          <t>Parcela</t>
        </is>
      </c>
      <c r="F368" s="31" t="inlineStr">
        <is>
          <t>Consulta de 24/04 · parcela 1/1</t>
        </is>
      </c>
      <c r="G368" s="36" t="n">
        <v>380</v>
      </c>
      <c r="H368" s="32" t="inlineStr">
        <is>
          <t>Pix</t>
        </is>
      </c>
      <c r="I368" s="32" t="inlineStr">
        <is>
          <t>Sim</t>
        </is>
      </c>
      <c r="J368" s="35">
        <f>IF(A368="","",MONTH(A368))</f>
        <v>5</v>
      </c>
      <c r="K368" s="35">
        <f>IF(A368="","",YEAR(A368))</f>
        <v>2026</v>
      </c>
    </row>
    <row r="369">
      <c r="A369" s="39" t="n">
        <v>46167</v>
      </c>
      <c r="B369" s="32" t="inlineStr">
        <is>
          <t>Entrada</t>
        </is>
      </c>
      <c r="C369" s="31" t="inlineStr">
        <is>
          <t>Particular a prazo</t>
        </is>
      </c>
      <c r="D369" s="31" t="inlineStr">
        <is>
          <t>Fábio Gomes</t>
        </is>
      </c>
      <c r="E369" s="31" t="inlineStr">
        <is>
          <t>Parcela</t>
        </is>
      </c>
      <c r="F369" s="31" t="inlineStr">
        <is>
          <t>Avaliação endócrina de 23/04 · parcela 1/1</t>
        </is>
      </c>
      <c r="G369" s="36" t="n">
        <v>400</v>
      </c>
      <c r="H369" s="32" t="inlineStr">
        <is>
          <t>Pix</t>
        </is>
      </c>
      <c r="I369" s="32" t="inlineStr">
        <is>
          <t>Sim</t>
        </is>
      </c>
      <c r="J369" s="35">
        <f>IF(A369="","",MONTH(A369))</f>
        <v>5</v>
      </c>
      <c r="K369" s="35">
        <f>IF(A369="","",YEAR(A369))</f>
        <v>2026</v>
      </c>
    </row>
    <row r="370">
      <c r="A370" s="39" t="n">
        <v>46167</v>
      </c>
      <c r="B370" s="32" t="inlineStr">
        <is>
          <t>Entrada</t>
        </is>
      </c>
      <c r="C370" s="31" t="inlineStr">
        <is>
          <t>Particular à vista</t>
        </is>
      </c>
      <c r="D370" s="31" t="inlineStr"/>
      <c r="E370" s="31" t="inlineStr">
        <is>
          <t>Fechamento do dia</t>
        </is>
      </c>
      <c r="F370" s="31" t="inlineStr">
        <is>
          <t>Fechamento do dia · 1 atendimento · cartão de débito</t>
        </is>
      </c>
      <c r="G370" s="36" t="n">
        <v>380</v>
      </c>
      <c r="H370" s="32" t="inlineStr">
        <is>
          <t>Cartão de débito</t>
        </is>
      </c>
      <c r="I370" s="32" t="inlineStr">
        <is>
          <t>Sim</t>
        </is>
      </c>
      <c r="J370" s="35">
        <f>IF(A370="","",MONTH(A370))</f>
        <v>5</v>
      </c>
      <c r="K370" s="35">
        <f>IF(A370="","",YEAR(A370))</f>
        <v>2026</v>
      </c>
    </row>
    <row r="371">
      <c r="A371" s="39" t="n">
        <v>46167</v>
      </c>
      <c r="B371" s="32" t="inlineStr">
        <is>
          <t>Entrada</t>
        </is>
      </c>
      <c r="C371" s="31" t="inlineStr">
        <is>
          <t>Particular à vista</t>
        </is>
      </c>
      <c r="D371" s="31" t="inlineStr"/>
      <c r="E371" s="31" t="inlineStr">
        <is>
          <t>Fechamento do dia</t>
        </is>
      </c>
      <c r="F371" s="31" t="inlineStr">
        <is>
          <t>Fechamento do dia · 2 atendimentos · cartão de crédito</t>
        </is>
      </c>
      <c r="G371" s="36" t="n">
        <v>680</v>
      </c>
      <c r="H371" s="32" t="inlineStr">
        <is>
          <t>Cartão de crédito</t>
        </is>
      </c>
      <c r="I371" s="32" t="inlineStr">
        <is>
          <t>Sim</t>
        </is>
      </c>
      <c r="J371" s="35">
        <f>IF(A371="","",MONTH(A371))</f>
        <v>5</v>
      </c>
      <c r="K371" s="35">
        <f>IF(A371="","",YEAR(A371))</f>
        <v>2026</v>
      </c>
    </row>
    <row r="372">
      <c r="A372" s="39" t="n">
        <v>46168</v>
      </c>
      <c r="B372" s="32" t="inlineStr">
        <is>
          <t>Entrada</t>
        </is>
      </c>
      <c r="C372" s="31" t="inlineStr">
        <is>
          <t>Particular à vista</t>
        </is>
      </c>
      <c r="D372" s="31" t="inlineStr"/>
      <c r="E372" s="31" t="inlineStr">
        <is>
          <t>Fechamento do dia</t>
        </is>
      </c>
      <c r="F372" s="31" t="inlineStr">
        <is>
          <t>Fechamento do dia · 1 atendimento · cartão de crédito</t>
        </is>
      </c>
      <c r="G372" s="36" t="n">
        <v>380</v>
      </c>
      <c r="H372" s="32" t="inlineStr">
        <is>
          <t>Cartão de crédito</t>
        </is>
      </c>
      <c r="I372" s="32" t="inlineStr">
        <is>
          <t>Sim</t>
        </is>
      </c>
      <c r="J372" s="35">
        <f>IF(A372="","",MONTH(A372))</f>
        <v>5</v>
      </c>
      <c r="K372" s="35">
        <f>IF(A372="","",YEAR(A372))</f>
        <v>2026</v>
      </c>
    </row>
    <row r="373">
      <c r="A373" s="39" t="n">
        <v>46168</v>
      </c>
      <c r="B373" s="32" t="inlineStr">
        <is>
          <t>Entrada</t>
        </is>
      </c>
      <c r="C373" s="31" t="inlineStr">
        <is>
          <t>Particular à vista</t>
        </is>
      </c>
      <c r="D373" s="31" t="inlineStr"/>
      <c r="E373" s="31" t="inlineStr">
        <is>
          <t>Fechamento do dia</t>
        </is>
      </c>
      <c r="F373" s="31" t="inlineStr">
        <is>
          <t>Fechamento do dia · 1 atendimento · dinheiro</t>
        </is>
      </c>
      <c r="G373" s="36" t="n">
        <v>130</v>
      </c>
      <c r="H373" s="32" t="inlineStr">
        <is>
          <t>Dinheiro</t>
        </is>
      </c>
      <c r="I373" s="32" t="inlineStr">
        <is>
          <t>Sim</t>
        </is>
      </c>
      <c r="J373" s="35">
        <f>IF(A373="","",MONTH(A373))</f>
        <v>5</v>
      </c>
      <c r="K373" s="35">
        <f>IF(A373="","",YEAR(A373))</f>
        <v>2026</v>
      </c>
    </row>
    <row r="374">
      <c r="A374" s="39" t="n">
        <v>46168</v>
      </c>
      <c r="B374" s="32" t="inlineStr">
        <is>
          <t>Entrada</t>
        </is>
      </c>
      <c r="C374" s="31" t="inlineStr">
        <is>
          <t>Particular à vista</t>
        </is>
      </c>
      <c r="D374" s="31" t="inlineStr"/>
      <c r="E374" s="31" t="inlineStr">
        <is>
          <t>Fechamento do dia</t>
        </is>
      </c>
      <c r="F374" s="31" t="inlineStr">
        <is>
          <t>Fechamento do dia · 3 atendimentos · pix</t>
        </is>
      </c>
      <c r="G374" s="36" t="n">
        <v>1180</v>
      </c>
      <c r="H374" s="32" t="inlineStr">
        <is>
          <t>Pix</t>
        </is>
      </c>
      <c r="I374" s="32" t="inlineStr">
        <is>
          <t>Sim</t>
        </is>
      </c>
      <c r="J374" s="35">
        <f>IF(A374="","",MONTH(A374))</f>
        <v>5</v>
      </c>
      <c r="K374" s="35">
        <f>IF(A374="","",YEAR(A374))</f>
        <v>2026</v>
      </c>
    </row>
    <row r="375">
      <c r="A375" s="39" t="n">
        <v>46169</v>
      </c>
      <c r="B375" s="32" t="inlineStr">
        <is>
          <t>Entrada</t>
        </is>
      </c>
      <c r="C375" s="31" t="inlineStr">
        <is>
          <t>Particular à vista</t>
        </is>
      </c>
      <c r="D375" s="31" t="inlineStr"/>
      <c r="E375" s="31" t="inlineStr">
        <is>
          <t>Fechamento do dia</t>
        </is>
      </c>
      <c r="F375" s="31" t="inlineStr">
        <is>
          <t>Fechamento do dia · 1 atendimento · cartão de débito</t>
        </is>
      </c>
      <c r="G375" s="36" t="n">
        <v>380</v>
      </c>
      <c r="H375" s="32" t="inlineStr">
        <is>
          <t>Cartão de débito</t>
        </is>
      </c>
      <c r="I375" s="32" t="inlineStr">
        <is>
          <t>Sim</t>
        </is>
      </c>
      <c r="J375" s="35">
        <f>IF(A375="","",MONTH(A375))</f>
        <v>5</v>
      </c>
      <c r="K375" s="35">
        <f>IF(A375="","",YEAR(A375))</f>
        <v>2026</v>
      </c>
    </row>
    <row r="376">
      <c r="A376" s="39" t="n">
        <v>46169</v>
      </c>
      <c r="B376" s="32" t="inlineStr">
        <is>
          <t>Entrada</t>
        </is>
      </c>
      <c r="C376" s="31" t="inlineStr">
        <is>
          <t>Particular à vista</t>
        </is>
      </c>
      <c r="D376" s="31" t="inlineStr"/>
      <c r="E376" s="31" t="inlineStr">
        <is>
          <t>Fechamento do dia</t>
        </is>
      </c>
      <c r="F376" s="31" t="inlineStr">
        <is>
          <t>Fechamento do dia · 2 atendimentos · pix</t>
        </is>
      </c>
      <c r="G376" s="36" t="n">
        <v>760</v>
      </c>
      <c r="H376" s="32" t="inlineStr">
        <is>
          <t>Pix</t>
        </is>
      </c>
      <c r="I376" s="32" t="inlineStr">
        <is>
          <t>Sim</t>
        </is>
      </c>
      <c r="J376" s="35">
        <f>IF(A376="","",MONTH(A376))</f>
        <v>5</v>
      </c>
      <c r="K376" s="35">
        <f>IF(A376="","",YEAR(A376))</f>
        <v>2026</v>
      </c>
    </row>
    <row r="377">
      <c r="A377" s="39" t="n">
        <v>46170</v>
      </c>
      <c r="B377" s="32" t="inlineStr">
        <is>
          <t>Entrada</t>
        </is>
      </c>
      <c r="C377" s="31" t="inlineStr">
        <is>
          <t>Particular a prazo</t>
        </is>
      </c>
      <c r="D377" s="31" t="inlineStr">
        <is>
          <t>Otávio Cardoso</t>
        </is>
      </c>
      <c r="E377" s="31" t="inlineStr">
        <is>
          <t>Parcela</t>
        </is>
      </c>
      <c r="F377" s="31" t="inlineStr">
        <is>
          <t>Consulta de 27/04 · parcela 1/1</t>
        </is>
      </c>
      <c r="G377" s="36" t="n">
        <v>380</v>
      </c>
      <c r="H377" s="32" t="inlineStr">
        <is>
          <t>Pix</t>
        </is>
      </c>
      <c r="I377" s="32" t="inlineStr">
        <is>
          <t>Sim</t>
        </is>
      </c>
      <c r="J377" s="35">
        <f>IF(A377="","",MONTH(A377))</f>
        <v>5</v>
      </c>
      <c r="K377" s="35">
        <f>IF(A377="","",YEAR(A377))</f>
        <v>2026</v>
      </c>
    </row>
    <row r="378">
      <c r="A378" s="39" t="n">
        <v>46170</v>
      </c>
      <c r="B378" s="32" t="inlineStr">
        <is>
          <t>Entrada</t>
        </is>
      </c>
      <c r="C378" s="31" t="inlineStr">
        <is>
          <t>Particular a prazo</t>
        </is>
      </c>
      <c r="D378" s="31" t="inlineStr">
        <is>
          <t>Rafael Barros</t>
        </is>
      </c>
      <c r="E378" s="31" t="inlineStr">
        <is>
          <t>Parcela</t>
        </is>
      </c>
      <c r="F378" s="31" t="inlineStr">
        <is>
          <t>Consulta de 28/04 · parcela 1/2</t>
        </is>
      </c>
      <c r="G378" s="36" t="n">
        <v>190</v>
      </c>
      <c r="H378" s="32" t="inlineStr">
        <is>
          <t>Pix</t>
        </is>
      </c>
      <c r="I378" s="32" t="inlineStr">
        <is>
          <t>Sim</t>
        </is>
      </c>
      <c r="J378" s="35">
        <f>IF(A378="","",MONTH(A378))</f>
        <v>5</v>
      </c>
      <c r="K378" s="35">
        <f>IF(A378="","",YEAR(A378))</f>
        <v>2026</v>
      </c>
    </row>
    <row r="379">
      <c r="A379" s="39" t="n">
        <v>46170</v>
      </c>
      <c r="B379" s="32" t="inlineStr">
        <is>
          <t>Entrada</t>
        </is>
      </c>
      <c r="C379" s="31" t="inlineStr">
        <is>
          <t>Particular à vista</t>
        </is>
      </c>
      <c r="D379" s="31" t="inlineStr"/>
      <c r="E379" s="31" t="inlineStr">
        <is>
          <t>Fechamento do dia</t>
        </is>
      </c>
      <c r="F379" s="31" t="inlineStr">
        <is>
          <t>Fechamento do dia · 1 atendimento · pix</t>
        </is>
      </c>
      <c r="G379" s="36" t="n">
        <v>380</v>
      </c>
      <c r="H379" s="32" t="inlineStr">
        <is>
          <t>Pix</t>
        </is>
      </c>
      <c r="I379" s="32" t="inlineStr">
        <is>
          <t>Sim</t>
        </is>
      </c>
      <c r="J379" s="35">
        <f>IF(A379="","",MONTH(A379))</f>
        <v>5</v>
      </c>
      <c r="K379" s="35">
        <f>IF(A379="","",YEAR(A379))</f>
        <v>2026</v>
      </c>
    </row>
    <row r="380">
      <c r="A380" s="39" t="n">
        <v>46170</v>
      </c>
      <c r="B380" s="32" t="inlineStr">
        <is>
          <t>Entrada</t>
        </is>
      </c>
      <c r="C380" s="31" t="inlineStr">
        <is>
          <t>Particular à vista</t>
        </is>
      </c>
      <c r="D380" s="31" t="inlineStr"/>
      <c r="E380" s="31" t="inlineStr">
        <is>
          <t>Fechamento do dia</t>
        </is>
      </c>
      <c r="F380" s="31" t="inlineStr">
        <is>
          <t>Fechamento do dia · 3 atendimentos · cartão de crédito</t>
        </is>
      </c>
      <c r="G380" s="36" t="n">
        <v>830</v>
      </c>
      <c r="H380" s="32" t="inlineStr">
        <is>
          <t>Cartão de crédito</t>
        </is>
      </c>
      <c r="I380" s="32" t="inlineStr">
        <is>
          <t>Sim</t>
        </is>
      </c>
      <c r="J380" s="35">
        <f>IF(A380="","",MONTH(A380))</f>
        <v>5</v>
      </c>
      <c r="K380" s="35">
        <f>IF(A380="","",YEAR(A380))</f>
        <v>2026</v>
      </c>
    </row>
    <row r="381">
      <c r="A381" s="39" t="n">
        <v>46170</v>
      </c>
      <c r="B381" s="32" t="inlineStr">
        <is>
          <t>Saída</t>
        </is>
      </c>
      <c r="C381" s="31" t="inlineStr">
        <is>
          <t>Pró-labore dos sócios</t>
        </is>
      </c>
      <c r="D381" s="31" t="inlineStr"/>
      <c r="E381" s="31" t="inlineStr"/>
      <c r="F381" s="31" t="inlineStr">
        <is>
          <t>Pró-labore · Dr. Paulo Andrade</t>
        </is>
      </c>
      <c r="G381" s="36" t="n">
        <v>9000</v>
      </c>
      <c r="H381" s="32" t="inlineStr">
        <is>
          <t>Transferência</t>
        </is>
      </c>
      <c r="I381" s="32" t="inlineStr">
        <is>
          <t>Sim</t>
        </is>
      </c>
      <c r="J381" s="35">
        <f>IF(A381="","",MONTH(A381))</f>
        <v>5</v>
      </c>
      <c r="K381" s="35">
        <f>IF(A381="","",YEAR(A381))</f>
        <v>2026</v>
      </c>
    </row>
    <row r="382">
      <c r="A382" s="39" t="n">
        <v>46170</v>
      </c>
      <c r="B382" s="32" t="inlineStr">
        <is>
          <t>Saída</t>
        </is>
      </c>
      <c r="C382" s="31" t="inlineStr">
        <is>
          <t>Pró-labore dos sócios</t>
        </is>
      </c>
      <c r="D382" s="31" t="inlineStr"/>
      <c r="E382" s="31" t="inlineStr"/>
      <c r="F382" s="31" t="inlineStr">
        <is>
          <t>Pró-labore · Dra. Carolina Mendes</t>
        </is>
      </c>
      <c r="G382" s="36" t="n">
        <v>9000</v>
      </c>
      <c r="H382" s="32" t="inlineStr">
        <is>
          <t>Transferência</t>
        </is>
      </c>
      <c r="I382" s="32" t="inlineStr">
        <is>
          <t>Sim</t>
        </is>
      </c>
      <c r="J382" s="35">
        <f>IF(A382="","",MONTH(A382))</f>
        <v>5</v>
      </c>
      <c r="K382" s="35">
        <f>IF(A382="","",YEAR(A382))</f>
        <v>2026</v>
      </c>
    </row>
    <row r="383">
      <c r="A383" s="39" t="n">
        <v>46171</v>
      </c>
      <c r="B383" s="32" t="inlineStr">
        <is>
          <t>Entrada</t>
        </is>
      </c>
      <c r="C383" s="31" t="inlineStr">
        <is>
          <t>Particular à vista</t>
        </is>
      </c>
      <c r="D383" s="31" t="inlineStr"/>
      <c r="E383" s="31" t="inlineStr">
        <is>
          <t>Fechamento do dia</t>
        </is>
      </c>
      <c r="F383" s="31" t="inlineStr">
        <is>
          <t>Fechamento do dia · 3 atendimentos · cartão de débito</t>
        </is>
      </c>
      <c r="G383" s="36" t="n">
        <v>960</v>
      </c>
      <c r="H383" s="32" t="inlineStr">
        <is>
          <t>Cartão de débito</t>
        </is>
      </c>
      <c r="I383" s="32" t="inlineStr">
        <is>
          <t>Sim</t>
        </is>
      </c>
      <c r="J383" s="35">
        <f>IF(A383="","",MONTH(A383))</f>
        <v>5</v>
      </c>
      <c r="K383" s="35">
        <f>IF(A383="","",YEAR(A383))</f>
        <v>2026</v>
      </c>
    </row>
    <row r="384">
      <c r="A384" s="39" t="n">
        <v>46172</v>
      </c>
      <c r="B384" s="32" t="inlineStr">
        <is>
          <t>Entrada</t>
        </is>
      </c>
      <c r="C384" s="31" t="inlineStr">
        <is>
          <t>Particular a prazo</t>
        </is>
      </c>
      <c r="D384" s="31" t="inlineStr">
        <is>
          <t>Rafael Dias</t>
        </is>
      </c>
      <c r="E384" s="31" t="inlineStr">
        <is>
          <t>Parcela</t>
        </is>
      </c>
      <c r="F384" s="31" t="inlineStr">
        <is>
          <t>Consulta de 30/04 · parcela 1/1</t>
        </is>
      </c>
      <c r="G384" s="36" t="n">
        <v>380</v>
      </c>
      <c r="H384" s="32" t="inlineStr">
        <is>
          <t>Pix</t>
        </is>
      </c>
      <c r="I384" s="32" t="inlineStr">
        <is>
          <t>Sim</t>
        </is>
      </c>
      <c r="J384" s="35">
        <f>IF(A384="","",MONTH(A384))</f>
        <v>5</v>
      </c>
      <c r="K384" s="35">
        <f>IF(A384="","",YEAR(A384))</f>
        <v>2026</v>
      </c>
    </row>
    <row r="385">
      <c r="A385" s="39" t="n">
        <v>46173</v>
      </c>
      <c r="B385" s="32" t="inlineStr">
        <is>
          <t>Entrada</t>
        </is>
      </c>
      <c r="C385" s="31" t="inlineStr">
        <is>
          <t>Particular a prazo</t>
        </is>
      </c>
      <c r="D385" s="31" t="inlineStr">
        <is>
          <t>Helena Moreira</t>
        </is>
      </c>
      <c r="E385" s="31" t="inlineStr">
        <is>
          <t>Parcela</t>
        </is>
      </c>
      <c r="F385" s="31" t="inlineStr">
        <is>
          <t>Consulta de 30/04 · parcela 1/2</t>
        </is>
      </c>
      <c r="G385" s="36" t="n">
        <v>190</v>
      </c>
      <c r="H385" s="32" t="inlineStr">
        <is>
          <t>Pix</t>
        </is>
      </c>
      <c r="I385" s="32" t="inlineStr">
        <is>
          <t>Sim</t>
        </is>
      </c>
      <c r="J385" s="35">
        <f>IF(A385="","",MONTH(A385))</f>
        <v>5</v>
      </c>
      <c r="K385" s="35">
        <f>IF(A385="","",YEAR(A385))</f>
        <v>2026</v>
      </c>
    </row>
    <row r="386">
      <c r="A386" s="39" t="n">
        <v>46173</v>
      </c>
      <c r="B386" s="32" t="inlineStr">
        <is>
          <t>Saída</t>
        </is>
      </c>
      <c r="C386" s="31" t="inlineStr">
        <is>
          <t>Taxas de cartão</t>
        </is>
      </c>
      <c r="D386" s="31" t="inlineStr"/>
      <c r="E386" s="31" t="inlineStr"/>
      <c r="F386" s="31" t="inlineStr">
        <is>
          <t>Taxas da operadora de cartão · vendas de mai</t>
        </is>
      </c>
      <c r="G386" s="36" t="n">
        <v>464.12</v>
      </c>
      <c r="H386" s="32" t="inlineStr">
        <is>
          <t>Transferência</t>
        </is>
      </c>
      <c r="I386" s="32" t="inlineStr">
        <is>
          <t>Sim</t>
        </is>
      </c>
      <c r="J386" s="35">
        <f>IF(A386="","",MONTH(A386))</f>
        <v>5</v>
      </c>
      <c r="K386" s="35">
        <f>IF(A386="","",YEAR(A386))</f>
        <v>2026</v>
      </c>
    </row>
    <row r="387">
      <c r="A387" s="39" t="n">
        <v>46174</v>
      </c>
      <c r="B387" s="32" t="inlineStr">
        <is>
          <t>Entrada</t>
        </is>
      </c>
      <c r="C387" s="31" t="inlineStr">
        <is>
          <t>Particular à vista</t>
        </is>
      </c>
      <c r="D387" s="31" t="inlineStr"/>
      <c r="E387" s="31" t="inlineStr">
        <is>
          <t>Fechamento do dia</t>
        </is>
      </c>
      <c r="F387" s="31" t="inlineStr">
        <is>
          <t>Fechamento do dia · 1 atendimento · pix</t>
        </is>
      </c>
      <c r="G387" s="36" t="n">
        <v>300</v>
      </c>
      <c r="H387" s="32" t="inlineStr">
        <is>
          <t>Pix</t>
        </is>
      </c>
      <c r="I387" s="32" t="inlineStr">
        <is>
          <t>Sim</t>
        </is>
      </c>
      <c r="J387" s="35">
        <f>IF(A387="","",MONTH(A387))</f>
        <v>6</v>
      </c>
      <c r="K387" s="35">
        <f>IF(A387="","",YEAR(A387))</f>
        <v>2026</v>
      </c>
    </row>
    <row r="388">
      <c r="A388" s="39" t="n">
        <v>46175</v>
      </c>
      <c r="B388" s="32" t="inlineStr">
        <is>
          <t>Entrada</t>
        </is>
      </c>
      <c r="C388" s="31" t="inlineStr">
        <is>
          <t>Particular à vista</t>
        </is>
      </c>
      <c r="D388" s="31" t="inlineStr"/>
      <c r="E388" s="31" t="inlineStr">
        <is>
          <t>Fechamento do dia</t>
        </is>
      </c>
      <c r="F388" s="31" t="inlineStr">
        <is>
          <t>Fechamento do dia · 2 atendimentos · cartão de crédito</t>
        </is>
      </c>
      <c r="G388" s="36" t="n">
        <v>830</v>
      </c>
      <c r="H388" s="32" t="inlineStr">
        <is>
          <t>Cartão de crédito</t>
        </is>
      </c>
      <c r="I388" s="32" t="inlineStr">
        <is>
          <t>Sim</t>
        </is>
      </c>
      <c r="J388" s="35">
        <f>IF(A388="","",MONTH(A388))</f>
        <v>6</v>
      </c>
      <c r="K388" s="35">
        <f>IF(A388="","",YEAR(A388))</f>
        <v>2026</v>
      </c>
    </row>
    <row r="389">
      <c r="A389" s="39" t="n">
        <v>46175</v>
      </c>
      <c r="B389" s="32" t="inlineStr">
        <is>
          <t>Entrada</t>
        </is>
      </c>
      <c r="C389" s="31" t="inlineStr">
        <is>
          <t>Particular à vista</t>
        </is>
      </c>
      <c r="D389" s="31" t="inlineStr"/>
      <c r="E389" s="31" t="inlineStr">
        <is>
          <t>Fechamento do dia</t>
        </is>
      </c>
      <c r="F389" s="31" t="inlineStr">
        <is>
          <t>Fechamento do dia · 4 atendimentos · pix</t>
        </is>
      </c>
      <c r="G389" s="36" t="n">
        <v>1560</v>
      </c>
      <c r="H389" s="32" t="inlineStr">
        <is>
          <t>Pix</t>
        </is>
      </c>
      <c r="I389" s="32" t="inlineStr">
        <is>
          <t>Sim</t>
        </is>
      </c>
      <c r="J389" s="35">
        <f>IF(A389="","",MONTH(A389))</f>
        <v>6</v>
      </c>
      <c r="K389" s="35">
        <f>IF(A389="","",YEAR(A389))</f>
        <v>2026</v>
      </c>
    </row>
    <row r="390">
      <c r="A390" s="39" t="n">
        <v>46176</v>
      </c>
      <c r="B390" s="32" t="inlineStr">
        <is>
          <t>Entrada</t>
        </is>
      </c>
      <c r="C390" s="31" t="inlineStr">
        <is>
          <t>Particular a prazo</t>
        </is>
      </c>
      <c r="D390" s="31" t="inlineStr">
        <is>
          <t>Mariana Nascimento</t>
        </is>
      </c>
      <c r="E390" s="31" t="inlineStr">
        <is>
          <t>Parcela</t>
        </is>
      </c>
      <c r="F390" s="31" t="inlineStr">
        <is>
          <t>Consulta de 29/04 · parcela 1/1</t>
        </is>
      </c>
      <c r="G390" s="36" t="n">
        <v>380</v>
      </c>
      <c r="H390" s="32" t="inlineStr">
        <is>
          <t>Pix</t>
        </is>
      </c>
      <c r="I390" s="32" t="inlineStr">
        <is>
          <t>Sim</t>
        </is>
      </c>
      <c r="J390" s="35">
        <f>IF(A390="","",MONTH(A390))</f>
        <v>6</v>
      </c>
      <c r="K390" s="35">
        <f>IF(A390="","",YEAR(A390))</f>
        <v>2026</v>
      </c>
    </row>
    <row r="391">
      <c r="A391" s="39" t="n">
        <v>46176</v>
      </c>
      <c r="B391" s="32" t="inlineStr">
        <is>
          <t>Entrada</t>
        </is>
      </c>
      <c r="C391" s="31" t="inlineStr">
        <is>
          <t>Particular a prazo</t>
        </is>
      </c>
      <c r="D391" s="31" t="inlineStr">
        <is>
          <t>Fábio Correia</t>
        </is>
      </c>
      <c r="E391" s="31" t="inlineStr">
        <is>
          <t>Parcela</t>
        </is>
      </c>
      <c r="F391" s="31" t="inlineStr">
        <is>
          <t>Consulta de 30/03 · parcela 2/2</t>
        </is>
      </c>
      <c r="G391" s="36" t="n">
        <v>190</v>
      </c>
      <c r="H391" s="32" t="inlineStr">
        <is>
          <t>Pix</t>
        </is>
      </c>
      <c r="I391" s="32" t="inlineStr">
        <is>
          <t>Sim</t>
        </is>
      </c>
      <c r="J391" s="35">
        <f>IF(A391="","",MONTH(A391))</f>
        <v>6</v>
      </c>
      <c r="K391" s="35">
        <f>IF(A391="","",YEAR(A391))</f>
        <v>2026</v>
      </c>
    </row>
    <row r="392">
      <c r="A392" s="39" t="n">
        <v>46176</v>
      </c>
      <c r="B392" s="32" t="inlineStr">
        <is>
          <t>Entrada</t>
        </is>
      </c>
      <c r="C392" s="31" t="inlineStr">
        <is>
          <t>Particular a prazo</t>
        </is>
      </c>
      <c r="D392" s="31" t="inlineStr">
        <is>
          <t>Fernanda Freitas</t>
        </is>
      </c>
      <c r="E392" s="31" t="inlineStr">
        <is>
          <t>Parcela</t>
        </is>
      </c>
      <c r="F392" s="31" t="inlineStr">
        <is>
          <t>MAPA de 04/05 · parcela 1/2</t>
        </is>
      </c>
      <c r="G392" s="36" t="n">
        <v>150</v>
      </c>
      <c r="H392" s="32" t="inlineStr">
        <is>
          <t>Pix</t>
        </is>
      </c>
      <c r="I392" s="32" t="inlineStr">
        <is>
          <t>Sim</t>
        </is>
      </c>
      <c r="J392" s="35">
        <f>IF(A392="","",MONTH(A392))</f>
        <v>6</v>
      </c>
      <c r="K392" s="35">
        <f>IF(A392="","",YEAR(A392))</f>
        <v>2026</v>
      </c>
    </row>
    <row r="393">
      <c r="A393" s="39" t="n">
        <v>46176</v>
      </c>
      <c r="B393" s="32" t="inlineStr">
        <is>
          <t>Entrada</t>
        </is>
      </c>
      <c r="C393" s="31" t="inlineStr">
        <is>
          <t>Particular à vista</t>
        </is>
      </c>
      <c r="D393" s="31" t="inlineStr"/>
      <c r="E393" s="31" t="inlineStr">
        <is>
          <t>Fechamento do dia</t>
        </is>
      </c>
      <c r="F393" s="31" t="inlineStr">
        <is>
          <t>Fechamento do dia · 1 atendimento · cartão de crédito</t>
        </is>
      </c>
      <c r="G393" s="36" t="n">
        <v>380</v>
      </c>
      <c r="H393" s="32" t="inlineStr">
        <is>
          <t>Cartão de crédito</t>
        </is>
      </c>
      <c r="I393" s="32" t="inlineStr">
        <is>
          <t>Sim</t>
        </is>
      </c>
      <c r="J393" s="35">
        <f>IF(A393="","",MONTH(A393))</f>
        <v>6</v>
      </c>
      <c r="K393" s="35">
        <f>IF(A393="","",YEAR(A393))</f>
        <v>2026</v>
      </c>
    </row>
    <row r="394">
      <c r="A394" s="39" t="n">
        <v>46178</v>
      </c>
      <c r="B394" s="32" t="inlineStr">
        <is>
          <t>Entrada</t>
        </is>
      </c>
      <c r="C394" s="31" t="inlineStr">
        <is>
          <t>Convênio · Vida Care</t>
        </is>
      </c>
      <c r="D394" s="31" t="inlineStr">
        <is>
          <t>Vida Care</t>
        </is>
      </c>
      <c r="E394" s="31" t="inlineStr">
        <is>
          <t>Lote mar/2026</t>
        </is>
      </c>
      <c r="F394" s="31" t="inlineStr">
        <is>
          <t>Pagamento do lote de mar/2026 (17 guias. glosa de R$ 270)</t>
        </is>
      </c>
      <c r="G394" s="36" t="n">
        <v>1285</v>
      </c>
      <c r="H394" s="32" t="inlineStr">
        <is>
          <t>Transferência</t>
        </is>
      </c>
      <c r="I394" s="32" t="inlineStr">
        <is>
          <t>Sim</t>
        </is>
      </c>
      <c r="J394" s="35">
        <f>IF(A394="","",MONTH(A394))</f>
        <v>6</v>
      </c>
      <c r="K394" s="35">
        <f>IF(A394="","",YEAR(A394))</f>
        <v>2026</v>
      </c>
    </row>
    <row r="395">
      <c r="A395" s="39" t="n">
        <v>46178</v>
      </c>
      <c r="B395" s="32" t="inlineStr">
        <is>
          <t>Entrada</t>
        </is>
      </c>
      <c r="C395" s="31" t="inlineStr">
        <is>
          <t>Particular à vista</t>
        </is>
      </c>
      <c r="D395" s="31" t="inlineStr"/>
      <c r="E395" s="31" t="inlineStr">
        <is>
          <t>Fechamento do dia</t>
        </is>
      </c>
      <c r="F395" s="31" t="inlineStr">
        <is>
          <t>Fechamento do dia · 1 atendimento · dinheiro</t>
        </is>
      </c>
      <c r="G395" s="36" t="n">
        <v>130</v>
      </c>
      <c r="H395" s="32" t="inlineStr">
        <is>
          <t>Dinheiro</t>
        </is>
      </c>
      <c r="I395" s="32" t="inlineStr">
        <is>
          <t>Sim</t>
        </is>
      </c>
      <c r="J395" s="35">
        <f>IF(A395="","",MONTH(A395))</f>
        <v>6</v>
      </c>
      <c r="K395" s="35">
        <f>IF(A395="","",YEAR(A395))</f>
        <v>2026</v>
      </c>
    </row>
    <row r="396">
      <c r="A396" s="39" t="n">
        <v>46178</v>
      </c>
      <c r="B396" s="32" t="inlineStr">
        <is>
          <t>Saída</t>
        </is>
      </c>
      <c r="C396" s="31" t="inlineStr">
        <is>
          <t>Aluguel e condomínio</t>
        </is>
      </c>
      <c r="D396" s="31" t="inlineStr"/>
      <c r="E396" s="31" t="inlineStr"/>
      <c r="F396" s="31" t="inlineStr">
        <is>
          <t>Aluguel e condomínio da clínica</t>
        </is>
      </c>
      <c r="G396" s="36" t="n">
        <v>3900</v>
      </c>
      <c r="H396" s="32" t="inlineStr">
        <is>
          <t>Boleto</t>
        </is>
      </c>
      <c r="I396" s="32" t="inlineStr">
        <is>
          <t>Sim</t>
        </is>
      </c>
      <c r="J396" s="35">
        <f>IF(A396="","",MONTH(A396))</f>
        <v>6</v>
      </c>
      <c r="K396" s="35">
        <f>IF(A396="","",YEAR(A396))</f>
        <v>2026</v>
      </c>
    </row>
    <row r="397">
      <c r="A397" s="39" t="n">
        <v>46178</v>
      </c>
      <c r="B397" s="32" t="inlineStr">
        <is>
          <t>Saída</t>
        </is>
      </c>
      <c r="C397" s="31" t="inlineStr">
        <is>
          <t>Recepção (salário e encargos)</t>
        </is>
      </c>
      <c r="D397" s="31" t="inlineStr"/>
      <c r="E397" s="31" t="inlineStr"/>
      <c r="F397" s="31" t="inlineStr">
        <is>
          <t>Salário e encargos · Bruna Carvalho</t>
        </is>
      </c>
      <c r="G397" s="36" t="n">
        <v>3100</v>
      </c>
      <c r="H397" s="32" t="inlineStr">
        <is>
          <t>Transferência</t>
        </is>
      </c>
      <c r="I397" s="32" t="inlineStr">
        <is>
          <t>Sim</t>
        </is>
      </c>
      <c r="J397" s="35">
        <f>IF(A397="","",MONTH(A397))</f>
        <v>6</v>
      </c>
      <c r="K397" s="35">
        <f>IF(A397="","",YEAR(A397))</f>
        <v>2026</v>
      </c>
    </row>
    <row r="398">
      <c r="A398" s="39" t="n">
        <v>46179</v>
      </c>
      <c r="B398" s="32" t="inlineStr">
        <is>
          <t>Entrada</t>
        </is>
      </c>
      <c r="C398" s="31" t="inlineStr">
        <is>
          <t>Particular a prazo</t>
        </is>
      </c>
      <c r="D398" s="31" t="inlineStr">
        <is>
          <t>Priscila Reis</t>
        </is>
      </c>
      <c r="E398" s="31" t="inlineStr">
        <is>
          <t>Parcela</t>
        </is>
      </c>
      <c r="F398" s="31" t="inlineStr">
        <is>
          <t>Avaliação endócrina de 07/04 · parcela 2/2</t>
        </is>
      </c>
      <c r="G398" s="36" t="n">
        <v>200</v>
      </c>
      <c r="H398" s="32" t="inlineStr">
        <is>
          <t>Pix</t>
        </is>
      </c>
      <c r="I398" s="32" t="inlineStr">
        <is>
          <t>Sim</t>
        </is>
      </c>
      <c r="J398" s="35">
        <f>IF(A398="","",MONTH(A398))</f>
        <v>6</v>
      </c>
      <c r="K398" s="35">
        <f>IF(A398="","",YEAR(A398))</f>
        <v>2026</v>
      </c>
    </row>
    <row r="399">
      <c r="A399" s="39" t="n">
        <v>46180</v>
      </c>
      <c r="B399" s="32" t="inlineStr">
        <is>
          <t>Entrada</t>
        </is>
      </c>
      <c r="C399" s="31" t="inlineStr">
        <is>
          <t>Particular a prazo</t>
        </is>
      </c>
      <c r="D399" s="31" t="inlineStr">
        <is>
          <t>Rodrigo Moreira</t>
        </is>
      </c>
      <c r="E399" s="31" t="inlineStr">
        <is>
          <t>Parcela</t>
        </is>
      </c>
      <c r="F399" s="31" t="inlineStr">
        <is>
          <t>Consulta de 07/05 · parcela 1/1</t>
        </is>
      </c>
      <c r="G399" s="36" t="n">
        <v>380</v>
      </c>
      <c r="H399" s="32" t="inlineStr">
        <is>
          <t>Pix</t>
        </is>
      </c>
      <c r="I399" s="32" t="inlineStr">
        <is>
          <t>Sim</t>
        </is>
      </c>
      <c r="J399" s="35">
        <f>IF(A399="","",MONTH(A399))</f>
        <v>6</v>
      </c>
      <c r="K399" s="35">
        <f>IF(A399="","",YEAR(A399))</f>
        <v>2026</v>
      </c>
    </row>
    <row r="400">
      <c r="A400" s="39" t="n">
        <v>46181</v>
      </c>
      <c r="B400" s="32" t="inlineStr">
        <is>
          <t>Entrada</t>
        </is>
      </c>
      <c r="C400" s="31" t="inlineStr">
        <is>
          <t>Convênio · Saúde Total</t>
        </is>
      </c>
      <c r="D400" s="31" t="inlineStr">
        <is>
          <t>Saúde Total</t>
        </is>
      </c>
      <c r="E400" s="31" t="inlineStr">
        <is>
          <t>Lote abr/2026</t>
        </is>
      </c>
      <c r="F400" s="31" t="inlineStr">
        <is>
          <t>Pagamento do lote de abr/2026 (39 guias. glosa de R$ 215)</t>
        </is>
      </c>
      <c r="G400" s="36" t="n">
        <v>4195</v>
      </c>
      <c r="H400" s="32" t="inlineStr">
        <is>
          <t>Transferência</t>
        </is>
      </c>
      <c r="I400" s="32" t="inlineStr">
        <is>
          <t>Sim</t>
        </is>
      </c>
      <c r="J400" s="35">
        <f>IF(A400="","",MONTH(A400))</f>
        <v>6</v>
      </c>
      <c r="K400" s="35">
        <f>IF(A400="","",YEAR(A400))</f>
        <v>2026</v>
      </c>
    </row>
    <row r="401">
      <c r="A401" s="39" t="n">
        <v>46181</v>
      </c>
      <c r="B401" s="32" t="inlineStr">
        <is>
          <t>Entrada</t>
        </is>
      </c>
      <c r="C401" s="31" t="inlineStr">
        <is>
          <t>Particular à vista</t>
        </is>
      </c>
      <c r="D401" s="31" t="inlineStr"/>
      <c r="E401" s="31" t="inlineStr">
        <is>
          <t>Fechamento do dia</t>
        </is>
      </c>
      <c r="F401" s="31" t="inlineStr">
        <is>
          <t>Fechamento do dia · 1 atendimento · cartão de débito</t>
        </is>
      </c>
      <c r="G401" s="36" t="n">
        <v>380</v>
      </c>
      <c r="H401" s="32" t="inlineStr">
        <is>
          <t>Cartão de débito</t>
        </is>
      </c>
      <c r="I401" s="32" t="inlineStr">
        <is>
          <t>Sim</t>
        </is>
      </c>
      <c r="J401" s="35">
        <f>IF(A401="","",MONTH(A401))</f>
        <v>6</v>
      </c>
      <c r="K401" s="35">
        <f>IF(A401="","",YEAR(A401))</f>
        <v>2026</v>
      </c>
    </row>
    <row r="402">
      <c r="A402" s="39" t="n">
        <v>46181</v>
      </c>
      <c r="B402" s="32" t="inlineStr">
        <is>
          <t>Entrada</t>
        </is>
      </c>
      <c r="C402" s="31" t="inlineStr">
        <is>
          <t>Particular à vista</t>
        </is>
      </c>
      <c r="D402" s="31" t="inlineStr"/>
      <c r="E402" s="31" t="inlineStr">
        <is>
          <t>Fechamento do dia</t>
        </is>
      </c>
      <c r="F402" s="31" t="inlineStr">
        <is>
          <t>Fechamento do dia · 1 atendimento · pix</t>
        </is>
      </c>
      <c r="G402" s="36" t="n">
        <v>380</v>
      </c>
      <c r="H402" s="32" t="inlineStr">
        <is>
          <t>Pix</t>
        </is>
      </c>
      <c r="I402" s="32" t="inlineStr">
        <is>
          <t>Sim</t>
        </is>
      </c>
      <c r="J402" s="35">
        <f>IF(A402="","",MONTH(A402))</f>
        <v>6</v>
      </c>
      <c r="K402" s="35">
        <f>IF(A402="","",YEAR(A402))</f>
        <v>2026</v>
      </c>
    </row>
    <row r="403">
      <c r="A403" s="39" t="n">
        <v>46181</v>
      </c>
      <c r="B403" s="32" t="inlineStr">
        <is>
          <t>Entrada</t>
        </is>
      </c>
      <c r="C403" s="31" t="inlineStr">
        <is>
          <t>Particular à vista</t>
        </is>
      </c>
      <c r="D403" s="31" t="inlineStr"/>
      <c r="E403" s="31" t="inlineStr">
        <is>
          <t>Fechamento do dia</t>
        </is>
      </c>
      <c r="F403" s="31" t="inlineStr">
        <is>
          <t>Fechamento do dia · 2 atendimentos · cartão de crédito</t>
        </is>
      </c>
      <c r="G403" s="36" t="n">
        <v>260</v>
      </c>
      <c r="H403" s="32" t="inlineStr">
        <is>
          <t>Cartão de crédito</t>
        </is>
      </c>
      <c r="I403" s="32" t="inlineStr">
        <is>
          <t>Sim</t>
        </is>
      </c>
      <c r="J403" s="35">
        <f>IF(A403="","",MONTH(A403))</f>
        <v>6</v>
      </c>
      <c r="K403" s="35">
        <f>IF(A403="","",YEAR(A403))</f>
        <v>2026</v>
      </c>
    </row>
    <row r="404">
      <c r="A404" s="39" t="n">
        <v>46181</v>
      </c>
      <c r="B404" s="32" t="inlineStr">
        <is>
          <t>Saída</t>
        </is>
      </c>
      <c r="C404" s="31" t="inlineStr">
        <is>
          <t>Materiais e insumos de atendimento</t>
        </is>
      </c>
      <c r="D404" s="31" t="inlineStr"/>
      <c r="E404" s="31" t="inlineStr"/>
      <c r="F404" s="31" t="inlineStr">
        <is>
          <t>Eletrodos, manguitos e descartáveis (fornecedor)</t>
        </is>
      </c>
      <c r="G404" s="36" t="n">
        <v>910</v>
      </c>
      <c r="H404" s="32" t="inlineStr">
        <is>
          <t>Boleto</t>
        </is>
      </c>
      <c r="I404" s="32" t="inlineStr">
        <is>
          <t>Sim</t>
        </is>
      </c>
      <c r="J404" s="35">
        <f>IF(A404="","",MONTH(A404))</f>
        <v>6</v>
      </c>
      <c r="K404" s="35">
        <f>IF(A404="","",YEAR(A404))</f>
        <v>2026</v>
      </c>
    </row>
    <row r="405">
      <c r="A405" s="39" t="n">
        <v>46181</v>
      </c>
      <c r="B405" s="32" t="inlineStr">
        <is>
          <t>Saída</t>
        </is>
      </c>
      <c r="C405" s="31" t="inlineStr">
        <is>
          <t>Sistema de agenda e assinaturas</t>
        </is>
      </c>
      <c r="D405" s="31" t="inlineStr"/>
      <c r="E405" s="31" t="inlineStr"/>
      <c r="F405" s="31" t="inlineStr">
        <is>
          <t>Sistema de agenda e assinaturas</t>
        </is>
      </c>
      <c r="G405" s="36" t="n">
        <v>300</v>
      </c>
      <c r="H405" s="32" t="inlineStr">
        <is>
          <t>Cartão de crédito</t>
        </is>
      </c>
      <c r="I405" s="32" t="inlineStr">
        <is>
          <t>Sim</t>
        </is>
      </c>
      <c r="J405" s="35">
        <f>IF(A405="","",MONTH(A405))</f>
        <v>6</v>
      </c>
      <c r="K405" s="35">
        <f>IF(A405="","",YEAR(A405))</f>
        <v>2026</v>
      </c>
    </row>
    <row r="406">
      <c r="A406" s="39" t="n">
        <v>46182</v>
      </c>
      <c r="B406" s="32" t="inlineStr">
        <is>
          <t>Entrada</t>
        </is>
      </c>
      <c r="C406" s="31" t="inlineStr">
        <is>
          <t>Convênio · Saúde Total</t>
        </is>
      </c>
      <c r="D406" s="31" t="inlineStr">
        <is>
          <t>Saúde Total</t>
        </is>
      </c>
      <c r="E406" s="31" t="inlineStr">
        <is>
          <t>Lote mar/2026</t>
        </is>
      </c>
      <c r="F406" s="31" t="inlineStr">
        <is>
          <t>Recurso de glosa aceito · lote de mar/2026</t>
        </is>
      </c>
      <c r="G406" s="36" t="n">
        <v>140</v>
      </c>
      <c r="H406" s="32" t="inlineStr">
        <is>
          <t>Transferência</t>
        </is>
      </c>
      <c r="I406" s="32" t="inlineStr">
        <is>
          <t>Sim</t>
        </is>
      </c>
      <c r="J406" s="35">
        <f>IF(A406="","",MONTH(A406))</f>
        <v>6</v>
      </c>
      <c r="K406" s="35">
        <f>IF(A406="","",YEAR(A406))</f>
        <v>2026</v>
      </c>
    </row>
    <row r="407">
      <c r="A407" s="39" t="n">
        <v>46182</v>
      </c>
      <c r="B407" s="32" t="inlineStr">
        <is>
          <t>Entrada</t>
        </is>
      </c>
      <c r="C407" s="31" t="inlineStr">
        <is>
          <t>Particular à vista</t>
        </is>
      </c>
      <c r="D407" s="31" t="inlineStr"/>
      <c r="E407" s="31" t="inlineStr">
        <is>
          <t>Fechamento do dia</t>
        </is>
      </c>
      <c r="F407" s="31" t="inlineStr">
        <is>
          <t>Fechamento do dia · 1 atendimento · dinheiro</t>
        </is>
      </c>
      <c r="G407" s="36" t="n">
        <v>380</v>
      </c>
      <c r="H407" s="32" t="inlineStr">
        <is>
          <t>Dinheiro</t>
        </is>
      </c>
      <c r="I407" s="32" t="inlineStr">
        <is>
          <t>Sim</t>
        </is>
      </c>
      <c r="J407" s="35">
        <f>IF(A407="","",MONTH(A407))</f>
        <v>6</v>
      </c>
      <c r="K407" s="35">
        <f>IF(A407="","",YEAR(A407))</f>
        <v>2026</v>
      </c>
    </row>
    <row r="408">
      <c r="A408" s="39" t="n">
        <v>46182</v>
      </c>
      <c r="B408" s="32" t="inlineStr">
        <is>
          <t>Entrada</t>
        </is>
      </c>
      <c r="C408" s="31" t="inlineStr">
        <is>
          <t>Particular à vista</t>
        </is>
      </c>
      <c r="D408" s="31" t="inlineStr"/>
      <c r="E408" s="31" t="inlineStr">
        <is>
          <t>Fechamento do dia</t>
        </is>
      </c>
      <c r="F408" s="31" t="inlineStr">
        <is>
          <t>Fechamento do dia · 3 atendimentos · pix</t>
        </is>
      </c>
      <c r="G408" s="36" t="n">
        <v>910</v>
      </c>
      <c r="H408" s="32" t="inlineStr">
        <is>
          <t>Pix</t>
        </is>
      </c>
      <c r="I408" s="32" t="inlineStr">
        <is>
          <t>Sim</t>
        </is>
      </c>
      <c r="J408" s="35">
        <f>IF(A408="","",MONTH(A408))</f>
        <v>6</v>
      </c>
      <c r="K408" s="35">
        <f>IF(A408="","",YEAR(A408))</f>
        <v>2026</v>
      </c>
    </row>
    <row r="409">
      <c r="A409" s="39" t="n">
        <v>46182</v>
      </c>
      <c r="B409" s="32" t="inlineStr">
        <is>
          <t>Entrada</t>
        </is>
      </c>
      <c r="C409" s="31" t="inlineStr">
        <is>
          <t>Particular à vista</t>
        </is>
      </c>
      <c r="D409" s="31" t="inlineStr"/>
      <c r="E409" s="31" t="inlineStr">
        <is>
          <t>Fechamento do dia</t>
        </is>
      </c>
      <c r="F409" s="31" t="inlineStr">
        <is>
          <t>Fechamento do dia · 4 atendimentos · cartão de crédito</t>
        </is>
      </c>
      <c r="G409" s="36" t="n">
        <v>1560</v>
      </c>
      <c r="H409" s="32" t="inlineStr">
        <is>
          <t>Cartão de crédito</t>
        </is>
      </c>
      <c r="I409" s="32" t="inlineStr">
        <is>
          <t>Sim</t>
        </is>
      </c>
      <c r="J409" s="35">
        <f>IF(A409="","",MONTH(A409))</f>
        <v>6</v>
      </c>
      <c r="K409" s="35">
        <f>IF(A409="","",YEAR(A409))</f>
        <v>2026</v>
      </c>
    </row>
    <row r="410">
      <c r="A410" s="39" t="n">
        <v>46183</v>
      </c>
      <c r="B410" s="32" t="inlineStr">
        <is>
          <t>Entrada</t>
        </is>
      </c>
      <c r="C410" s="31" t="inlineStr">
        <is>
          <t>Particular a prazo</t>
        </is>
      </c>
      <c r="D410" s="31" t="inlineStr">
        <is>
          <t>Roberta Araújo</t>
        </is>
      </c>
      <c r="E410" s="31" t="inlineStr">
        <is>
          <t>Parcela</t>
        </is>
      </c>
      <c r="F410" s="31" t="inlineStr">
        <is>
          <t>Check-up cardiológico (consulta + ECG + teste ergométrico) de 08/05 · parcela 1/1</t>
        </is>
      </c>
      <c r="G410" s="36" t="n">
        <v>960</v>
      </c>
      <c r="H410" s="32" t="inlineStr">
        <is>
          <t>Pix</t>
        </is>
      </c>
      <c r="I410" s="32" t="inlineStr">
        <is>
          <t>Sim</t>
        </is>
      </c>
      <c r="J410" s="35">
        <f>IF(A410="","",MONTH(A410))</f>
        <v>6</v>
      </c>
      <c r="K410" s="35">
        <f>IF(A410="","",YEAR(A410))</f>
        <v>2026</v>
      </c>
    </row>
    <row r="411">
      <c r="A411" s="39" t="n">
        <v>46183</v>
      </c>
      <c r="B411" s="32" t="inlineStr">
        <is>
          <t>Entrada</t>
        </is>
      </c>
      <c r="C411" s="31" t="inlineStr">
        <is>
          <t>Particular à vista</t>
        </is>
      </c>
      <c r="D411" s="31" t="inlineStr"/>
      <c r="E411" s="31" t="inlineStr">
        <is>
          <t>Fechamento do dia</t>
        </is>
      </c>
      <c r="F411" s="31" t="inlineStr">
        <is>
          <t>Fechamento do dia · 1 atendimento · pix</t>
        </is>
      </c>
      <c r="G411" s="36" t="n">
        <v>380</v>
      </c>
      <c r="H411" s="32" t="inlineStr">
        <is>
          <t>Pix</t>
        </is>
      </c>
      <c r="I411" s="32" t="inlineStr">
        <is>
          <t>Sim</t>
        </is>
      </c>
      <c r="J411" s="35">
        <f>IF(A411="","",MONTH(A411))</f>
        <v>6</v>
      </c>
      <c r="K411" s="35">
        <f>IF(A411="","",YEAR(A411))</f>
        <v>2026</v>
      </c>
    </row>
    <row r="412">
      <c r="A412" s="39" t="n">
        <v>46183</v>
      </c>
      <c r="B412" s="32" t="inlineStr">
        <is>
          <t>Saída</t>
        </is>
      </c>
      <c r="C412" s="31" t="inlineStr">
        <is>
          <t>Contador</t>
        </is>
      </c>
      <c r="D412" s="31" t="inlineStr"/>
      <c r="E412" s="31" t="inlineStr"/>
      <c r="F412" s="31" t="inlineStr">
        <is>
          <t>Honorários do contador</t>
        </is>
      </c>
      <c r="G412" s="36" t="n">
        <v>600</v>
      </c>
      <c r="H412" s="32" t="inlineStr">
        <is>
          <t>Boleto</t>
        </is>
      </c>
      <c r="I412" s="32" t="inlineStr">
        <is>
          <t>Sim</t>
        </is>
      </c>
      <c r="J412" s="35">
        <f>IF(A412="","",MONTH(A412))</f>
        <v>6</v>
      </c>
      <c r="K412" s="35">
        <f>IF(A412="","",YEAR(A412))</f>
        <v>2026</v>
      </c>
    </row>
    <row r="413">
      <c r="A413" s="39" t="n">
        <v>46183</v>
      </c>
      <c r="B413" s="32" t="inlineStr">
        <is>
          <t>Saída</t>
        </is>
      </c>
      <c r="C413" s="31" t="inlineStr">
        <is>
          <t>Repasse à médica parceira</t>
        </is>
      </c>
      <c r="D413" s="31" t="inlineStr">
        <is>
          <t>Dra. Renata Sousa</t>
        </is>
      </c>
      <c r="E413" s="31" t="inlineStr"/>
      <c r="F413" s="31" t="inlineStr">
        <is>
          <t>Repasse · Dra. Renata Sousa · 50 % da produção de mai</t>
        </is>
      </c>
      <c r="G413" s="36" t="n">
        <v>5245</v>
      </c>
      <c r="H413" s="32" t="inlineStr">
        <is>
          <t>Transferência</t>
        </is>
      </c>
      <c r="I413" s="32" t="inlineStr">
        <is>
          <t>Sim</t>
        </is>
      </c>
      <c r="J413" s="35">
        <f>IF(A413="","",MONTH(A413))</f>
        <v>6</v>
      </c>
      <c r="K413" s="35">
        <f>IF(A413="","",YEAR(A413))</f>
        <v>2026</v>
      </c>
    </row>
    <row r="414">
      <c r="A414" s="39" t="n">
        <v>46184</v>
      </c>
      <c r="B414" s="32" t="inlineStr">
        <is>
          <t>Entrada</t>
        </is>
      </c>
      <c r="C414" s="31" t="inlineStr">
        <is>
          <t>Particular a prazo</t>
        </is>
      </c>
      <c r="D414" s="31" t="inlineStr">
        <is>
          <t>Mônica Almeida</t>
        </is>
      </c>
      <c r="E414" s="31" t="inlineStr">
        <is>
          <t>Parcela</t>
        </is>
      </c>
      <c r="F414" s="31" t="inlineStr">
        <is>
          <t>Avaliação endócrina de 12/05 · parcela 1/1</t>
        </is>
      </c>
      <c r="G414" s="36" t="n">
        <v>400</v>
      </c>
      <c r="H414" s="32" t="inlineStr">
        <is>
          <t>Pix</t>
        </is>
      </c>
      <c r="I414" s="32" t="inlineStr">
        <is>
          <t>Sim</t>
        </is>
      </c>
      <c r="J414" s="35">
        <f>IF(A414="","",MONTH(A414))</f>
        <v>6</v>
      </c>
      <c r="K414" s="35">
        <f>IF(A414="","",YEAR(A414))</f>
        <v>2026</v>
      </c>
    </row>
    <row r="415">
      <c r="A415" s="39" t="n">
        <v>46184</v>
      </c>
      <c r="B415" s="32" t="inlineStr">
        <is>
          <t>Entrada</t>
        </is>
      </c>
      <c r="C415" s="31" t="inlineStr">
        <is>
          <t>Particular a prazo</t>
        </is>
      </c>
      <c r="D415" s="31" t="inlineStr">
        <is>
          <t>Camila Freitas</t>
        </is>
      </c>
      <c r="E415" s="31" t="inlineStr">
        <is>
          <t>Parcela</t>
        </is>
      </c>
      <c r="F415" s="31" t="inlineStr">
        <is>
          <t>Consulta de 12/05 · parcela 1/1</t>
        </is>
      </c>
      <c r="G415" s="36" t="n">
        <v>380</v>
      </c>
      <c r="H415" s="32" t="inlineStr">
        <is>
          <t>Pix</t>
        </is>
      </c>
      <c r="I415" s="32" t="inlineStr">
        <is>
          <t>Sim</t>
        </is>
      </c>
      <c r="J415" s="35">
        <f>IF(A415="","",MONTH(A415))</f>
        <v>6</v>
      </c>
      <c r="K415" s="35">
        <f>IF(A415="","",YEAR(A415))</f>
        <v>2026</v>
      </c>
    </row>
    <row r="416">
      <c r="A416" s="39" t="n">
        <v>46184</v>
      </c>
      <c r="B416" s="32" t="inlineStr">
        <is>
          <t>Entrada</t>
        </is>
      </c>
      <c r="C416" s="31" t="inlineStr">
        <is>
          <t>Particular a prazo</t>
        </is>
      </c>
      <c r="D416" s="31" t="inlineStr">
        <is>
          <t>Mariana Nascimento</t>
        </is>
      </c>
      <c r="E416" s="31" t="inlineStr">
        <is>
          <t>Parcela</t>
        </is>
      </c>
      <c r="F416" s="31" t="inlineStr">
        <is>
          <t>MAPA de 09/04 · parcela 2/2</t>
        </is>
      </c>
      <c r="G416" s="36" t="n">
        <v>150</v>
      </c>
      <c r="H416" s="32" t="inlineStr">
        <is>
          <t>Pix</t>
        </is>
      </c>
      <c r="I416" s="32" t="inlineStr">
        <is>
          <t>Sim</t>
        </is>
      </c>
      <c r="J416" s="35">
        <f>IF(A416="","",MONTH(A416))</f>
        <v>6</v>
      </c>
      <c r="K416" s="35">
        <f>IF(A416="","",YEAR(A416))</f>
        <v>2026</v>
      </c>
    </row>
    <row r="417">
      <c r="A417" s="39" t="n">
        <v>46184</v>
      </c>
      <c r="B417" s="32" t="inlineStr">
        <is>
          <t>Entrada</t>
        </is>
      </c>
      <c r="C417" s="31" t="inlineStr">
        <is>
          <t>Particular à vista</t>
        </is>
      </c>
      <c r="D417" s="31" t="inlineStr"/>
      <c r="E417" s="31" t="inlineStr">
        <is>
          <t>Fechamento do dia</t>
        </is>
      </c>
      <c r="F417" s="31" t="inlineStr">
        <is>
          <t>Fechamento do dia · 1 atendimento · dinheiro</t>
        </is>
      </c>
      <c r="G417" s="36" t="n">
        <v>380</v>
      </c>
      <c r="H417" s="32" t="inlineStr">
        <is>
          <t>Dinheiro</t>
        </is>
      </c>
      <c r="I417" s="32" t="inlineStr">
        <is>
          <t>Sim</t>
        </is>
      </c>
      <c r="J417" s="35">
        <f>IF(A417="","",MONTH(A417))</f>
        <v>6</v>
      </c>
      <c r="K417" s="35">
        <f>IF(A417="","",YEAR(A417))</f>
        <v>2026</v>
      </c>
    </row>
    <row r="418">
      <c r="A418" s="39" t="n">
        <v>46184</v>
      </c>
      <c r="B418" s="32" t="inlineStr">
        <is>
          <t>Entrada</t>
        </is>
      </c>
      <c r="C418" s="31" t="inlineStr">
        <is>
          <t>Particular à vista</t>
        </is>
      </c>
      <c r="D418" s="31" t="inlineStr"/>
      <c r="E418" s="31" t="inlineStr">
        <is>
          <t>Fechamento do dia</t>
        </is>
      </c>
      <c r="F418" s="31" t="inlineStr">
        <is>
          <t>Fechamento do dia · 4 atendimentos · pix</t>
        </is>
      </c>
      <c r="G418" s="36" t="n">
        <v>1560</v>
      </c>
      <c r="H418" s="32" t="inlineStr">
        <is>
          <t>Pix</t>
        </is>
      </c>
      <c r="I418" s="32" t="inlineStr">
        <is>
          <t>Sim</t>
        </is>
      </c>
      <c r="J418" s="35">
        <f>IF(A418="","",MONTH(A418))</f>
        <v>6</v>
      </c>
      <c r="K418" s="35">
        <f>IF(A418="","",YEAR(A418))</f>
        <v>2026</v>
      </c>
    </row>
    <row r="419">
      <c r="A419" s="39" t="n">
        <v>46185</v>
      </c>
      <c r="B419" s="32" t="inlineStr">
        <is>
          <t>Entrada</t>
        </is>
      </c>
      <c r="C419" s="31" t="inlineStr">
        <is>
          <t>Particular a prazo</t>
        </is>
      </c>
      <c r="D419" s="31" t="inlineStr">
        <is>
          <t>Eduardo Lima</t>
        </is>
      </c>
      <c r="E419" s="31" t="inlineStr">
        <is>
          <t>Parcela</t>
        </is>
      </c>
      <c r="F419" s="31" t="inlineStr">
        <is>
          <t>Consulta de 13/05 · parcela 1/1 (vencida)</t>
        </is>
      </c>
      <c r="G419" s="36" t="n">
        <v>380</v>
      </c>
      <c r="H419" s="32" t="inlineStr">
        <is>
          <t>Pix</t>
        </is>
      </c>
      <c r="I419" s="32" t="inlineStr">
        <is>
          <t>Não</t>
        </is>
      </c>
      <c r="J419" s="35">
        <f>IF(A419="","",MONTH(A419))</f>
        <v>6</v>
      </c>
      <c r="K419" s="35">
        <f>IF(A419="","",YEAR(A419))</f>
        <v>2026</v>
      </c>
    </row>
    <row r="420">
      <c r="A420" s="39" t="n">
        <v>46185</v>
      </c>
      <c r="B420" s="32" t="inlineStr">
        <is>
          <t>Entrada</t>
        </is>
      </c>
      <c r="C420" s="31" t="inlineStr">
        <is>
          <t>Particular à vista</t>
        </is>
      </c>
      <c r="D420" s="31" t="inlineStr"/>
      <c r="E420" s="31" t="inlineStr">
        <is>
          <t>Fechamento do dia</t>
        </is>
      </c>
      <c r="F420" s="31" t="inlineStr">
        <is>
          <t>Fechamento do dia · 2 atendimentos · cartão de crédito</t>
        </is>
      </c>
      <c r="G420" s="36" t="n">
        <v>580</v>
      </c>
      <c r="H420" s="32" t="inlineStr">
        <is>
          <t>Cartão de crédito</t>
        </is>
      </c>
      <c r="I420" s="32" t="inlineStr">
        <is>
          <t>Sim</t>
        </is>
      </c>
      <c r="J420" s="35">
        <f>IF(A420="","",MONTH(A420))</f>
        <v>6</v>
      </c>
      <c r="K420" s="35">
        <f>IF(A420="","",YEAR(A420))</f>
        <v>2026</v>
      </c>
    </row>
    <row r="421">
      <c r="A421" s="39" t="n">
        <v>46185</v>
      </c>
      <c r="B421" s="32" t="inlineStr">
        <is>
          <t>Saída</t>
        </is>
      </c>
      <c r="C421" s="31" t="inlineStr">
        <is>
          <t>Energia, água, internet e telefone</t>
        </is>
      </c>
      <c r="D421" s="31" t="inlineStr"/>
      <c r="E421" s="31" t="inlineStr"/>
      <c r="F421" s="31" t="inlineStr">
        <is>
          <t>Energia, água, internet e telefone</t>
        </is>
      </c>
      <c r="G421" s="36" t="n">
        <v>550</v>
      </c>
      <c r="H421" s="32" t="inlineStr">
        <is>
          <t>Boleto</t>
        </is>
      </c>
      <c r="I421" s="32" t="inlineStr">
        <is>
          <t>Sim</t>
        </is>
      </c>
      <c r="J421" s="35">
        <f>IF(A421="","",MONTH(A421))</f>
        <v>6</v>
      </c>
      <c r="K421" s="35">
        <f>IF(A421="","",YEAR(A421))</f>
        <v>2026</v>
      </c>
    </row>
    <row r="422">
      <c r="A422" s="39" t="n">
        <v>46186</v>
      </c>
      <c r="B422" s="32" t="inlineStr">
        <is>
          <t>Entrada</t>
        </is>
      </c>
      <c r="C422" s="31" t="inlineStr">
        <is>
          <t>Particular a prazo</t>
        </is>
      </c>
      <c r="D422" s="31" t="inlineStr">
        <is>
          <t>Mariana Reis</t>
        </is>
      </c>
      <c r="E422" s="31" t="inlineStr">
        <is>
          <t>Parcela</t>
        </is>
      </c>
      <c r="F422" s="31" t="inlineStr">
        <is>
          <t>Avaliação endócrina de 14/04 · parcela 2/2</t>
        </is>
      </c>
      <c r="G422" s="36" t="n">
        <v>200</v>
      </c>
      <c r="H422" s="32" t="inlineStr">
        <is>
          <t>Pix</t>
        </is>
      </c>
      <c r="I422" s="32" t="inlineStr">
        <is>
          <t>Sim</t>
        </is>
      </c>
      <c r="J422" s="35">
        <f>IF(A422="","",MONTH(A422))</f>
        <v>6</v>
      </c>
      <c r="K422" s="35">
        <f>IF(A422="","",YEAR(A422))</f>
        <v>2026</v>
      </c>
    </row>
    <row r="423">
      <c r="A423" s="39" t="n">
        <v>46186</v>
      </c>
      <c r="B423" s="32" t="inlineStr">
        <is>
          <t>Entrada</t>
        </is>
      </c>
      <c r="C423" s="31" t="inlineStr">
        <is>
          <t>Particular a prazo</t>
        </is>
      </c>
      <c r="D423" s="31" t="inlineStr">
        <is>
          <t>Carlos Freitas</t>
        </is>
      </c>
      <c r="E423" s="31" t="inlineStr">
        <is>
          <t>Parcela</t>
        </is>
      </c>
      <c r="F423" s="31" t="inlineStr">
        <is>
          <t>Avaliação endócrina de 14/04 · parcela 2/2</t>
        </is>
      </c>
      <c r="G423" s="36" t="n">
        <v>200</v>
      </c>
      <c r="H423" s="32" t="inlineStr">
        <is>
          <t>Pix</t>
        </is>
      </c>
      <c r="I423" s="32" t="inlineStr">
        <is>
          <t>Sim</t>
        </is>
      </c>
      <c r="J423" s="35">
        <f>IF(A423="","",MONTH(A423))</f>
        <v>6</v>
      </c>
      <c r="K423" s="35">
        <f>IF(A423="","",YEAR(A423))</f>
        <v>2026</v>
      </c>
    </row>
    <row r="424">
      <c r="A424" s="39" t="n">
        <v>46186</v>
      </c>
      <c r="B424" s="32" t="inlineStr">
        <is>
          <t>Entrada</t>
        </is>
      </c>
      <c r="C424" s="31" t="inlineStr">
        <is>
          <t>Particular a prazo</t>
        </is>
      </c>
      <c r="D424" s="31" t="inlineStr">
        <is>
          <t>Regina Macedo</t>
        </is>
      </c>
      <c r="E424" s="31" t="inlineStr">
        <is>
          <t>Parcela</t>
        </is>
      </c>
      <c r="F424" s="31" t="inlineStr">
        <is>
          <t>Consulta de 14/05 · parcela 1/2</t>
        </is>
      </c>
      <c r="G424" s="36" t="n">
        <v>190</v>
      </c>
      <c r="H424" s="32" t="inlineStr">
        <is>
          <t>Pix</t>
        </is>
      </c>
      <c r="I424" s="32" t="inlineStr">
        <is>
          <t>Sim</t>
        </is>
      </c>
      <c r="J424" s="35">
        <f>IF(A424="","",MONTH(A424))</f>
        <v>6</v>
      </c>
      <c r="K424" s="35">
        <f>IF(A424="","",YEAR(A424))</f>
        <v>2026</v>
      </c>
    </row>
    <row r="425">
      <c r="A425" s="39" t="n">
        <v>46187</v>
      </c>
      <c r="B425" s="32" t="inlineStr">
        <is>
          <t>Entrada</t>
        </is>
      </c>
      <c r="C425" s="31" t="inlineStr">
        <is>
          <t>Particular a prazo</t>
        </is>
      </c>
      <c r="D425" s="31" t="inlineStr">
        <is>
          <t>Paulo Fernandes</t>
        </is>
      </c>
      <c r="E425" s="31" t="inlineStr">
        <is>
          <t>Parcela</t>
        </is>
      </c>
      <c r="F425" s="31" t="inlineStr">
        <is>
          <t>Avaliação endócrina de 12/05 · parcela 1/2</t>
        </is>
      </c>
      <c r="G425" s="36" t="n">
        <v>200</v>
      </c>
      <c r="H425" s="32" t="inlineStr">
        <is>
          <t>Pix</t>
        </is>
      </c>
      <c r="I425" s="32" t="inlineStr">
        <is>
          <t>Sim</t>
        </is>
      </c>
      <c r="J425" s="35">
        <f>IF(A425="","",MONTH(A425))</f>
        <v>6</v>
      </c>
      <c r="K425" s="35">
        <f>IF(A425="","",YEAR(A425))</f>
        <v>2026</v>
      </c>
    </row>
    <row r="426">
      <c r="A426" s="39" t="n">
        <v>46187</v>
      </c>
      <c r="B426" s="32" t="inlineStr">
        <is>
          <t>Entrada</t>
        </is>
      </c>
      <c r="C426" s="31" t="inlineStr">
        <is>
          <t>Particular a prazo</t>
        </is>
      </c>
      <c r="D426" s="31" t="inlineStr">
        <is>
          <t>Camila Dias</t>
        </is>
      </c>
      <c r="E426" s="31" t="inlineStr">
        <is>
          <t>Parcela</t>
        </is>
      </c>
      <c r="F426" s="31" t="inlineStr">
        <is>
          <t>Avaliação endócrina de 14/04 · parcela 2/2</t>
        </is>
      </c>
      <c r="G426" s="36" t="n">
        <v>200</v>
      </c>
      <c r="H426" s="32" t="inlineStr">
        <is>
          <t>Pix</t>
        </is>
      </c>
      <c r="I426" s="32" t="inlineStr">
        <is>
          <t>Sim</t>
        </is>
      </c>
      <c r="J426" s="35">
        <f>IF(A426="","",MONTH(A426))</f>
        <v>6</v>
      </c>
      <c r="K426" s="35">
        <f>IF(A426="","",YEAR(A426))</f>
        <v>2026</v>
      </c>
    </row>
    <row r="427">
      <c r="A427" s="39" t="n">
        <v>46187</v>
      </c>
      <c r="B427" s="32" t="inlineStr">
        <is>
          <t>Entrada</t>
        </is>
      </c>
      <c r="C427" s="31" t="inlineStr">
        <is>
          <t>Particular a prazo</t>
        </is>
      </c>
      <c r="D427" s="31" t="inlineStr">
        <is>
          <t>Helena Moreira</t>
        </is>
      </c>
      <c r="E427" s="31" t="inlineStr">
        <is>
          <t>Parcela</t>
        </is>
      </c>
      <c r="F427" s="31" t="inlineStr">
        <is>
          <t>Consulta de 14/05 · parcela 1/1</t>
        </is>
      </c>
      <c r="G427" s="36" t="n">
        <v>380</v>
      </c>
      <c r="H427" s="32" t="inlineStr">
        <is>
          <t>Pix</t>
        </is>
      </c>
      <c r="I427" s="32" t="inlineStr">
        <is>
          <t>Sim</t>
        </is>
      </c>
      <c r="J427" s="35">
        <f>IF(A427="","",MONTH(A427))</f>
        <v>6</v>
      </c>
      <c r="K427" s="35">
        <f>IF(A427="","",YEAR(A427))</f>
        <v>2026</v>
      </c>
    </row>
    <row r="428">
      <c r="A428" s="39" t="n">
        <v>46188</v>
      </c>
      <c r="B428" s="32" t="inlineStr">
        <is>
          <t>Entrada</t>
        </is>
      </c>
      <c r="C428" s="31" t="inlineStr">
        <is>
          <t>Particular a prazo</t>
        </is>
      </c>
      <c r="D428" s="31" t="inlineStr">
        <is>
          <t>Leandro Oliveira</t>
        </is>
      </c>
      <c r="E428" s="31" t="inlineStr">
        <is>
          <t>Parcela</t>
        </is>
      </c>
      <c r="F428" s="31" t="inlineStr">
        <is>
          <t>Teste ergométrico de 15/05 · parcela 1/1</t>
        </is>
      </c>
      <c r="G428" s="36" t="n">
        <v>450</v>
      </c>
      <c r="H428" s="32" t="inlineStr">
        <is>
          <t>Pix</t>
        </is>
      </c>
      <c r="I428" s="32" t="inlineStr">
        <is>
          <t>Sim</t>
        </is>
      </c>
      <c r="J428" s="35">
        <f>IF(A428="","",MONTH(A428))</f>
        <v>6</v>
      </c>
      <c r="K428" s="35">
        <f>IF(A428="","",YEAR(A428))</f>
        <v>2026</v>
      </c>
    </row>
    <row r="429">
      <c r="A429" s="39" t="n">
        <v>46188</v>
      </c>
      <c r="B429" s="32" t="inlineStr">
        <is>
          <t>Entrada</t>
        </is>
      </c>
      <c r="C429" s="31" t="inlineStr">
        <is>
          <t>Particular à vista</t>
        </is>
      </c>
      <c r="D429" s="31" t="inlineStr"/>
      <c r="E429" s="31" t="inlineStr">
        <is>
          <t>Fechamento do dia</t>
        </is>
      </c>
      <c r="F429" s="31" t="inlineStr">
        <is>
          <t>Fechamento do dia · 1 atendimento · cartão de débito</t>
        </is>
      </c>
      <c r="G429" s="36" t="n">
        <v>380</v>
      </c>
      <c r="H429" s="32" t="inlineStr">
        <is>
          <t>Cartão de débito</t>
        </is>
      </c>
      <c r="I429" s="32" t="inlineStr">
        <is>
          <t>Sim</t>
        </is>
      </c>
      <c r="J429" s="35">
        <f>IF(A429="","",MONTH(A429))</f>
        <v>6</v>
      </c>
      <c r="K429" s="35">
        <f>IF(A429="","",YEAR(A429))</f>
        <v>2026</v>
      </c>
    </row>
    <row r="430">
      <c r="A430" s="39" t="n">
        <v>46188</v>
      </c>
      <c r="B430" s="32" t="inlineStr">
        <is>
          <t>Entrada</t>
        </is>
      </c>
      <c r="C430" s="31" t="inlineStr">
        <is>
          <t>Particular à vista</t>
        </is>
      </c>
      <c r="D430" s="31" t="inlineStr"/>
      <c r="E430" s="31" t="inlineStr">
        <is>
          <t>Fechamento do dia</t>
        </is>
      </c>
      <c r="F430" s="31" t="inlineStr">
        <is>
          <t>Fechamento do dia · 1 atendimento · pix</t>
        </is>
      </c>
      <c r="G430" s="36" t="n">
        <v>380</v>
      </c>
      <c r="H430" s="32" t="inlineStr">
        <is>
          <t>Pix</t>
        </is>
      </c>
      <c r="I430" s="32" t="inlineStr">
        <is>
          <t>Sim</t>
        </is>
      </c>
      <c r="J430" s="35">
        <f>IF(A430="","",MONTH(A430))</f>
        <v>6</v>
      </c>
      <c r="K430" s="35">
        <f>IF(A430="","",YEAR(A430))</f>
        <v>2026</v>
      </c>
    </row>
    <row r="431">
      <c r="A431" s="39" t="n">
        <v>46188</v>
      </c>
      <c r="B431" s="32" t="inlineStr">
        <is>
          <t>Entrada</t>
        </is>
      </c>
      <c r="C431" s="31" t="inlineStr">
        <is>
          <t>Particular à vista</t>
        </is>
      </c>
      <c r="D431" s="31" t="inlineStr"/>
      <c r="E431" s="31" t="inlineStr">
        <is>
          <t>Fechamento do dia</t>
        </is>
      </c>
      <c r="F431" s="31" t="inlineStr">
        <is>
          <t>Fechamento do dia · 2 atendimentos · cartão de crédito</t>
        </is>
      </c>
      <c r="G431" s="36" t="n">
        <v>760</v>
      </c>
      <c r="H431" s="32" t="inlineStr">
        <is>
          <t>Cartão de crédito</t>
        </is>
      </c>
      <c r="I431" s="32" t="inlineStr">
        <is>
          <t>Sim</t>
        </is>
      </c>
      <c r="J431" s="35">
        <f>IF(A431="","",MONTH(A431))</f>
        <v>6</v>
      </c>
      <c r="K431" s="35">
        <f>IF(A431="","",YEAR(A431))</f>
        <v>2026</v>
      </c>
    </row>
    <row r="432">
      <c r="A432" s="39" t="n">
        <v>46188</v>
      </c>
      <c r="B432" s="32" t="inlineStr">
        <is>
          <t>Saída</t>
        </is>
      </c>
      <c r="C432" s="31" t="inlineStr">
        <is>
          <t>Anuidade CRM, seguro e cursos</t>
        </is>
      </c>
      <c r="D432" s="31" t="inlineStr"/>
      <c r="E432" s="31" t="inlineStr"/>
      <c r="F432" s="31" t="inlineStr">
        <is>
          <t>Anuidade CRM, seguro e cursos</t>
        </is>
      </c>
      <c r="G432" s="36" t="n">
        <v>450</v>
      </c>
      <c r="H432" s="32" t="inlineStr">
        <is>
          <t>Cartão de crédito</t>
        </is>
      </c>
      <c r="I432" s="32" t="inlineStr">
        <is>
          <t>Sim</t>
        </is>
      </c>
      <c r="J432" s="35">
        <f>IF(A432="","",MONTH(A432))</f>
        <v>6</v>
      </c>
      <c r="K432" s="35">
        <f>IF(A432="","",YEAR(A432))</f>
        <v>2026</v>
      </c>
    </row>
    <row r="433">
      <c r="A433" s="39" t="n">
        <v>46188</v>
      </c>
      <c r="B433" s="32" t="inlineStr">
        <is>
          <t>Saída</t>
        </is>
      </c>
      <c r="C433" s="31" t="inlineStr">
        <is>
          <t>Limpeza e material de escritório</t>
        </is>
      </c>
      <c r="D433" s="31" t="inlineStr"/>
      <c r="E433" s="31" t="inlineStr"/>
      <c r="F433" s="31" t="inlineStr">
        <is>
          <t>Limpeza e material de escritório</t>
        </is>
      </c>
      <c r="G433" s="36" t="n">
        <v>450</v>
      </c>
      <c r="H433" s="32" t="inlineStr">
        <is>
          <t>Cartão de crédito</t>
        </is>
      </c>
      <c r="I433" s="32" t="inlineStr">
        <is>
          <t>Sim</t>
        </is>
      </c>
      <c r="J433" s="35">
        <f>IF(A433="","",MONTH(A433))</f>
        <v>6</v>
      </c>
      <c r="K433" s="35">
        <f>IF(A433="","",YEAR(A433))</f>
        <v>2026</v>
      </c>
    </row>
    <row r="434">
      <c r="A434" s="39" t="n">
        <v>46189</v>
      </c>
      <c r="B434" s="32" t="inlineStr">
        <is>
          <t>Entrada</t>
        </is>
      </c>
      <c r="C434" s="31" t="inlineStr">
        <is>
          <t>Particular à vista</t>
        </is>
      </c>
      <c r="D434" s="31" t="inlineStr"/>
      <c r="E434" s="31" t="inlineStr">
        <is>
          <t>Fechamento do dia</t>
        </is>
      </c>
      <c r="F434" s="31" t="inlineStr">
        <is>
          <t>Fechamento do dia · 1 atendimento · cartão de crédito</t>
        </is>
      </c>
      <c r="G434" s="36" t="n">
        <v>130</v>
      </c>
      <c r="H434" s="32" t="inlineStr">
        <is>
          <t>Cartão de crédito</t>
        </is>
      </c>
      <c r="I434" s="32" t="inlineStr">
        <is>
          <t>Sim</t>
        </is>
      </c>
      <c r="J434" s="35">
        <f>IF(A434="","",MONTH(A434))</f>
        <v>6</v>
      </c>
      <c r="K434" s="35">
        <f>IF(A434="","",YEAR(A434))</f>
        <v>2026</v>
      </c>
    </row>
    <row r="435">
      <c r="A435" s="39" t="n">
        <v>46189</v>
      </c>
      <c r="B435" s="32" t="inlineStr">
        <is>
          <t>Entrada</t>
        </is>
      </c>
      <c r="C435" s="31" t="inlineStr">
        <is>
          <t>Particular à vista</t>
        </is>
      </c>
      <c r="D435" s="31" t="inlineStr"/>
      <c r="E435" s="31" t="inlineStr">
        <is>
          <t>Fechamento do dia</t>
        </is>
      </c>
      <c r="F435" s="31" t="inlineStr">
        <is>
          <t>Fechamento do dia · 2 atendimentos · pix</t>
        </is>
      </c>
      <c r="G435" s="36" t="n">
        <v>780</v>
      </c>
      <c r="H435" s="32" t="inlineStr">
        <is>
          <t>Pix</t>
        </is>
      </c>
      <c r="I435" s="32" t="inlineStr">
        <is>
          <t>Sim</t>
        </is>
      </c>
      <c r="J435" s="35">
        <f>IF(A435="","",MONTH(A435))</f>
        <v>6</v>
      </c>
      <c r="K435" s="35">
        <f>IF(A435="","",YEAR(A435))</f>
        <v>2026</v>
      </c>
    </row>
    <row r="436">
      <c r="A436" s="39" t="n">
        <v>46190</v>
      </c>
      <c r="B436" s="32" t="inlineStr">
        <is>
          <t>Entrada</t>
        </is>
      </c>
      <c r="C436" s="31" t="inlineStr">
        <is>
          <t>Particular à vista</t>
        </is>
      </c>
      <c r="D436" s="31" t="inlineStr"/>
      <c r="E436" s="31" t="inlineStr">
        <is>
          <t>Fechamento do dia</t>
        </is>
      </c>
      <c r="F436" s="31" t="inlineStr">
        <is>
          <t>Fechamento do dia · 1 atendimento · cartão de débito</t>
        </is>
      </c>
      <c r="G436" s="36" t="n">
        <v>380</v>
      </c>
      <c r="H436" s="32" t="inlineStr">
        <is>
          <t>Cartão de débito</t>
        </is>
      </c>
      <c r="I436" s="32" t="inlineStr">
        <is>
          <t>Sim</t>
        </is>
      </c>
      <c r="J436" s="35">
        <f>IF(A436="","",MONTH(A436))</f>
        <v>6</v>
      </c>
      <c r="K436" s="35">
        <f>IF(A436="","",YEAR(A436))</f>
        <v>2026</v>
      </c>
    </row>
    <row r="437">
      <c r="A437" s="39" t="n">
        <v>46190</v>
      </c>
      <c r="B437" s="32" t="inlineStr">
        <is>
          <t>Entrada</t>
        </is>
      </c>
      <c r="C437" s="31" t="inlineStr">
        <is>
          <t>Particular à vista</t>
        </is>
      </c>
      <c r="D437" s="31" t="inlineStr"/>
      <c r="E437" s="31" t="inlineStr">
        <is>
          <t>Fechamento do dia</t>
        </is>
      </c>
      <c r="F437" s="31" t="inlineStr">
        <is>
          <t>Fechamento do dia · 2 atendimentos · pix</t>
        </is>
      </c>
      <c r="G437" s="36" t="n">
        <v>760</v>
      </c>
      <c r="H437" s="32" t="inlineStr">
        <is>
          <t>Pix</t>
        </is>
      </c>
      <c r="I437" s="32" t="inlineStr">
        <is>
          <t>Sim</t>
        </is>
      </c>
      <c r="J437" s="35">
        <f>IF(A437="","",MONTH(A437))</f>
        <v>6</v>
      </c>
      <c r="K437" s="35">
        <f>IF(A437="","",YEAR(A437))</f>
        <v>2026</v>
      </c>
    </row>
    <row r="438">
      <c r="A438" s="39" t="n">
        <v>46191</v>
      </c>
      <c r="B438" s="32" t="inlineStr">
        <is>
          <t>Entrada</t>
        </is>
      </c>
      <c r="C438" s="31" t="inlineStr">
        <is>
          <t>Particular a prazo</t>
        </is>
      </c>
      <c r="D438" s="31" t="inlineStr">
        <is>
          <t>Beatriz Gomes</t>
        </is>
      </c>
      <c r="E438" s="31" t="inlineStr">
        <is>
          <t>Parcela</t>
        </is>
      </c>
      <c r="F438" s="31" t="inlineStr">
        <is>
          <t>Avaliação endócrina de 14/05 · parcela 1/2</t>
        </is>
      </c>
      <c r="G438" s="36" t="n">
        <v>200</v>
      </c>
      <c r="H438" s="32" t="inlineStr">
        <is>
          <t>Pix</t>
        </is>
      </c>
      <c r="I438" s="32" t="inlineStr">
        <is>
          <t>Sim</t>
        </is>
      </c>
      <c r="J438" s="35">
        <f>IF(A438="","",MONTH(A438))</f>
        <v>6</v>
      </c>
      <c r="K438" s="35">
        <f>IF(A438="","",YEAR(A438))</f>
        <v>2026</v>
      </c>
    </row>
    <row r="439">
      <c r="A439" s="39" t="n">
        <v>46191</v>
      </c>
      <c r="B439" s="32" t="inlineStr">
        <is>
          <t>Entrada</t>
        </is>
      </c>
      <c r="C439" s="31" t="inlineStr">
        <is>
          <t>Particular a prazo</t>
        </is>
      </c>
      <c r="D439" s="31" t="inlineStr">
        <is>
          <t>Fábio Correia</t>
        </is>
      </c>
      <c r="E439" s="31" t="inlineStr">
        <is>
          <t>Parcela</t>
        </is>
      </c>
      <c r="F439" s="31" t="inlineStr">
        <is>
          <t>Consulta de 18/05 · parcela 1/2</t>
        </is>
      </c>
      <c r="G439" s="36" t="n">
        <v>190</v>
      </c>
      <c r="H439" s="32" t="inlineStr">
        <is>
          <t>Pix</t>
        </is>
      </c>
      <c r="I439" s="32" t="inlineStr">
        <is>
          <t>Sim</t>
        </is>
      </c>
      <c r="J439" s="35">
        <f>IF(A439="","",MONTH(A439))</f>
        <v>6</v>
      </c>
      <c r="K439" s="35">
        <f>IF(A439="","",YEAR(A439))</f>
        <v>2026</v>
      </c>
    </row>
    <row r="440">
      <c r="A440" s="39" t="n">
        <v>46191</v>
      </c>
      <c r="B440" s="32" t="inlineStr">
        <is>
          <t>Entrada</t>
        </is>
      </c>
      <c r="C440" s="31" t="inlineStr">
        <is>
          <t>Particular a prazo</t>
        </is>
      </c>
      <c r="D440" s="31" t="inlineStr">
        <is>
          <t>Otávio Nascimento</t>
        </is>
      </c>
      <c r="E440" s="31" t="inlineStr">
        <is>
          <t>Parcela</t>
        </is>
      </c>
      <c r="F440" s="31" t="inlineStr">
        <is>
          <t>MAPA de 19/05 · parcela 1/1 (vencida)</t>
        </is>
      </c>
      <c r="G440" s="36" t="n">
        <v>300</v>
      </c>
      <c r="H440" s="32" t="inlineStr">
        <is>
          <t>Pix</t>
        </is>
      </c>
      <c r="I440" s="32" t="inlineStr">
        <is>
          <t>Não</t>
        </is>
      </c>
      <c r="J440" s="35">
        <f>IF(A440="","",MONTH(A440))</f>
        <v>6</v>
      </c>
      <c r="K440" s="35">
        <f>IF(A440="","",YEAR(A440))</f>
        <v>2026</v>
      </c>
    </row>
    <row r="441">
      <c r="A441" s="39" t="n">
        <v>46191</v>
      </c>
      <c r="B441" s="32" t="inlineStr">
        <is>
          <t>Entrada</t>
        </is>
      </c>
      <c r="C441" s="31" t="inlineStr">
        <is>
          <t>Particular à vista</t>
        </is>
      </c>
      <c r="D441" s="31" t="inlineStr"/>
      <c r="E441" s="31" t="inlineStr">
        <is>
          <t>Fechamento do dia</t>
        </is>
      </c>
      <c r="F441" s="31" t="inlineStr">
        <is>
          <t>Fechamento do dia · 2 atendimentos · cartão de débito</t>
        </is>
      </c>
      <c r="G441" s="36" t="n">
        <v>800</v>
      </c>
      <c r="H441" s="32" t="inlineStr">
        <is>
          <t>Cartão de débito</t>
        </is>
      </c>
      <c r="I441" s="32" t="inlineStr">
        <is>
          <t>Sim</t>
        </is>
      </c>
      <c r="J441" s="35">
        <f>IF(A441="","",MONTH(A441))</f>
        <v>6</v>
      </c>
      <c r="K441" s="35">
        <f>IF(A441="","",YEAR(A441))</f>
        <v>2026</v>
      </c>
    </row>
    <row r="442">
      <c r="A442" s="39" t="n">
        <v>46191</v>
      </c>
      <c r="B442" s="32" t="inlineStr">
        <is>
          <t>Entrada</t>
        </is>
      </c>
      <c r="C442" s="31" t="inlineStr">
        <is>
          <t>Particular à vista</t>
        </is>
      </c>
      <c r="D442" s="31" t="inlineStr"/>
      <c r="E442" s="31" t="inlineStr">
        <is>
          <t>Fechamento do dia</t>
        </is>
      </c>
      <c r="F442" s="31" t="inlineStr">
        <is>
          <t>Fechamento do dia · 2 atendimentos · pix</t>
        </is>
      </c>
      <c r="G442" s="36" t="n">
        <v>800</v>
      </c>
      <c r="H442" s="32" t="inlineStr">
        <is>
          <t>Pix</t>
        </is>
      </c>
      <c r="I442" s="32" t="inlineStr">
        <is>
          <t>Sim</t>
        </is>
      </c>
      <c r="J442" s="35">
        <f>IF(A442="","",MONTH(A442))</f>
        <v>6</v>
      </c>
      <c r="K442" s="35">
        <f>IF(A442="","",YEAR(A442))</f>
        <v>2026</v>
      </c>
    </row>
    <row r="443">
      <c r="A443" s="39" t="n">
        <v>46192</v>
      </c>
      <c r="B443" s="32" t="inlineStr">
        <is>
          <t>Entrada</t>
        </is>
      </c>
      <c r="C443" s="31" t="inlineStr">
        <is>
          <t>Particular à vista</t>
        </is>
      </c>
      <c r="D443" s="31" t="inlineStr"/>
      <c r="E443" s="31" t="inlineStr">
        <is>
          <t>Fechamento do dia</t>
        </is>
      </c>
      <c r="F443" s="31" t="inlineStr">
        <is>
          <t>Fechamento do dia · 1 atendimento · cartão de crédito</t>
        </is>
      </c>
      <c r="G443" s="36" t="n">
        <v>300</v>
      </c>
      <c r="H443" s="32" t="inlineStr">
        <is>
          <t>Cartão de crédito</t>
        </is>
      </c>
      <c r="I443" s="32" t="inlineStr">
        <is>
          <t>Sim</t>
        </is>
      </c>
      <c r="J443" s="35">
        <f>IF(A443="","",MONTH(A443))</f>
        <v>6</v>
      </c>
      <c r="K443" s="35">
        <f>IF(A443="","",YEAR(A443))</f>
        <v>2026</v>
      </c>
    </row>
    <row r="444">
      <c r="A444" s="39" t="n">
        <v>46192</v>
      </c>
      <c r="B444" s="32" t="inlineStr">
        <is>
          <t>Entrada</t>
        </is>
      </c>
      <c r="C444" s="31" t="inlineStr">
        <is>
          <t>Particular à vista</t>
        </is>
      </c>
      <c r="D444" s="31" t="inlineStr"/>
      <c r="E444" s="31" t="inlineStr">
        <is>
          <t>Fechamento do dia</t>
        </is>
      </c>
      <c r="F444" s="31" t="inlineStr">
        <is>
          <t>Fechamento do dia · 1 atendimento · cartão de débito</t>
        </is>
      </c>
      <c r="G444" s="36" t="n">
        <v>380</v>
      </c>
      <c r="H444" s="32" t="inlineStr">
        <is>
          <t>Cartão de débito</t>
        </is>
      </c>
      <c r="I444" s="32" t="inlineStr">
        <is>
          <t>Sim</t>
        </is>
      </c>
      <c r="J444" s="35">
        <f>IF(A444="","",MONTH(A444))</f>
        <v>6</v>
      </c>
      <c r="K444" s="35">
        <f>IF(A444="","",YEAR(A444))</f>
        <v>2026</v>
      </c>
    </row>
    <row r="445">
      <c r="A445" s="39" t="n">
        <v>46192</v>
      </c>
      <c r="B445" s="32" t="inlineStr">
        <is>
          <t>Entrada</t>
        </is>
      </c>
      <c r="C445" s="31" t="inlineStr">
        <is>
          <t>Particular à vista</t>
        </is>
      </c>
      <c r="D445" s="31" t="inlineStr"/>
      <c r="E445" s="31" t="inlineStr">
        <is>
          <t>Fechamento do dia</t>
        </is>
      </c>
      <c r="F445" s="31" t="inlineStr">
        <is>
          <t>Fechamento do dia · 1 atendimento · dinheiro</t>
        </is>
      </c>
      <c r="G445" s="36" t="n">
        <v>130</v>
      </c>
      <c r="H445" s="32" t="inlineStr">
        <is>
          <t>Dinheiro</t>
        </is>
      </c>
      <c r="I445" s="32" t="inlineStr">
        <is>
          <t>Sim</t>
        </is>
      </c>
      <c r="J445" s="35">
        <f>IF(A445="","",MONTH(A445))</f>
        <v>6</v>
      </c>
      <c r="K445" s="35">
        <f>IF(A445="","",YEAR(A445))</f>
        <v>2026</v>
      </c>
    </row>
    <row r="446">
      <c r="A446" s="39" t="n">
        <v>46192</v>
      </c>
      <c r="B446" s="32" t="inlineStr">
        <is>
          <t>Entrada</t>
        </is>
      </c>
      <c r="C446" s="31" t="inlineStr">
        <is>
          <t>Particular à vista</t>
        </is>
      </c>
      <c r="D446" s="31" t="inlineStr"/>
      <c r="E446" s="31" t="inlineStr">
        <is>
          <t>Fechamento do dia</t>
        </is>
      </c>
      <c r="F446" s="31" t="inlineStr">
        <is>
          <t>Fechamento do dia · 1 atendimento · pix</t>
        </is>
      </c>
      <c r="G446" s="36" t="n">
        <v>450</v>
      </c>
      <c r="H446" s="32" t="inlineStr">
        <is>
          <t>Pix</t>
        </is>
      </c>
      <c r="I446" s="32" t="inlineStr">
        <is>
          <t>Sim</t>
        </is>
      </c>
      <c r="J446" s="35">
        <f>IF(A446="","",MONTH(A446))</f>
        <v>6</v>
      </c>
      <c r="K446" s="35">
        <f>IF(A446="","",YEAR(A446))</f>
        <v>2026</v>
      </c>
    </row>
    <row r="447">
      <c r="A447" s="39" t="n">
        <v>46192</v>
      </c>
      <c r="B447" s="32" t="inlineStr">
        <is>
          <t>Saída</t>
        </is>
      </c>
      <c r="C447" s="31" t="inlineStr">
        <is>
          <t>Pró-labore dos sócios</t>
        </is>
      </c>
      <c r="D447" s="31" t="inlineStr"/>
      <c r="E447" s="31" t="inlineStr"/>
      <c r="F447" s="31" t="inlineStr">
        <is>
          <t>Retirada extra · Dra. Carolina Mendes · reforma em casa</t>
        </is>
      </c>
      <c r="G447" s="36" t="n">
        <v>1500</v>
      </c>
      <c r="H447" s="32" t="inlineStr">
        <is>
          <t>Transferência</t>
        </is>
      </c>
      <c r="I447" s="32" t="inlineStr">
        <is>
          <t>Sim</t>
        </is>
      </c>
      <c r="J447" s="35">
        <f>IF(A447="","",MONTH(A447))</f>
        <v>6</v>
      </c>
      <c r="K447" s="35">
        <f>IF(A447="","",YEAR(A447))</f>
        <v>2026</v>
      </c>
    </row>
    <row r="448">
      <c r="A448" s="39" t="n">
        <v>46193</v>
      </c>
      <c r="B448" s="32" t="inlineStr">
        <is>
          <t>Entrada</t>
        </is>
      </c>
      <c r="C448" s="31" t="inlineStr">
        <is>
          <t>Particular a prazo</t>
        </is>
      </c>
      <c r="D448" s="31" t="inlineStr">
        <is>
          <t>Wagner Lima</t>
        </is>
      </c>
      <c r="E448" s="31" t="inlineStr">
        <is>
          <t>Parcela</t>
        </is>
      </c>
      <c r="F448" s="31" t="inlineStr">
        <is>
          <t>Check-up cardiológico (consulta + ECG + teste ergométrico) de 18/05 · parcela 1/1</t>
        </is>
      </c>
      <c r="G448" s="36" t="n">
        <v>960</v>
      </c>
      <c r="H448" s="32" t="inlineStr">
        <is>
          <t>Pix</t>
        </is>
      </c>
      <c r="I448" s="32" t="inlineStr">
        <is>
          <t>Sim</t>
        </is>
      </c>
      <c r="J448" s="35">
        <f>IF(A448="","",MONTH(A448))</f>
        <v>6</v>
      </c>
      <c r="K448" s="35">
        <f>IF(A448="","",YEAR(A448))</f>
        <v>2026</v>
      </c>
    </row>
    <row r="449">
      <c r="A449" s="39" t="n">
        <v>46193</v>
      </c>
      <c r="B449" s="32" t="inlineStr">
        <is>
          <t>Entrada</t>
        </is>
      </c>
      <c r="C449" s="31" t="inlineStr">
        <is>
          <t>Particular a prazo</t>
        </is>
      </c>
      <c r="D449" s="31" t="inlineStr">
        <is>
          <t>Mariana Nascimento</t>
        </is>
      </c>
      <c r="E449" s="31" t="inlineStr">
        <is>
          <t>Parcela</t>
        </is>
      </c>
      <c r="F449" s="31" t="inlineStr">
        <is>
          <t>Consulta de 20/05 · parcela 1/1</t>
        </is>
      </c>
      <c r="G449" s="36" t="n">
        <v>380</v>
      </c>
      <c r="H449" s="32" t="inlineStr">
        <is>
          <t>Pix</t>
        </is>
      </c>
      <c r="I449" s="32" t="inlineStr">
        <is>
          <t>Sim</t>
        </is>
      </c>
      <c r="J449" s="35">
        <f>IF(A449="","",MONTH(A449))</f>
        <v>6</v>
      </c>
      <c r="K449" s="35">
        <f>IF(A449="","",YEAR(A449))</f>
        <v>2026</v>
      </c>
    </row>
    <row r="450">
      <c r="A450" s="39" t="n">
        <v>46193</v>
      </c>
      <c r="B450" s="32" t="inlineStr">
        <is>
          <t>Saída</t>
        </is>
      </c>
      <c r="C450" s="31" t="inlineStr">
        <is>
          <t>Impostos e taxas</t>
        </is>
      </c>
      <c r="D450" s="31" t="inlineStr"/>
      <c r="E450" s="31" t="inlineStr"/>
      <c r="F450" s="31" t="inlineStr">
        <is>
          <t>Guia de impostos do mês anterior (alíquota efetiva combinada com o contador)</t>
        </is>
      </c>
      <c r="G450" s="36" t="n">
        <v>4924</v>
      </c>
      <c r="H450" s="32" t="inlineStr">
        <is>
          <t>Boleto</t>
        </is>
      </c>
      <c r="I450" s="32" t="inlineStr">
        <is>
          <t>Sim</t>
        </is>
      </c>
      <c r="J450" s="35">
        <f>IF(A450="","",MONTH(A450))</f>
        <v>6</v>
      </c>
      <c r="K450" s="35">
        <f>IF(A450="","",YEAR(A450))</f>
        <v>2026</v>
      </c>
    </row>
    <row r="451">
      <c r="A451" s="39" t="n">
        <v>46193</v>
      </c>
      <c r="B451" s="32" t="inlineStr">
        <is>
          <t>Saída</t>
        </is>
      </c>
      <c r="C451" s="31" t="inlineStr">
        <is>
          <t>Marketing e site</t>
        </is>
      </c>
      <c r="D451" s="31" t="inlineStr"/>
      <c r="E451" s="31" t="inlineStr"/>
      <c r="F451" s="31" t="inlineStr">
        <is>
          <t>Marketing e site</t>
        </is>
      </c>
      <c r="G451" s="36" t="n">
        <v>650</v>
      </c>
      <c r="H451" s="32" t="inlineStr">
        <is>
          <t>Cartão de crédito</t>
        </is>
      </c>
      <c r="I451" s="32" t="inlineStr">
        <is>
          <t>Sim</t>
        </is>
      </c>
      <c r="J451" s="35">
        <f>IF(A451="","",MONTH(A451))</f>
        <v>6</v>
      </c>
      <c r="K451" s="35">
        <f>IF(A451="","",YEAR(A451))</f>
        <v>2026</v>
      </c>
    </row>
    <row r="452">
      <c r="A452" s="39" t="n">
        <v>46194</v>
      </c>
      <c r="B452" s="32" t="inlineStr">
        <is>
          <t>Entrada</t>
        </is>
      </c>
      <c r="C452" s="31" t="inlineStr">
        <is>
          <t>Particular a prazo</t>
        </is>
      </c>
      <c r="D452" s="31" t="inlineStr">
        <is>
          <t>Márcia Duarte</t>
        </is>
      </c>
      <c r="E452" s="31" t="inlineStr">
        <is>
          <t>Parcela</t>
        </is>
      </c>
      <c r="F452" s="31" t="inlineStr">
        <is>
          <t>Avaliação endócrina de 21/05 · parcela 1/1</t>
        </is>
      </c>
      <c r="G452" s="36" t="n">
        <v>400</v>
      </c>
      <c r="H452" s="32" t="inlineStr">
        <is>
          <t>Pix</t>
        </is>
      </c>
      <c r="I452" s="32" t="inlineStr">
        <is>
          <t>Sim</t>
        </is>
      </c>
      <c r="J452" s="35">
        <f>IF(A452="","",MONTH(A452))</f>
        <v>6</v>
      </c>
      <c r="K452" s="35">
        <f>IF(A452="","",YEAR(A452))</f>
        <v>2026</v>
      </c>
    </row>
    <row r="453">
      <c r="A453" s="39" t="n">
        <v>46195</v>
      </c>
      <c r="B453" s="32" t="inlineStr">
        <is>
          <t>Entrada</t>
        </is>
      </c>
      <c r="C453" s="31" t="inlineStr">
        <is>
          <t>Convênio · MediPlan</t>
        </is>
      </c>
      <c r="D453" s="31" t="inlineStr">
        <is>
          <t>MediPlan</t>
        </is>
      </c>
      <c r="E453" s="31" t="inlineStr">
        <is>
          <t>Lote abr/2026</t>
        </is>
      </c>
      <c r="F453" s="31" t="inlineStr">
        <is>
          <t>Pagamento do lote de abr/2026 (26 guias. glosa de R$ 285)</t>
        </is>
      </c>
      <c r="G453" s="36" t="n">
        <v>2025</v>
      </c>
      <c r="H453" s="32" t="inlineStr">
        <is>
          <t>Transferência</t>
        </is>
      </c>
      <c r="I453" s="32" t="inlineStr">
        <is>
          <t>Sim</t>
        </is>
      </c>
      <c r="J453" s="35">
        <f>IF(A453="","",MONTH(A453))</f>
        <v>6</v>
      </c>
      <c r="K453" s="35">
        <f>IF(A453="","",YEAR(A453))</f>
        <v>2026</v>
      </c>
    </row>
    <row r="454">
      <c r="A454" s="39" t="n">
        <v>46195</v>
      </c>
      <c r="B454" s="32" t="inlineStr">
        <is>
          <t>Entrada</t>
        </is>
      </c>
      <c r="C454" s="31" t="inlineStr">
        <is>
          <t>Particular à vista</t>
        </is>
      </c>
      <c r="D454" s="31" t="inlineStr"/>
      <c r="E454" s="31" t="inlineStr">
        <is>
          <t>Fechamento do dia</t>
        </is>
      </c>
      <c r="F454" s="31" t="inlineStr">
        <is>
          <t>Fechamento do dia · 1 atendimento · cartão de débito</t>
        </is>
      </c>
      <c r="G454" s="36" t="n">
        <v>380</v>
      </c>
      <c r="H454" s="32" t="inlineStr">
        <is>
          <t>Cartão de débito</t>
        </is>
      </c>
      <c r="I454" s="32" t="inlineStr">
        <is>
          <t>Sim</t>
        </is>
      </c>
      <c r="J454" s="35">
        <f>IF(A454="","",MONTH(A454))</f>
        <v>6</v>
      </c>
      <c r="K454" s="35">
        <f>IF(A454="","",YEAR(A454))</f>
        <v>2026</v>
      </c>
    </row>
    <row r="455">
      <c r="A455" s="39" t="n">
        <v>46195</v>
      </c>
      <c r="B455" s="32" t="inlineStr">
        <is>
          <t>Entrada</t>
        </is>
      </c>
      <c r="C455" s="31" t="inlineStr">
        <is>
          <t>Particular à vista</t>
        </is>
      </c>
      <c r="D455" s="31" t="inlineStr"/>
      <c r="E455" s="31" t="inlineStr">
        <is>
          <t>Fechamento do dia</t>
        </is>
      </c>
      <c r="F455" s="31" t="inlineStr">
        <is>
          <t>Fechamento do dia · 1 atendimento · dinheiro</t>
        </is>
      </c>
      <c r="G455" s="36" t="n">
        <v>130</v>
      </c>
      <c r="H455" s="32" t="inlineStr">
        <is>
          <t>Dinheiro</t>
        </is>
      </c>
      <c r="I455" s="32" t="inlineStr">
        <is>
          <t>Sim</t>
        </is>
      </c>
      <c r="J455" s="35">
        <f>IF(A455="","",MONTH(A455))</f>
        <v>6</v>
      </c>
      <c r="K455" s="35">
        <f>IF(A455="","",YEAR(A455))</f>
        <v>2026</v>
      </c>
    </row>
    <row r="456">
      <c r="A456" s="39" t="n">
        <v>46195</v>
      </c>
      <c r="B456" s="32" t="inlineStr">
        <is>
          <t>Entrada</t>
        </is>
      </c>
      <c r="C456" s="31" t="inlineStr">
        <is>
          <t>Particular à vista</t>
        </is>
      </c>
      <c r="D456" s="31" t="inlineStr"/>
      <c r="E456" s="31" t="inlineStr">
        <is>
          <t>Fechamento do dia</t>
        </is>
      </c>
      <c r="F456" s="31" t="inlineStr">
        <is>
          <t>Fechamento do dia · 2 atendimentos · pix</t>
        </is>
      </c>
      <c r="G456" s="36" t="n">
        <v>900</v>
      </c>
      <c r="H456" s="32" t="inlineStr">
        <is>
          <t>Pix</t>
        </is>
      </c>
      <c r="I456" s="32" t="inlineStr">
        <is>
          <t>Sim</t>
        </is>
      </c>
      <c r="J456" s="35">
        <f>IF(A456="","",MONTH(A456))</f>
        <v>6</v>
      </c>
      <c r="K456" s="35">
        <f>IF(A456="","",YEAR(A456))</f>
        <v>2026</v>
      </c>
    </row>
    <row r="457">
      <c r="A457" s="39" t="n">
        <v>46195</v>
      </c>
      <c r="B457" s="32" t="inlineStr">
        <is>
          <t>Saída</t>
        </is>
      </c>
      <c r="C457" s="31" t="inlineStr">
        <is>
          <t>Materiais e insumos de atendimento</t>
        </is>
      </c>
      <c r="D457" s="31" t="inlineStr"/>
      <c r="E457" s="31" t="inlineStr"/>
      <c r="F457" s="31" t="inlineStr">
        <is>
          <t>Reposição de descartáveis e papel para ECG</t>
        </is>
      </c>
      <c r="G457" s="36" t="n">
        <v>600</v>
      </c>
      <c r="H457" s="32" t="inlineStr">
        <is>
          <t>Cartão de crédito</t>
        </is>
      </c>
      <c r="I457" s="32" t="inlineStr">
        <is>
          <t>Sim</t>
        </is>
      </c>
      <c r="J457" s="35">
        <f>IF(A457="","",MONTH(A457))</f>
        <v>6</v>
      </c>
      <c r="K457" s="35">
        <f>IF(A457="","",YEAR(A457))</f>
        <v>2026</v>
      </c>
    </row>
    <row r="458">
      <c r="A458" s="39" t="n">
        <v>46196</v>
      </c>
      <c r="B458" s="32" t="inlineStr">
        <is>
          <t>Entrada</t>
        </is>
      </c>
      <c r="C458" s="31" t="inlineStr">
        <is>
          <t>Particular à vista</t>
        </is>
      </c>
      <c r="D458" s="31" t="inlineStr"/>
      <c r="E458" s="31" t="inlineStr">
        <is>
          <t>Fechamento do dia</t>
        </is>
      </c>
      <c r="F458" s="31" t="inlineStr">
        <is>
          <t>Fechamento do dia · 1 atendimento · cartão de débito</t>
        </is>
      </c>
      <c r="G458" s="36" t="n">
        <v>380</v>
      </c>
      <c r="H458" s="32" t="inlineStr">
        <is>
          <t>Cartão de débito</t>
        </is>
      </c>
      <c r="I458" s="32" t="inlineStr">
        <is>
          <t>Sim</t>
        </is>
      </c>
      <c r="J458" s="35">
        <f>IF(A458="","",MONTH(A458))</f>
        <v>6</v>
      </c>
      <c r="K458" s="35">
        <f>IF(A458="","",YEAR(A458))</f>
        <v>2026</v>
      </c>
    </row>
    <row r="459">
      <c r="A459" s="39" t="n">
        <v>46196</v>
      </c>
      <c r="B459" s="32" t="inlineStr">
        <is>
          <t>Entrada</t>
        </is>
      </c>
      <c r="C459" s="31" t="inlineStr">
        <is>
          <t>Particular à vista</t>
        </is>
      </c>
      <c r="D459" s="31" t="inlineStr"/>
      <c r="E459" s="31" t="inlineStr">
        <is>
          <t>Fechamento do dia</t>
        </is>
      </c>
      <c r="F459" s="31" t="inlineStr">
        <is>
          <t>Fechamento do dia · 2 atendimentos · cartão de crédito</t>
        </is>
      </c>
      <c r="G459" s="36" t="n">
        <v>780</v>
      </c>
      <c r="H459" s="32" t="inlineStr">
        <is>
          <t>Cartão de crédito</t>
        </is>
      </c>
      <c r="I459" s="32" t="inlineStr">
        <is>
          <t>Sim</t>
        </is>
      </c>
      <c r="J459" s="35">
        <f>IF(A459="","",MONTH(A459))</f>
        <v>6</v>
      </c>
      <c r="K459" s="35">
        <f>IF(A459="","",YEAR(A459))</f>
        <v>2026</v>
      </c>
    </row>
    <row r="460">
      <c r="A460" s="39" t="n">
        <v>46196</v>
      </c>
      <c r="B460" s="32" t="inlineStr">
        <is>
          <t>Entrada</t>
        </is>
      </c>
      <c r="C460" s="31" t="inlineStr">
        <is>
          <t>Particular à vista</t>
        </is>
      </c>
      <c r="D460" s="31" t="inlineStr"/>
      <c r="E460" s="31" t="inlineStr">
        <is>
          <t>Fechamento do dia</t>
        </is>
      </c>
      <c r="F460" s="31" t="inlineStr">
        <is>
          <t>Fechamento do dia · 3 atendimentos · pix</t>
        </is>
      </c>
      <c r="G460" s="36" t="n">
        <v>1200</v>
      </c>
      <c r="H460" s="32" t="inlineStr">
        <is>
          <t>Pix</t>
        </is>
      </c>
      <c r="I460" s="32" t="inlineStr">
        <is>
          <t>Sim</t>
        </is>
      </c>
      <c r="J460" s="35">
        <f>IF(A460="","",MONTH(A460))</f>
        <v>6</v>
      </c>
      <c r="K460" s="35">
        <f>IF(A460="","",YEAR(A460))</f>
        <v>2026</v>
      </c>
    </row>
    <row r="461">
      <c r="A461" s="39" t="n">
        <v>46197</v>
      </c>
      <c r="B461" s="32" t="inlineStr">
        <is>
          <t>Entrada</t>
        </is>
      </c>
      <c r="C461" s="31" t="inlineStr">
        <is>
          <t>Convênio · MediPlan</t>
        </is>
      </c>
      <c r="D461" s="31" t="inlineStr">
        <is>
          <t>MediPlan</t>
        </is>
      </c>
      <c r="E461" s="31" t="inlineStr">
        <is>
          <t>Lote mar/2026</t>
        </is>
      </c>
      <c r="F461" s="31" t="inlineStr">
        <is>
          <t>Recurso de glosa aceito · lote de mar/2026</t>
        </is>
      </c>
      <c r="G461" s="36" t="n">
        <v>130</v>
      </c>
      <c r="H461" s="32" t="inlineStr">
        <is>
          <t>Transferência</t>
        </is>
      </c>
      <c r="I461" s="32" t="inlineStr">
        <is>
          <t>Sim</t>
        </is>
      </c>
      <c r="J461" s="35">
        <f>IF(A461="","",MONTH(A461))</f>
        <v>6</v>
      </c>
      <c r="K461" s="35">
        <f>IF(A461="","",YEAR(A461))</f>
        <v>2026</v>
      </c>
    </row>
    <row r="462">
      <c r="A462" s="39" t="n">
        <v>46197</v>
      </c>
      <c r="B462" s="32" t="inlineStr">
        <is>
          <t>Entrada</t>
        </is>
      </c>
      <c r="C462" s="31" t="inlineStr">
        <is>
          <t>Particular a prazo</t>
        </is>
      </c>
      <c r="D462" s="31" t="inlineStr">
        <is>
          <t>Paulo Reis</t>
        </is>
      </c>
      <c r="E462" s="31" t="inlineStr">
        <is>
          <t>Parcela</t>
        </is>
      </c>
      <c r="F462" s="31" t="inlineStr">
        <is>
          <t>Consulta de 25/05 · parcela 1/1 (vencida)</t>
        </is>
      </c>
      <c r="G462" s="36" t="n">
        <v>380</v>
      </c>
      <c r="H462" s="32" t="inlineStr">
        <is>
          <t>Pix</t>
        </is>
      </c>
      <c r="I462" s="32" t="inlineStr">
        <is>
          <t>Não</t>
        </is>
      </c>
      <c r="J462" s="35">
        <f>IF(A462="","",MONTH(A462))</f>
        <v>6</v>
      </c>
      <c r="K462" s="35">
        <f>IF(A462="","",YEAR(A462))</f>
        <v>2026</v>
      </c>
    </row>
    <row r="463">
      <c r="A463" s="39" t="n">
        <v>46197</v>
      </c>
      <c r="B463" s="32" t="inlineStr">
        <is>
          <t>Entrada</t>
        </is>
      </c>
      <c r="C463" s="31" t="inlineStr">
        <is>
          <t>Particular à vista</t>
        </is>
      </c>
      <c r="D463" s="31" t="inlineStr"/>
      <c r="E463" s="31" t="inlineStr">
        <is>
          <t>Fechamento do dia</t>
        </is>
      </c>
      <c r="F463" s="31" t="inlineStr">
        <is>
          <t>Fechamento do dia · 2 atendimentos · cartão de crédito</t>
        </is>
      </c>
      <c r="G463" s="36" t="n">
        <v>760</v>
      </c>
      <c r="H463" s="32" t="inlineStr">
        <is>
          <t>Cartão de crédito</t>
        </is>
      </c>
      <c r="I463" s="32" t="inlineStr">
        <is>
          <t>Sim</t>
        </is>
      </c>
      <c r="J463" s="35">
        <f>IF(A463="","",MONTH(A463))</f>
        <v>6</v>
      </c>
      <c r="K463" s="35">
        <f>IF(A463="","",YEAR(A463))</f>
        <v>2026</v>
      </c>
    </row>
    <row r="464">
      <c r="A464" s="39" t="n">
        <v>46198</v>
      </c>
      <c r="B464" s="32" t="inlineStr">
        <is>
          <t>Entrada</t>
        </is>
      </c>
      <c r="C464" s="31" t="inlineStr">
        <is>
          <t>Particular à vista</t>
        </is>
      </c>
      <c r="D464" s="31" t="inlineStr"/>
      <c r="E464" s="31" t="inlineStr">
        <is>
          <t>Fechamento do dia</t>
        </is>
      </c>
      <c r="F464" s="31" t="inlineStr">
        <is>
          <t>Fechamento do dia · 6 atendimentos · pix</t>
        </is>
      </c>
      <c r="G464" s="36" t="n">
        <v>2300</v>
      </c>
      <c r="H464" s="32" t="inlineStr">
        <is>
          <t>Pix</t>
        </is>
      </c>
      <c r="I464" s="32" t="inlineStr">
        <is>
          <t>Sim</t>
        </is>
      </c>
      <c r="J464" s="35">
        <f>IF(A464="","",MONTH(A464))</f>
        <v>6</v>
      </c>
      <c r="K464" s="35">
        <f>IF(A464="","",YEAR(A464))</f>
        <v>2026</v>
      </c>
    </row>
    <row r="465">
      <c r="A465" s="39" t="n">
        <v>46199</v>
      </c>
      <c r="B465" s="32" t="inlineStr">
        <is>
          <t>Entrada</t>
        </is>
      </c>
      <c r="C465" s="31" t="inlineStr">
        <is>
          <t>Particular à vista</t>
        </is>
      </c>
      <c r="D465" s="31" t="inlineStr"/>
      <c r="E465" s="31" t="inlineStr">
        <is>
          <t>Fechamento do dia</t>
        </is>
      </c>
      <c r="F465" s="31" t="inlineStr">
        <is>
          <t>Fechamento do dia · 1 atendimento · cartão de débito</t>
        </is>
      </c>
      <c r="G465" s="36" t="n">
        <v>380</v>
      </c>
      <c r="H465" s="32" t="inlineStr">
        <is>
          <t>Cartão de débito</t>
        </is>
      </c>
      <c r="I465" s="32" t="inlineStr">
        <is>
          <t>Sim</t>
        </is>
      </c>
      <c r="J465" s="35">
        <f>IF(A465="","",MONTH(A465))</f>
        <v>6</v>
      </c>
      <c r="K465" s="35">
        <f>IF(A465="","",YEAR(A465))</f>
        <v>2026</v>
      </c>
    </row>
    <row r="466">
      <c r="A466" s="39" t="n">
        <v>46199</v>
      </c>
      <c r="B466" s="32" t="inlineStr">
        <is>
          <t>Entrada</t>
        </is>
      </c>
      <c r="C466" s="31" t="inlineStr">
        <is>
          <t>Particular à vista</t>
        </is>
      </c>
      <c r="D466" s="31" t="inlineStr"/>
      <c r="E466" s="31" t="inlineStr">
        <is>
          <t>Fechamento do dia</t>
        </is>
      </c>
      <c r="F466" s="31" t="inlineStr">
        <is>
          <t>Fechamento do dia · 1 atendimento · pix</t>
        </is>
      </c>
      <c r="G466" s="36" t="n">
        <v>300</v>
      </c>
      <c r="H466" s="32" t="inlineStr">
        <is>
          <t>Pix</t>
        </is>
      </c>
      <c r="I466" s="32" t="inlineStr">
        <is>
          <t>Sim</t>
        </is>
      </c>
      <c r="J466" s="35">
        <f>IF(A466="","",MONTH(A466))</f>
        <v>6</v>
      </c>
      <c r="K466" s="35">
        <f>IF(A466="","",YEAR(A466))</f>
        <v>2026</v>
      </c>
    </row>
    <row r="467">
      <c r="A467" s="39" t="n">
        <v>46200</v>
      </c>
      <c r="B467" s="32" t="inlineStr">
        <is>
          <t>Entrada</t>
        </is>
      </c>
      <c r="C467" s="31" t="inlineStr">
        <is>
          <t>Particular a prazo</t>
        </is>
      </c>
      <c r="D467" s="31" t="inlineStr">
        <is>
          <t>Camila Dias</t>
        </is>
      </c>
      <c r="E467" s="31" t="inlineStr">
        <is>
          <t>Parcela</t>
        </is>
      </c>
      <c r="F467" s="31" t="inlineStr">
        <is>
          <t>Avaliação endócrina de 28/05 · parcela 1/1</t>
        </is>
      </c>
      <c r="G467" s="36" t="n">
        <v>400</v>
      </c>
      <c r="H467" s="32" t="inlineStr">
        <is>
          <t>Pix</t>
        </is>
      </c>
      <c r="I467" s="32" t="inlineStr">
        <is>
          <t>Sim</t>
        </is>
      </c>
      <c r="J467" s="35">
        <f>IF(A467="","",MONTH(A467))</f>
        <v>6</v>
      </c>
      <c r="K467" s="35">
        <f>IF(A467="","",YEAR(A467))</f>
        <v>2026</v>
      </c>
    </row>
    <row r="468">
      <c r="A468" s="39" t="n">
        <v>46200</v>
      </c>
      <c r="B468" s="32" t="inlineStr">
        <is>
          <t>Entrada</t>
        </is>
      </c>
      <c r="C468" s="31" t="inlineStr">
        <is>
          <t>Particular a prazo</t>
        </is>
      </c>
      <c r="D468" s="31" t="inlineStr">
        <is>
          <t>Elaine Cardoso</t>
        </is>
      </c>
      <c r="E468" s="31" t="inlineStr">
        <is>
          <t>Parcela</t>
        </is>
      </c>
      <c r="F468" s="31" t="inlineStr">
        <is>
          <t>Consulta de 28/05 · parcela 1/1</t>
        </is>
      </c>
      <c r="G468" s="36" t="n">
        <v>380</v>
      </c>
      <c r="H468" s="32" t="inlineStr">
        <is>
          <t>Pix</t>
        </is>
      </c>
      <c r="I468" s="32" t="inlineStr">
        <is>
          <t>Sim</t>
        </is>
      </c>
      <c r="J468" s="35">
        <f>IF(A468="","",MONTH(A468))</f>
        <v>6</v>
      </c>
      <c r="K468" s="35">
        <f>IF(A468="","",YEAR(A468))</f>
        <v>2026</v>
      </c>
    </row>
    <row r="469">
      <c r="A469" s="39" t="n">
        <v>46200</v>
      </c>
      <c r="B469" s="32" t="inlineStr">
        <is>
          <t>Entrada</t>
        </is>
      </c>
      <c r="C469" s="31" t="inlineStr">
        <is>
          <t>Particular a prazo</t>
        </is>
      </c>
      <c r="D469" s="31" t="inlineStr">
        <is>
          <t>Mariana Nascimento</t>
        </is>
      </c>
      <c r="E469" s="31" t="inlineStr">
        <is>
          <t>Parcela</t>
        </is>
      </c>
      <c r="F469" s="31" t="inlineStr">
        <is>
          <t>Consulta de 28/05 · parcela 1/2</t>
        </is>
      </c>
      <c r="G469" s="36" t="n">
        <v>190</v>
      </c>
      <c r="H469" s="32" t="inlineStr">
        <is>
          <t>Pix</t>
        </is>
      </c>
      <c r="I469" s="32" t="inlineStr">
        <is>
          <t>Sim</t>
        </is>
      </c>
      <c r="J469" s="35">
        <f>IF(A469="","",MONTH(A469))</f>
        <v>6</v>
      </c>
      <c r="K469" s="35">
        <f>IF(A469="","",YEAR(A469))</f>
        <v>2026</v>
      </c>
    </row>
    <row r="470">
      <c r="A470" s="39" t="n">
        <v>46201</v>
      </c>
      <c r="B470" s="32" t="inlineStr">
        <is>
          <t>Saída</t>
        </is>
      </c>
      <c r="C470" s="31" t="inlineStr">
        <is>
          <t>Pró-labore dos sócios</t>
        </is>
      </c>
      <c r="D470" s="31" t="inlineStr"/>
      <c r="E470" s="31" t="inlineStr"/>
      <c r="F470" s="31" t="inlineStr">
        <is>
          <t>Pró-labore · Dr. Paulo Andrade</t>
        </is>
      </c>
      <c r="G470" s="36" t="n">
        <v>9000</v>
      </c>
      <c r="H470" s="32" t="inlineStr">
        <is>
          <t>Transferência</t>
        </is>
      </c>
      <c r="I470" s="32" t="inlineStr">
        <is>
          <t>Sim</t>
        </is>
      </c>
      <c r="J470" s="35">
        <f>IF(A470="","",MONTH(A470))</f>
        <v>6</v>
      </c>
      <c r="K470" s="35">
        <f>IF(A470="","",YEAR(A470))</f>
        <v>2026</v>
      </c>
    </row>
    <row r="471">
      <c r="A471" s="39" t="n">
        <v>46201</v>
      </c>
      <c r="B471" s="32" t="inlineStr">
        <is>
          <t>Saída</t>
        </is>
      </c>
      <c r="C471" s="31" t="inlineStr">
        <is>
          <t>Pró-labore dos sócios</t>
        </is>
      </c>
      <c r="D471" s="31" t="inlineStr"/>
      <c r="E471" s="31" t="inlineStr"/>
      <c r="F471" s="31" t="inlineStr">
        <is>
          <t>Pró-labore · Dra. Carolina Mendes</t>
        </is>
      </c>
      <c r="G471" s="36" t="n">
        <v>9000</v>
      </c>
      <c r="H471" s="32" t="inlineStr">
        <is>
          <t>Transferência</t>
        </is>
      </c>
      <c r="I471" s="32" t="inlineStr">
        <is>
          <t>Sim</t>
        </is>
      </c>
      <c r="J471" s="35">
        <f>IF(A471="","",MONTH(A471))</f>
        <v>6</v>
      </c>
      <c r="K471" s="35">
        <f>IF(A471="","",YEAR(A471))</f>
        <v>2026</v>
      </c>
    </row>
    <row r="472">
      <c r="A472" s="39" t="n">
        <v>46202</v>
      </c>
      <c r="B472" s="32" t="inlineStr">
        <is>
          <t>Entrada</t>
        </is>
      </c>
      <c r="C472" s="31" t="inlineStr">
        <is>
          <t>Particular a prazo</t>
        </is>
      </c>
      <c r="D472" s="31" t="inlineStr">
        <is>
          <t>Helena Moreira</t>
        </is>
      </c>
      <c r="E472" s="31" t="inlineStr">
        <is>
          <t>Parcela</t>
        </is>
      </c>
      <c r="F472" s="31" t="inlineStr">
        <is>
          <t>Consulta de 30/04 · parcela 2/2</t>
        </is>
      </c>
      <c r="G472" s="36" t="n">
        <v>190</v>
      </c>
      <c r="H472" s="32" t="inlineStr">
        <is>
          <t>Pix</t>
        </is>
      </c>
      <c r="I472" s="32" t="inlineStr">
        <is>
          <t>Sim</t>
        </is>
      </c>
      <c r="J472" s="35">
        <f>IF(A472="","",MONTH(A472))</f>
        <v>6</v>
      </c>
      <c r="K472" s="35">
        <f>IF(A472="","",YEAR(A472))</f>
        <v>2026</v>
      </c>
    </row>
    <row r="473">
      <c r="A473" s="39" t="n">
        <v>46202</v>
      </c>
      <c r="B473" s="32" t="inlineStr">
        <is>
          <t>Entrada</t>
        </is>
      </c>
      <c r="C473" s="31" t="inlineStr">
        <is>
          <t>Particular à vista</t>
        </is>
      </c>
      <c r="D473" s="31" t="inlineStr"/>
      <c r="E473" s="31" t="inlineStr">
        <is>
          <t>Fechamento do dia</t>
        </is>
      </c>
      <c r="F473" s="31" t="inlineStr">
        <is>
          <t>Fechamento do dia · 1 atendimento · cartão de crédito</t>
        </is>
      </c>
      <c r="G473" s="36" t="n">
        <v>380</v>
      </c>
      <c r="H473" s="32" t="inlineStr">
        <is>
          <t>Cartão de crédito</t>
        </is>
      </c>
      <c r="I473" s="32" t="inlineStr">
        <is>
          <t>Sim</t>
        </is>
      </c>
      <c r="J473" s="35">
        <f>IF(A473="","",MONTH(A473))</f>
        <v>6</v>
      </c>
      <c r="K473" s="35">
        <f>IF(A473="","",YEAR(A473))</f>
        <v>2026</v>
      </c>
    </row>
    <row r="474">
      <c r="A474" s="39" t="n">
        <v>46202</v>
      </c>
      <c r="B474" s="32" t="inlineStr">
        <is>
          <t>Entrada</t>
        </is>
      </c>
      <c r="C474" s="31" t="inlineStr">
        <is>
          <t>Particular à vista</t>
        </is>
      </c>
      <c r="D474" s="31" t="inlineStr"/>
      <c r="E474" s="31" t="inlineStr">
        <is>
          <t>Fechamento do dia</t>
        </is>
      </c>
      <c r="F474" s="31" t="inlineStr">
        <is>
          <t>Fechamento do dia · 1 atendimento · pix</t>
        </is>
      </c>
      <c r="G474" s="36" t="n">
        <v>300</v>
      </c>
      <c r="H474" s="32" t="inlineStr">
        <is>
          <t>Pix</t>
        </is>
      </c>
      <c r="I474" s="32" t="inlineStr">
        <is>
          <t>Sim</t>
        </is>
      </c>
      <c r="J474" s="35">
        <f>IF(A474="","",MONTH(A474))</f>
        <v>6</v>
      </c>
      <c r="K474" s="35">
        <f>IF(A474="","",YEAR(A474))</f>
        <v>2026</v>
      </c>
    </row>
    <row r="475">
      <c r="A475" s="39" t="n">
        <v>46202</v>
      </c>
      <c r="B475" s="32" t="inlineStr">
        <is>
          <t>Entrada</t>
        </is>
      </c>
      <c r="C475" s="31" t="inlineStr">
        <is>
          <t>Particular à vista</t>
        </is>
      </c>
      <c r="D475" s="31" t="inlineStr"/>
      <c r="E475" s="31" t="inlineStr">
        <is>
          <t>Fechamento do dia</t>
        </is>
      </c>
      <c r="F475" s="31" t="inlineStr">
        <is>
          <t>Fechamento do dia · 2 atendimentos · cartão de débito</t>
        </is>
      </c>
      <c r="G475" s="36" t="n">
        <v>510</v>
      </c>
      <c r="H475" s="32" t="inlineStr">
        <is>
          <t>Cartão de débito</t>
        </is>
      </c>
      <c r="I475" s="32" t="inlineStr">
        <is>
          <t>Sim</t>
        </is>
      </c>
      <c r="J475" s="35">
        <f>IF(A475="","",MONTH(A475))</f>
        <v>6</v>
      </c>
      <c r="K475" s="35">
        <f>IF(A475="","",YEAR(A475))</f>
        <v>2026</v>
      </c>
    </row>
    <row r="476">
      <c r="A476" s="39" t="n">
        <v>46203</v>
      </c>
      <c r="B476" s="32" t="inlineStr">
        <is>
          <t>Entrada</t>
        </is>
      </c>
      <c r="C476" s="31" t="inlineStr">
        <is>
          <t>Particular a prazo</t>
        </is>
      </c>
      <c r="D476" s="31" t="inlineStr">
        <is>
          <t>Rafael Barros</t>
        </is>
      </c>
      <c r="E476" s="31" t="inlineStr">
        <is>
          <t>Parcela</t>
        </is>
      </c>
      <c r="F476" s="31" t="inlineStr">
        <is>
          <t>Consulta de 28/04 · parcela 2/2</t>
        </is>
      </c>
      <c r="G476" s="36" t="n">
        <v>190</v>
      </c>
      <c r="H476" s="32" t="inlineStr">
        <is>
          <t>Pix</t>
        </is>
      </c>
      <c r="I476" s="32" t="inlineStr">
        <is>
          <t>Sim</t>
        </is>
      </c>
      <c r="J476" s="35">
        <f>IF(A476="","",MONTH(A476))</f>
        <v>6</v>
      </c>
      <c r="K476" s="35">
        <f>IF(A476="","",YEAR(A476))</f>
        <v>2026</v>
      </c>
    </row>
    <row r="477">
      <c r="A477" s="39" t="n">
        <v>46203</v>
      </c>
      <c r="B477" s="32" t="inlineStr">
        <is>
          <t>Entrada</t>
        </is>
      </c>
      <c r="C477" s="31" t="inlineStr">
        <is>
          <t>Particular a prazo</t>
        </is>
      </c>
      <c r="D477" s="31" t="inlineStr">
        <is>
          <t>Gustavo Pinto</t>
        </is>
      </c>
      <c r="E477" s="31" t="inlineStr">
        <is>
          <t>Parcela</t>
        </is>
      </c>
      <c r="F477" s="31" t="inlineStr">
        <is>
          <t>Consulta de 29/05 · parcela 1/2</t>
        </is>
      </c>
      <c r="G477" s="36" t="n">
        <v>190</v>
      </c>
      <c r="H477" s="32" t="inlineStr">
        <is>
          <t>Pix</t>
        </is>
      </c>
      <c r="I477" s="32" t="inlineStr">
        <is>
          <t>Sim</t>
        </is>
      </c>
      <c r="J477" s="35">
        <f>IF(A477="","",MONTH(A477))</f>
        <v>6</v>
      </c>
      <c r="K477" s="35">
        <f>IF(A477="","",YEAR(A477))</f>
        <v>2026</v>
      </c>
    </row>
    <row r="478">
      <c r="A478" s="39" t="n">
        <v>46203</v>
      </c>
      <c r="B478" s="32" t="inlineStr">
        <is>
          <t>Entrada</t>
        </is>
      </c>
      <c r="C478" s="31" t="inlineStr">
        <is>
          <t>Particular à vista</t>
        </is>
      </c>
      <c r="D478" s="31" t="inlineStr"/>
      <c r="E478" s="31" t="inlineStr">
        <is>
          <t>Fechamento do dia</t>
        </is>
      </c>
      <c r="F478" s="31" t="inlineStr">
        <is>
          <t>Fechamento do dia · 1 atendimento · cartão de débito</t>
        </is>
      </c>
      <c r="G478" s="36" t="n">
        <v>380</v>
      </c>
      <c r="H478" s="32" t="inlineStr">
        <is>
          <t>Cartão de débito</t>
        </is>
      </c>
      <c r="I478" s="32" t="inlineStr">
        <is>
          <t>Sim</t>
        </is>
      </c>
      <c r="J478" s="35">
        <f>IF(A478="","",MONTH(A478))</f>
        <v>6</v>
      </c>
      <c r="K478" s="35">
        <f>IF(A478="","",YEAR(A478))</f>
        <v>2026</v>
      </c>
    </row>
    <row r="479">
      <c r="A479" s="39" t="n">
        <v>46203</v>
      </c>
      <c r="B479" s="32" t="inlineStr">
        <is>
          <t>Entrada</t>
        </is>
      </c>
      <c r="C479" s="31" t="inlineStr">
        <is>
          <t>Particular à vista</t>
        </is>
      </c>
      <c r="D479" s="31" t="inlineStr"/>
      <c r="E479" s="31" t="inlineStr">
        <is>
          <t>Fechamento do dia</t>
        </is>
      </c>
      <c r="F479" s="31" t="inlineStr">
        <is>
          <t>Fechamento do dia · 1 atendimento · pix</t>
        </is>
      </c>
      <c r="G479" s="36" t="n">
        <v>380</v>
      </c>
      <c r="H479" s="32" t="inlineStr">
        <is>
          <t>Pix</t>
        </is>
      </c>
      <c r="I479" s="32" t="inlineStr">
        <is>
          <t>Sim</t>
        </is>
      </c>
      <c r="J479" s="35">
        <f>IF(A479="","",MONTH(A479))</f>
        <v>6</v>
      </c>
      <c r="K479" s="35">
        <f>IF(A479="","",YEAR(A479))</f>
        <v>2026</v>
      </c>
    </row>
    <row r="480">
      <c r="A480" s="39" t="n">
        <v>46203</v>
      </c>
      <c r="B480" s="32" t="inlineStr">
        <is>
          <t>Entrada</t>
        </is>
      </c>
      <c r="C480" s="31" t="inlineStr">
        <is>
          <t>Particular à vista</t>
        </is>
      </c>
      <c r="D480" s="31" t="inlineStr"/>
      <c r="E480" s="31" t="inlineStr">
        <is>
          <t>Fechamento do dia</t>
        </is>
      </c>
      <c r="F480" s="31" t="inlineStr">
        <is>
          <t>Fechamento do dia · 4 atendimentos · cartão de crédito</t>
        </is>
      </c>
      <c r="G480" s="36" t="n">
        <v>1540</v>
      </c>
      <c r="H480" s="32" t="inlineStr">
        <is>
          <t>Cartão de crédito</t>
        </is>
      </c>
      <c r="I480" s="32" t="inlineStr">
        <is>
          <t>Sim</t>
        </is>
      </c>
      <c r="J480" s="35">
        <f>IF(A480="","",MONTH(A480))</f>
        <v>6</v>
      </c>
      <c r="K480" s="35">
        <f>IF(A480="","",YEAR(A480))</f>
        <v>2026</v>
      </c>
    </row>
    <row r="481">
      <c r="A481" s="39" t="n">
        <v>46203</v>
      </c>
      <c r="B481" s="32" t="inlineStr">
        <is>
          <t>Saída</t>
        </is>
      </c>
      <c r="C481" s="31" t="inlineStr">
        <is>
          <t>Taxas de cartão</t>
        </is>
      </c>
      <c r="D481" s="31" t="inlineStr"/>
      <c r="E481" s="31" t="inlineStr"/>
      <c r="F481" s="31" t="inlineStr">
        <is>
          <t>Taxas da operadora de cartão · vendas de jun</t>
        </is>
      </c>
      <c r="G481" s="36" t="n">
        <v>354.91</v>
      </c>
      <c r="H481" s="32" t="inlineStr">
        <is>
          <t>Transferência</t>
        </is>
      </c>
      <c r="I481" s="32" t="inlineStr">
        <is>
          <t>Sim</t>
        </is>
      </c>
      <c r="J481" s="35">
        <f>IF(A481="","",MONTH(A481))</f>
        <v>6</v>
      </c>
      <c r="K481" s="35">
        <f>IF(A481="","",YEAR(A481))</f>
        <v>2026</v>
      </c>
    </row>
    <row r="482">
      <c r="A482" s="39" t="n">
        <v>46204</v>
      </c>
      <c r="B482" s="32" t="inlineStr">
        <is>
          <t>Entrada</t>
        </is>
      </c>
      <c r="C482" s="31" t="inlineStr">
        <is>
          <t>Particular à vista</t>
        </is>
      </c>
      <c r="D482" s="31" t="inlineStr"/>
      <c r="E482" s="31" t="inlineStr">
        <is>
          <t>Fechamento do dia</t>
        </is>
      </c>
      <c r="F482" s="31" t="inlineStr">
        <is>
          <t>Fechamento do dia · 1 atendimento · cartão de débito</t>
        </is>
      </c>
      <c r="G482" s="36" t="n">
        <v>380</v>
      </c>
      <c r="H482" s="32" t="inlineStr">
        <is>
          <t>Cartão de débito</t>
        </is>
      </c>
      <c r="I482" s="32" t="inlineStr">
        <is>
          <t>Sim</t>
        </is>
      </c>
      <c r="J482" s="35">
        <f>IF(A482="","",MONTH(A482))</f>
        <v>7</v>
      </c>
      <c r="K482" s="35">
        <f>IF(A482="","",YEAR(A482))</f>
        <v>2026</v>
      </c>
    </row>
    <row r="483">
      <c r="A483" s="39" t="n">
        <v>46204</v>
      </c>
      <c r="B483" s="32" t="inlineStr">
        <is>
          <t>Entrada</t>
        </is>
      </c>
      <c r="C483" s="31" t="inlineStr">
        <is>
          <t>Particular à vista</t>
        </is>
      </c>
      <c r="D483" s="31" t="inlineStr"/>
      <c r="E483" s="31" t="inlineStr">
        <is>
          <t>Fechamento do dia</t>
        </is>
      </c>
      <c r="F483" s="31" t="inlineStr">
        <is>
          <t>Fechamento do dia · 2 atendimentos · pix</t>
        </is>
      </c>
      <c r="G483" s="36" t="n">
        <v>760</v>
      </c>
      <c r="H483" s="32" t="inlineStr">
        <is>
          <t>Pix</t>
        </is>
      </c>
      <c r="I483" s="32" t="inlineStr">
        <is>
          <t>Sim</t>
        </is>
      </c>
      <c r="J483" s="35">
        <f>IF(A483="","",MONTH(A483))</f>
        <v>7</v>
      </c>
      <c r="K483" s="35">
        <f>IF(A483="","",YEAR(A483))</f>
        <v>2026</v>
      </c>
    </row>
    <row r="484">
      <c r="A484" s="39" t="n">
        <v>46205</v>
      </c>
      <c r="B484" s="32" t="inlineStr">
        <is>
          <t>Entrada</t>
        </is>
      </c>
      <c r="C484" s="31" t="inlineStr">
        <is>
          <t>Particular à vista</t>
        </is>
      </c>
      <c r="D484" s="31" t="inlineStr"/>
      <c r="E484" s="31" t="inlineStr">
        <is>
          <t>Fechamento do dia</t>
        </is>
      </c>
      <c r="F484" s="31" t="inlineStr">
        <is>
          <t>Fechamento do dia · 1 atendimento · pix</t>
        </is>
      </c>
      <c r="G484" s="36" t="n">
        <v>130</v>
      </c>
      <c r="H484" s="32" t="inlineStr">
        <is>
          <t>Pix</t>
        </is>
      </c>
      <c r="I484" s="32" t="inlineStr">
        <is>
          <t>Sim</t>
        </is>
      </c>
      <c r="J484" s="35">
        <f>IF(A484="","",MONTH(A484))</f>
        <v>7</v>
      </c>
      <c r="K484" s="35">
        <f>IF(A484="","",YEAR(A484))</f>
        <v>2026</v>
      </c>
    </row>
    <row r="485">
      <c r="A485" s="39" t="n">
        <v>46205</v>
      </c>
      <c r="B485" s="32" t="inlineStr">
        <is>
          <t>Entrada</t>
        </is>
      </c>
      <c r="C485" s="31" t="inlineStr">
        <is>
          <t>Particular à vista</t>
        </is>
      </c>
      <c r="D485" s="31" t="inlineStr"/>
      <c r="E485" s="31" t="inlineStr">
        <is>
          <t>Fechamento do dia</t>
        </is>
      </c>
      <c r="F485" s="31" t="inlineStr">
        <is>
          <t>Fechamento do dia · 4 atendimentos · cartão de crédito</t>
        </is>
      </c>
      <c r="G485" s="36" t="n">
        <v>1540</v>
      </c>
      <c r="H485" s="32" t="inlineStr">
        <is>
          <t>Cartão de crédito</t>
        </is>
      </c>
      <c r="I485" s="32" t="inlineStr">
        <is>
          <t>Sim</t>
        </is>
      </c>
      <c r="J485" s="35">
        <f>IF(A485="","",MONTH(A485))</f>
        <v>7</v>
      </c>
      <c r="K485" s="35">
        <f>IF(A485="","",YEAR(A485))</f>
        <v>2026</v>
      </c>
    </row>
    <row r="486">
      <c r="A486" s="39" t="n">
        <v>46206</v>
      </c>
      <c r="B486" s="32" t="inlineStr">
        <is>
          <t>Entrada</t>
        </is>
      </c>
      <c r="C486" s="31" t="inlineStr">
        <is>
          <t>Particular a prazo</t>
        </is>
      </c>
      <c r="D486" s="31" t="inlineStr">
        <is>
          <t>Ana Costa</t>
        </is>
      </c>
      <c r="E486" s="31" t="inlineStr">
        <is>
          <t>Parcela</t>
        </is>
      </c>
      <c r="F486" s="31" t="inlineStr">
        <is>
          <t>Consulta de 03/06 · parcela 1/1</t>
        </is>
      </c>
      <c r="G486" s="36" t="n">
        <v>380</v>
      </c>
      <c r="H486" s="32" t="inlineStr">
        <is>
          <t>Pix</t>
        </is>
      </c>
      <c r="I486" s="32" t="inlineStr">
        <is>
          <t>Sim</t>
        </is>
      </c>
      <c r="J486" s="35">
        <f>IF(A486="","",MONTH(A486))</f>
        <v>7</v>
      </c>
      <c r="K486" s="35">
        <f>IF(A486="","",YEAR(A486))</f>
        <v>2026</v>
      </c>
    </row>
    <row r="487">
      <c r="A487" s="39" t="n">
        <v>46206</v>
      </c>
      <c r="B487" s="32" t="inlineStr">
        <is>
          <t>Entrada</t>
        </is>
      </c>
      <c r="C487" s="31" t="inlineStr">
        <is>
          <t>Particular à vista</t>
        </is>
      </c>
      <c r="D487" s="31" t="inlineStr"/>
      <c r="E487" s="31" t="inlineStr">
        <is>
          <t>Fechamento do dia</t>
        </is>
      </c>
      <c r="F487" s="31" t="inlineStr">
        <is>
          <t>Fechamento do dia · 2 atendimentos · pix</t>
        </is>
      </c>
      <c r="G487" s="36" t="n">
        <v>510</v>
      </c>
      <c r="H487" s="32" t="inlineStr">
        <is>
          <t>Pix</t>
        </is>
      </c>
      <c r="I487" s="32" t="inlineStr">
        <is>
          <t>Sim</t>
        </is>
      </c>
      <c r="J487" s="35">
        <f>IF(A487="","",MONTH(A487))</f>
        <v>7</v>
      </c>
      <c r="K487" s="35">
        <f>IF(A487="","",YEAR(A487))</f>
        <v>2026</v>
      </c>
    </row>
    <row r="488">
      <c r="A488" s="39" t="n">
        <v>46207</v>
      </c>
      <c r="B488" s="32" t="inlineStr">
        <is>
          <t>Entrada</t>
        </is>
      </c>
      <c r="C488" s="31" t="inlineStr">
        <is>
          <t>Particular a prazo</t>
        </is>
      </c>
      <c r="D488" s="31" t="inlineStr">
        <is>
          <t>Fernanda Freitas</t>
        </is>
      </c>
      <c r="E488" s="31" t="inlineStr">
        <is>
          <t>Parcela</t>
        </is>
      </c>
      <c r="F488" s="31" t="inlineStr">
        <is>
          <t>MAPA de 04/05 · parcela 2/2</t>
        </is>
      </c>
      <c r="G488" s="36" t="n">
        <v>150</v>
      </c>
      <c r="H488" s="32" t="inlineStr">
        <is>
          <t>Pix</t>
        </is>
      </c>
      <c r="I488" s="32" t="inlineStr">
        <is>
          <t>Sim</t>
        </is>
      </c>
      <c r="J488" s="35">
        <f>IF(A488="","",MONTH(A488))</f>
        <v>7</v>
      </c>
      <c r="K488" s="35">
        <f>IF(A488="","",YEAR(A488))</f>
        <v>2026</v>
      </c>
    </row>
    <row r="489">
      <c r="A489" s="39" t="n">
        <v>46208</v>
      </c>
      <c r="B489" s="32" t="inlineStr">
        <is>
          <t>Entrada</t>
        </is>
      </c>
      <c r="C489" s="31" t="inlineStr">
        <is>
          <t>Particular a prazo</t>
        </is>
      </c>
      <c r="D489" s="31" t="inlineStr">
        <is>
          <t>Wagner Costa</t>
        </is>
      </c>
      <c r="E489" s="31" t="inlineStr">
        <is>
          <t>Parcela</t>
        </is>
      </c>
      <c r="F489" s="31" t="inlineStr">
        <is>
          <t>Consulta de 02/06 · parcela 1/1</t>
        </is>
      </c>
      <c r="G489" s="36" t="n">
        <v>380</v>
      </c>
      <c r="H489" s="32" t="inlineStr">
        <is>
          <t>Pix</t>
        </is>
      </c>
      <c r="I489" s="32" t="inlineStr">
        <is>
          <t>Sim</t>
        </is>
      </c>
      <c r="J489" s="35">
        <f>IF(A489="","",MONTH(A489))</f>
        <v>7</v>
      </c>
      <c r="K489" s="35">
        <f>IF(A489="","",YEAR(A489))</f>
        <v>2026</v>
      </c>
    </row>
    <row r="490">
      <c r="A490" s="39" t="n">
        <v>46208</v>
      </c>
      <c r="B490" s="32" t="inlineStr">
        <is>
          <t>Entrada</t>
        </is>
      </c>
      <c r="C490" s="31" t="inlineStr">
        <is>
          <t>Particular a prazo</t>
        </is>
      </c>
      <c r="D490" s="31" t="inlineStr">
        <is>
          <t>Marcelo Moreira</t>
        </is>
      </c>
      <c r="E490" s="31" t="inlineStr">
        <is>
          <t>Parcela</t>
        </is>
      </c>
      <c r="F490" s="31" t="inlineStr">
        <is>
          <t>MAPA de 02/06 · parcela 1/2</t>
        </is>
      </c>
      <c r="G490" s="36" t="n">
        <v>150</v>
      </c>
      <c r="H490" s="32" t="inlineStr">
        <is>
          <t>Pix</t>
        </is>
      </c>
      <c r="I490" s="32" t="inlineStr">
        <is>
          <t>Sim</t>
        </is>
      </c>
      <c r="J490" s="35">
        <f>IF(A490="","",MONTH(A490))</f>
        <v>7</v>
      </c>
      <c r="K490" s="35">
        <f>IF(A490="","",YEAR(A490))</f>
        <v>2026</v>
      </c>
    </row>
    <row r="491">
      <c r="A491" s="39" t="n">
        <v>46208</v>
      </c>
      <c r="B491" s="32" t="inlineStr">
        <is>
          <t>Saída</t>
        </is>
      </c>
      <c r="C491" s="31" t="inlineStr">
        <is>
          <t>Aluguel e condomínio</t>
        </is>
      </c>
      <c r="D491" s="31" t="inlineStr"/>
      <c r="E491" s="31" t="inlineStr"/>
      <c r="F491" s="31" t="inlineStr">
        <is>
          <t>Aluguel e condomínio da clínica</t>
        </is>
      </c>
      <c r="G491" s="36" t="n">
        <v>3900</v>
      </c>
      <c r="H491" s="32" t="inlineStr">
        <is>
          <t>Boleto</t>
        </is>
      </c>
      <c r="I491" s="32" t="inlineStr">
        <is>
          <t>Sim</t>
        </is>
      </c>
      <c r="J491" s="35">
        <f>IF(A491="","",MONTH(A491))</f>
        <v>7</v>
      </c>
      <c r="K491" s="35">
        <f>IF(A491="","",YEAR(A491))</f>
        <v>2026</v>
      </c>
    </row>
    <row r="492">
      <c r="A492" s="39" t="n">
        <v>46208</v>
      </c>
      <c r="B492" s="32" t="inlineStr">
        <is>
          <t>Saída</t>
        </is>
      </c>
      <c r="C492" s="31" t="inlineStr">
        <is>
          <t>Recepção (salário e encargos)</t>
        </is>
      </c>
      <c r="D492" s="31" t="inlineStr"/>
      <c r="E492" s="31" t="inlineStr"/>
      <c r="F492" s="31" t="inlineStr">
        <is>
          <t>Salário e encargos · Bruna Carvalho</t>
        </is>
      </c>
      <c r="G492" s="36" t="n">
        <v>3100</v>
      </c>
      <c r="H492" s="32" t="inlineStr">
        <is>
          <t>Transferência</t>
        </is>
      </c>
      <c r="I492" s="32" t="inlineStr">
        <is>
          <t>Sim</t>
        </is>
      </c>
      <c r="J492" s="35">
        <f>IF(A492="","",MONTH(A492))</f>
        <v>7</v>
      </c>
      <c r="K492" s="35">
        <f>IF(A492="","",YEAR(A492))</f>
        <v>2026</v>
      </c>
    </row>
    <row r="493">
      <c r="A493" s="39" t="n">
        <v>46209</v>
      </c>
      <c r="B493" s="32" t="inlineStr">
        <is>
          <t>Entrada</t>
        </is>
      </c>
      <c r="C493" s="31" t="inlineStr">
        <is>
          <t>Convênio · Saúde Total</t>
        </is>
      </c>
      <c r="D493" s="31" t="inlineStr">
        <is>
          <t>Saúde Total</t>
        </is>
      </c>
      <c r="E493" s="31" t="inlineStr">
        <is>
          <t>Lote mai/2026</t>
        </is>
      </c>
      <c r="F493" s="31" t="inlineStr">
        <is>
          <t>Pagamento do lote de mai/2026 (57 guias. glosa de R$ 130)</t>
        </is>
      </c>
      <c r="G493" s="36" t="n">
        <v>6655</v>
      </c>
      <c r="H493" s="32" t="inlineStr">
        <is>
          <t>Transferência</t>
        </is>
      </c>
      <c r="I493" s="32" t="inlineStr">
        <is>
          <t>Sim</t>
        </is>
      </c>
      <c r="J493" s="35">
        <f>IF(A493="","",MONTH(A493))</f>
        <v>7</v>
      </c>
      <c r="K493" s="35">
        <f>IF(A493="","",YEAR(A493))</f>
        <v>2026</v>
      </c>
    </row>
    <row r="494">
      <c r="A494" s="39" t="n">
        <v>46209</v>
      </c>
      <c r="B494" s="32" t="inlineStr">
        <is>
          <t>Entrada</t>
        </is>
      </c>
      <c r="C494" s="31" t="inlineStr">
        <is>
          <t>Convênio · Vida Care</t>
        </is>
      </c>
      <c r="D494" s="31" t="inlineStr">
        <is>
          <t>Vida Care</t>
        </is>
      </c>
      <c r="E494" s="31" t="inlineStr">
        <is>
          <t>Lote abr/2026</t>
        </is>
      </c>
      <c r="F494" s="31" t="inlineStr">
        <is>
          <t>Pagamento do lote de abr/2026 (21 guias. glosa de R$ 122)</t>
        </is>
      </c>
      <c r="G494" s="36" t="n">
        <v>1576</v>
      </c>
      <c r="H494" s="32" t="inlineStr">
        <is>
          <t>Transferência</t>
        </is>
      </c>
      <c r="I494" s="32" t="inlineStr">
        <is>
          <t>Sim</t>
        </is>
      </c>
      <c r="J494" s="35">
        <f>IF(A494="","",MONTH(A494))</f>
        <v>7</v>
      </c>
      <c r="K494" s="35">
        <f>IF(A494="","",YEAR(A494))</f>
        <v>2026</v>
      </c>
    </row>
    <row r="495">
      <c r="A495" s="39" t="n">
        <v>46209</v>
      </c>
      <c r="B495" s="32" t="inlineStr">
        <is>
          <t>Entrada</t>
        </is>
      </c>
      <c r="C495" s="31" t="inlineStr">
        <is>
          <t>Particular à vista</t>
        </is>
      </c>
      <c r="D495" s="31" t="inlineStr"/>
      <c r="E495" s="31" t="inlineStr">
        <is>
          <t>Fechamento do dia</t>
        </is>
      </c>
      <c r="F495" s="31" t="inlineStr">
        <is>
          <t>Fechamento do dia · 2 atendimentos · cartão de crédito</t>
        </is>
      </c>
      <c r="G495" s="36" t="n">
        <v>760</v>
      </c>
      <c r="H495" s="32" t="inlineStr">
        <is>
          <t>Cartão de crédito</t>
        </is>
      </c>
      <c r="I495" s="32" t="inlineStr">
        <is>
          <t>Sim</t>
        </is>
      </c>
      <c r="J495" s="35">
        <f>IF(A495="","",MONTH(A495))</f>
        <v>7</v>
      </c>
      <c r="K495" s="35">
        <f>IF(A495="","",YEAR(A495))</f>
        <v>2026</v>
      </c>
    </row>
    <row r="496">
      <c r="A496" s="39" t="n">
        <v>46210</v>
      </c>
      <c r="B496" s="32" t="inlineStr">
        <is>
          <t>Entrada</t>
        </is>
      </c>
      <c r="C496" s="31" t="inlineStr">
        <is>
          <t>Particular à vista</t>
        </is>
      </c>
      <c r="D496" s="31" t="inlineStr"/>
      <c r="E496" s="31" t="inlineStr">
        <is>
          <t>Fechamento do dia</t>
        </is>
      </c>
      <c r="F496" s="31" t="inlineStr">
        <is>
          <t>Fechamento do dia · 1 atendimento · dinheiro</t>
        </is>
      </c>
      <c r="G496" s="36" t="n">
        <v>400</v>
      </c>
      <c r="H496" s="32" t="inlineStr">
        <is>
          <t>Dinheiro</t>
        </is>
      </c>
      <c r="I496" s="32" t="inlineStr">
        <is>
          <t>Sim</t>
        </is>
      </c>
      <c r="J496" s="35">
        <f>IF(A496="","",MONTH(A496))</f>
        <v>7</v>
      </c>
      <c r="K496" s="35">
        <f>IF(A496="","",YEAR(A496))</f>
        <v>2026</v>
      </c>
    </row>
    <row r="497">
      <c r="A497" s="39" t="n">
        <v>46210</v>
      </c>
      <c r="B497" s="32" t="inlineStr">
        <is>
          <t>Entrada</t>
        </is>
      </c>
      <c r="C497" s="31" t="inlineStr">
        <is>
          <t>Particular à vista</t>
        </is>
      </c>
      <c r="D497" s="31" t="inlineStr"/>
      <c r="E497" s="31" t="inlineStr">
        <is>
          <t>Fechamento do dia</t>
        </is>
      </c>
      <c r="F497" s="31" t="inlineStr">
        <is>
          <t>Fechamento do dia · 2 atendimentos · cartão de crédito</t>
        </is>
      </c>
      <c r="G497" s="36" t="n">
        <v>760</v>
      </c>
      <c r="H497" s="32" t="inlineStr">
        <is>
          <t>Cartão de crédito</t>
        </is>
      </c>
      <c r="I497" s="32" t="inlineStr">
        <is>
          <t>Sim</t>
        </is>
      </c>
      <c r="J497" s="35">
        <f>IF(A497="","",MONTH(A497))</f>
        <v>7</v>
      </c>
      <c r="K497" s="35">
        <f>IF(A497="","",YEAR(A497))</f>
        <v>2026</v>
      </c>
    </row>
    <row r="498">
      <c r="A498" s="39" t="n">
        <v>46210</v>
      </c>
      <c r="B498" s="32" t="inlineStr">
        <is>
          <t>Entrada</t>
        </is>
      </c>
      <c r="C498" s="31" t="inlineStr">
        <is>
          <t>Particular à vista</t>
        </is>
      </c>
      <c r="D498" s="31" t="inlineStr"/>
      <c r="E498" s="31" t="inlineStr">
        <is>
          <t>Fechamento do dia</t>
        </is>
      </c>
      <c r="F498" s="31" t="inlineStr">
        <is>
          <t>Fechamento do dia · 4 atendimentos · pix</t>
        </is>
      </c>
      <c r="G498" s="36" t="n">
        <v>1540</v>
      </c>
      <c r="H498" s="32" t="inlineStr">
        <is>
          <t>Pix</t>
        </is>
      </c>
      <c r="I498" s="32" t="inlineStr">
        <is>
          <t>Sim</t>
        </is>
      </c>
      <c r="J498" s="35">
        <f>IF(A498="","",MONTH(A498))</f>
        <v>7</v>
      </c>
      <c r="K498" s="35">
        <f>IF(A498="","",YEAR(A498))</f>
        <v>2026</v>
      </c>
    </row>
    <row r="499">
      <c r="A499" s="39" t="n">
        <v>46211</v>
      </c>
      <c r="B499" s="32" t="inlineStr">
        <is>
          <t>Entrada</t>
        </is>
      </c>
      <c r="C499" s="31" t="inlineStr">
        <is>
          <t>Particular a prazo</t>
        </is>
      </c>
      <c r="D499" s="31" t="inlineStr">
        <is>
          <t>Helena Moreira</t>
        </is>
      </c>
      <c r="E499" s="31" t="inlineStr">
        <is>
          <t>Parcela</t>
        </is>
      </c>
      <c r="F499" s="31" t="inlineStr">
        <is>
          <t>Consulta de 03/06 · parcela 1/1</t>
        </is>
      </c>
      <c r="G499" s="36" t="n">
        <v>380</v>
      </c>
      <c r="H499" s="32" t="inlineStr">
        <is>
          <t>Pix</t>
        </is>
      </c>
      <c r="I499" s="32" t="inlineStr">
        <is>
          <t>Sim</t>
        </is>
      </c>
      <c r="J499" s="35">
        <f>IF(A499="","",MONTH(A499))</f>
        <v>7</v>
      </c>
      <c r="K499" s="35">
        <f>IF(A499="","",YEAR(A499))</f>
        <v>2026</v>
      </c>
    </row>
    <row r="500">
      <c r="A500" s="39" t="n">
        <v>46211</v>
      </c>
      <c r="B500" s="32" t="inlineStr">
        <is>
          <t>Entrada</t>
        </is>
      </c>
      <c r="C500" s="31" t="inlineStr">
        <is>
          <t>Particular à vista</t>
        </is>
      </c>
      <c r="D500" s="31" t="inlineStr"/>
      <c r="E500" s="31" t="inlineStr">
        <is>
          <t>Fechamento do dia</t>
        </is>
      </c>
      <c r="F500" s="31" t="inlineStr">
        <is>
          <t>Fechamento do dia · 1 atendimento · cartão de crédito</t>
        </is>
      </c>
      <c r="G500" s="36" t="n">
        <v>380</v>
      </c>
      <c r="H500" s="32" t="inlineStr">
        <is>
          <t>Cartão de crédito</t>
        </is>
      </c>
      <c r="I500" s="32" t="inlineStr">
        <is>
          <t>Sim</t>
        </is>
      </c>
      <c r="J500" s="35">
        <f>IF(A500="","",MONTH(A500))</f>
        <v>7</v>
      </c>
      <c r="K500" s="35">
        <f>IF(A500="","",YEAR(A500))</f>
        <v>2026</v>
      </c>
    </row>
    <row r="501">
      <c r="A501" s="39" t="n">
        <v>46211</v>
      </c>
      <c r="B501" s="32" t="inlineStr">
        <is>
          <t>Entrada</t>
        </is>
      </c>
      <c r="C501" s="31" t="inlineStr">
        <is>
          <t>Particular à vista</t>
        </is>
      </c>
      <c r="D501" s="31" t="inlineStr"/>
      <c r="E501" s="31" t="inlineStr">
        <is>
          <t>Fechamento do dia</t>
        </is>
      </c>
      <c r="F501" s="31" t="inlineStr">
        <is>
          <t>Fechamento do dia · 1 atendimento · pix</t>
        </is>
      </c>
      <c r="G501" s="36" t="n">
        <v>380</v>
      </c>
      <c r="H501" s="32" t="inlineStr">
        <is>
          <t>Pix</t>
        </is>
      </c>
      <c r="I501" s="32" t="inlineStr">
        <is>
          <t>Sim</t>
        </is>
      </c>
      <c r="J501" s="35">
        <f>IF(A501="","",MONTH(A501))</f>
        <v>7</v>
      </c>
      <c r="K501" s="35">
        <f>IF(A501="","",YEAR(A501))</f>
        <v>2026</v>
      </c>
    </row>
    <row r="502">
      <c r="A502" s="39" t="n">
        <v>46211</v>
      </c>
      <c r="B502" s="32" t="inlineStr">
        <is>
          <t>Saída</t>
        </is>
      </c>
      <c r="C502" s="31" t="inlineStr">
        <is>
          <t>Materiais e insumos de atendimento</t>
        </is>
      </c>
      <c r="D502" s="31" t="inlineStr"/>
      <c r="E502" s="31" t="inlineStr"/>
      <c r="F502" s="31" t="inlineStr">
        <is>
          <t>Eletrodos, manguitos e descartáveis (fornecedor)</t>
        </is>
      </c>
      <c r="G502" s="36" t="n">
        <v>780</v>
      </c>
      <c r="H502" s="32" t="inlineStr">
        <is>
          <t>Boleto</t>
        </is>
      </c>
      <c r="I502" s="32" t="inlineStr">
        <is>
          <t>Sim</t>
        </is>
      </c>
      <c r="J502" s="35">
        <f>IF(A502="","",MONTH(A502))</f>
        <v>7</v>
      </c>
      <c r="K502" s="35">
        <f>IF(A502="","",YEAR(A502))</f>
        <v>2026</v>
      </c>
    </row>
    <row r="503">
      <c r="A503" s="39" t="n">
        <v>46211</v>
      </c>
      <c r="B503" s="32" t="inlineStr">
        <is>
          <t>Saída</t>
        </is>
      </c>
      <c r="C503" s="31" t="inlineStr">
        <is>
          <t>Sistema de agenda e assinaturas</t>
        </is>
      </c>
      <c r="D503" s="31" t="inlineStr"/>
      <c r="E503" s="31" t="inlineStr"/>
      <c r="F503" s="31" t="inlineStr">
        <is>
          <t>Sistema de agenda e assinaturas</t>
        </is>
      </c>
      <c r="G503" s="36" t="n">
        <v>300</v>
      </c>
      <c r="H503" s="32" t="inlineStr">
        <is>
          <t>Cartão de crédito</t>
        </is>
      </c>
      <c r="I503" s="32" t="inlineStr">
        <is>
          <t>Sim</t>
        </is>
      </c>
      <c r="J503" s="35">
        <f>IF(A503="","",MONTH(A503))</f>
        <v>7</v>
      </c>
      <c r="K503" s="35">
        <f>IF(A503="","",YEAR(A503))</f>
        <v>2026</v>
      </c>
    </row>
    <row r="504">
      <c r="A504" s="39" t="n">
        <v>46212</v>
      </c>
      <c r="B504" s="32" t="inlineStr">
        <is>
          <t>Entrada</t>
        </is>
      </c>
      <c r="C504" s="31" t="inlineStr">
        <is>
          <t>Particular à vista</t>
        </is>
      </c>
      <c r="D504" s="31" t="inlineStr"/>
      <c r="E504" s="31" t="inlineStr">
        <is>
          <t>Fechamento do dia</t>
        </is>
      </c>
      <c r="F504" s="31" t="inlineStr">
        <is>
          <t>Fechamento do dia · 3 atendimentos · pix</t>
        </is>
      </c>
      <c r="G504" s="36" t="n">
        <v>1130</v>
      </c>
      <c r="H504" s="32" t="inlineStr">
        <is>
          <t>Pix</t>
        </is>
      </c>
      <c r="I504" s="32" t="inlineStr">
        <is>
          <t>Sim</t>
        </is>
      </c>
      <c r="J504" s="35">
        <f>IF(A504="","",MONTH(A504))</f>
        <v>7</v>
      </c>
      <c r="K504" s="35">
        <f>IF(A504="","",YEAR(A504))</f>
        <v>2026</v>
      </c>
    </row>
    <row r="505">
      <c r="A505" s="39" t="n">
        <v>46212</v>
      </c>
      <c r="B505" s="32" t="inlineStr">
        <is>
          <t>Entrada</t>
        </is>
      </c>
      <c r="C505" s="31" t="inlineStr">
        <is>
          <t>Particular à vista</t>
        </is>
      </c>
      <c r="D505" s="31" t="inlineStr"/>
      <c r="E505" s="31" t="inlineStr">
        <is>
          <t>Fechamento do dia</t>
        </is>
      </c>
      <c r="F505" s="31" t="inlineStr">
        <is>
          <t>Fechamento do dia · 4 atendimentos · cartão de crédito</t>
        </is>
      </c>
      <c r="G505" s="36" t="n">
        <v>1290</v>
      </c>
      <c r="H505" s="32" t="inlineStr">
        <is>
          <t>Cartão de crédito</t>
        </is>
      </c>
      <c r="I505" s="32" t="inlineStr">
        <is>
          <t>Sim</t>
        </is>
      </c>
      <c r="J505" s="35">
        <f>IF(A505="","",MONTH(A505))</f>
        <v>7</v>
      </c>
      <c r="K505" s="35">
        <f>IF(A505="","",YEAR(A505))</f>
        <v>2026</v>
      </c>
    </row>
    <row r="506">
      <c r="A506" s="39" t="n">
        <v>46213</v>
      </c>
      <c r="B506" s="32" t="inlineStr">
        <is>
          <t>Entrada</t>
        </is>
      </c>
      <c r="C506" s="31" t="inlineStr">
        <is>
          <t>Particular à vista</t>
        </is>
      </c>
      <c r="D506" s="31" t="inlineStr"/>
      <c r="E506" s="31" t="inlineStr">
        <is>
          <t>Fechamento do dia</t>
        </is>
      </c>
      <c r="F506" s="31" t="inlineStr">
        <is>
          <t>Fechamento do dia · 1 atendimento · cartão de débito</t>
        </is>
      </c>
      <c r="G506" s="36" t="n">
        <v>380</v>
      </c>
      <c r="H506" s="32" t="inlineStr">
        <is>
          <t>Cartão de débito</t>
        </is>
      </c>
      <c r="I506" s="32" t="inlineStr">
        <is>
          <t>Sim</t>
        </is>
      </c>
      <c r="J506" s="35">
        <f>IF(A506="","",MONTH(A506))</f>
        <v>7</v>
      </c>
      <c r="K506" s="35">
        <f>IF(A506="","",YEAR(A506))</f>
        <v>2026</v>
      </c>
    </row>
    <row r="507">
      <c r="A507" s="39" t="n">
        <v>46213</v>
      </c>
      <c r="B507" s="32" t="inlineStr">
        <is>
          <t>Saída</t>
        </is>
      </c>
      <c r="C507" s="31" t="inlineStr">
        <is>
          <t>Contador</t>
        </is>
      </c>
      <c r="D507" s="31" t="inlineStr"/>
      <c r="E507" s="31" t="inlineStr"/>
      <c r="F507" s="31" t="inlineStr">
        <is>
          <t>Honorários do contador</t>
        </is>
      </c>
      <c r="G507" s="36" t="n">
        <v>600</v>
      </c>
      <c r="H507" s="32" t="inlineStr">
        <is>
          <t>Boleto</t>
        </is>
      </c>
      <c r="I507" s="32" t="inlineStr">
        <is>
          <t>Sim</t>
        </is>
      </c>
      <c r="J507" s="35">
        <f>IF(A507="","",MONTH(A507))</f>
        <v>7</v>
      </c>
      <c r="K507" s="35">
        <f>IF(A507="","",YEAR(A507))</f>
        <v>2026</v>
      </c>
    </row>
    <row r="508">
      <c r="A508" s="39" t="n">
        <v>46213</v>
      </c>
      <c r="B508" s="32" t="inlineStr">
        <is>
          <t>Saída</t>
        </is>
      </c>
      <c r="C508" s="31" t="inlineStr">
        <is>
          <t>Pró-labore dos sócios</t>
        </is>
      </c>
      <c r="D508" s="31" t="inlineStr"/>
      <c r="E508" s="31" t="inlineStr"/>
      <c r="F508" s="31" t="inlineStr">
        <is>
          <t>Distribuição de lucro · 2º trimestre · Dr. Paulo Andrade</t>
        </is>
      </c>
      <c r="G508" s="36" t="n">
        <v>1796</v>
      </c>
      <c r="H508" s="32" t="inlineStr">
        <is>
          <t>Transferência</t>
        </is>
      </c>
      <c r="I508" s="32" t="inlineStr">
        <is>
          <t>Sim</t>
        </is>
      </c>
      <c r="J508" s="35">
        <f>IF(A508="","",MONTH(A508))</f>
        <v>7</v>
      </c>
      <c r="K508" s="35">
        <f>IF(A508="","",YEAR(A508))</f>
        <v>2026</v>
      </c>
    </row>
    <row r="509">
      <c r="A509" s="39" t="n">
        <v>46213</v>
      </c>
      <c r="B509" s="32" t="inlineStr">
        <is>
          <t>Saída</t>
        </is>
      </c>
      <c r="C509" s="31" t="inlineStr">
        <is>
          <t>Pró-labore dos sócios</t>
        </is>
      </c>
      <c r="D509" s="31" t="inlineStr"/>
      <c r="E509" s="31" t="inlineStr"/>
      <c r="F509" s="31" t="inlineStr">
        <is>
          <t>Distribuição de lucro · 2º trimestre · Dra. Carolina Mendes</t>
        </is>
      </c>
      <c r="G509" s="36" t="n">
        <v>1795</v>
      </c>
      <c r="H509" s="32" t="inlineStr">
        <is>
          <t>Transferência</t>
        </is>
      </c>
      <c r="I509" s="32" t="inlineStr">
        <is>
          <t>Sim</t>
        </is>
      </c>
      <c r="J509" s="35">
        <f>IF(A509="","",MONTH(A509))</f>
        <v>7</v>
      </c>
      <c r="K509" s="35">
        <f>IF(A509="","",YEAR(A509))</f>
        <v>2026</v>
      </c>
    </row>
    <row r="510">
      <c r="A510" s="39" t="n">
        <v>46213</v>
      </c>
      <c r="B510" s="32" t="inlineStr">
        <is>
          <t>Saída</t>
        </is>
      </c>
      <c r="C510" s="31" t="inlineStr">
        <is>
          <t>Repasse à médica parceira</t>
        </is>
      </c>
      <c r="D510" s="31" t="inlineStr">
        <is>
          <t>Dra. Renata Sousa</t>
        </is>
      </c>
      <c r="E510" s="31" t="inlineStr"/>
      <c r="F510" s="31" t="inlineStr">
        <is>
          <t>Repasse · Dra. Renata Sousa · 50 % da produção de jun</t>
        </is>
      </c>
      <c r="G510" s="36" t="n">
        <v>4720</v>
      </c>
      <c r="H510" s="32" t="inlineStr">
        <is>
          <t>Transferência</t>
        </is>
      </c>
      <c r="I510" s="32" t="inlineStr">
        <is>
          <t>Sim</t>
        </is>
      </c>
      <c r="J510" s="35">
        <f>IF(A510="","",MONTH(A510))</f>
        <v>7</v>
      </c>
      <c r="K510" s="35">
        <f>IF(A510="","",YEAR(A510))</f>
        <v>2026</v>
      </c>
    </row>
    <row r="511">
      <c r="A511" s="39" t="n">
        <v>46214</v>
      </c>
      <c r="B511" s="32" t="inlineStr">
        <is>
          <t>Saída</t>
        </is>
      </c>
      <c r="C511" s="31" t="inlineStr">
        <is>
          <t>Outras saídas</t>
        </is>
      </c>
      <c r="D511" s="31" t="inlineStr"/>
      <c r="E511" s="31" t="inlineStr"/>
      <c r="F511" s="31" t="inlineStr">
        <is>
          <t>Despesa pessoal · Dr. Paulo Andrade · combustível particular (a acertar)</t>
        </is>
      </c>
      <c r="G511" s="36" t="n">
        <v>350</v>
      </c>
      <c r="H511" s="32" t="inlineStr">
        <is>
          <t>Cartão de crédito</t>
        </is>
      </c>
      <c r="I511" s="32" t="inlineStr">
        <is>
          <t>Sim</t>
        </is>
      </c>
      <c r="J511" s="35">
        <f>IF(A511="","",MONTH(A511))</f>
        <v>7</v>
      </c>
      <c r="K511" s="35">
        <f>IF(A511="","",YEAR(A511))</f>
        <v>2026</v>
      </c>
    </row>
    <row r="512">
      <c r="A512" s="39" t="n">
        <v>46215</v>
      </c>
      <c r="B512" s="32" t="inlineStr">
        <is>
          <t>Entrada</t>
        </is>
      </c>
      <c r="C512" s="31" t="inlineStr">
        <is>
          <t>Particular a prazo</t>
        </is>
      </c>
      <c r="D512" s="31" t="inlineStr">
        <is>
          <t>Regina Teixeira</t>
        </is>
      </c>
      <c r="E512" s="31" t="inlineStr">
        <is>
          <t>Parcela</t>
        </is>
      </c>
      <c r="F512" s="31" t="inlineStr">
        <is>
          <t>Consulta de 10/06 · parcela 1/1</t>
        </is>
      </c>
      <c r="G512" s="36" t="n">
        <v>380</v>
      </c>
      <c r="H512" s="32" t="inlineStr">
        <is>
          <t>Pix</t>
        </is>
      </c>
      <c r="I512" s="32" t="inlineStr">
        <is>
          <t>Sim</t>
        </is>
      </c>
      <c r="J512" s="35">
        <f>IF(A512="","",MONTH(A512))</f>
        <v>7</v>
      </c>
      <c r="K512" s="35">
        <f>IF(A512="","",YEAR(A512))</f>
        <v>2026</v>
      </c>
    </row>
    <row r="513">
      <c r="A513" s="39" t="n">
        <v>46215</v>
      </c>
      <c r="B513" s="32" t="inlineStr">
        <is>
          <t>Entrada</t>
        </is>
      </c>
      <c r="C513" s="31" t="inlineStr">
        <is>
          <t>Particular a prazo</t>
        </is>
      </c>
      <c r="D513" s="31" t="inlineStr">
        <is>
          <t>Leandro Oliveira</t>
        </is>
      </c>
      <c r="E513" s="31" t="inlineStr">
        <is>
          <t>Parcela</t>
        </is>
      </c>
      <c r="F513" s="31" t="inlineStr">
        <is>
          <t>ECG de 12/06 · parcela 1/1</t>
        </is>
      </c>
      <c r="G513" s="36" t="n">
        <v>130</v>
      </c>
      <c r="H513" s="32" t="inlineStr">
        <is>
          <t>Pix</t>
        </is>
      </c>
      <c r="I513" s="32" t="inlineStr">
        <is>
          <t>Sim</t>
        </is>
      </c>
      <c r="J513" s="35">
        <f>IF(A513="","",MONTH(A513))</f>
        <v>7</v>
      </c>
      <c r="K513" s="35">
        <f>IF(A513="","",YEAR(A513))</f>
        <v>2026</v>
      </c>
    </row>
    <row r="514">
      <c r="A514" s="39" t="n">
        <v>46215</v>
      </c>
      <c r="B514" s="32" t="inlineStr">
        <is>
          <t>Saída</t>
        </is>
      </c>
      <c r="C514" s="31" t="inlineStr">
        <is>
          <t>Energia, água, internet e telefone</t>
        </is>
      </c>
      <c r="D514" s="31" t="inlineStr"/>
      <c r="E514" s="31" t="inlineStr"/>
      <c r="F514" s="31" t="inlineStr">
        <is>
          <t>Energia, água, internet e telefone</t>
        </is>
      </c>
      <c r="G514" s="36" t="n">
        <v>550</v>
      </c>
      <c r="H514" s="32" t="inlineStr">
        <is>
          <t>Boleto</t>
        </is>
      </c>
      <c r="I514" s="32" t="inlineStr">
        <is>
          <t>Sim</t>
        </is>
      </c>
      <c r="J514" s="35">
        <f>IF(A514="","",MONTH(A514))</f>
        <v>7</v>
      </c>
      <c r="K514" s="35">
        <f>IF(A514="","",YEAR(A514))</f>
        <v>2026</v>
      </c>
    </row>
    <row r="515">
      <c r="A515" s="39" t="n">
        <v>46216</v>
      </c>
      <c r="B515" s="32" t="inlineStr">
        <is>
          <t>Entrada</t>
        </is>
      </c>
      <c r="C515" s="31" t="inlineStr">
        <is>
          <t>Particular a prazo</t>
        </is>
      </c>
      <c r="D515" s="31" t="inlineStr">
        <is>
          <t>Paulo Fernandes</t>
        </is>
      </c>
      <c r="E515" s="31" t="inlineStr">
        <is>
          <t>Parcela</t>
        </is>
      </c>
      <c r="F515" s="31" t="inlineStr">
        <is>
          <t>Avaliação endócrina de 12/05 · parcela 2/2</t>
        </is>
      </c>
      <c r="G515" s="36" t="n">
        <v>200</v>
      </c>
      <c r="H515" s="32" t="inlineStr">
        <is>
          <t>Pix</t>
        </is>
      </c>
      <c r="I515" s="32" t="inlineStr">
        <is>
          <t>Sim</t>
        </is>
      </c>
      <c r="J515" s="35">
        <f>IF(A515="","",MONTH(A515))</f>
        <v>7</v>
      </c>
      <c r="K515" s="35">
        <f>IF(A515="","",YEAR(A515))</f>
        <v>2026</v>
      </c>
    </row>
    <row r="516">
      <c r="A516" s="39" t="n">
        <v>46216</v>
      </c>
      <c r="B516" s="32" t="inlineStr">
        <is>
          <t>Entrada</t>
        </is>
      </c>
      <c r="C516" s="31" t="inlineStr">
        <is>
          <t>Particular a prazo</t>
        </is>
      </c>
      <c r="D516" s="31" t="inlineStr">
        <is>
          <t>Beatriz Gomes</t>
        </is>
      </c>
      <c r="E516" s="31" t="inlineStr">
        <is>
          <t>Parcela</t>
        </is>
      </c>
      <c r="F516" s="31" t="inlineStr">
        <is>
          <t>Avaliação endócrina de 14/05 · parcela 2/2</t>
        </is>
      </c>
      <c r="G516" s="36" t="n">
        <v>200</v>
      </c>
      <c r="H516" s="32" t="inlineStr">
        <is>
          <t>Pix</t>
        </is>
      </c>
      <c r="I516" s="32" t="inlineStr">
        <is>
          <t>Sim</t>
        </is>
      </c>
      <c r="J516" s="35">
        <f>IF(A516="","",MONTH(A516))</f>
        <v>7</v>
      </c>
      <c r="K516" s="35">
        <f>IF(A516="","",YEAR(A516))</f>
        <v>2026</v>
      </c>
    </row>
    <row r="517">
      <c r="A517" s="39" t="n">
        <v>46216</v>
      </c>
      <c r="B517" s="32" t="inlineStr">
        <is>
          <t>Entrada</t>
        </is>
      </c>
      <c r="C517" s="31" t="inlineStr">
        <is>
          <t>Particular a prazo</t>
        </is>
      </c>
      <c r="D517" s="31" t="inlineStr">
        <is>
          <t>Regina Macedo</t>
        </is>
      </c>
      <c r="E517" s="31" t="inlineStr">
        <is>
          <t>Parcela</t>
        </is>
      </c>
      <c r="F517" s="31" t="inlineStr">
        <is>
          <t>Consulta de 14/05 · parcela 2/2</t>
        </is>
      </c>
      <c r="G517" s="36" t="n">
        <v>190</v>
      </c>
      <c r="H517" s="32" t="inlineStr">
        <is>
          <t>Pix</t>
        </is>
      </c>
      <c r="I517" s="32" t="inlineStr">
        <is>
          <t>Sim</t>
        </is>
      </c>
      <c r="J517" s="35">
        <f>IF(A517="","",MONTH(A517))</f>
        <v>7</v>
      </c>
      <c r="K517" s="35">
        <f>IF(A517="","",YEAR(A517))</f>
        <v>2026</v>
      </c>
    </row>
    <row r="518">
      <c r="A518" s="39" t="n">
        <v>46216</v>
      </c>
      <c r="B518" s="32" t="inlineStr">
        <is>
          <t>Entrada</t>
        </is>
      </c>
      <c r="C518" s="31" t="inlineStr">
        <is>
          <t>Particular à vista</t>
        </is>
      </c>
      <c r="D518" s="31" t="inlineStr"/>
      <c r="E518" s="31" t="inlineStr">
        <is>
          <t>Fechamento do dia</t>
        </is>
      </c>
      <c r="F518" s="31" t="inlineStr">
        <is>
          <t>Fechamento do dia · 1 atendimento · dinheiro</t>
        </is>
      </c>
      <c r="G518" s="36" t="n">
        <v>380</v>
      </c>
      <c r="H518" s="32" t="inlineStr">
        <is>
          <t>Dinheiro</t>
        </is>
      </c>
      <c r="I518" s="32" t="inlineStr">
        <is>
          <t>Sim</t>
        </is>
      </c>
      <c r="J518" s="35">
        <f>IF(A518="","",MONTH(A518))</f>
        <v>7</v>
      </c>
      <c r="K518" s="35">
        <f>IF(A518="","",YEAR(A518))</f>
        <v>2026</v>
      </c>
    </row>
    <row r="519">
      <c r="A519" s="39" t="n">
        <v>46216</v>
      </c>
      <c r="B519" s="32" t="inlineStr">
        <is>
          <t>Entrada</t>
        </is>
      </c>
      <c r="C519" s="31" t="inlineStr">
        <is>
          <t>Particular à vista</t>
        </is>
      </c>
      <c r="D519" s="31" t="inlineStr"/>
      <c r="E519" s="31" t="inlineStr">
        <is>
          <t>Fechamento do dia</t>
        </is>
      </c>
      <c r="F519" s="31" t="inlineStr">
        <is>
          <t>Fechamento do dia · 1 atendimento · pix</t>
        </is>
      </c>
      <c r="G519" s="36" t="n">
        <v>380</v>
      </c>
      <c r="H519" s="32" t="inlineStr">
        <is>
          <t>Pix</t>
        </is>
      </c>
      <c r="I519" s="32" t="inlineStr">
        <is>
          <t>Sim</t>
        </is>
      </c>
      <c r="J519" s="35">
        <f>IF(A519="","",MONTH(A519))</f>
        <v>7</v>
      </c>
      <c r="K519" s="35">
        <f>IF(A519="","",YEAR(A519))</f>
        <v>2026</v>
      </c>
    </row>
    <row r="520">
      <c r="A520" s="39" t="n">
        <v>46216</v>
      </c>
      <c r="B520" s="32" t="inlineStr">
        <is>
          <t>Entrada</t>
        </is>
      </c>
      <c r="C520" s="31" t="inlineStr">
        <is>
          <t>Particular à vista</t>
        </is>
      </c>
      <c r="D520" s="31" t="inlineStr"/>
      <c r="E520" s="31" t="inlineStr">
        <is>
          <t>Fechamento do dia</t>
        </is>
      </c>
      <c r="F520" s="31" t="inlineStr">
        <is>
          <t>Fechamento do dia · 2 atendimentos · cartão de crédito</t>
        </is>
      </c>
      <c r="G520" s="36" t="n">
        <v>510</v>
      </c>
      <c r="H520" s="32" t="inlineStr">
        <is>
          <t>Cartão de crédito</t>
        </is>
      </c>
      <c r="I520" s="32" t="inlineStr">
        <is>
          <t>Sim</t>
        </is>
      </c>
      <c r="J520" s="35">
        <f>IF(A520="","",MONTH(A520))</f>
        <v>7</v>
      </c>
      <c r="K520" s="35">
        <f>IF(A520="","",YEAR(A520))</f>
        <v>2026</v>
      </c>
    </row>
    <row r="521">
      <c r="A521" s="39" t="n">
        <v>46216</v>
      </c>
      <c r="B521" s="32" t="inlineStr">
        <is>
          <t>Entrada</t>
        </is>
      </c>
      <c r="C521" s="31" t="inlineStr">
        <is>
          <t>Particular à vista</t>
        </is>
      </c>
      <c r="D521" s="31" t="inlineStr"/>
      <c r="E521" s="31" t="inlineStr">
        <is>
          <t>Fechamento do dia</t>
        </is>
      </c>
      <c r="F521" s="31" t="inlineStr">
        <is>
          <t>Fechamento do dia · 2 atendimentos · cartão de débito</t>
        </is>
      </c>
      <c r="G521" s="36" t="n">
        <v>760</v>
      </c>
      <c r="H521" s="32" t="inlineStr">
        <is>
          <t>Cartão de débito</t>
        </is>
      </c>
      <c r="I521" s="32" t="inlineStr">
        <is>
          <t>Sim</t>
        </is>
      </c>
      <c r="J521" s="35">
        <f>IF(A521="","",MONTH(A521))</f>
        <v>7</v>
      </c>
      <c r="K521" s="35">
        <f>IF(A521="","",YEAR(A521))</f>
        <v>2026</v>
      </c>
    </row>
    <row r="522">
      <c r="A522" s="39" t="n">
        <v>46217</v>
      </c>
      <c r="B522" s="32" t="inlineStr">
        <is>
          <t>Entrada</t>
        </is>
      </c>
      <c r="C522" s="31" t="inlineStr">
        <is>
          <t>Particular à vista</t>
        </is>
      </c>
      <c r="D522" s="31" t="inlineStr"/>
      <c r="E522" s="31" t="inlineStr">
        <is>
          <t>Fechamento do dia</t>
        </is>
      </c>
      <c r="F522" s="31" t="inlineStr">
        <is>
          <t>Fechamento do dia · 4 atendimentos · pix</t>
        </is>
      </c>
      <c r="G522" s="36" t="n">
        <v>1290</v>
      </c>
      <c r="H522" s="32" t="inlineStr">
        <is>
          <t>Pix</t>
        </is>
      </c>
      <c r="I522" s="32" t="inlineStr">
        <is>
          <t>Sim</t>
        </is>
      </c>
      <c r="J522" s="35">
        <f>IF(A522="","",MONTH(A522))</f>
        <v>7</v>
      </c>
      <c r="K522" s="35">
        <f>IF(A522="","",YEAR(A522))</f>
        <v>2026</v>
      </c>
    </row>
    <row r="523">
      <c r="A523" s="39" t="n">
        <v>46217</v>
      </c>
      <c r="B523" s="32" t="inlineStr">
        <is>
          <t>Entrada</t>
        </is>
      </c>
      <c r="C523" s="31" t="inlineStr">
        <is>
          <t>Particular à vista</t>
        </is>
      </c>
      <c r="D523" s="31" t="inlineStr"/>
      <c r="E523" s="31" t="inlineStr">
        <is>
          <t>Fechamento do dia</t>
        </is>
      </c>
      <c r="F523" s="31" t="inlineStr">
        <is>
          <t>Fechamento do dia · 7 atendimentos · cartão de crédito</t>
        </is>
      </c>
      <c r="G523" s="36" t="n">
        <v>2410</v>
      </c>
      <c r="H523" s="32" t="inlineStr">
        <is>
          <t>Cartão de crédito</t>
        </is>
      </c>
      <c r="I523" s="32" t="inlineStr">
        <is>
          <t>Sim</t>
        </is>
      </c>
      <c r="J523" s="35">
        <f>IF(A523="","",MONTH(A523))</f>
        <v>7</v>
      </c>
      <c r="K523" s="35">
        <f>IF(A523="","",YEAR(A523))</f>
        <v>2026</v>
      </c>
    </row>
    <row r="524">
      <c r="A524" s="39" t="n">
        <v>46218</v>
      </c>
      <c r="B524" s="32" t="inlineStr">
        <is>
          <t>Entrada</t>
        </is>
      </c>
      <c r="C524" s="31" t="inlineStr">
        <is>
          <t>Particular a prazo</t>
        </is>
      </c>
      <c r="D524" s="31" t="inlineStr">
        <is>
          <t>Rafael Barros</t>
        </is>
      </c>
      <c r="E524" s="31" t="inlineStr">
        <is>
          <t>Parcela</t>
        </is>
      </c>
      <c r="F524" s="31" t="inlineStr">
        <is>
          <t>Holter de 15/06 · parcela 1/1</t>
        </is>
      </c>
      <c r="G524" s="36" t="n">
        <v>350</v>
      </c>
      <c r="H524" s="32" t="inlineStr">
        <is>
          <t>Pix</t>
        </is>
      </c>
      <c r="I524" s="32" t="inlineStr">
        <is>
          <t>Sim</t>
        </is>
      </c>
      <c r="J524" s="35">
        <f>IF(A524="","",MONTH(A524))</f>
        <v>7</v>
      </c>
      <c r="K524" s="35">
        <f>IF(A524="","",YEAR(A524))</f>
        <v>2026</v>
      </c>
    </row>
    <row r="525">
      <c r="A525" s="39" t="n">
        <v>46218</v>
      </c>
      <c r="B525" s="32" t="inlineStr">
        <is>
          <t>Entrada</t>
        </is>
      </c>
      <c r="C525" s="31" t="inlineStr">
        <is>
          <t>Particular à vista</t>
        </is>
      </c>
      <c r="D525" s="31" t="inlineStr"/>
      <c r="E525" s="31" t="inlineStr">
        <is>
          <t>Fechamento do dia</t>
        </is>
      </c>
      <c r="F525" s="31" t="inlineStr">
        <is>
          <t>Fechamento do dia · 1 atendimento · cartão de crédito</t>
        </is>
      </c>
      <c r="G525" s="36" t="n">
        <v>380</v>
      </c>
      <c r="H525" s="32" t="inlineStr">
        <is>
          <t>Cartão de crédito</t>
        </is>
      </c>
      <c r="I525" s="32" t="inlineStr">
        <is>
          <t>Sim</t>
        </is>
      </c>
      <c r="J525" s="35">
        <f>IF(A525="","",MONTH(A525))</f>
        <v>7</v>
      </c>
      <c r="K525" s="35">
        <f>IF(A525="","",YEAR(A525))</f>
        <v>2026</v>
      </c>
    </row>
    <row r="526">
      <c r="A526" s="39" t="n">
        <v>46218</v>
      </c>
      <c r="B526" s="32" t="inlineStr">
        <is>
          <t>Entrada</t>
        </is>
      </c>
      <c r="C526" s="31" t="inlineStr">
        <is>
          <t>Particular à vista</t>
        </is>
      </c>
      <c r="D526" s="31" t="inlineStr"/>
      <c r="E526" s="31" t="inlineStr">
        <is>
          <t>Fechamento do dia</t>
        </is>
      </c>
      <c r="F526" s="31" t="inlineStr">
        <is>
          <t>Fechamento do dia · 1 atendimento · cartão de débito</t>
        </is>
      </c>
      <c r="G526" s="36" t="n">
        <v>380</v>
      </c>
      <c r="H526" s="32" t="inlineStr">
        <is>
          <t>Cartão de débito</t>
        </is>
      </c>
      <c r="I526" s="32" t="inlineStr">
        <is>
          <t>Sim</t>
        </is>
      </c>
      <c r="J526" s="35">
        <f>IF(A526="","",MONTH(A526))</f>
        <v>7</v>
      </c>
      <c r="K526" s="35">
        <f>IF(A526="","",YEAR(A526))</f>
        <v>2026</v>
      </c>
    </row>
    <row r="527">
      <c r="A527" s="39" t="n">
        <v>46218</v>
      </c>
      <c r="B527" s="32" t="inlineStr">
        <is>
          <t>Saída</t>
        </is>
      </c>
      <c r="C527" s="31" t="inlineStr">
        <is>
          <t>Anuidade CRM, seguro e cursos</t>
        </is>
      </c>
      <c r="D527" s="31" t="inlineStr"/>
      <c r="E527" s="31" t="inlineStr"/>
      <c r="F527" s="31" t="inlineStr">
        <is>
          <t>Anuidade CRM, seguro e cursos</t>
        </is>
      </c>
      <c r="G527" s="36" t="n">
        <v>450</v>
      </c>
      <c r="H527" s="32" t="inlineStr">
        <is>
          <t>Cartão de crédito</t>
        </is>
      </c>
      <c r="I527" s="32" t="inlineStr">
        <is>
          <t>Sim</t>
        </is>
      </c>
      <c r="J527" s="35">
        <f>IF(A527="","",MONTH(A527))</f>
        <v>7</v>
      </c>
      <c r="K527" s="35">
        <f>IF(A527="","",YEAR(A527))</f>
        <v>2026</v>
      </c>
    </row>
    <row r="528">
      <c r="A528" s="39" t="n">
        <v>46218</v>
      </c>
      <c r="B528" s="32" t="inlineStr">
        <is>
          <t>Saída</t>
        </is>
      </c>
      <c r="C528" s="31" t="inlineStr">
        <is>
          <t>Limpeza e material de escritório</t>
        </is>
      </c>
      <c r="D528" s="31" t="inlineStr"/>
      <c r="E528" s="31" t="inlineStr"/>
      <c r="F528" s="31" t="inlineStr">
        <is>
          <t>Limpeza e material de escritório</t>
        </is>
      </c>
      <c r="G528" s="36" t="n">
        <v>450</v>
      </c>
      <c r="H528" s="32" t="inlineStr">
        <is>
          <t>Cartão de crédito</t>
        </is>
      </c>
      <c r="I528" s="32" t="inlineStr">
        <is>
          <t>Sim</t>
        </is>
      </c>
      <c r="J528" s="35">
        <f>IF(A528="","",MONTH(A528))</f>
        <v>7</v>
      </c>
      <c r="K528" s="35">
        <f>IF(A528="","",YEAR(A528))</f>
        <v>2026</v>
      </c>
    </row>
    <row r="529">
      <c r="A529" s="39" t="n">
        <v>46219</v>
      </c>
      <c r="B529" s="32" t="inlineStr">
        <is>
          <t>Entrada</t>
        </is>
      </c>
      <c r="C529" s="31" t="inlineStr">
        <is>
          <t>Particular a prazo</t>
        </is>
      </c>
      <c r="D529" s="31" t="inlineStr">
        <is>
          <t>Gabriel Reis</t>
        </is>
      </c>
      <c r="E529" s="31" t="inlineStr">
        <is>
          <t>Parcela</t>
        </is>
      </c>
      <c r="F529" s="31" t="inlineStr">
        <is>
          <t>Avaliação endócrina de 16/06 · parcela 1/1</t>
        </is>
      </c>
      <c r="G529" s="36" t="n">
        <v>400</v>
      </c>
      <c r="H529" s="32" t="inlineStr">
        <is>
          <t>Pix</t>
        </is>
      </c>
      <c r="I529" s="32" t="inlineStr">
        <is>
          <t>Sim</t>
        </is>
      </c>
      <c r="J529" s="35">
        <f>IF(A529="","",MONTH(A529))</f>
        <v>7</v>
      </c>
      <c r="K529" s="35">
        <f>IF(A529="","",YEAR(A529))</f>
        <v>2026</v>
      </c>
    </row>
    <row r="530">
      <c r="A530" s="39" t="n">
        <v>46219</v>
      </c>
      <c r="B530" s="32" t="inlineStr">
        <is>
          <t>Entrada</t>
        </is>
      </c>
      <c r="C530" s="31" t="inlineStr">
        <is>
          <t>Particular a prazo</t>
        </is>
      </c>
      <c r="D530" s="31" t="inlineStr">
        <is>
          <t>Cláudia Costa</t>
        </is>
      </c>
      <c r="E530" s="31" t="inlineStr">
        <is>
          <t>Parcela</t>
        </is>
      </c>
      <c r="F530" s="31" t="inlineStr">
        <is>
          <t>Consulta de 15/06 · parcela 1/2</t>
        </is>
      </c>
      <c r="G530" s="36" t="n">
        <v>190</v>
      </c>
      <c r="H530" s="32" t="inlineStr">
        <is>
          <t>Pix</t>
        </is>
      </c>
      <c r="I530" s="32" t="inlineStr">
        <is>
          <t>Sim</t>
        </is>
      </c>
      <c r="J530" s="35">
        <f>IF(A530="","",MONTH(A530))</f>
        <v>7</v>
      </c>
      <c r="K530" s="35">
        <f>IF(A530="","",YEAR(A530))</f>
        <v>2026</v>
      </c>
    </row>
    <row r="531">
      <c r="A531" s="39" t="n">
        <v>46219</v>
      </c>
      <c r="B531" s="32" t="inlineStr">
        <is>
          <t>Entrada</t>
        </is>
      </c>
      <c r="C531" s="31" t="inlineStr">
        <is>
          <t>Particular a prazo</t>
        </is>
      </c>
      <c r="D531" s="31" t="inlineStr">
        <is>
          <t>Gabriel Oliveira</t>
        </is>
      </c>
      <c r="E531" s="31" t="inlineStr">
        <is>
          <t>Parcela</t>
        </is>
      </c>
      <c r="F531" s="31" t="inlineStr">
        <is>
          <t>Consulta de 16/06 · parcela 1/2</t>
        </is>
      </c>
      <c r="G531" s="36" t="n">
        <v>190</v>
      </c>
      <c r="H531" s="32" t="inlineStr">
        <is>
          <t>Pix</t>
        </is>
      </c>
      <c r="I531" s="32" t="inlineStr">
        <is>
          <t>Sim</t>
        </is>
      </c>
      <c r="J531" s="35">
        <f>IF(A531="","",MONTH(A531))</f>
        <v>7</v>
      </c>
      <c r="K531" s="35">
        <f>IF(A531="","",YEAR(A531))</f>
        <v>2026</v>
      </c>
    </row>
    <row r="532">
      <c r="A532" s="39" t="n">
        <v>46219</v>
      </c>
      <c r="B532" s="32" t="inlineStr">
        <is>
          <t>Entrada</t>
        </is>
      </c>
      <c r="C532" s="31" t="inlineStr">
        <is>
          <t>Particular à vista</t>
        </is>
      </c>
      <c r="D532" s="31" t="inlineStr"/>
      <c r="E532" s="31" t="inlineStr">
        <is>
          <t>Fechamento do dia</t>
        </is>
      </c>
      <c r="F532" s="31" t="inlineStr">
        <is>
          <t>Fechamento do dia · 2 atendimentos · cartão de débito</t>
        </is>
      </c>
      <c r="G532" s="36" t="n">
        <v>510</v>
      </c>
      <c r="H532" s="32" t="inlineStr">
        <is>
          <t>Cartão de débito</t>
        </is>
      </c>
      <c r="I532" s="32" t="inlineStr">
        <is>
          <t>Sim</t>
        </is>
      </c>
      <c r="J532" s="35">
        <f>IF(A532="","",MONTH(A532))</f>
        <v>7</v>
      </c>
      <c r="K532" s="35">
        <f>IF(A532="","",YEAR(A532))</f>
        <v>2026</v>
      </c>
    </row>
    <row r="533">
      <c r="A533" s="39" t="n">
        <v>46219</v>
      </c>
      <c r="B533" s="32" t="inlineStr">
        <is>
          <t>Entrada</t>
        </is>
      </c>
      <c r="C533" s="31" t="inlineStr">
        <is>
          <t>Particular à vista</t>
        </is>
      </c>
      <c r="D533" s="31" t="inlineStr"/>
      <c r="E533" s="31" t="inlineStr">
        <is>
          <t>Fechamento do dia</t>
        </is>
      </c>
      <c r="F533" s="31" t="inlineStr">
        <is>
          <t>Fechamento do dia · 2 atendimentos · pix</t>
        </is>
      </c>
      <c r="G533" s="36" t="n">
        <v>510</v>
      </c>
      <c r="H533" s="32" t="inlineStr">
        <is>
          <t>Pix</t>
        </is>
      </c>
      <c r="I533" s="32" t="inlineStr">
        <is>
          <t>Sim</t>
        </is>
      </c>
      <c r="J533" s="35">
        <f>IF(A533="","",MONTH(A533))</f>
        <v>7</v>
      </c>
      <c r="K533" s="35">
        <f>IF(A533="","",YEAR(A533))</f>
        <v>2026</v>
      </c>
    </row>
    <row r="534">
      <c r="A534" s="39" t="n">
        <v>46219</v>
      </c>
      <c r="B534" s="32" t="inlineStr">
        <is>
          <t>Entrada</t>
        </is>
      </c>
      <c r="C534" s="31" t="inlineStr">
        <is>
          <t>Particular à vista</t>
        </is>
      </c>
      <c r="D534" s="31" t="inlineStr"/>
      <c r="E534" s="31" t="inlineStr">
        <is>
          <t>Fechamento do dia</t>
        </is>
      </c>
      <c r="F534" s="31" t="inlineStr">
        <is>
          <t>Fechamento do dia · 3 atendimentos · cartão de crédito</t>
        </is>
      </c>
      <c r="G534" s="36" t="n">
        <v>1160</v>
      </c>
      <c r="H534" s="32" t="inlineStr">
        <is>
          <t>Cartão de crédito</t>
        </is>
      </c>
      <c r="I534" s="32" t="inlineStr">
        <is>
          <t>Sim</t>
        </is>
      </c>
      <c r="J534" s="35">
        <f>IF(A534="","",MONTH(A534))</f>
        <v>7</v>
      </c>
      <c r="K534" s="35">
        <f>IF(A534="","",YEAR(A534))</f>
        <v>2026</v>
      </c>
    </row>
    <row r="535">
      <c r="A535" s="39" t="n">
        <v>46220</v>
      </c>
      <c r="B535" s="32" t="inlineStr">
        <is>
          <t>Entrada</t>
        </is>
      </c>
      <c r="C535" s="31" t="inlineStr">
        <is>
          <t>Particular a prazo</t>
        </is>
      </c>
      <c r="D535" s="31" t="inlineStr">
        <is>
          <t>Viviane Ribeiro</t>
        </is>
      </c>
      <c r="E535" s="31" t="inlineStr">
        <is>
          <t>Parcela</t>
        </is>
      </c>
      <c r="F535" s="31" t="inlineStr">
        <is>
          <t>Consulta de 17/06 · parcela 1/1 (vencida)</t>
        </is>
      </c>
      <c r="G535" s="36" t="n">
        <v>380</v>
      </c>
      <c r="H535" s="32" t="inlineStr">
        <is>
          <t>Pix</t>
        </is>
      </c>
      <c r="I535" s="32" t="inlineStr">
        <is>
          <t>Não</t>
        </is>
      </c>
      <c r="J535" s="35">
        <f>IF(A535="","",MONTH(A535))</f>
        <v>7</v>
      </c>
      <c r="K535" s="35">
        <f>IF(A535="","",YEAR(A535))</f>
        <v>2026</v>
      </c>
    </row>
    <row r="536">
      <c r="A536" s="39" t="n">
        <v>46220</v>
      </c>
      <c r="B536" s="32" t="inlineStr">
        <is>
          <t>Entrada</t>
        </is>
      </c>
      <c r="C536" s="31" t="inlineStr">
        <is>
          <t>Particular à vista</t>
        </is>
      </c>
      <c r="D536" s="31" t="inlineStr"/>
      <c r="E536" s="31" t="inlineStr">
        <is>
          <t>Fechamento do dia</t>
        </is>
      </c>
      <c r="F536" s="31" t="inlineStr">
        <is>
          <t>Fechamento do dia · 1 atendimento · cartão de crédito</t>
        </is>
      </c>
      <c r="G536" s="36" t="n">
        <v>380</v>
      </c>
      <c r="H536" s="32" t="inlineStr">
        <is>
          <t>Cartão de crédito</t>
        </is>
      </c>
      <c r="I536" s="32" t="inlineStr">
        <is>
          <t>Sim</t>
        </is>
      </c>
      <c r="J536" s="35">
        <f>IF(A536="","",MONTH(A536))</f>
        <v>7</v>
      </c>
      <c r="K536" s="35">
        <f>IF(A536="","",YEAR(A536))</f>
        <v>2026</v>
      </c>
    </row>
    <row r="537">
      <c r="A537" s="39" t="n">
        <v>46221</v>
      </c>
      <c r="B537" s="32" t="inlineStr">
        <is>
          <t>Entrada</t>
        </is>
      </c>
      <c r="C537" s="31" t="inlineStr">
        <is>
          <t>Particular a prazo</t>
        </is>
      </c>
      <c r="D537" s="31" t="inlineStr">
        <is>
          <t>Mariana Gomes</t>
        </is>
      </c>
      <c r="E537" s="31" t="inlineStr">
        <is>
          <t>Parcela</t>
        </is>
      </c>
      <c r="F537" s="31" t="inlineStr">
        <is>
          <t>Avaliação endócrina de 16/06 · parcela 1/1</t>
        </is>
      </c>
      <c r="G537" s="36" t="n">
        <v>400</v>
      </c>
      <c r="H537" s="32" t="inlineStr">
        <is>
          <t>Pix</t>
        </is>
      </c>
      <c r="I537" s="32" t="inlineStr">
        <is>
          <t>Sim</t>
        </is>
      </c>
      <c r="J537" s="35">
        <f>IF(A537="","",MONTH(A537))</f>
        <v>7</v>
      </c>
      <c r="K537" s="35">
        <f>IF(A537="","",YEAR(A537))</f>
        <v>2026</v>
      </c>
    </row>
    <row r="538">
      <c r="A538" s="39" t="n">
        <v>46221</v>
      </c>
      <c r="B538" s="32" t="inlineStr">
        <is>
          <t>Entrada</t>
        </is>
      </c>
      <c r="C538" s="31" t="inlineStr">
        <is>
          <t>Particular a prazo</t>
        </is>
      </c>
      <c r="D538" s="31" t="inlineStr">
        <is>
          <t>Otávio Cardoso</t>
        </is>
      </c>
      <c r="E538" s="31" t="inlineStr">
        <is>
          <t>Parcela</t>
        </is>
      </c>
      <c r="F538" s="31" t="inlineStr">
        <is>
          <t>Consulta de 16/06 · parcela 1/1</t>
        </is>
      </c>
      <c r="G538" s="36" t="n">
        <v>380</v>
      </c>
      <c r="H538" s="32" t="inlineStr">
        <is>
          <t>Pix</t>
        </is>
      </c>
      <c r="I538" s="32" t="inlineStr">
        <is>
          <t>Sim</t>
        </is>
      </c>
      <c r="J538" s="35">
        <f>IF(A538="","",MONTH(A538))</f>
        <v>7</v>
      </c>
      <c r="K538" s="35">
        <f>IF(A538="","",YEAR(A538))</f>
        <v>2026</v>
      </c>
    </row>
    <row r="539">
      <c r="A539" s="39" t="n">
        <v>46221</v>
      </c>
      <c r="B539" s="32" t="inlineStr">
        <is>
          <t>Entrada</t>
        </is>
      </c>
      <c r="C539" s="31" t="inlineStr">
        <is>
          <t>Particular a prazo</t>
        </is>
      </c>
      <c r="D539" s="31" t="inlineStr">
        <is>
          <t>Fábio Correia</t>
        </is>
      </c>
      <c r="E539" s="31" t="inlineStr">
        <is>
          <t>Parcela</t>
        </is>
      </c>
      <c r="F539" s="31" t="inlineStr">
        <is>
          <t>Consulta de 18/05 · parcela 2/2</t>
        </is>
      </c>
      <c r="G539" s="36" t="n">
        <v>190</v>
      </c>
      <c r="H539" s="32" t="inlineStr">
        <is>
          <t>Pix</t>
        </is>
      </c>
      <c r="I539" s="32" t="inlineStr">
        <is>
          <t>Sim</t>
        </is>
      </c>
      <c r="J539" s="35">
        <f>IF(A539="","",MONTH(A539))</f>
        <v>7</v>
      </c>
      <c r="K539" s="35">
        <f>IF(A539="","",YEAR(A539))</f>
        <v>2026</v>
      </c>
    </row>
    <row r="540">
      <c r="A540" s="39" t="n">
        <v>46223</v>
      </c>
      <c r="B540" s="32" t="inlineStr">
        <is>
          <t>Entrada</t>
        </is>
      </c>
      <c r="C540" s="31" t="inlineStr">
        <is>
          <t>Convênio · MediPlan</t>
        </is>
      </c>
      <c r="D540" s="31" t="inlineStr">
        <is>
          <t>MediPlan</t>
        </is>
      </c>
      <c r="E540" s="31" t="inlineStr">
        <is>
          <t>Lote mai/2026</t>
        </is>
      </c>
      <c r="F540" s="31" t="inlineStr">
        <is>
          <t>Pagamento do lote de mai/2026 (19 guias. glosa de R$ 185)</t>
        </is>
      </c>
      <c r="G540" s="36" t="n">
        <v>1570</v>
      </c>
      <c r="H540" s="32" t="inlineStr">
        <is>
          <t>Transferência</t>
        </is>
      </c>
      <c r="I540" s="32" t="inlineStr">
        <is>
          <t>Sim</t>
        </is>
      </c>
      <c r="J540" s="35">
        <f>IF(A540="","",MONTH(A540))</f>
        <v>7</v>
      </c>
      <c r="K540" s="35">
        <f>IF(A540="","",YEAR(A540))</f>
        <v>2026</v>
      </c>
    </row>
    <row r="541">
      <c r="A541" s="39" t="n">
        <v>46223</v>
      </c>
      <c r="B541" s="32" t="inlineStr">
        <is>
          <t>Entrada</t>
        </is>
      </c>
      <c r="C541" s="31" t="inlineStr">
        <is>
          <t>Particular à vista</t>
        </is>
      </c>
      <c r="D541" s="31" t="inlineStr"/>
      <c r="E541" s="31" t="inlineStr">
        <is>
          <t>Fechamento do dia</t>
        </is>
      </c>
      <c r="F541" s="31" t="inlineStr">
        <is>
          <t>Fechamento do dia · 1 atendimento · cartão de débito</t>
        </is>
      </c>
      <c r="G541" s="36" t="n">
        <v>380</v>
      </c>
      <c r="H541" s="32" t="inlineStr">
        <is>
          <t>Cartão de débito</t>
        </is>
      </c>
      <c r="I541" s="32" t="inlineStr">
        <is>
          <t>Sim</t>
        </is>
      </c>
      <c r="J541" s="35">
        <f>IF(A541="","",MONTH(A541))</f>
        <v>7</v>
      </c>
      <c r="K541" s="35">
        <f>IF(A541="","",YEAR(A541))</f>
        <v>2026</v>
      </c>
    </row>
    <row r="542">
      <c r="A542" s="39" t="n">
        <v>46223</v>
      </c>
      <c r="B542" s="32" t="inlineStr">
        <is>
          <t>Entrada</t>
        </is>
      </c>
      <c r="C542" s="31" t="inlineStr">
        <is>
          <t>Particular à vista</t>
        </is>
      </c>
      <c r="D542" s="31" t="inlineStr"/>
      <c r="E542" s="31" t="inlineStr">
        <is>
          <t>Fechamento do dia</t>
        </is>
      </c>
      <c r="F542" s="31" t="inlineStr">
        <is>
          <t>Fechamento do dia · 1 atendimento · pix</t>
        </is>
      </c>
      <c r="G542" s="36" t="n">
        <v>450</v>
      </c>
      <c r="H542" s="32" t="inlineStr">
        <is>
          <t>Pix</t>
        </is>
      </c>
      <c r="I542" s="32" t="inlineStr">
        <is>
          <t>Sim</t>
        </is>
      </c>
      <c r="J542" s="35">
        <f>IF(A542="","",MONTH(A542))</f>
        <v>7</v>
      </c>
      <c r="K542" s="35">
        <f>IF(A542="","",YEAR(A542))</f>
        <v>2026</v>
      </c>
    </row>
    <row r="543">
      <c r="A543" s="39" t="n">
        <v>46223</v>
      </c>
      <c r="B543" s="32" t="inlineStr">
        <is>
          <t>Entrada</t>
        </is>
      </c>
      <c r="C543" s="31" t="inlineStr">
        <is>
          <t>Particular à vista</t>
        </is>
      </c>
      <c r="D543" s="31" t="inlineStr"/>
      <c r="E543" s="31" t="inlineStr">
        <is>
          <t>Fechamento do dia</t>
        </is>
      </c>
      <c r="F543" s="31" t="inlineStr">
        <is>
          <t>Fechamento do dia · 2 atendimentos · cartão de crédito</t>
        </is>
      </c>
      <c r="G543" s="36" t="n">
        <v>760</v>
      </c>
      <c r="H543" s="32" t="inlineStr">
        <is>
          <t>Cartão de crédito</t>
        </is>
      </c>
      <c r="I543" s="32" t="inlineStr">
        <is>
          <t>Sim</t>
        </is>
      </c>
      <c r="J543" s="35">
        <f>IF(A543="","",MONTH(A543))</f>
        <v>7</v>
      </c>
      <c r="K543" s="35">
        <f>IF(A543="","",YEAR(A543))</f>
        <v>2026</v>
      </c>
    </row>
    <row r="544">
      <c r="A544" s="39" t="n">
        <v>46223</v>
      </c>
      <c r="B544" s="32" t="inlineStr">
        <is>
          <t>Saída</t>
        </is>
      </c>
      <c r="C544" s="31" t="inlineStr">
        <is>
          <t>Impostos e taxas</t>
        </is>
      </c>
      <c r="D544" s="31" t="inlineStr"/>
      <c r="E544" s="31" t="inlineStr"/>
      <c r="F544" s="31" t="inlineStr">
        <is>
          <t>Guia de impostos do mês anterior (alíquota efetiva combinada com o contador)</t>
        </is>
      </c>
      <c r="G544" s="36" t="n">
        <v>4824</v>
      </c>
      <c r="H544" s="32" t="inlineStr">
        <is>
          <t>Boleto</t>
        </is>
      </c>
      <c r="I544" s="32" t="inlineStr">
        <is>
          <t>Sim</t>
        </is>
      </c>
      <c r="J544" s="35">
        <f>IF(A544="","",MONTH(A544))</f>
        <v>7</v>
      </c>
      <c r="K544" s="35">
        <f>IF(A544="","",YEAR(A544))</f>
        <v>2026</v>
      </c>
    </row>
    <row r="545">
      <c r="A545" s="39" t="n">
        <v>46223</v>
      </c>
      <c r="B545" s="32" t="inlineStr">
        <is>
          <t>Saída</t>
        </is>
      </c>
      <c r="C545" s="31" t="inlineStr">
        <is>
          <t>Marketing e site</t>
        </is>
      </c>
      <c r="D545" s="31" t="inlineStr"/>
      <c r="E545" s="31" t="inlineStr"/>
      <c r="F545" s="31" t="inlineStr">
        <is>
          <t>Marketing e site</t>
        </is>
      </c>
      <c r="G545" s="36" t="n">
        <v>650</v>
      </c>
      <c r="H545" s="32" t="inlineStr">
        <is>
          <t>Cartão de crédito</t>
        </is>
      </c>
      <c r="I545" s="32" t="inlineStr">
        <is>
          <t>Sim</t>
        </is>
      </c>
      <c r="J545" s="35">
        <f>IF(A545="","",MONTH(A545))</f>
        <v>7</v>
      </c>
      <c r="K545" s="35">
        <f>IF(A545="","",YEAR(A545))</f>
        <v>2026</v>
      </c>
    </row>
    <row r="546">
      <c r="A546" s="39" t="n">
        <v>46224</v>
      </c>
      <c r="B546" s="32" t="inlineStr">
        <is>
          <t>Entrada</t>
        </is>
      </c>
      <c r="C546" s="31" t="inlineStr">
        <is>
          <t>Particular à vista</t>
        </is>
      </c>
      <c r="D546" s="31" t="inlineStr"/>
      <c r="E546" s="31" t="inlineStr">
        <is>
          <t>Fechamento do dia</t>
        </is>
      </c>
      <c r="F546" s="31" t="inlineStr">
        <is>
          <t>Fechamento do dia · 3 atendimentos · cartão de crédito</t>
        </is>
      </c>
      <c r="G546" s="36" t="n">
        <v>1160</v>
      </c>
      <c r="H546" s="32" t="inlineStr">
        <is>
          <t>Cartão de crédito</t>
        </is>
      </c>
      <c r="I546" s="32" t="inlineStr">
        <is>
          <t>Sim</t>
        </is>
      </c>
      <c r="J546" s="35">
        <f>IF(A546="","",MONTH(A546))</f>
        <v>7</v>
      </c>
      <c r="K546" s="35">
        <f>IF(A546="","",YEAR(A546))</f>
        <v>2026</v>
      </c>
    </row>
    <row r="547">
      <c r="A547" s="39" t="n">
        <v>46224</v>
      </c>
      <c r="B547" s="32" t="inlineStr">
        <is>
          <t>Entrada</t>
        </is>
      </c>
      <c r="C547" s="31" t="inlineStr">
        <is>
          <t>Particular à vista</t>
        </is>
      </c>
      <c r="D547" s="31" t="inlineStr"/>
      <c r="E547" s="31" t="inlineStr">
        <is>
          <t>Fechamento do dia</t>
        </is>
      </c>
      <c r="F547" s="31" t="inlineStr">
        <is>
          <t>Fechamento do dia · 3 atendimentos · pix</t>
        </is>
      </c>
      <c r="G547" s="36" t="n">
        <v>910</v>
      </c>
      <c r="H547" s="32" t="inlineStr">
        <is>
          <t>Pix</t>
        </is>
      </c>
      <c r="I547" s="32" t="inlineStr">
        <is>
          <t>Sim</t>
        </is>
      </c>
      <c r="J547" s="35">
        <f>IF(A547="","",MONTH(A547))</f>
        <v>7</v>
      </c>
      <c r="K547" s="35">
        <f>IF(A547="","",YEAR(A547))</f>
        <v>2026</v>
      </c>
    </row>
    <row r="548">
      <c r="A548" s="39" t="n">
        <v>46225</v>
      </c>
      <c r="B548" s="32" t="inlineStr">
        <is>
          <t>Entrada</t>
        </is>
      </c>
      <c r="C548" s="31" t="inlineStr">
        <is>
          <t>Particular à vista</t>
        </is>
      </c>
      <c r="D548" s="31" t="inlineStr"/>
      <c r="E548" s="31" t="inlineStr">
        <is>
          <t>Fechamento do dia</t>
        </is>
      </c>
      <c r="F548" s="31" t="inlineStr">
        <is>
          <t>Fechamento do dia · 2 atendimentos · cartão de crédito</t>
        </is>
      </c>
      <c r="G548" s="36" t="n">
        <v>760</v>
      </c>
      <c r="H548" s="32" t="inlineStr">
        <is>
          <t>Cartão de crédito</t>
        </is>
      </c>
      <c r="I548" s="32" t="inlineStr">
        <is>
          <t>Sim</t>
        </is>
      </c>
      <c r="J548" s="35">
        <f>IF(A548="","",MONTH(A548))</f>
        <v>7</v>
      </c>
      <c r="K548" s="35">
        <f>IF(A548="","",YEAR(A548))</f>
        <v>2026</v>
      </c>
    </row>
    <row r="549">
      <c r="A549" s="39" t="n">
        <v>46225</v>
      </c>
      <c r="B549" s="32" t="inlineStr">
        <is>
          <t>Entrada</t>
        </is>
      </c>
      <c r="C549" s="31" t="inlineStr">
        <is>
          <t>Particular à vista</t>
        </is>
      </c>
      <c r="D549" s="31" t="inlineStr"/>
      <c r="E549" s="31" t="inlineStr">
        <is>
          <t>Fechamento do dia</t>
        </is>
      </c>
      <c r="F549" s="31" t="inlineStr">
        <is>
          <t>Fechamento do dia · 4 atendimentos · pix</t>
        </is>
      </c>
      <c r="G549" s="36" t="n">
        <v>1520</v>
      </c>
      <c r="H549" s="32" t="inlineStr">
        <is>
          <t>Pix</t>
        </is>
      </c>
      <c r="I549" s="32" t="inlineStr">
        <is>
          <t>Sim</t>
        </is>
      </c>
      <c r="J549" s="35">
        <f>IF(A549="","",MONTH(A549))</f>
        <v>7</v>
      </c>
      <c r="K549" s="35">
        <f>IF(A549="","",YEAR(A549))</f>
        <v>2026</v>
      </c>
    </row>
    <row r="550">
      <c r="A550" s="39" t="n">
        <v>46225</v>
      </c>
      <c r="B550" s="32" t="inlineStr">
        <is>
          <t>Saída</t>
        </is>
      </c>
      <c r="C550" s="31" t="inlineStr">
        <is>
          <t>Materiais e insumos de atendimento</t>
        </is>
      </c>
      <c r="D550" s="31" t="inlineStr"/>
      <c r="E550" s="31" t="inlineStr"/>
      <c r="F550" s="31" t="inlineStr">
        <is>
          <t>Reposição de descartáveis e papel para ECG</t>
        </is>
      </c>
      <c r="G550" s="36" t="n">
        <v>520</v>
      </c>
      <c r="H550" s="32" t="inlineStr">
        <is>
          <t>Cartão de crédito</t>
        </is>
      </c>
      <c r="I550" s="32" t="inlineStr">
        <is>
          <t>Sim</t>
        </is>
      </c>
      <c r="J550" s="35">
        <f>IF(A550="","",MONTH(A550))</f>
        <v>7</v>
      </c>
      <c r="K550" s="35">
        <f>IF(A550="","",YEAR(A550))</f>
        <v>2026</v>
      </c>
    </row>
    <row r="551">
      <c r="A551" s="39" t="n">
        <v>46226</v>
      </c>
      <c r="B551" s="32" t="inlineStr">
        <is>
          <t>Entrada</t>
        </is>
      </c>
      <c r="C551" s="31" t="inlineStr">
        <is>
          <t>Particular a prazo</t>
        </is>
      </c>
      <c r="D551" s="31" t="inlineStr">
        <is>
          <t>Mariana Reis</t>
        </is>
      </c>
      <c r="E551" s="31" t="inlineStr">
        <is>
          <t>Parcela</t>
        </is>
      </c>
      <c r="F551" s="31" t="inlineStr">
        <is>
          <t>Avaliação endócrina de 23/06 · parcela 1/2 (vencida)</t>
        </is>
      </c>
      <c r="G551" s="36" t="n">
        <v>200</v>
      </c>
      <c r="H551" s="32" t="inlineStr">
        <is>
          <t>Pix</t>
        </is>
      </c>
      <c r="I551" s="32" t="inlineStr">
        <is>
          <t>Não</t>
        </is>
      </c>
      <c r="J551" s="35">
        <f>IF(A551="","",MONTH(A551))</f>
        <v>7</v>
      </c>
      <c r="K551" s="35">
        <f>IF(A551="","",YEAR(A551))</f>
        <v>2026</v>
      </c>
    </row>
    <row r="552">
      <c r="A552" s="39" t="n">
        <v>46226</v>
      </c>
      <c r="B552" s="32" t="inlineStr">
        <is>
          <t>Entrada</t>
        </is>
      </c>
      <c r="C552" s="31" t="inlineStr">
        <is>
          <t>Particular a prazo</t>
        </is>
      </c>
      <c r="D552" s="31" t="inlineStr">
        <is>
          <t>Gustavo Ferreira</t>
        </is>
      </c>
      <c r="E552" s="31" t="inlineStr">
        <is>
          <t>Parcela</t>
        </is>
      </c>
      <c r="F552" s="31" t="inlineStr">
        <is>
          <t>Consulta de 18/06 · parcela 1/1</t>
        </is>
      </c>
      <c r="G552" s="36" t="n">
        <v>380</v>
      </c>
      <c r="H552" s="32" t="inlineStr">
        <is>
          <t>Pix</t>
        </is>
      </c>
      <c r="I552" s="32" t="inlineStr">
        <is>
          <t>Sim</t>
        </is>
      </c>
      <c r="J552" s="35">
        <f>IF(A552="","",MONTH(A552))</f>
        <v>7</v>
      </c>
      <c r="K552" s="35">
        <f>IF(A552="","",YEAR(A552))</f>
        <v>2026</v>
      </c>
    </row>
    <row r="553">
      <c r="A553" s="39" t="n">
        <v>46226</v>
      </c>
      <c r="B553" s="32" t="inlineStr">
        <is>
          <t>Entrada</t>
        </is>
      </c>
      <c r="C553" s="31" t="inlineStr">
        <is>
          <t>Particular a prazo</t>
        </is>
      </c>
      <c r="D553" s="31" t="inlineStr">
        <is>
          <t>Elaine Cardoso</t>
        </is>
      </c>
      <c r="E553" s="31" t="inlineStr">
        <is>
          <t>Parcela</t>
        </is>
      </c>
      <c r="F553" s="31" t="inlineStr">
        <is>
          <t>Consulta de 22/06 · parcela 1/2</t>
        </is>
      </c>
      <c r="G553" s="36" t="n">
        <v>190</v>
      </c>
      <c r="H553" s="32" t="inlineStr">
        <is>
          <t>Pix</t>
        </is>
      </c>
      <c r="I553" s="32" t="inlineStr">
        <is>
          <t>Sim</t>
        </is>
      </c>
      <c r="J553" s="35">
        <f>IF(A553="","",MONTH(A553))</f>
        <v>7</v>
      </c>
      <c r="K553" s="35">
        <f>IF(A553="","",YEAR(A553))</f>
        <v>2026</v>
      </c>
    </row>
    <row r="554">
      <c r="A554" s="39" t="n">
        <v>46226</v>
      </c>
      <c r="B554" s="32" t="inlineStr">
        <is>
          <t>Entrada</t>
        </is>
      </c>
      <c r="C554" s="31" t="inlineStr">
        <is>
          <t>Particular à vista</t>
        </is>
      </c>
      <c r="D554" s="31" t="inlineStr"/>
      <c r="E554" s="31" t="inlineStr">
        <is>
          <t>Fechamento do dia</t>
        </is>
      </c>
      <c r="F554" s="31" t="inlineStr">
        <is>
          <t>Fechamento do dia · 1 atendimento · cartão de débito</t>
        </is>
      </c>
      <c r="G554" s="36" t="n">
        <v>380</v>
      </c>
      <c r="H554" s="32" t="inlineStr">
        <is>
          <t>Cartão de débito</t>
        </is>
      </c>
      <c r="I554" s="32" t="inlineStr">
        <is>
          <t>Sim</t>
        </is>
      </c>
      <c r="J554" s="35">
        <f>IF(A554="","",MONTH(A554))</f>
        <v>7</v>
      </c>
      <c r="K554" s="35">
        <f>IF(A554="","",YEAR(A554))</f>
        <v>2026</v>
      </c>
    </row>
    <row r="555">
      <c r="A555" s="39" t="n">
        <v>46226</v>
      </c>
      <c r="B555" s="32" t="inlineStr">
        <is>
          <t>Entrada</t>
        </is>
      </c>
      <c r="C555" s="31" t="inlineStr">
        <is>
          <t>Particular à vista</t>
        </is>
      </c>
      <c r="D555" s="31" t="inlineStr"/>
      <c r="E555" s="31" t="inlineStr">
        <is>
          <t>Fechamento do dia</t>
        </is>
      </c>
      <c r="F555" s="31" t="inlineStr">
        <is>
          <t>Fechamento do dia · 2 atendimentos · pix</t>
        </is>
      </c>
      <c r="G555" s="36" t="n">
        <v>780</v>
      </c>
      <c r="H555" s="32" t="inlineStr">
        <is>
          <t>Pix</t>
        </is>
      </c>
      <c r="I555" s="32" t="inlineStr">
        <is>
          <t>Sim</t>
        </is>
      </c>
      <c r="J555" s="35">
        <f>IF(A555="","",MONTH(A555))</f>
        <v>7</v>
      </c>
      <c r="K555" s="35">
        <f>IF(A555="","",YEAR(A555))</f>
        <v>2026</v>
      </c>
    </row>
    <row r="556">
      <c r="A556" s="39" t="n">
        <v>46226</v>
      </c>
      <c r="B556" s="32" t="inlineStr">
        <is>
          <t>Entrada</t>
        </is>
      </c>
      <c r="C556" s="31" t="inlineStr">
        <is>
          <t>Particular à vista</t>
        </is>
      </c>
      <c r="D556" s="31" t="inlineStr"/>
      <c r="E556" s="31" t="inlineStr">
        <is>
          <t>Fechamento do dia</t>
        </is>
      </c>
      <c r="F556" s="31" t="inlineStr">
        <is>
          <t>Fechamento do dia · 4 atendimentos · cartão de crédito</t>
        </is>
      </c>
      <c r="G556" s="36" t="n">
        <v>1540</v>
      </c>
      <c r="H556" s="32" t="inlineStr">
        <is>
          <t>Cartão de crédito</t>
        </is>
      </c>
      <c r="I556" s="32" t="inlineStr">
        <is>
          <t>Sim</t>
        </is>
      </c>
      <c r="J556" s="35">
        <f>IF(A556="","",MONTH(A556))</f>
        <v>7</v>
      </c>
      <c r="K556" s="35">
        <f>IF(A556="","",YEAR(A556))</f>
        <v>2026</v>
      </c>
    </row>
    <row r="557">
      <c r="A557" s="39" t="n">
        <v>46227</v>
      </c>
      <c r="B557" s="32" t="inlineStr">
        <is>
          <t>Entrada</t>
        </is>
      </c>
      <c r="C557" s="31" t="inlineStr">
        <is>
          <t>Particular a prazo</t>
        </is>
      </c>
      <c r="D557" s="31" t="inlineStr">
        <is>
          <t>Fábio Machado</t>
        </is>
      </c>
      <c r="E557" s="31" t="inlineStr">
        <is>
          <t>Parcela</t>
        </is>
      </c>
      <c r="F557" s="31" t="inlineStr">
        <is>
          <t>Consulta de 23/06 · parcela 1/2</t>
        </is>
      </c>
      <c r="G557" s="36" t="n">
        <v>190</v>
      </c>
      <c r="H557" s="32" t="inlineStr">
        <is>
          <t>Pix</t>
        </is>
      </c>
      <c r="I557" s="32" t="inlineStr">
        <is>
          <t>Sim</t>
        </is>
      </c>
      <c r="J557" s="35">
        <f>IF(A557="","",MONTH(A557))</f>
        <v>7</v>
      </c>
      <c r="K557" s="35">
        <f>IF(A557="","",YEAR(A557))</f>
        <v>2026</v>
      </c>
    </row>
    <row r="558">
      <c r="A558" s="39" t="n">
        <v>46227</v>
      </c>
      <c r="B558" s="32" t="inlineStr">
        <is>
          <t>Entrada</t>
        </is>
      </c>
      <c r="C558" s="31" t="inlineStr">
        <is>
          <t>Particular à vista</t>
        </is>
      </c>
      <c r="D558" s="31" t="inlineStr"/>
      <c r="E558" s="31" t="inlineStr">
        <is>
          <t>Fechamento do dia</t>
        </is>
      </c>
      <c r="F558" s="31" t="inlineStr">
        <is>
          <t>Fechamento do dia · 1 atendimento · dinheiro</t>
        </is>
      </c>
      <c r="G558" s="36" t="n">
        <v>450</v>
      </c>
      <c r="H558" s="32" t="inlineStr">
        <is>
          <t>Dinheiro</t>
        </is>
      </c>
      <c r="I558" s="32" t="inlineStr">
        <is>
          <t>Sim</t>
        </is>
      </c>
      <c r="J558" s="35">
        <f>IF(A558="","",MONTH(A558))</f>
        <v>7</v>
      </c>
      <c r="K558" s="35">
        <f>IF(A558="","",YEAR(A558))</f>
        <v>2026</v>
      </c>
    </row>
    <row r="559">
      <c r="A559" s="39" t="n">
        <v>46227</v>
      </c>
      <c r="B559" s="32" t="inlineStr">
        <is>
          <t>Entrada</t>
        </is>
      </c>
      <c r="C559" s="31" t="inlineStr">
        <is>
          <t>Particular à vista</t>
        </is>
      </c>
      <c r="D559" s="31" t="inlineStr"/>
      <c r="E559" s="31" t="inlineStr">
        <is>
          <t>Fechamento do dia</t>
        </is>
      </c>
      <c r="F559" s="31" t="inlineStr">
        <is>
          <t>Fechamento do dia · 1 atendimento · pix</t>
        </is>
      </c>
      <c r="G559" s="36" t="n">
        <v>130</v>
      </c>
      <c r="H559" s="32" t="inlineStr">
        <is>
          <t>Pix</t>
        </is>
      </c>
      <c r="I559" s="32" t="inlineStr">
        <is>
          <t>Sim</t>
        </is>
      </c>
      <c r="J559" s="35">
        <f>IF(A559="","",MONTH(A559))</f>
        <v>7</v>
      </c>
      <c r="K559" s="35">
        <f>IF(A559="","",YEAR(A559))</f>
        <v>2026</v>
      </c>
    </row>
    <row r="560">
      <c r="A560" s="39" t="n">
        <v>46230</v>
      </c>
      <c r="B560" s="32" t="inlineStr">
        <is>
          <t>Entrada</t>
        </is>
      </c>
      <c r="C560" s="31" t="inlineStr">
        <is>
          <t>Particular a prazo</t>
        </is>
      </c>
      <c r="D560" s="31" t="inlineStr">
        <is>
          <t>Cláudia Costa</t>
        </is>
      </c>
      <c r="E560" s="31" t="inlineStr">
        <is>
          <t>Parcela</t>
        </is>
      </c>
      <c r="F560" s="31" t="inlineStr">
        <is>
          <t>Consulta de 22/06 · parcela 1/2</t>
        </is>
      </c>
      <c r="G560" s="36" t="n">
        <v>190</v>
      </c>
      <c r="H560" s="32" t="inlineStr">
        <is>
          <t>Pix</t>
        </is>
      </c>
      <c r="I560" s="32" t="inlineStr">
        <is>
          <t>Sim</t>
        </is>
      </c>
      <c r="J560" s="35">
        <f>IF(A560="","",MONTH(A560))</f>
        <v>7</v>
      </c>
      <c r="K560" s="35">
        <f>IF(A560="","",YEAR(A560))</f>
        <v>2026</v>
      </c>
    </row>
    <row r="561">
      <c r="A561" s="39" t="n">
        <v>46230</v>
      </c>
      <c r="B561" s="32" t="inlineStr">
        <is>
          <t>Entrada</t>
        </is>
      </c>
      <c r="C561" s="31" t="inlineStr">
        <is>
          <t>Particular a prazo</t>
        </is>
      </c>
      <c r="D561" s="31" t="inlineStr">
        <is>
          <t>Helena Moreira</t>
        </is>
      </c>
      <c r="E561" s="31" t="inlineStr">
        <is>
          <t>Parcela</t>
        </is>
      </c>
      <c r="F561" s="31" t="inlineStr">
        <is>
          <t>Consulta de 25/06 · parcela 1/1</t>
        </is>
      </c>
      <c r="G561" s="36" t="n">
        <v>380</v>
      </c>
      <c r="H561" s="32" t="inlineStr">
        <is>
          <t>Pix</t>
        </is>
      </c>
      <c r="I561" s="32" t="inlineStr">
        <is>
          <t>Sim</t>
        </is>
      </c>
      <c r="J561" s="35">
        <f>IF(A561="","",MONTH(A561))</f>
        <v>7</v>
      </c>
      <c r="K561" s="35">
        <f>IF(A561="","",YEAR(A561))</f>
        <v>2026</v>
      </c>
    </row>
    <row r="562">
      <c r="A562" s="39" t="n">
        <v>46230</v>
      </c>
      <c r="B562" s="32" t="inlineStr">
        <is>
          <t>Entrada</t>
        </is>
      </c>
      <c r="C562" s="31" t="inlineStr">
        <is>
          <t>Particular à vista</t>
        </is>
      </c>
      <c r="D562" s="31" t="inlineStr"/>
      <c r="E562" s="31" t="inlineStr">
        <is>
          <t>Fechamento do dia</t>
        </is>
      </c>
      <c r="F562" s="31" t="inlineStr">
        <is>
          <t>Fechamento do dia · 1 atendimento · cartão de crédito</t>
        </is>
      </c>
      <c r="G562" s="36" t="n">
        <v>380</v>
      </c>
      <c r="H562" s="32" t="inlineStr">
        <is>
          <t>Cartão de crédito</t>
        </is>
      </c>
      <c r="I562" s="32" t="inlineStr">
        <is>
          <t>Sim</t>
        </is>
      </c>
      <c r="J562" s="35">
        <f>IF(A562="","",MONTH(A562))</f>
        <v>7</v>
      </c>
      <c r="K562" s="35">
        <f>IF(A562="","",YEAR(A562))</f>
        <v>2026</v>
      </c>
    </row>
    <row r="563">
      <c r="A563" s="39" t="n">
        <v>46230</v>
      </c>
      <c r="B563" s="32" t="inlineStr">
        <is>
          <t>Entrada</t>
        </is>
      </c>
      <c r="C563" s="31" t="inlineStr">
        <is>
          <t>Particular à vista</t>
        </is>
      </c>
      <c r="D563" s="31" t="inlineStr"/>
      <c r="E563" s="31" t="inlineStr">
        <is>
          <t>Fechamento do dia</t>
        </is>
      </c>
      <c r="F563" s="31" t="inlineStr">
        <is>
          <t>Fechamento do dia · 1 atendimento · dinheiro</t>
        </is>
      </c>
      <c r="G563" s="36" t="n">
        <v>380</v>
      </c>
      <c r="H563" s="32" t="inlineStr">
        <is>
          <t>Dinheiro</t>
        </is>
      </c>
      <c r="I563" s="32" t="inlineStr">
        <is>
          <t>Sim</t>
        </is>
      </c>
      <c r="J563" s="35">
        <f>IF(A563="","",MONTH(A563))</f>
        <v>7</v>
      </c>
      <c r="K563" s="35">
        <f>IF(A563="","",YEAR(A563))</f>
        <v>2026</v>
      </c>
    </row>
    <row r="564">
      <c r="A564" s="39" t="n">
        <v>46230</v>
      </c>
      <c r="B564" s="32" t="inlineStr">
        <is>
          <t>Entrada</t>
        </is>
      </c>
      <c r="C564" s="31" t="inlineStr">
        <is>
          <t>Particular à vista</t>
        </is>
      </c>
      <c r="D564" s="31" t="inlineStr"/>
      <c r="E564" s="31" t="inlineStr">
        <is>
          <t>Fechamento do dia</t>
        </is>
      </c>
      <c r="F564" s="31" t="inlineStr">
        <is>
          <t>Fechamento do dia · 1 atendimento · pix</t>
        </is>
      </c>
      <c r="G564" s="36" t="n">
        <v>380</v>
      </c>
      <c r="H564" s="32" t="inlineStr">
        <is>
          <t>Pix</t>
        </is>
      </c>
      <c r="I564" s="32" t="inlineStr">
        <is>
          <t>Sim</t>
        </is>
      </c>
      <c r="J564" s="35">
        <f>IF(A564="","",MONTH(A564))</f>
        <v>7</v>
      </c>
      <c r="K564" s="35">
        <f>IF(A564="","",YEAR(A564))</f>
        <v>2026</v>
      </c>
    </row>
    <row r="565">
      <c r="A565" s="39" t="n">
        <v>46231</v>
      </c>
      <c r="B565" s="32" t="inlineStr">
        <is>
          <t>Entrada</t>
        </is>
      </c>
      <c r="C565" s="31" t="inlineStr">
        <is>
          <t>Particular a prazo</t>
        </is>
      </c>
      <c r="D565" s="31" t="inlineStr">
        <is>
          <t>Mariana Nascimento</t>
        </is>
      </c>
      <c r="E565" s="31" t="inlineStr">
        <is>
          <t>Parcela</t>
        </is>
      </c>
      <c r="F565" s="31" t="inlineStr">
        <is>
          <t>Consulta de 28/05 · parcela 2/2</t>
        </is>
      </c>
      <c r="G565" s="36" t="n">
        <v>190</v>
      </c>
      <c r="H565" s="32" t="inlineStr">
        <is>
          <t>Pix</t>
        </is>
      </c>
      <c r="I565" s="32" t="inlineStr">
        <is>
          <t>Sim</t>
        </is>
      </c>
      <c r="J565" s="35">
        <f>IF(A565="","",MONTH(A565))</f>
        <v>7</v>
      </c>
      <c r="K565" s="35">
        <f>IF(A565="","",YEAR(A565))</f>
        <v>2026</v>
      </c>
    </row>
    <row r="566">
      <c r="A566" s="39" t="n">
        <v>46231</v>
      </c>
      <c r="B566" s="32" t="inlineStr">
        <is>
          <t>Entrada</t>
        </is>
      </c>
      <c r="C566" s="31" t="inlineStr">
        <is>
          <t>Particular à vista</t>
        </is>
      </c>
      <c r="D566" s="31" t="inlineStr"/>
      <c r="E566" s="31" t="inlineStr">
        <is>
          <t>Fechamento do dia</t>
        </is>
      </c>
      <c r="F566" s="31" t="inlineStr">
        <is>
          <t>Fechamento do dia · 1 atendimento · pix</t>
        </is>
      </c>
      <c r="G566" s="36" t="n">
        <v>400</v>
      </c>
      <c r="H566" s="32" t="inlineStr">
        <is>
          <t>Pix</t>
        </is>
      </c>
      <c r="I566" s="32" t="inlineStr">
        <is>
          <t>Sim</t>
        </is>
      </c>
      <c r="J566" s="35">
        <f>IF(A566="","",MONTH(A566))</f>
        <v>7</v>
      </c>
      <c r="K566" s="35">
        <f>IF(A566="","",YEAR(A566))</f>
        <v>2026</v>
      </c>
    </row>
    <row r="567">
      <c r="A567" s="39" t="n">
        <v>46231</v>
      </c>
      <c r="B567" s="32" t="inlineStr">
        <is>
          <t>Entrada</t>
        </is>
      </c>
      <c r="C567" s="31" t="inlineStr">
        <is>
          <t>Particular à vista</t>
        </is>
      </c>
      <c r="D567" s="31" t="inlineStr"/>
      <c r="E567" s="31" t="inlineStr">
        <is>
          <t>Fechamento do dia</t>
        </is>
      </c>
      <c r="F567" s="31" t="inlineStr">
        <is>
          <t>Fechamento do dia · 2 atendimentos · cartão de débito</t>
        </is>
      </c>
      <c r="G567" s="36" t="n">
        <v>760</v>
      </c>
      <c r="H567" s="32" t="inlineStr">
        <is>
          <t>Cartão de débito</t>
        </is>
      </c>
      <c r="I567" s="32" t="inlineStr">
        <is>
          <t>Sim</t>
        </is>
      </c>
      <c r="J567" s="35">
        <f>IF(A567="","",MONTH(A567))</f>
        <v>7</v>
      </c>
      <c r="K567" s="35">
        <f>IF(A567="","",YEAR(A567))</f>
        <v>2026</v>
      </c>
    </row>
    <row r="568">
      <c r="A568" s="39" t="n">
        <v>46231</v>
      </c>
      <c r="B568" s="32" t="inlineStr">
        <is>
          <t>Entrada</t>
        </is>
      </c>
      <c r="C568" s="31" t="inlineStr">
        <is>
          <t>Particular à vista</t>
        </is>
      </c>
      <c r="D568" s="31" t="inlineStr"/>
      <c r="E568" s="31" t="inlineStr">
        <is>
          <t>Fechamento do dia</t>
        </is>
      </c>
      <c r="F568" s="31" t="inlineStr">
        <is>
          <t>Fechamento do dia · 3 atendimentos · cartão de crédito</t>
        </is>
      </c>
      <c r="G568" s="36" t="n">
        <v>1230</v>
      </c>
      <c r="H568" s="32" t="inlineStr">
        <is>
          <t>Cartão de crédito</t>
        </is>
      </c>
      <c r="I568" s="32" t="inlineStr">
        <is>
          <t>Sim</t>
        </is>
      </c>
      <c r="J568" s="35">
        <f>IF(A568="","",MONTH(A568))</f>
        <v>7</v>
      </c>
      <c r="K568" s="35">
        <f>IF(A568="","",YEAR(A568))</f>
        <v>2026</v>
      </c>
    </row>
    <row r="569">
      <c r="A569" s="39" t="n">
        <v>46231</v>
      </c>
      <c r="B569" s="32" t="inlineStr">
        <is>
          <t>Saída</t>
        </is>
      </c>
      <c r="C569" s="31" t="inlineStr">
        <is>
          <t>Pró-labore dos sócios</t>
        </is>
      </c>
      <c r="D569" s="31" t="inlineStr"/>
      <c r="E569" s="31" t="inlineStr"/>
      <c r="F569" s="31" t="inlineStr">
        <is>
          <t>Pró-labore · Dr. Paulo Andrade</t>
        </is>
      </c>
      <c r="G569" s="36" t="n">
        <v>9000</v>
      </c>
      <c r="H569" s="32" t="inlineStr">
        <is>
          <t>Transferência</t>
        </is>
      </c>
      <c r="I569" s="32" t="inlineStr">
        <is>
          <t>Sim</t>
        </is>
      </c>
      <c r="J569" s="35">
        <f>IF(A569="","",MONTH(A569))</f>
        <v>7</v>
      </c>
      <c r="K569" s="35">
        <f>IF(A569="","",YEAR(A569))</f>
        <v>2026</v>
      </c>
    </row>
    <row r="570">
      <c r="A570" s="39" t="n">
        <v>46231</v>
      </c>
      <c r="B570" s="32" t="inlineStr">
        <is>
          <t>Saída</t>
        </is>
      </c>
      <c r="C570" s="31" t="inlineStr">
        <is>
          <t>Pró-labore dos sócios</t>
        </is>
      </c>
      <c r="D570" s="31" t="inlineStr"/>
      <c r="E570" s="31" t="inlineStr"/>
      <c r="F570" s="31" t="inlineStr">
        <is>
          <t>Pró-labore · Dra. Carolina Mendes</t>
        </is>
      </c>
      <c r="G570" s="36" t="n">
        <v>9000</v>
      </c>
      <c r="H570" s="32" t="inlineStr">
        <is>
          <t>Transferência</t>
        </is>
      </c>
      <c r="I570" s="32" t="inlineStr">
        <is>
          <t>Sim</t>
        </is>
      </c>
      <c r="J570" s="35">
        <f>IF(A570="","",MONTH(A570))</f>
        <v>7</v>
      </c>
      <c r="K570" s="35">
        <f>IF(A570="","",YEAR(A570))</f>
        <v>2026</v>
      </c>
    </row>
    <row r="571">
      <c r="A571" s="39" t="n">
        <v>46232</v>
      </c>
      <c r="B571" s="32" t="inlineStr">
        <is>
          <t>Entrada</t>
        </is>
      </c>
      <c r="C571" s="31" t="inlineStr">
        <is>
          <t>Particular à vista</t>
        </is>
      </c>
      <c r="D571" s="31" t="inlineStr"/>
      <c r="E571" s="31" t="inlineStr">
        <is>
          <t>Fechamento do dia</t>
        </is>
      </c>
      <c r="F571" s="31" t="inlineStr">
        <is>
          <t>Fechamento do dia · 2 atendimentos · cartão de débito</t>
        </is>
      </c>
      <c r="G571" s="36" t="n">
        <v>760</v>
      </c>
      <c r="H571" s="32" t="inlineStr">
        <is>
          <t>Cartão de débito</t>
        </is>
      </c>
      <c r="I571" s="32" t="inlineStr">
        <is>
          <t>Sim</t>
        </is>
      </c>
      <c r="J571" s="35">
        <f>IF(A571="","",MONTH(A571))</f>
        <v>7</v>
      </c>
      <c r="K571" s="35">
        <f>IF(A571="","",YEAR(A571))</f>
        <v>2026</v>
      </c>
    </row>
    <row r="572">
      <c r="A572" s="39" t="n">
        <v>46232</v>
      </c>
      <c r="B572" s="32" t="inlineStr">
        <is>
          <t>Entrada</t>
        </is>
      </c>
      <c r="C572" s="31" t="inlineStr">
        <is>
          <t>Particular à vista</t>
        </is>
      </c>
      <c r="D572" s="31" t="inlineStr"/>
      <c r="E572" s="31" t="inlineStr">
        <is>
          <t>Fechamento do dia</t>
        </is>
      </c>
      <c r="F572" s="31" t="inlineStr">
        <is>
          <t>Fechamento do dia · 2 atendimentos · pix</t>
        </is>
      </c>
      <c r="G572" s="36" t="n">
        <v>760</v>
      </c>
      <c r="H572" s="32" t="inlineStr">
        <is>
          <t>Pix</t>
        </is>
      </c>
      <c r="I572" s="32" t="inlineStr">
        <is>
          <t>Sim</t>
        </is>
      </c>
      <c r="J572" s="35">
        <f>IF(A572="","",MONTH(A572))</f>
        <v>7</v>
      </c>
      <c r="K572" s="35">
        <f>IF(A572="","",YEAR(A572))</f>
        <v>2026</v>
      </c>
    </row>
    <row r="573">
      <c r="A573" s="39" t="n">
        <v>46233</v>
      </c>
      <c r="B573" s="32" t="inlineStr">
        <is>
          <t>Entrada</t>
        </is>
      </c>
      <c r="C573" s="31" t="inlineStr">
        <is>
          <t>Particular à vista</t>
        </is>
      </c>
      <c r="D573" s="31" t="inlineStr"/>
      <c r="E573" s="31" t="inlineStr">
        <is>
          <t>Fechamento do dia</t>
        </is>
      </c>
      <c r="F573" s="31" t="inlineStr">
        <is>
          <t>Fechamento do dia · 1 atendimento · cartão de crédito</t>
        </is>
      </c>
      <c r="G573" s="36" t="n">
        <v>400</v>
      </c>
      <c r="H573" s="32" t="inlineStr">
        <is>
          <t>Cartão de crédito</t>
        </is>
      </c>
      <c r="I573" s="32" t="inlineStr">
        <is>
          <t>Sim</t>
        </is>
      </c>
      <c r="J573" s="35">
        <f>IF(A573="","",MONTH(A573))</f>
        <v>7</v>
      </c>
      <c r="K573" s="35">
        <f>IF(A573="","",YEAR(A573))</f>
        <v>2026</v>
      </c>
    </row>
    <row r="574">
      <c r="A574" s="39" t="n">
        <v>46233</v>
      </c>
      <c r="B574" s="32" t="inlineStr">
        <is>
          <t>Entrada</t>
        </is>
      </c>
      <c r="C574" s="31" t="inlineStr">
        <is>
          <t>Particular à vista</t>
        </is>
      </c>
      <c r="D574" s="31" t="inlineStr"/>
      <c r="E574" s="31" t="inlineStr">
        <is>
          <t>Fechamento do dia</t>
        </is>
      </c>
      <c r="F574" s="31" t="inlineStr">
        <is>
          <t>Fechamento do dia · 1 atendimento · dinheiro</t>
        </is>
      </c>
      <c r="G574" s="36" t="n">
        <v>380</v>
      </c>
      <c r="H574" s="32" t="inlineStr">
        <is>
          <t>Dinheiro</t>
        </is>
      </c>
      <c r="I574" s="32" t="inlineStr">
        <is>
          <t>Sim</t>
        </is>
      </c>
      <c r="J574" s="35">
        <f>IF(A574="","",MONTH(A574))</f>
        <v>7</v>
      </c>
      <c r="K574" s="35">
        <f>IF(A574="","",YEAR(A574))</f>
        <v>2026</v>
      </c>
    </row>
    <row r="575">
      <c r="A575" s="39" t="n">
        <v>46233</v>
      </c>
      <c r="B575" s="32" t="inlineStr">
        <is>
          <t>Entrada</t>
        </is>
      </c>
      <c r="C575" s="31" t="inlineStr">
        <is>
          <t>Particular à vista</t>
        </is>
      </c>
      <c r="D575" s="31" t="inlineStr"/>
      <c r="E575" s="31" t="inlineStr">
        <is>
          <t>Fechamento do dia</t>
        </is>
      </c>
      <c r="F575" s="31" t="inlineStr">
        <is>
          <t>Fechamento do dia · 2 atendimentos · pix</t>
        </is>
      </c>
      <c r="G575" s="36" t="n">
        <v>760</v>
      </c>
      <c r="H575" s="32" t="inlineStr">
        <is>
          <t>Pix</t>
        </is>
      </c>
      <c r="I575" s="32" t="inlineStr">
        <is>
          <t>Sim</t>
        </is>
      </c>
      <c r="J575" s="35">
        <f>IF(A575="","",MONTH(A575))</f>
        <v>7</v>
      </c>
      <c r="K575" s="35">
        <f>IF(A575="","",YEAR(A575))</f>
        <v>2026</v>
      </c>
    </row>
    <row r="576">
      <c r="A576" s="39" t="n">
        <v>46234</v>
      </c>
      <c r="B576" s="32" t="inlineStr">
        <is>
          <t>Entrada</t>
        </is>
      </c>
      <c r="C576" s="31" t="inlineStr">
        <is>
          <t>Particular a prazo</t>
        </is>
      </c>
      <c r="D576" s="31" t="inlineStr">
        <is>
          <t>Patrícia Dias</t>
        </is>
      </c>
      <c r="E576" s="31" t="inlineStr">
        <is>
          <t>Parcela</t>
        </is>
      </c>
      <c r="F576" s="31" t="inlineStr">
        <is>
          <t>Avaliação endócrina de 30/06 · parcela 1/1</t>
        </is>
      </c>
      <c r="G576" s="36" t="n">
        <v>400</v>
      </c>
      <c r="H576" s="32" t="inlineStr">
        <is>
          <t>Pix</t>
        </is>
      </c>
      <c r="I576" s="32" t="inlineStr">
        <is>
          <t>Sim</t>
        </is>
      </c>
      <c r="J576" s="35">
        <f>IF(A576="","",MONTH(A576))</f>
        <v>7</v>
      </c>
      <c r="K576" s="35">
        <f>IF(A576="","",YEAR(A576))</f>
        <v>2026</v>
      </c>
    </row>
    <row r="577">
      <c r="A577" s="39" t="n">
        <v>46234</v>
      </c>
      <c r="B577" s="32" t="inlineStr">
        <is>
          <t>Entrada</t>
        </is>
      </c>
      <c r="C577" s="31" t="inlineStr">
        <is>
          <t>Particular a prazo</t>
        </is>
      </c>
      <c r="D577" s="31" t="inlineStr">
        <is>
          <t>Roberta Lima</t>
        </is>
      </c>
      <c r="E577" s="31" t="inlineStr">
        <is>
          <t>Parcela</t>
        </is>
      </c>
      <c r="F577" s="31" t="inlineStr">
        <is>
          <t>Avaliação endócrina de 30/06 · parcela 1/2</t>
        </is>
      </c>
      <c r="G577" s="36" t="n">
        <v>200</v>
      </c>
      <c r="H577" s="32" t="inlineStr">
        <is>
          <t>Pix</t>
        </is>
      </c>
      <c r="I577" s="32" t="inlineStr">
        <is>
          <t>Sim</t>
        </is>
      </c>
      <c r="J577" s="35">
        <f>IF(A577="","",MONTH(A577))</f>
        <v>7</v>
      </c>
      <c r="K577" s="35">
        <f>IF(A577="","",YEAR(A577))</f>
        <v>2026</v>
      </c>
    </row>
    <row r="578">
      <c r="A578" s="39" t="n">
        <v>46234</v>
      </c>
      <c r="B578" s="32" t="inlineStr">
        <is>
          <t>Entrada</t>
        </is>
      </c>
      <c r="C578" s="31" t="inlineStr">
        <is>
          <t>Particular à vista</t>
        </is>
      </c>
      <c r="D578" s="31" t="inlineStr"/>
      <c r="E578" s="31" t="inlineStr">
        <is>
          <t>Fechamento do dia</t>
        </is>
      </c>
      <c r="F578" s="31" t="inlineStr">
        <is>
          <t>Fechamento do dia · 1 atendimento · cartão de débito</t>
        </is>
      </c>
      <c r="G578" s="36" t="n">
        <v>380</v>
      </c>
      <c r="H578" s="32" t="inlineStr">
        <is>
          <t>Cartão de débito</t>
        </is>
      </c>
      <c r="I578" s="32" t="inlineStr">
        <is>
          <t>Sim</t>
        </is>
      </c>
      <c r="J578" s="35">
        <f>IF(A578="","",MONTH(A578))</f>
        <v>7</v>
      </c>
      <c r="K578" s="35">
        <f>IF(A578="","",YEAR(A578))</f>
        <v>2026</v>
      </c>
    </row>
    <row r="579">
      <c r="A579" s="39" t="n">
        <v>46234</v>
      </c>
      <c r="B579" s="32" t="inlineStr">
        <is>
          <t>Entrada</t>
        </is>
      </c>
      <c r="C579" s="31" t="inlineStr">
        <is>
          <t>Particular à vista</t>
        </is>
      </c>
      <c r="D579" s="31" t="inlineStr"/>
      <c r="E579" s="31" t="inlineStr">
        <is>
          <t>Fechamento do dia</t>
        </is>
      </c>
      <c r="F579" s="31" t="inlineStr">
        <is>
          <t>Fechamento do dia · 3 atendimentos · cartão de crédito</t>
        </is>
      </c>
      <c r="G579" s="36" t="n">
        <v>960</v>
      </c>
      <c r="H579" s="32" t="inlineStr">
        <is>
          <t>Cartão de crédito</t>
        </is>
      </c>
      <c r="I579" s="32" t="inlineStr">
        <is>
          <t>Sim</t>
        </is>
      </c>
      <c r="J579" s="35">
        <f>IF(A579="","",MONTH(A579))</f>
        <v>7</v>
      </c>
      <c r="K579" s="35">
        <f>IF(A579="","",YEAR(A579))</f>
        <v>2026</v>
      </c>
    </row>
    <row r="580">
      <c r="A580" s="39" t="n">
        <v>46234</v>
      </c>
      <c r="B580" s="32" t="inlineStr">
        <is>
          <t>Saída</t>
        </is>
      </c>
      <c r="C580" s="31" t="inlineStr">
        <is>
          <t>Taxas de cartão</t>
        </is>
      </c>
      <c r="D580" s="31" t="inlineStr"/>
      <c r="E580" s="31" t="inlineStr"/>
      <c r="F580" s="31" t="inlineStr">
        <is>
          <t>Taxas da operadora de cartão · vendas de jul</t>
        </is>
      </c>
      <c r="G580" s="36" t="n">
        <v>641.77</v>
      </c>
      <c r="H580" s="32" t="inlineStr">
        <is>
          <t>Transferência</t>
        </is>
      </c>
      <c r="I580" s="32" t="inlineStr">
        <is>
          <t>Sim</t>
        </is>
      </c>
      <c r="J580" s="35">
        <f>IF(A580="","",MONTH(A580))</f>
        <v>7</v>
      </c>
      <c r="K580" s="35">
        <f>IF(A580="","",YEAR(A580))</f>
        <v>2026</v>
      </c>
    </row>
    <row r="581">
      <c r="A581" s="39" t="n">
        <v>46235</v>
      </c>
      <c r="B581" s="32" t="inlineStr">
        <is>
          <t>Entrada</t>
        </is>
      </c>
      <c r="C581" s="31" t="inlineStr">
        <is>
          <t>Particular a prazo</t>
        </is>
      </c>
      <c r="D581" s="31" t="inlineStr">
        <is>
          <t>Marcelo Moreira</t>
        </is>
      </c>
      <c r="E581" s="31" t="inlineStr">
        <is>
          <t>Parcela</t>
        </is>
      </c>
      <c r="F581" s="31" t="inlineStr">
        <is>
          <t>MAPA de 02/06 · parcela 2/2</t>
        </is>
      </c>
      <c r="G581" s="36" t="n">
        <v>150</v>
      </c>
      <c r="H581" s="32" t="inlineStr">
        <is>
          <t>Pix</t>
        </is>
      </c>
      <c r="I581" s="32" t="inlineStr">
        <is>
          <t>Sim</t>
        </is>
      </c>
      <c r="J581" s="35">
        <f>IF(A581="","",MONTH(A581))</f>
        <v>8</v>
      </c>
      <c r="K581" s="35">
        <f>IF(A581="","",YEAR(A581))</f>
        <v>2026</v>
      </c>
    </row>
    <row r="582">
      <c r="A582" s="39" t="n">
        <v>46236</v>
      </c>
      <c r="B582" s="32" t="inlineStr">
        <is>
          <t>Entrada</t>
        </is>
      </c>
      <c r="C582" s="31" t="inlineStr">
        <is>
          <t>Particular a prazo</t>
        </is>
      </c>
      <c r="D582" s="31" t="inlineStr">
        <is>
          <t>Gustavo Pinto</t>
        </is>
      </c>
      <c r="E582" s="31" t="inlineStr">
        <is>
          <t>Parcela</t>
        </is>
      </c>
      <c r="F582" s="31" t="inlineStr">
        <is>
          <t>Consulta de 29/05 · parcela 2/2</t>
        </is>
      </c>
      <c r="G582" s="36" t="n">
        <v>190</v>
      </c>
      <c r="H582" s="32" t="inlineStr">
        <is>
          <t>Pix</t>
        </is>
      </c>
      <c r="I582" s="32" t="inlineStr">
        <is>
          <t>Sim</t>
        </is>
      </c>
      <c r="J582" s="35">
        <f>IF(A582="","",MONTH(A582))</f>
        <v>8</v>
      </c>
      <c r="K582" s="35">
        <f>IF(A582="","",YEAR(A582))</f>
        <v>2026</v>
      </c>
    </row>
    <row r="583">
      <c r="A583" s="39" t="n">
        <v>46237</v>
      </c>
      <c r="B583" s="32" t="inlineStr">
        <is>
          <t>Entrada</t>
        </is>
      </c>
      <c r="C583" s="31" t="inlineStr">
        <is>
          <t>Particular à vista</t>
        </is>
      </c>
      <c r="D583" s="31" t="inlineStr"/>
      <c r="E583" s="31" t="inlineStr">
        <is>
          <t>Fechamento do dia</t>
        </is>
      </c>
      <c r="F583" s="31" t="inlineStr">
        <is>
          <t>Fechamento do dia · 1 atendimento · cartão de crédito</t>
        </is>
      </c>
      <c r="G583" s="36" t="n">
        <v>380</v>
      </c>
      <c r="H583" s="32" t="inlineStr">
        <is>
          <t>Cartão de crédito</t>
        </is>
      </c>
      <c r="I583" s="32" t="inlineStr">
        <is>
          <t>Sim</t>
        </is>
      </c>
      <c r="J583" s="35">
        <f>IF(A583="","",MONTH(A583))</f>
        <v>8</v>
      </c>
      <c r="K583" s="35">
        <f>IF(A583="","",YEAR(A583))</f>
        <v>2026</v>
      </c>
    </row>
    <row r="584">
      <c r="A584" s="39" t="n">
        <v>46237</v>
      </c>
      <c r="B584" s="32" t="inlineStr">
        <is>
          <t>Entrada</t>
        </is>
      </c>
      <c r="C584" s="31" t="inlineStr">
        <is>
          <t>Particular à vista</t>
        </is>
      </c>
      <c r="D584" s="31" t="inlineStr"/>
      <c r="E584" s="31" t="inlineStr">
        <is>
          <t>Fechamento do dia</t>
        </is>
      </c>
      <c r="F584" s="31" t="inlineStr">
        <is>
          <t>Fechamento do dia · 1 atendimento · cartão de débito</t>
        </is>
      </c>
      <c r="G584" s="36" t="n">
        <v>300</v>
      </c>
      <c r="H584" s="32" t="inlineStr">
        <is>
          <t>Cartão de débito</t>
        </is>
      </c>
      <c r="I584" s="32" t="inlineStr">
        <is>
          <t>Sim</t>
        </is>
      </c>
      <c r="J584" s="35">
        <f>IF(A584="","",MONTH(A584))</f>
        <v>8</v>
      </c>
      <c r="K584" s="35">
        <f>IF(A584="","",YEAR(A584))</f>
        <v>2026</v>
      </c>
    </row>
    <row r="585">
      <c r="A585" s="39" t="n">
        <v>46238</v>
      </c>
      <c r="B585" s="32" t="inlineStr">
        <is>
          <t>Entrada</t>
        </is>
      </c>
      <c r="C585" s="31" t="inlineStr">
        <is>
          <t>Particular à vista</t>
        </is>
      </c>
      <c r="D585" s="31" t="inlineStr"/>
      <c r="E585" s="31" t="inlineStr">
        <is>
          <t>Fechamento do dia</t>
        </is>
      </c>
      <c r="F585" s="31" t="inlineStr">
        <is>
          <t>Fechamento do dia · 1 atendimento · dinheiro</t>
        </is>
      </c>
      <c r="G585" s="36" t="n">
        <v>400</v>
      </c>
      <c r="H585" s="32" t="inlineStr">
        <is>
          <t>Dinheiro</t>
        </is>
      </c>
      <c r="I585" s="32" t="inlineStr">
        <is>
          <t>Sim</t>
        </is>
      </c>
      <c r="J585" s="35">
        <f>IF(A585="","",MONTH(A585))</f>
        <v>8</v>
      </c>
      <c r="K585" s="35">
        <f>IF(A585="","",YEAR(A585))</f>
        <v>2026</v>
      </c>
    </row>
    <row r="586">
      <c r="A586" s="39" t="n">
        <v>46238</v>
      </c>
      <c r="B586" s="32" t="inlineStr">
        <is>
          <t>Entrada</t>
        </is>
      </c>
      <c r="C586" s="31" t="inlineStr">
        <is>
          <t>Particular à vista</t>
        </is>
      </c>
      <c r="D586" s="31" t="inlineStr"/>
      <c r="E586" s="31" t="inlineStr">
        <is>
          <t>Fechamento do dia</t>
        </is>
      </c>
      <c r="F586" s="31" t="inlineStr">
        <is>
          <t>Fechamento do dia · 2 atendimentos · cartão de crédito</t>
        </is>
      </c>
      <c r="G586" s="36" t="n">
        <v>760</v>
      </c>
      <c r="H586" s="32" t="inlineStr">
        <is>
          <t>Cartão de crédito</t>
        </is>
      </c>
      <c r="I586" s="32" t="inlineStr">
        <is>
          <t>Sim</t>
        </is>
      </c>
      <c r="J586" s="35">
        <f>IF(A586="","",MONTH(A586))</f>
        <v>8</v>
      </c>
      <c r="K586" s="35">
        <f>IF(A586="","",YEAR(A586))</f>
        <v>2026</v>
      </c>
    </row>
    <row r="587">
      <c r="A587" s="39" t="n">
        <v>46238</v>
      </c>
      <c r="B587" s="32" t="inlineStr">
        <is>
          <t>Entrada</t>
        </is>
      </c>
      <c r="C587" s="31" t="inlineStr">
        <is>
          <t>Particular à vista</t>
        </is>
      </c>
      <c r="D587" s="31" t="inlineStr"/>
      <c r="E587" s="31" t="inlineStr">
        <is>
          <t>Fechamento do dia</t>
        </is>
      </c>
      <c r="F587" s="31" t="inlineStr">
        <is>
          <t>Fechamento do dia · 2 atendimentos · pix</t>
        </is>
      </c>
      <c r="G587" s="36" t="n">
        <v>760</v>
      </c>
      <c r="H587" s="32" t="inlineStr">
        <is>
          <t>Pix</t>
        </is>
      </c>
      <c r="I587" s="32" t="inlineStr">
        <is>
          <t>Sim</t>
        </is>
      </c>
      <c r="J587" s="35">
        <f>IF(A587="","",MONTH(A587))</f>
        <v>8</v>
      </c>
      <c r="K587" s="35">
        <f>IF(A587="","",YEAR(A587))</f>
        <v>2026</v>
      </c>
    </row>
    <row r="588">
      <c r="A588" s="39" t="n">
        <v>46238</v>
      </c>
      <c r="B588" s="32" t="inlineStr">
        <is>
          <t>Entrada</t>
        </is>
      </c>
      <c r="C588" s="31" t="inlineStr">
        <is>
          <t>Particular à vista</t>
        </is>
      </c>
      <c r="D588" s="31" t="inlineStr"/>
      <c r="E588" s="31" t="inlineStr">
        <is>
          <t>Fechamento do dia</t>
        </is>
      </c>
      <c r="F588" s="31" t="inlineStr">
        <is>
          <t>Fechamento do dia · 4 atendimentos · cartão de débito</t>
        </is>
      </c>
      <c r="G588" s="36" t="n">
        <v>1540</v>
      </c>
      <c r="H588" s="32" t="inlineStr">
        <is>
          <t>Cartão de débito</t>
        </is>
      </c>
      <c r="I588" s="32" t="inlineStr">
        <is>
          <t>Sim</t>
        </is>
      </c>
      <c r="J588" s="35">
        <f>IF(A588="","",MONTH(A588))</f>
        <v>8</v>
      </c>
      <c r="K588" s="35">
        <f>IF(A588="","",YEAR(A588))</f>
        <v>2026</v>
      </c>
    </row>
    <row r="589">
      <c r="A589" s="39" t="n">
        <v>46239</v>
      </c>
      <c r="B589" s="32" t="inlineStr">
        <is>
          <t>Entrada</t>
        </is>
      </c>
      <c r="C589" s="31" t="inlineStr">
        <is>
          <t>Convênio · Saúde Total</t>
        </is>
      </c>
      <c r="D589" s="31" t="inlineStr">
        <is>
          <t>Saúde Total</t>
        </is>
      </c>
      <c r="E589" s="31" t="inlineStr">
        <is>
          <t>Lote jun/2026</t>
        </is>
      </c>
      <c r="F589" s="31" t="inlineStr">
        <is>
          <t>Pagamento do lote de jun/2026 (70 guias. glosa de R$ 240)</t>
        </is>
      </c>
      <c r="G589" s="36" t="n">
        <v>7320</v>
      </c>
      <c r="H589" s="32" t="inlineStr">
        <is>
          <t>Transferência</t>
        </is>
      </c>
      <c r="I589" s="32" t="inlineStr">
        <is>
          <t>Sim</t>
        </is>
      </c>
      <c r="J589" s="35">
        <f>IF(A589="","",MONTH(A589))</f>
        <v>8</v>
      </c>
      <c r="K589" s="35">
        <f>IF(A589="","",YEAR(A589))</f>
        <v>2026</v>
      </c>
    </row>
    <row r="590">
      <c r="A590" s="39" t="n">
        <v>46239</v>
      </c>
      <c r="B590" s="32" t="inlineStr">
        <is>
          <t>Entrada</t>
        </is>
      </c>
      <c r="C590" s="31" t="inlineStr">
        <is>
          <t>Convênio · Vida Care</t>
        </is>
      </c>
      <c r="D590" s="31" t="inlineStr">
        <is>
          <t>Vida Care</t>
        </is>
      </c>
      <c r="E590" s="31" t="inlineStr">
        <is>
          <t>Lote mai/2026</t>
        </is>
      </c>
      <c r="F590" s="31" t="inlineStr">
        <is>
          <t>Pagamento do lote de mai/2026 (24 guias. glosa de R$ 290)</t>
        </is>
      </c>
      <c r="G590" s="36" t="n">
        <v>1711</v>
      </c>
      <c r="H590" s="32" t="inlineStr">
        <is>
          <t>Transferência</t>
        </is>
      </c>
      <c r="I590" s="32" t="inlineStr">
        <is>
          <t>Sim</t>
        </is>
      </c>
      <c r="J590" s="35">
        <f>IF(A590="","",MONTH(A590))</f>
        <v>8</v>
      </c>
      <c r="K590" s="35">
        <f>IF(A590="","",YEAR(A590))</f>
        <v>2026</v>
      </c>
    </row>
    <row r="591">
      <c r="A591" s="39" t="n">
        <v>46239</v>
      </c>
      <c r="B591" s="32" t="inlineStr">
        <is>
          <t>Entrada</t>
        </is>
      </c>
      <c r="C591" s="31" t="inlineStr">
        <is>
          <t>Particular à vista</t>
        </is>
      </c>
      <c r="D591" s="31" t="inlineStr"/>
      <c r="E591" s="31" t="inlineStr">
        <is>
          <t>Fechamento do dia</t>
        </is>
      </c>
      <c r="F591" s="31" t="inlineStr">
        <is>
          <t>Fechamento do dia · 1 atendimento · cartão de crédito</t>
        </is>
      </c>
      <c r="G591" s="36" t="n">
        <v>380</v>
      </c>
      <c r="H591" s="32" t="inlineStr">
        <is>
          <t>Cartão de crédito</t>
        </is>
      </c>
      <c r="I591" s="32" t="inlineStr">
        <is>
          <t>Sim</t>
        </is>
      </c>
      <c r="J591" s="35">
        <f>IF(A591="","",MONTH(A591))</f>
        <v>8</v>
      </c>
      <c r="K591" s="35">
        <f>IF(A591="","",YEAR(A591))</f>
        <v>2026</v>
      </c>
    </row>
    <row r="592">
      <c r="A592" s="39" t="n">
        <v>46239</v>
      </c>
      <c r="B592" s="32" t="inlineStr">
        <is>
          <t>Entrada</t>
        </is>
      </c>
      <c r="C592" s="31" t="inlineStr">
        <is>
          <t>Particular à vista</t>
        </is>
      </c>
      <c r="D592" s="31" t="inlineStr"/>
      <c r="E592" s="31" t="inlineStr">
        <is>
          <t>Fechamento do dia</t>
        </is>
      </c>
      <c r="F592" s="31" t="inlineStr">
        <is>
          <t>Fechamento do dia · 1 atendimento · cartão de débito</t>
        </is>
      </c>
      <c r="G592" s="36" t="n">
        <v>380</v>
      </c>
      <c r="H592" s="32" t="inlineStr">
        <is>
          <t>Cartão de débito</t>
        </is>
      </c>
      <c r="I592" s="32" t="inlineStr">
        <is>
          <t>Sim</t>
        </is>
      </c>
      <c r="J592" s="35">
        <f>IF(A592="","",MONTH(A592))</f>
        <v>8</v>
      </c>
      <c r="K592" s="35">
        <f>IF(A592="","",YEAR(A592))</f>
        <v>2026</v>
      </c>
    </row>
    <row r="593">
      <c r="A593" s="39" t="n">
        <v>46239</v>
      </c>
      <c r="B593" s="32" t="inlineStr">
        <is>
          <t>Entrada</t>
        </is>
      </c>
      <c r="C593" s="31" t="inlineStr">
        <is>
          <t>Particular à vista</t>
        </is>
      </c>
      <c r="D593" s="31" t="inlineStr"/>
      <c r="E593" s="31" t="inlineStr">
        <is>
          <t>Fechamento do dia</t>
        </is>
      </c>
      <c r="F593" s="31" t="inlineStr">
        <is>
          <t>Fechamento do dia · 1 atendimento · pix</t>
        </is>
      </c>
      <c r="G593" s="36" t="n">
        <v>380</v>
      </c>
      <c r="H593" s="32" t="inlineStr">
        <is>
          <t>Pix</t>
        </is>
      </c>
      <c r="I593" s="32" t="inlineStr">
        <is>
          <t>Sim</t>
        </is>
      </c>
      <c r="J593" s="35">
        <f>IF(A593="","",MONTH(A593))</f>
        <v>8</v>
      </c>
      <c r="K593" s="35">
        <f>IF(A593="","",YEAR(A593))</f>
        <v>2026</v>
      </c>
    </row>
    <row r="594">
      <c r="A594" s="39" t="n">
        <v>46239</v>
      </c>
      <c r="B594" s="32" t="inlineStr">
        <is>
          <t>Saída</t>
        </is>
      </c>
      <c r="C594" s="31" t="inlineStr">
        <is>
          <t>Aluguel e condomínio</t>
        </is>
      </c>
      <c r="D594" s="31" t="inlineStr"/>
      <c r="E594" s="31" t="inlineStr"/>
      <c r="F594" s="31" t="inlineStr">
        <is>
          <t>Aluguel e condomínio da clínica</t>
        </is>
      </c>
      <c r="G594" s="36" t="n">
        <v>3900</v>
      </c>
      <c r="H594" s="32" t="inlineStr">
        <is>
          <t>Boleto</t>
        </is>
      </c>
      <c r="I594" s="32" t="inlineStr">
        <is>
          <t>Sim</t>
        </is>
      </c>
      <c r="J594" s="35">
        <f>IF(A594="","",MONTH(A594))</f>
        <v>8</v>
      </c>
      <c r="K594" s="35">
        <f>IF(A594="","",YEAR(A594))</f>
        <v>2026</v>
      </c>
    </row>
    <row r="595">
      <c r="A595" s="39" t="n">
        <v>46239</v>
      </c>
      <c r="B595" s="32" t="inlineStr">
        <is>
          <t>Saída</t>
        </is>
      </c>
      <c r="C595" s="31" t="inlineStr">
        <is>
          <t>Recepção (salário e encargos)</t>
        </is>
      </c>
      <c r="D595" s="31" t="inlineStr"/>
      <c r="E595" s="31" t="inlineStr"/>
      <c r="F595" s="31" t="inlineStr">
        <is>
          <t>Salário e encargos · Bruna Carvalho</t>
        </is>
      </c>
      <c r="G595" s="36" t="n">
        <v>3100</v>
      </c>
      <c r="H595" s="32" t="inlineStr">
        <is>
          <t>Transferência</t>
        </is>
      </c>
      <c r="I595" s="32" t="inlineStr">
        <is>
          <t>Sim</t>
        </is>
      </c>
      <c r="J595" s="35">
        <f>IF(A595="","",MONTH(A595))</f>
        <v>8</v>
      </c>
      <c r="K595" s="35">
        <f>IF(A595="","",YEAR(A595))</f>
        <v>2026</v>
      </c>
    </row>
    <row r="596">
      <c r="A596" s="39" t="n">
        <v>46240</v>
      </c>
      <c r="B596" s="32" t="inlineStr">
        <is>
          <t>Entrada</t>
        </is>
      </c>
      <c r="C596" s="31" t="inlineStr">
        <is>
          <t>Particular à vista</t>
        </is>
      </c>
      <c r="D596" s="31" t="inlineStr"/>
      <c r="E596" s="31" t="inlineStr">
        <is>
          <t>Fechamento do dia</t>
        </is>
      </c>
      <c r="F596" s="31" t="inlineStr">
        <is>
          <t>Fechamento do dia · 1 atendimento · cartão de débito</t>
        </is>
      </c>
      <c r="G596" s="36" t="n">
        <v>380</v>
      </c>
      <c r="H596" s="32" t="inlineStr">
        <is>
          <t>Cartão de débito</t>
        </is>
      </c>
      <c r="I596" s="32" t="inlineStr">
        <is>
          <t>Sim</t>
        </is>
      </c>
      <c r="J596" s="35">
        <f>IF(A596="","",MONTH(A596))</f>
        <v>8</v>
      </c>
      <c r="K596" s="35">
        <f>IF(A596="","",YEAR(A596))</f>
        <v>2026</v>
      </c>
    </row>
    <row r="597">
      <c r="A597" s="39" t="n">
        <v>46240</v>
      </c>
      <c r="B597" s="32" t="inlineStr">
        <is>
          <t>Entrada</t>
        </is>
      </c>
      <c r="C597" s="31" t="inlineStr">
        <is>
          <t>Particular à vista</t>
        </is>
      </c>
      <c r="D597" s="31" t="inlineStr"/>
      <c r="E597" s="31" t="inlineStr">
        <is>
          <t>Fechamento do dia</t>
        </is>
      </c>
      <c r="F597" s="31" t="inlineStr">
        <is>
          <t>Fechamento do dia · 2 atendimentos · cartão de crédito</t>
        </is>
      </c>
      <c r="G597" s="36" t="n">
        <v>780</v>
      </c>
      <c r="H597" s="32" t="inlineStr">
        <is>
          <t>Cartão de crédito</t>
        </is>
      </c>
      <c r="I597" s="32" t="inlineStr">
        <is>
          <t>Sim</t>
        </is>
      </c>
      <c r="J597" s="35">
        <f>IF(A597="","",MONTH(A597))</f>
        <v>8</v>
      </c>
      <c r="K597" s="35">
        <f>IF(A597="","",YEAR(A597))</f>
        <v>2026</v>
      </c>
    </row>
    <row r="598">
      <c r="A598" s="39" t="n">
        <v>46240</v>
      </c>
      <c r="B598" s="32" t="inlineStr">
        <is>
          <t>Entrada</t>
        </is>
      </c>
      <c r="C598" s="31" t="inlineStr">
        <is>
          <t>Particular à vista</t>
        </is>
      </c>
      <c r="D598" s="31" t="inlineStr"/>
      <c r="E598" s="31" t="inlineStr">
        <is>
          <t>Fechamento do dia</t>
        </is>
      </c>
      <c r="F598" s="31" t="inlineStr">
        <is>
          <t>Fechamento do dia · 2 atendimentos · pix</t>
        </is>
      </c>
      <c r="G598" s="36" t="n">
        <v>850</v>
      </c>
      <c r="H598" s="32" t="inlineStr">
        <is>
          <t>Pix</t>
        </is>
      </c>
      <c r="I598" s="32" t="inlineStr">
        <is>
          <t>Sim</t>
        </is>
      </c>
      <c r="J598" s="35">
        <f>IF(A598="","",MONTH(A598))</f>
        <v>8</v>
      </c>
      <c r="K598" s="35">
        <f>IF(A598="","",YEAR(A598))</f>
        <v>2026</v>
      </c>
    </row>
    <row r="599">
      <c r="A599" s="39" t="n">
        <v>46240</v>
      </c>
      <c r="B599" s="32" t="inlineStr">
        <is>
          <t>Saída</t>
        </is>
      </c>
      <c r="C599" s="31" t="inlineStr">
        <is>
          <t>Outras saídas</t>
        </is>
      </c>
      <c r="D599" s="31" t="inlineStr"/>
      <c r="E599" s="31" t="inlineStr"/>
      <c r="F599" s="31" t="inlineStr">
        <is>
          <t>Despesa pessoal · Dra. Carolina Mendes · plano de saúde da família (a acertar)</t>
        </is>
      </c>
      <c r="G599" s="36" t="n">
        <v>620</v>
      </c>
      <c r="H599" s="32" t="inlineStr">
        <is>
          <t>Boleto</t>
        </is>
      </c>
      <c r="I599" s="32" t="inlineStr">
        <is>
          <t>Sim</t>
        </is>
      </c>
      <c r="J599" s="35">
        <f>IF(A599="","",MONTH(A599))</f>
        <v>8</v>
      </c>
      <c r="K599" s="35">
        <f>IF(A599="","",YEAR(A599))</f>
        <v>2026</v>
      </c>
    </row>
    <row r="600">
      <c r="A600" s="39" t="n">
        <v>46241</v>
      </c>
      <c r="B600" s="32" t="inlineStr">
        <is>
          <t>Entrada</t>
        </is>
      </c>
      <c r="C600" s="31" t="inlineStr">
        <is>
          <t>Particular à vista</t>
        </is>
      </c>
      <c r="D600" s="31" t="inlineStr"/>
      <c r="E600" s="31" t="inlineStr">
        <is>
          <t>Fechamento do dia</t>
        </is>
      </c>
      <c r="F600" s="31" t="inlineStr">
        <is>
          <t>Fechamento do dia · 1 atendimento · cartão de crédito</t>
        </is>
      </c>
      <c r="G600" s="36" t="n">
        <v>380</v>
      </c>
      <c r="H600" s="32" t="inlineStr">
        <is>
          <t>Cartão de crédito</t>
        </is>
      </c>
      <c r="I600" s="32" t="inlineStr">
        <is>
          <t>Sim</t>
        </is>
      </c>
      <c r="J600" s="35">
        <f>IF(A600="","",MONTH(A600))</f>
        <v>8</v>
      </c>
      <c r="K600" s="35">
        <f>IF(A600="","",YEAR(A600))</f>
        <v>2026</v>
      </c>
    </row>
    <row r="601">
      <c r="A601" s="39" t="n">
        <v>46241</v>
      </c>
      <c r="B601" s="32" t="inlineStr">
        <is>
          <t>Entrada</t>
        </is>
      </c>
      <c r="C601" s="31" t="inlineStr">
        <is>
          <t>Particular à vista</t>
        </is>
      </c>
      <c r="D601" s="31" t="inlineStr"/>
      <c r="E601" s="31" t="inlineStr">
        <is>
          <t>Fechamento do dia</t>
        </is>
      </c>
      <c r="F601" s="31" t="inlineStr">
        <is>
          <t>Fechamento do dia · 1 atendimento · pix</t>
        </is>
      </c>
      <c r="G601" s="36" t="n">
        <v>130</v>
      </c>
      <c r="H601" s="32" t="inlineStr">
        <is>
          <t>Pix</t>
        </is>
      </c>
      <c r="I601" s="32" t="inlineStr">
        <is>
          <t>Sim</t>
        </is>
      </c>
      <c r="J601" s="35">
        <f>IF(A601="","",MONTH(A601))</f>
        <v>8</v>
      </c>
      <c r="K601" s="35">
        <f>IF(A601="","",YEAR(A601))</f>
        <v>2026</v>
      </c>
    </row>
    <row r="602">
      <c r="A602" s="39" t="n">
        <v>46242</v>
      </c>
      <c r="B602" s="32" t="inlineStr">
        <is>
          <t>Saída</t>
        </is>
      </c>
      <c r="C602" s="31" t="inlineStr">
        <is>
          <t>Materiais e insumos de atendimento</t>
        </is>
      </c>
      <c r="D602" s="31" t="inlineStr"/>
      <c r="E602" s="31" t="inlineStr"/>
      <c r="F602" s="31" t="inlineStr">
        <is>
          <t>Eletrodos, manguitos e descartáveis (fornecedor)</t>
        </is>
      </c>
      <c r="G602" s="36" t="n">
        <v>830</v>
      </c>
      <c r="H602" s="32" t="inlineStr">
        <is>
          <t>Boleto</t>
        </is>
      </c>
      <c r="I602" s="32" t="inlineStr">
        <is>
          <t>Sim</t>
        </is>
      </c>
      <c r="J602" s="35">
        <f>IF(A602="","",MONTH(A602))</f>
        <v>8</v>
      </c>
      <c r="K602" s="35">
        <f>IF(A602="","",YEAR(A602))</f>
        <v>2026</v>
      </c>
    </row>
    <row r="603">
      <c r="A603" s="39" t="n">
        <v>46242</v>
      </c>
      <c r="B603" s="32" t="inlineStr">
        <is>
          <t>Saída</t>
        </is>
      </c>
      <c r="C603" s="31" t="inlineStr">
        <is>
          <t>Sistema de agenda e assinaturas</t>
        </is>
      </c>
      <c r="D603" s="31" t="inlineStr"/>
      <c r="E603" s="31" t="inlineStr"/>
      <c r="F603" s="31" t="inlineStr">
        <is>
          <t>Sistema de agenda e assinaturas</t>
        </is>
      </c>
      <c r="G603" s="36" t="n">
        <v>300</v>
      </c>
      <c r="H603" s="32" t="inlineStr">
        <is>
          <t>Cartão de crédito</t>
        </is>
      </c>
      <c r="I603" s="32" t="inlineStr">
        <is>
          <t>Sim</t>
        </is>
      </c>
      <c r="J603" s="35">
        <f>IF(A603="","",MONTH(A603))</f>
        <v>8</v>
      </c>
      <c r="K603" s="35">
        <f>IF(A603="","",YEAR(A603))</f>
        <v>2026</v>
      </c>
    </row>
    <row r="604">
      <c r="A604" s="39" t="n">
        <v>46244</v>
      </c>
      <c r="B604" s="32" t="inlineStr">
        <is>
          <t>Entrada</t>
        </is>
      </c>
      <c r="C604" s="31" t="inlineStr">
        <is>
          <t>Particular a prazo</t>
        </is>
      </c>
      <c r="D604" s="31" t="inlineStr">
        <is>
          <t>Carlos Fernandes</t>
        </is>
      </c>
      <c r="E604" s="31" t="inlineStr">
        <is>
          <t>Parcela</t>
        </is>
      </c>
      <c r="F604" s="31" t="inlineStr">
        <is>
          <t>Consulta de 06/07 · parcela 1/1</t>
        </is>
      </c>
      <c r="G604" s="36" t="n">
        <v>380</v>
      </c>
      <c r="H604" s="32" t="inlineStr">
        <is>
          <t>Pix</t>
        </is>
      </c>
      <c r="I604" s="32" t="inlineStr">
        <is>
          <t>Sim</t>
        </is>
      </c>
      <c r="J604" s="35">
        <f>IF(A604="","",MONTH(A604))</f>
        <v>8</v>
      </c>
      <c r="K604" s="35">
        <f>IF(A604="","",YEAR(A604))</f>
        <v>2026</v>
      </c>
    </row>
    <row r="605">
      <c r="A605" s="39" t="n">
        <v>46244</v>
      </c>
      <c r="B605" s="32" t="inlineStr">
        <is>
          <t>Entrada</t>
        </is>
      </c>
      <c r="C605" s="31" t="inlineStr">
        <is>
          <t>Particular à vista</t>
        </is>
      </c>
      <c r="D605" s="31" t="inlineStr"/>
      <c r="E605" s="31" t="inlineStr">
        <is>
          <t>Fechamento do dia</t>
        </is>
      </c>
      <c r="F605" s="31" t="inlineStr">
        <is>
          <t>Fechamento do dia · 1 atendimento · cartão de crédito</t>
        </is>
      </c>
      <c r="G605" s="36" t="n">
        <v>380</v>
      </c>
      <c r="H605" s="32" t="inlineStr">
        <is>
          <t>Cartão de crédito</t>
        </is>
      </c>
      <c r="I605" s="32" t="inlineStr">
        <is>
          <t>Sim</t>
        </is>
      </c>
      <c r="J605" s="35">
        <f>IF(A605="","",MONTH(A605))</f>
        <v>8</v>
      </c>
      <c r="K605" s="35">
        <f>IF(A605="","",YEAR(A605))</f>
        <v>2026</v>
      </c>
    </row>
    <row r="606">
      <c r="A606" s="39" t="n">
        <v>46244</v>
      </c>
      <c r="B606" s="32" t="inlineStr">
        <is>
          <t>Entrada</t>
        </is>
      </c>
      <c r="C606" s="31" t="inlineStr">
        <is>
          <t>Particular à vista</t>
        </is>
      </c>
      <c r="D606" s="31" t="inlineStr"/>
      <c r="E606" s="31" t="inlineStr">
        <is>
          <t>Fechamento do dia</t>
        </is>
      </c>
      <c r="F606" s="31" t="inlineStr">
        <is>
          <t>Fechamento do dia · 1 atendimento · cartão de débito</t>
        </is>
      </c>
      <c r="G606" s="36" t="n">
        <v>350</v>
      </c>
      <c r="H606" s="32" t="inlineStr">
        <is>
          <t>Cartão de débito</t>
        </is>
      </c>
      <c r="I606" s="32" t="inlineStr">
        <is>
          <t>Sim</t>
        </is>
      </c>
      <c r="J606" s="35">
        <f>IF(A606="","",MONTH(A606))</f>
        <v>8</v>
      </c>
      <c r="K606" s="35">
        <f>IF(A606="","",YEAR(A606))</f>
        <v>2026</v>
      </c>
    </row>
    <row r="607">
      <c r="A607" s="39" t="n">
        <v>46244</v>
      </c>
      <c r="B607" s="32" t="inlineStr">
        <is>
          <t>Entrada</t>
        </is>
      </c>
      <c r="C607" s="31" t="inlineStr">
        <is>
          <t>Particular à vista</t>
        </is>
      </c>
      <c r="D607" s="31" t="inlineStr"/>
      <c r="E607" s="31" t="inlineStr">
        <is>
          <t>Fechamento do dia</t>
        </is>
      </c>
      <c r="F607" s="31" t="inlineStr">
        <is>
          <t>Fechamento do dia · 1 atendimento · pix</t>
        </is>
      </c>
      <c r="G607" s="36" t="n">
        <v>130</v>
      </c>
      <c r="H607" s="32" t="inlineStr">
        <is>
          <t>Pix</t>
        </is>
      </c>
      <c r="I607" s="32" t="inlineStr">
        <is>
          <t>Sim</t>
        </is>
      </c>
      <c r="J607" s="35">
        <f>IF(A607="","",MONTH(A607))</f>
        <v>8</v>
      </c>
      <c r="K607" s="35">
        <f>IF(A607="","",YEAR(A607))</f>
        <v>2026</v>
      </c>
    </row>
    <row r="608">
      <c r="A608" s="39" t="n">
        <v>46244</v>
      </c>
      <c r="B608" s="32" t="inlineStr">
        <is>
          <t>Saída</t>
        </is>
      </c>
      <c r="C608" s="31" t="inlineStr">
        <is>
          <t>Contador</t>
        </is>
      </c>
      <c r="D608" s="31" t="inlineStr"/>
      <c r="E608" s="31" t="inlineStr"/>
      <c r="F608" s="31" t="inlineStr">
        <is>
          <t>Honorários do contador</t>
        </is>
      </c>
      <c r="G608" s="36" t="n">
        <v>600</v>
      </c>
      <c r="H608" s="32" t="inlineStr">
        <is>
          <t>Boleto</t>
        </is>
      </c>
      <c r="I608" s="32" t="inlineStr">
        <is>
          <t>Sim</t>
        </is>
      </c>
      <c r="J608" s="35">
        <f>IF(A608="","",MONTH(A608))</f>
        <v>8</v>
      </c>
      <c r="K608" s="35">
        <f>IF(A608="","",YEAR(A608))</f>
        <v>2026</v>
      </c>
    </row>
    <row r="609">
      <c r="A609" s="39" t="n">
        <v>46244</v>
      </c>
      <c r="B609" s="32" t="inlineStr">
        <is>
          <t>Saída</t>
        </is>
      </c>
      <c r="C609" s="31" t="inlineStr">
        <is>
          <t>Repasse à médica parceira</t>
        </is>
      </c>
      <c r="D609" s="31" t="inlineStr">
        <is>
          <t>Dra. Renata Sousa</t>
        </is>
      </c>
      <c r="E609" s="31" t="inlineStr"/>
      <c r="F609" s="31" t="inlineStr">
        <is>
          <t>Repasse · Dra. Renata Sousa · 50 % da produção de jul</t>
        </is>
      </c>
      <c r="G609" s="36" t="n">
        <v>4845</v>
      </c>
      <c r="H609" s="32" t="inlineStr">
        <is>
          <t>Transferência</t>
        </is>
      </c>
      <c r="I609" s="32" t="inlineStr">
        <is>
          <t>Sim</t>
        </is>
      </c>
      <c r="J609" s="35">
        <f>IF(A609="","",MONTH(A609))</f>
        <v>8</v>
      </c>
      <c r="K609" s="35">
        <f>IF(A609="","",YEAR(A609))</f>
        <v>2026</v>
      </c>
    </row>
    <row r="610">
      <c r="A610" s="39" t="n">
        <v>46245</v>
      </c>
      <c r="B610" s="32" t="inlineStr">
        <is>
          <t>Entrada</t>
        </is>
      </c>
      <c r="C610" s="31" t="inlineStr">
        <is>
          <t>Particular a prazo</t>
        </is>
      </c>
      <c r="D610" s="31" t="inlineStr">
        <is>
          <t>Gustavo Ferreira</t>
        </is>
      </c>
      <c r="E610" s="31" t="inlineStr">
        <is>
          <t>Parcela</t>
        </is>
      </c>
      <c r="F610" s="31" t="inlineStr">
        <is>
          <t>Consulta de 07/07 · parcela 1/2</t>
        </is>
      </c>
      <c r="G610" s="36" t="n">
        <v>190</v>
      </c>
      <c r="H610" s="32" t="inlineStr">
        <is>
          <t>Pix</t>
        </is>
      </c>
      <c r="I610" s="32" t="inlineStr">
        <is>
          <t>Sim</t>
        </is>
      </c>
      <c r="J610" s="35">
        <f>IF(A610="","",MONTH(A610))</f>
        <v>8</v>
      </c>
      <c r="K610" s="35">
        <f>IF(A610="","",YEAR(A610))</f>
        <v>2026</v>
      </c>
    </row>
    <row r="611">
      <c r="A611" s="39" t="n">
        <v>46245</v>
      </c>
      <c r="B611" s="32" t="inlineStr">
        <is>
          <t>Entrada</t>
        </is>
      </c>
      <c r="C611" s="31" t="inlineStr">
        <is>
          <t>Particular à vista</t>
        </is>
      </c>
      <c r="D611" s="31" t="inlineStr"/>
      <c r="E611" s="31" t="inlineStr">
        <is>
          <t>Fechamento do dia</t>
        </is>
      </c>
      <c r="F611" s="31" t="inlineStr">
        <is>
          <t>Fechamento do dia · 1 atendimento · cartão de débito</t>
        </is>
      </c>
      <c r="G611" s="36" t="n">
        <v>350</v>
      </c>
      <c r="H611" s="32" t="inlineStr">
        <is>
          <t>Cartão de débito</t>
        </is>
      </c>
      <c r="I611" s="32" t="inlineStr">
        <is>
          <t>Sim</t>
        </is>
      </c>
      <c r="J611" s="35">
        <f>IF(A611="","",MONTH(A611))</f>
        <v>8</v>
      </c>
      <c r="K611" s="35">
        <f>IF(A611="","",YEAR(A611))</f>
        <v>2026</v>
      </c>
    </row>
    <row r="612">
      <c r="A612" s="39" t="n">
        <v>46245</v>
      </c>
      <c r="B612" s="32" t="inlineStr">
        <is>
          <t>Entrada</t>
        </is>
      </c>
      <c r="C612" s="31" t="inlineStr">
        <is>
          <t>Particular à vista</t>
        </is>
      </c>
      <c r="D612" s="31" t="inlineStr"/>
      <c r="E612" s="31" t="inlineStr">
        <is>
          <t>Fechamento do dia</t>
        </is>
      </c>
      <c r="F612" s="31" t="inlineStr">
        <is>
          <t>Fechamento do dia · 3 atendimentos · cartão de crédito</t>
        </is>
      </c>
      <c r="G612" s="36" t="n">
        <v>1160</v>
      </c>
      <c r="H612" s="32" t="inlineStr">
        <is>
          <t>Cartão de crédito</t>
        </is>
      </c>
      <c r="I612" s="32" t="inlineStr">
        <is>
          <t>Sim</t>
        </is>
      </c>
      <c r="J612" s="35">
        <f>IF(A612="","",MONTH(A612))</f>
        <v>8</v>
      </c>
      <c r="K612" s="35">
        <f>IF(A612="","",YEAR(A612))</f>
        <v>2026</v>
      </c>
    </row>
    <row r="613">
      <c r="A613" s="39" t="n">
        <v>46245</v>
      </c>
      <c r="B613" s="32" t="inlineStr">
        <is>
          <t>Entrada</t>
        </is>
      </c>
      <c r="C613" s="31" t="inlineStr">
        <is>
          <t>Particular à vista</t>
        </is>
      </c>
      <c r="D613" s="31" t="inlineStr"/>
      <c r="E613" s="31" t="inlineStr">
        <is>
          <t>Fechamento do dia</t>
        </is>
      </c>
      <c r="F613" s="31" t="inlineStr">
        <is>
          <t>Fechamento do dia · 3 atendimentos · pix</t>
        </is>
      </c>
      <c r="G613" s="36" t="n">
        <v>980</v>
      </c>
      <c r="H613" s="32" t="inlineStr">
        <is>
          <t>Pix</t>
        </is>
      </c>
      <c r="I613" s="32" t="inlineStr">
        <is>
          <t>Sim</t>
        </is>
      </c>
      <c r="J613" s="35">
        <f>IF(A613="","",MONTH(A613))</f>
        <v>8</v>
      </c>
      <c r="K613" s="35">
        <f>IF(A613="","",YEAR(A613))</f>
        <v>2026</v>
      </c>
    </row>
    <row r="614">
      <c r="A614" s="39" t="n">
        <v>46246</v>
      </c>
      <c r="B614" s="32" t="inlineStr">
        <is>
          <t>Entrada</t>
        </is>
      </c>
      <c r="C614" s="31" t="inlineStr">
        <is>
          <t>Particular à vista</t>
        </is>
      </c>
      <c r="D614" s="31" t="inlineStr"/>
      <c r="E614" s="31" t="inlineStr">
        <is>
          <t>Fechamento do dia</t>
        </is>
      </c>
      <c r="F614" s="31" t="inlineStr">
        <is>
          <t>Fechamento do dia · 2 atendimentos · cartão de crédito</t>
        </is>
      </c>
      <c r="G614" s="36" t="n">
        <v>760</v>
      </c>
      <c r="H614" s="32" t="inlineStr">
        <is>
          <t>Cartão de crédito</t>
        </is>
      </c>
      <c r="I614" s="32" t="inlineStr">
        <is>
          <t>Sim</t>
        </is>
      </c>
      <c r="J614" s="35">
        <f>IF(A614="","",MONTH(A614))</f>
        <v>8</v>
      </c>
      <c r="K614" s="35">
        <f>IF(A614="","",YEAR(A614))</f>
        <v>2026</v>
      </c>
    </row>
    <row r="615">
      <c r="A615" s="39" t="n">
        <v>46246</v>
      </c>
      <c r="B615" s="32" t="inlineStr">
        <is>
          <t>Entrada</t>
        </is>
      </c>
      <c r="C615" s="31" t="inlineStr">
        <is>
          <t>Particular à vista</t>
        </is>
      </c>
      <c r="D615" s="31" t="inlineStr"/>
      <c r="E615" s="31" t="inlineStr">
        <is>
          <t>Fechamento do dia</t>
        </is>
      </c>
      <c r="F615" s="31" t="inlineStr">
        <is>
          <t>Fechamento do dia · 2 atendimentos · pix</t>
        </is>
      </c>
      <c r="G615" s="36" t="n">
        <v>760</v>
      </c>
      <c r="H615" s="32" t="inlineStr">
        <is>
          <t>Pix</t>
        </is>
      </c>
      <c r="I615" s="32" t="inlineStr">
        <is>
          <t>Sim</t>
        </is>
      </c>
      <c r="J615" s="35">
        <f>IF(A615="","",MONTH(A615))</f>
        <v>8</v>
      </c>
      <c r="K615" s="35">
        <f>IF(A615="","",YEAR(A615))</f>
        <v>2026</v>
      </c>
    </row>
    <row r="616">
      <c r="A616" s="39" t="n">
        <v>46246</v>
      </c>
      <c r="B616" s="32" t="inlineStr">
        <is>
          <t>Saída</t>
        </is>
      </c>
      <c r="C616" s="31" t="inlineStr">
        <is>
          <t>Energia, água, internet e telefone</t>
        </is>
      </c>
      <c r="D616" s="31" t="inlineStr"/>
      <c r="E616" s="31" t="inlineStr"/>
      <c r="F616" s="31" t="inlineStr">
        <is>
          <t>Energia, água, internet e telefone</t>
        </is>
      </c>
      <c r="G616" s="36" t="n">
        <v>550</v>
      </c>
      <c r="H616" s="32" t="inlineStr">
        <is>
          <t>Boleto</t>
        </is>
      </c>
      <c r="I616" s="32" t="inlineStr">
        <is>
          <t>Sim</t>
        </is>
      </c>
      <c r="J616" s="35">
        <f>IF(A616="","",MONTH(A616))</f>
        <v>8</v>
      </c>
      <c r="K616" s="35">
        <f>IF(A616="","",YEAR(A616))</f>
        <v>2026</v>
      </c>
    </row>
    <row r="617">
      <c r="A617" s="39" t="n">
        <v>46247</v>
      </c>
      <c r="B617" s="32" t="inlineStr">
        <is>
          <t>Entrada</t>
        </is>
      </c>
      <c r="C617" s="31" t="inlineStr">
        <is>
          <t>Particular a prazo</t>
        </is>
      </c>
      <c r="D617" s="31" t="inlineStr">
        <is>
          <t>Lucas Lopes</t>
        </is>
      </c>
      <c r="E617" s="31" t="inlineStr">
        <is>
          <t>Parcela</t>
        </is>
      </c>
      <c r="F617" s="31" t="inlineStr">
        <is>
          <t>Consulta de 14/07 · parcela 1/1</t>
        </is>
      </c>
      <c r="G617" s="36" t="n">
        <v>380</v>
      </c>
      <c r="H617" s="32" t="inlineStr">
        <is>
          <t>Pix</t>
        </is>
      </c>
      <c r="I617" s="32" t="inlineStr">
        <is>
          <t>Sim</t>
        </is>
      </c>
      <c r="J617" s="35">
        <f>IF(A617="","",MONTH(A617))</f>
        <v>8</v>
      </c>
      <c r="K617" s="35">
        <f>IF(A617="","",YEAR(A617))</f>
        <v>2026</v>
      </c>
    </row>
    <row r="618">
      <c r="A618" s="39" t="n">
        <v>46247</v>
      </c>
      <c r="B618" s="32" t="inlineStr">
        <is>
          <t>Entrada</t>
        </is>
      </c>
      <c r="C618" s="31" t="inlineStr">
        <is>
          <t>Particular à vista</t>
        </is>
      </c>
      <c r="D618" s="31" t="inlineStr"/>
      <c r="E618" s="31" t="inlineStr">
        <is>
          <t>Fechamento do dia</t>
        </is>
      </c>
      <c r="F618" s="31" t="inlineStr">
        <is>
          <t>Fechamento do dia · 1 atendimento · cartão de crédito</t>
        </is>
      </c>
      <c r="G618" s="36" t="n">
        <v>380</v>
      </c>
      <c r="H618" s="32" t="inlineStr">
        <is>
          <t>Cartão de crédito</t>
        </is>
      </c>
      <c r="I618" s="32" t="inlineStr">
        <is>
          <t>Sim</t>
        </is>
      </c>
      <c r="J618" s="35">
        <f>IF(A618="","",MONTH(A618))</f>
        <v>8</v>
      </c>
      <c r="K618" s="35">
        <f>IF(A618="","",YEAR(A618))</f>
        <v>2026</v>
      </c>
    </row>
    <row r="619">
      <c r="A619" s="39" t="n">
        <v>46247</v>
      </c>
      <c r="B619" s="32" t="inlineStr">
        <is>
          <t>Entrada</t>
        </is>
      </c>
      <c r="C619" s="31" t="inlineStr">
        <is>
          <t>Particular à vista</t>
        </is>
      </c>
      <c r="D619" s="31" t="inlineStr"/>
      <c r="E619" s="31" t="inlineStr">
        <is>
          <t>Fechamento do dia</t>
        </is>
      </c>
      <c r="F619" s="31" t="inlineStr">
        <is>
          <t>Fechamento do dia · 1 atendimento · dinheiro</t>
        </is>
      </c>
      <c r="G619" s="36" t="n">
        <v>380</v>
      </c>
      <c r="H619" s="32" t="inlineStr">
        <is>
          <t>Dinheiro</t>
        </is>
      </c>
      <c r="I619" s="32" t="inlineStr">
        <is>
          <t>Sim</t>
        </is>
      </c>
      <c r="J619" s="35">
        <f>IF(A619="","",MONTH(A619))</f>
        <v>8</v>
      </c>
      <c r="K619" s="35">
        <f>IF(A619="","",YEAR(A619))</f>
        <v>2026</v>
      </c>
    </row>
    <row r="620">
      <c r="A620" s="39" t="n">
        <v>46247</v>
      </c>
      <c r="B620" s="32" t="inlineStr">
        <is>
          <t>Entrada</t>
        </is>
      </c>
      <c r="C620" s="31" t="inlineStr">
        <is>
          <t>Particular à vista</t>
        </is>
      </c>
      <c r="D620" s="31" t="inlineStr"/>
      <c r="E620" s="31" t="inlineStr">
        <is>
          <t>Fechamento do dia</t>
        </is>
      </c>
      <c r="F620" s="31" t="inlineStr">
        <is>
          <t>Fechamento do dia · 2 atendimentos · cartão de débito</t>
        </is>
      </c>
      <c r="G620" s="36" t="n">
        <v>800</v>
      </c>
      <c r="H620" s="32" t="inlineStr">
        <is>
          <t>Cartão de débito</t>
        </is>
      </c>
      <c r="I620" s="32" t="inlineStr">
        <is>
          <t>Sim</t>
        </is>
      </c>
      <c r="J620" s="35">
        <f>IF(A620="","",MONTH(A620))</f>
        <v>8</v>
      </c>
      <c r="K620" s="35">
        <f>IF(A620="","",YEAR(A620))</f>
        <v>2026</v>
      </c>
    </row>
    <row r="621">
      <c r="A621" s="39" t="n">
        <v>46247</v>
      </c>
      <c r="B621" s="32" t="inlineStr">
        <is>
          <t>Entrada</t>
        </is>
      </c>
      <c r="C621" s="31" t="inlineStr">
        <is>
          <t>Particular à vista</t>
        </is>
      </c>
      <c r="D621" s="31" t="inlineStr"/>
      <c r="E621" s="31" t="inlineStr">
        <is>
          <t>Fechamento do dia</t>
        </is>
      </c>
      <c r="F621" s="31" t="inlineStr">
        <is>
          <t>Fechamento do dia · 5 atendimentos · pix</t>
        </is>
      </c>
      <c r="G621" s="36" t="n">
        <v>1940</v>
      </c>
      <c r="H621" s="32" t="inlineStr">
        <is>
          <t>Pix</t>
        </is>
      </c>
      <c r="I621" s="32" t="inlineStr">
        <is>
          <t>Sim</t>
        </is>
      </c>
      <c r="J621" s="35">
        <f>IF(A621="","",MONTH(A621))</f>
        <v>8</v>
      </c>
      <c r="K621" s="35">
        <f>IF(A621="","",YEAR(A621))</f>
        <v>2026</v>
      </c>
    </row>
    <row r="622">
      <c r="A622" s="39" t="n">
        <v>46248</v>
      </c>
      <c r="B622" s="32" t="inlineStr">
        <is>
          <t>Entrada</t>
        </is>
      </c>
      <c r="C622" s="31" t="inlineStr">
        <is>
          <t>Particular a prazo</t>
        </is>
      </c>
      <c r="D622" s="31" t="inlineStr">
        <is>
          <t>Helena Moreira</t>
        </is>
      </c>
      <c r="E622" s="31" t="inlineStr">
        <is>
          <t>Parcela</t>
        </is>
      </c>
      <c r="F622" s="31" t="inlineStr">
        <is>
          <t>Consulta de 13/07 · parcela 1/2</t>
        </is>
      </c>
      <c r="G622" s="36" t="n">
        <v>190</v>
      </c>
      <c r="H622" s="32" t="inlineStr">
        <is>
          <t>Pix</t>
        </is>
      </c>
      <c r="I622" s="32" t="inlineStr">
        <is>
          <t>Sim</t>
        </is>
      </c>
      <c r="J622" s="35">
        <f>IF(A622="","",MONTH(A622))</f>
        <v>8</v>
      </c>
      <c r="K622" s="35">
        <f>IF(A622="","",YEAR(A622))</f>
        <v>2026</v>
      </c>
    </row>
    <row r="623">
      <c r="A623" s="39" t="n">
        <v>46249</v>
      </c>
      <c r="B623" s="32" t="inlineStr">
        <is>
          <t>Entrada</t>
        </is>
      </c>
      <c r="C623" s="31" t="inlineStr">
        <is>
          <t>Particular a prazo</t>
        </is>
      </c>
      <c r="D623" s="31" t="inlineStr">
        <is>
          <t>Gabriel Oliveira</t>
        </is>
      </c>
      <c r="E623" s="31" t="inlineStr">
        <is>
          <t>Parcela</t>
        </is>
      </c>
      <c r="F623" s="31" t="inlineStr">
        <is>
          <t>Consulta de 16/06 · parcela 2/2</t>
        </is>
      </c>
      <c r="G623" s="36" t="n">
        <v>190</v>
      </c>
      <c r="H623" s="32" t="inlineStr">
        <is>
          <t>Pix</t>
        </is>
      </c>
      <c r="I623" s="32" t="inlineStr">
        <is>
          <t>Sim</t>
        </is>
      </c>
      <c r="J623" s="35">
        <f>IF(A623="","",MONTH(A623))</f>
        <v>8</v>
      </c>
      <c r="K623" s="35">
        <f>IF(A623="","",YEAR(A623))</f>
        <v>2026</v>
      </c>
    </row>
    <row r="624">
      <c r="A624" s="39" t="n">
        <v>46249</v>
      </c>
      <c r="B624" s="32" t="inlineStr">
        <is>
          <t>Saída</t>
        </is>
      </c>
      <c r="C624" s="31" t="inlineStr">
        <is>
          <t>Anuidade CRM, seguro e cursos</t>
        </is>
      </c>
      <c r="D624" s="31" t="inlineStr"/>
      <c r="E624" s="31" t="inlineStr"/>
      <c r="F624" s="31" t="inlineStr">
        <is>
          <t>Anuidade CRM, seguro e cursos</t>
        </is>
      </c>
      <c r="G624" s="36" t="n">
        <v>450</v>
      </c>
      <c r="H624" s="32" t="inlineStr">
        <is>
          <t>Cartão de crédito</t>
        </is>
      </c>
      <c r="I624" s="32" t="inlineStr">
        <is>
          <t>Sim</t>
        </is>
      </c>
      <c r="J624" s="35">
        <f>IF(A624="","",MONTH(A624))</f>
        <v>8</v>
      </c>
      <c r="K624" s="35">
        <f>IF(A624="","",YEAR(A624))</f>
        <v>2026</v>
      </c>
    </row>
    <row r="625">
      <c r="A625" s="39" t="n">
        <v>46249</v>
      </c>
      <c r="B625" s="32" t="inlineStr">
        <is>
          <t>Saída</t>
        </is>
      </c>
      <c r="C625" s="31" t="inlineStr">
        <is>
          <t>Limpeza e material de escritório</t>
        </is>
      </c>
      <c r="D625" s="31" t="inlineStr"/>
      <c r="E625" s="31" t="inlineStr"/>
      <c r="F625" s="31" t="inlineStr">
        <is>
          <t>Limpeza e material de escritório</t>
        </is>
      </c>
      <c r="G625" s="36" t="n">
        <v>450</v>
      </c>
      <c r="H625" s="32" t="inlineStr">
        <is>
          <t>Cartão de crédito</t>
        </is>
      </c>
      <c r="I625" s="32" t="inlineStr">
        <is>
          <t>Sim</t>
        </is>
      </c>
      <c r="J625" s="35">
        <f>IF(A625="","",MONTH(A625))</f>
        <v>8</v>
      </c>
      <c r="K625" s="35">
        <f>IF(A625="","",YEAR(A625))</f>
        <v>2026</v>
      </c>
    </row>
    <row r="626">
      <c r="A626" s="39" t="n">
        <v>46250</v>
      </c>
      <c r="B626" s="32" t="inlineStr">
        <is>
          <t>Entrada</t>
        </is>
      </c>
      <c r="C626" s="31" t="inlineStr">
        <is>
          <t>Particular a prazo</t>
        </is>
      </c>
      <c r="D626" s="31" t="inlineStr">
        <is>
          <t>Paulo Reis</t>
        </is>
      </c>
      <c r="E626" s="31" t="inlineStr">
        <is>
          <t>Parcela</t>
        </is>
      </c>
      <c r="F626" s="31" t="inlineStr">
        <is>
          <t>Consulta de 14/07 · parcela 1/2</t>
        </is>
      </c>
      <c r="G626" s="36" t="n">
        <v>190</v>
      </c>
      <c r="H626" s="32" t="inlineStr">
        <is>
          <t>Pix</t>
        </is>
      </c>
      <c r="I626" s="32" t="inlineStr">
        <is>
          <t>Sim</t>
        </is>
      </c>
      <c r="J626" s="35">
        <f>IF(A626="","",MONTH(A626))</f>
        <v>8</v>
      </c>
      <c r="K626" s="35">
        <f>IF(A626="","",YEAR(A626))</f>
        <v>2026</v>
      </c>
    </row>
    <row r="627">
      <c r="A627" s="39" t="n">
        <v>46251</v>
      </c>
      <c r="B627" s="32" t="inlineStr">
        <is>
          <t>Entrada</t>
        </is>
      </c>
      <c r="C627" s="31" t="inlineStr">
        <is>
          <t>Particular à vista</t>
        </is>
      </c>
      <c r="D627" s="31" t="inlineStr"/>
      <c r="E627" s="31" t="inlineStr">
        <is>
          <t>Fechamento do dia</t>
        </is>
      </c>
      <c r="F627" s="31" t="inlineStr">
        <is>
          <t>Fechamento do dia · 1 atendimento · cartão de crédito</t>
        </is>
      </c>
      <c r="G627" s="36" t="n">
        <v>300</v>
      </c>
      <c r="H627" s="32" t="inlineStr">
        <is>
          <t>Cartão de crédito</t>
        </is>
      </c>
      <c r="I627" s="32" t="inlineStr">
        <is>
          <t>Sim</t>
        </is>
      </c>
      <c r="J627" s="35">
        <f>IF(A627="","",MONTH(A627))</f>
        <v>8</v>
      </c>
      <c r="K627" s="35">
        <f>IF(A627="","",YEAR(A627))</f>
        <v>2026</v>
      </c>
    </row>
    <row r="628">
      <c r="A628" s="39" t="n">
        <v>46251</v>
      </c>
      <c r="B628" s="32" t="inlineStr">
        <is>
          <t>Entrada</t>
        </is>
      </c>
      <c r="C628" s="31" t="inlineStr">
        <is>
          <t>Particular à vista</t>
        </is>
      </c>
      <c r="D628" s="31" t="inlineStr"/>
      <c r="E628" s="31" t="inlineStr">
        <is>
          <t>Fechamento do dia</t>
        </is>
      </c>
      <c r="F628" s="31" t="inlineStr">
        <is>
          <t>Fechamento do dia · 1 atendimento · cartão de débito</t>
        </is>
      </c>
      <c r="G628" s="36" t="n">
        <v>380</v>
      </c>
      <c r="H628" s="32" t="inlineStr">
        <is>
          <t>Cartão de débito</t>
        </is>
      </c>
      <c r="I628" s="32" t="inlineStr">
        <is>
          <t>Sim</t>
        </is>
      </c>
      <c r="J628" s="35">
        <f>IF(A628="","",MONTH(A628))</f>
        <v>8</v>
      </c>
      <c r="K628" s="35">
        <f>IF(A628="","",YEAR(A628))</f>
        <v>2026</v>
      </c>
    </row>
    <row r="629">
      <c r="A629" s="39" t="n">
        <v>46251</v>
      </c>
      <c r="B629" s="32" t="inlineStr">
        <is>
          <t>Entrada</t>
        </is>
      </c>
      <c r="C629" s="31" t="inlineStr">
        <is>
          <t>Particular à vista</t>
        </is>
      </c>
      <c r="D629" s="31" t="inlineStr"/>
      <c r="E629" s="31" t="inlineStr">
        <is>
          <t>Fechamento do dia</t>
        </is>
      </c>
      <c r="F629" s="31" t="inlineStr">
        <is>
          <t>Fechamento do dia · 1 atendimento · dinheiro</t>
        </is>
      </c>
      <c r="G629" s="36" t="n">
        <v>380</v>
      </c>
      <c r="H629" s="32" t="inlineStr">
        <is>
          <t>Dinheiro</t>
        </is>
      </c>
      <c r="I629" s="32" t="inlineStr">
        <is>
          <t>Sim</t>
        </is>
      </c>
      <c r="J629" s="35">
        <f>IF(A629="","",MONTH(A629))</f>
        <v>8</v>
      </c>
      <c r="K629" s="35">
        <f>IF(A629="","",YEAR(A629))</f>
        <v>2026</v>
      </c>
    </row>
    <row r="630">
      <c r="A630" s="39" t="n">
        <v>46251</v>
      </c>
      <c r="B630" s="32" t="inlineStr">
        <is>
          <t>Entrada</t>
        </is>
      </c>
      <c r="C630" s="31" t="inlineStr">
        <is>
          <t>Particular à vista</t>
        </is>
      </c>
      <c r="D630" s="31" t="inlineStr"/>
      <c r="E630" s="31" t="inlineStr">
        <is>
          <t>Fechamento do dia</t>
        </is>
      </c>
      <c r="F630" s="31" t="inlineStr">
        <is>
          <t>Fechamento do dia · 1 atendimento · pix</t>
        </is>
      </c>
      <c r="G630" s="36" t="n">
        <v>380</v>
      </c>
      <c r="H630" s="32" t="inlineStr">
        <is>
          <t>Pix</t>
        </is>
      </c>
      <c r="I630" s="32" t="inlineStr">
        <is>
          <t>Sim</t>
        </is>
      </c>
      <c r="J630" s="35">
        <f>IF(A630="","",MONTH(A630))</f>
        <v>8</v>
      </c>
      <c r="K630" s="35">
        <f>IF(A630="","",YEAR(A630))</f>
        <v>2026</v>
      </c>
    </row>
    <row r="631">
      <c r="A631" s="39" t="n">
        <v>46252</v>
      </c>
      <c r="B631" s="32" t="inlineStr">
        <is>
          <t>Entrada</t>
        </is>
      </c>
      <c r="C631" s="31" t="inlineStr">
        <is>
          <t>Particular à vista</t>
        </is>
      </c>
      <c r="D631" s="31" t="inlineStr"/>
      <c r="E631" s="31" t="inlineStr">
        <is>
          <t>Fechamento do dia</t>
        </is>
      </c>
      <c r="F631" s="31" t="inlineStr">
        <is>
          <t>Fechamento do dia · 1 atendimento · cartão de crédito</t>
        </is>
      </c>
      <c r="G631" s="36" t="n">
        <v>380</v>
      </c>
      <c r="H631" s="32" t="inlineStr">
        <is>
          <t>Cartão de crédito</t>
        </is>
      </c>
      <c r="I631" s="32" t="inlineStr">
        <is>
          <t>Sim</t>
        </is>
      </c>
      <c r="J631" s="35">
        <f>IF(A631="","",MONTH(A631))</f>
        <v>8</v>
      </c>
      <c r="K631" s="35">
        <f>IF(A631="","",YEAR(A631))</f>
        <v>2026</v>
      </c>
    </row>
    <row r="632">
      <c r="A632" s="39" t="n">
        <v>46252</v>
      </c>
      <c r="B632" s="32" t="inlineStr">
        <is>
          <t>Entrada</t>
        </is>
      </c>
      <c r="C632" s="31" t="inlineStr">
        <is>
          <t>Particular à vista</t>
        </is>
      </c>
      <c r="D632" s="31" t="inlineStr"/>
      <c r="E632" s="31" t="inlineStr">
        <is>
          <t>Fechamento do dia</t>
        </is>
      </c>
      <c r="F632" s="31" t="inlineStr">
        <is>
          <t>Fechamento do dia · 1 atendimento · cartão de débito</t>
        </is>
      </c>
      <c r="G632" s="36" t="n">
        <v>380</v>
      </c>
      <c r="H632" s="32" t="inlineStr">
        <is>
          <t>Cartão de débito</t>
        </is>
      </c>
      <c r="I632" s="32" t="inlineStr">
        <is>
          <t>Sim</t>
        </is>
      </c>
      <c r="J632" s="35">
        <f>IF(A632="","",MONTH(A632))</f>
        <v>8</v>
      </c>
      <c r="K632" s="35">
        <f>IF(A632="","",YEAR(A632))</f>
        <v>2026</v>
      </c>
    </row>
    <row r="633">
      <c r="A633" s="39" t="n">
        <v>46252</v>
      </c>
      <c r="B633" s="32" t="inlineStr">
        <is>
          <t>Entrada</t>
        </is>
      </c>
      <c r="C633" s="31" t="inlineStr">
        <is>
          <t>Particular à vista</t>
        </is>
      </c>
      <c r="D633" s="31" t="inlineStr"/>
      <c r="E633" s="31" t="inlineStr">
        <is>
          <t>Fechamento do dia</t>
        </is>
      </c>
      <c r="F633" s="31" t="inlineStr">
        <is>
          <t>Fechamento do dia · 2 atendimentos · pix</t>
        </is>
      </c>
      <c r="G633" s="36" t="n">
        <v>780</v>
      </c>
      <c r="H633" s="32" t="inlineStr">
        <is>
          <t>Pix</t>
        </is>
      </c>
      <c r="I633" s="32" t="inlineStr">
        <is>
          <t>Sim</t>
        </is>
      </c>
      <c r="J633" s="35">
        <f>IF(A633="","",MONTH(A633))</f>
        <v>8</v>
      </c>
      <c r="K633" s="35">
        <f>IF(A633="","",YEAR(A633))</f>
        <v>2026</v>
      </c>
    </row>
    <row r="634">
      <c r="A634" s="39" t="n">
        <v>46252</v>
      </c>
      <c r="B634" s="32" t="inlineStr">
        <is>
          <t>Saída</t>
        </is>
      </c>
      <c r="C634" s="31" t="inlineStr">
        <is>
          <t>Manutenção de equipamentos</t>
        </is>
      </c>
      <c r="D634" s="31" t="inlineStr"/>
      <c r="E634" s="31" t="inlineStr"/>
      <c r="F634" s="31" t="inlineStr">
        <is>
          <t>Conserto do eletrocardiógrafo</t>
        </is>
      </c>
      <c r="G634" s="36" t="n">
        <v>450</v>
      </c>
      <c r="H634" s="32" t="inlineStr">
        <is>
          <t>Pix</t>
        </is>
      </c>
      <c r="I634" s="32" t="inlineStr">
        <is>
          <t>Sim</t>
        </is>
      </c>
      <c r="J634" s="35">
        <f>IF(A634="","",MONTH(A634))</f>
        <v>8</v>
      </c>
      <c r="K634" s="35">
        <f>IF(A634="","",YEAR(A634))</f>
        <v>2026</v>
      </c>
    </row>
    <row r="635">
      <c r="A635" s="39" t="n">
        <v>46253</v>
      </c>
      <c r="B635" s="32" t="inlineStr">
        <is>
          <t>Entrada</t>
        </is>
      </c>
      <c r="C635" s="31" t="inlineStr">
        <is>
          <t>Particular a prazo</t>
        </is>
      </c>
      <c r="D635" s="31" t="inlineStr">
        <is>
          <t>Cláudia Costa</t>
        </is>
      </c>
      <c r="E635" s="31" t="inlineStr">
        <is>
          <t>Parcela</t>
        </is>
      </c>
      <c r="F635" s="31" t="inlineStr">
        <is>
          <t>Consulta de 15/06 · parcela 2/2</t>
        </is>
      </c>
      <c r="G635" s="36" t="n">
        <v>190</v>
      </c>
      <c r="H635" s="32" t="inlineStr">
        <is>
          <t>Pix</t>
        </is>
      </c>
      <c r="I635" s="32" t="inlineStr">
        <is>
          <t>Sim</t>
        </is>
      </c>
      <c r="J635" s="35">
        <f>IF(A635="","",MONTH(A635))</f>
        <v>8</v>
      </c>
      <c r="K635" s="35">
        <f>IF(A635="","",YEAR(A635))</f>
        <v>2026</v>
      </c>
    </row>
    <row r="636">
      <c r="A636" s="39" t="n">
        <v>46253</v>
      </c>
      <c r="B636" s="32" t="inlineStr">
        <is>
          <t>Entrada</t>
        </is>
      </c>
      <c r="C636" s="31" t="inlineStr">
        <is>
          <t>Particular à vista</t>
        </is>
      </c>
      <c r="D636" s="31" t="inlineStr"/>
      <c r="E636" s="31" t="inlineStr">
        <is>
          <t>Fechamento do dia</t>
        </is>
      </c>
      <c r="F636" s="31" t="inlineStr">
        <is>
          <t>Fechamento do dia · 1 atendimento · cartão de débito</t>
        </is>
      </c>
      <c r="G636" s="36" t="n">
        <v>380</v>
      </c>
      <c r="H636" s="32" t="inlineStr">
        <is>
          <t>Cartão de débito</t>
        </is>
      </c>
      <c r="I636" s="32" t="inlineStr">
        <is>
          <t>Sim</t>
        </is>
      </c>
      <c r="J636" s="35">
        <f>IF(A636="","",MONTH(A636))</f>
        <v>8</v>
      </c>
      <c r="K636" s="35">
        <f>IF(A636="","",YEAR(A636))</f>
        <v>2026</v>
      </c>
    </row>
    <row r="637">
      <c r="A637" s="39" t="n">
        <v>46253</v>
      </c>
      <c r="B637" s="32" t="inlineStr">
        <is>
          <t>Entrada</t>
        </is>
      </c>
      <c r="C637" s="31" t="inlineStr">
        <is>
          <t>Particular à vista</t>
        </is>
      </c>
      <c r="D637" s="31" t="inlineStr"/>
      <c r="E637" s="31" t="inlineStr">
        <is>
          <t>Fechamento do dia</t>
        </is>
      </c>
      <c r="F637" s="31" t="inlineStr">
        <is>
          <t>Fechamento do dia · 1 atendimento · pix</t>
        </is>
      </c>
      <c r="G637" s="36" t="n">
        <v>380</v>
      </c>
      <c r="H637" s="32" t="inlineStr">
        <is>
          <t>Pix</t>
        </is>
      </c>
      <c r="I637" s="32" t="inlineStr">
        <is>
          <t>Sim</t>
        </is>
      </c>
      <c r="J637" s="35">
        <f>IF(A637="","",MONTH(A637))</f>
        <v>8</v>
      </c>
      <c r="K637" s="35">
        <f>IF(A637="","",YEAR(A637))</f>
        <v>2026</v>
      </c>
    </row>
    <row r="638">
      <c r="A638" s="39" t="n">
        <v>46254</v>
      </c>
      <c r="B638" s="32" t="inlineStr">
        <is>
          <t>Entrada</t>
        </is>
      </c>
      <c r="C638" s="31" t="inlineStr">
        <is>
          <t>Convênio · MediPlan</t>
        </is>
      </c>
      <c r="D638" s="31" t="inlineStr">
        <is>
          <t>MediPlan</t>
        </is>
      </c>
      <c r="E638" s="31" t="inlineStr">
        <is>
          <t>Lote jun/2026</t>
        </is>
      </c>
      <c r="F638" s="31" t="inlineStr">
        <is>
          <t>Pagamento do lote de jun/2026 (25 guias. glosa de R$ 135)</t>
        </is>
      </c>
      <c r="G638" s="36" t="n">
        <v>2130</v>
      </c>
      <c r="H638" s="32" t="inlineStr">
        <is>
          <t>Transferência</t>
        </is>
      </c>
      <c r="I638" s="32" t="inlineStr">
        <is>
          <t>Sim</t>
        </is>
      </c>
      <c r="J638" s="35">
        <f>IF(A638="","",MONTH(A638))</f>
        <v>8</v>
      </c>
      <c r="K638" s="35">
        <f>IF(A638="","",YEAR(A638))</f>
        <v>2026</v>
      </c>
    </row>
    <row r="639">
      <c r="A639" s="39" t="n">
        <v>46254</v>
      </c>
      <c r="B639" s="32" t="inlineStr">
        <is>
          <t>Entrada</t>
        </is>
      </c>
      <c r="C639" s="31" t="inlineStr">
        <is>
          <t>Particular à vista</t>
        </is>
      </c>
      <c r="D639" s="31" t="inlineStr"/>
      <c r="E639" s="31" t="inlineStr">
        <is>
          <t>Fechamento do dia</t>
        </is>
      </c>
      <c r="F639" s="31" t="inlineStr">
        <is>
          <t>Fechamento do dia · 1 atendimento · cartão de débito</t>
        </is>
      </c>
      <c r="G639" s="36" t="n">
        <v>400</v>
      </c>
      <c r="H639" s="32" t="inlineStr">
        <is>
          <t>Cartão de débito</t>
        </is>
      </c>
      <c r="I639" s="32" t="inlineStr">
        <is>
          <t>Sim</t>
        </is>
      </c>
      <c r="J639" s="35">
        <f>IF(A639="","",MONTH(A639))</f>
        <v>8</v>
      </c>
      <c r="K639" s="35">
        <f>IF(A639="","",YEAR(A639))</f>
        <v>2026</v>
      </c>
    </row>
    <row r="640">
      <c r="A640" s="39" t="n">
        <v>46254</v>
      </c>
      <c r="B640" s="32" t="inlineStr">
        <is>
          <t>Entrada</t>
        </is>
      </c>
      <c r="C640" s="31" t="inlineStr">
        <is>
          <t>Particular à vista</t>
        </is>
      </c>
      <c r="D640" s="31" t="inlineStr"/>
      <c r="E640" s="31" t="inlineStr">
        <is>
          <t>Fechamento do dia</t>
        </is>
      </c>
      <c r="F640" s="31" t="inlineStr">
        <is>
          <t>Fechamento do dia · 1 atendimento · dinheiro</t>
        </is>
      </c>
      <c r="G640" s="36" t="n">
        <v>130</v>
      </c>
      <c r="H640" s="32" t="inlineStr">
        <is>
          <t>Dinheiro</t>
        </is>
      </c>
      <c r="I640" s="32" t="inlineStr">
        <is>
          <t>Sim</t>
        </is>
      </c>
      <c r="J640" s="35">
        <f>IF(A640="","",MONTH(A640))</f>
        <v>8</v>
      </c>
      <c r="K640" s="35">
        <f>IF(A640="","",YEAR(A640))</f>
        <v>2026</v>
      </c>
    </row>
    <row r="641">
      <c r="A641" s="39" t="n">
        <v>46254</v>
      </c>
      <c r="B641" s="32" t="inlineStr">
        <is>
          <t>Entrada</t>
        </is>
      </c>
      <c r="C641" s="31" t="inlineStr">
        <is>
          <t>Particular à vista</t>
        </is>
      </c>
      <c r="D641" s="31" t="inlineStr"/>
      <c r="E641" s="31" t="inlineStr">
        <is>
          <t>Fechamento do dia</t>
        </is>
      </c>
      <c r="F641" s="31" t="inlineStr">
        <is>
          <t>Fechamento do dia · 2 atendimentos · cartão de crédito</t>
        </is>
      </c>
      <c r="G641" s="36" t="n">
        <v>800</v>
      </c>
      <c r="H641" s="32" t="inlineStr">
        <is>
          <t>Cartão de crédito</t>
        </is>
      </c>
      <c r="I641" s="32" t="inlineStr">
        <is>
          <t>Sim</t>
        </is>
      </c>
      <c r="J641" s="35">
        <f>IF(A641="","",MONTH(A641))</f>
        <v>8</v>
      </c>
      <c r="K641" s="35">
        <f>IF(A641="","",YEAR(A641))</f>
        <v>2026</v>
      </c>
    </row>
    <row r="642">
      <c r="A642" s="39" t="n">
        <v>46254</v>
      </c>
      <c r="B642" s="32" t="inlineStr">
        <is>
          <t>Entrada</t>
        </is>
      </c>
      <c r="C642" s="31" t="inlineStr">
        <is>
          <t>Particular à vista</t>
        </is>
      </c>
      <c r="D642" s="31" t="inlineStr"/>
      <c r="E642" s="31" t="inlineStr">
        <is>
          <t>Fechamento do dia</t>
        </is>
      </c>
      <c r="F642" s="31" t="inlineStr">
        <is>
          <t>Fechamento do dia · 6 atendimentos · pix</t>
        </is>
      </c>
      <c r="G642" s="36" t="n">
        <v>2170</v>
      </c>
      <c r="H642" s="32" t="inlineStr">
        <is>
          <t>Pix</t>
        </is>
      </c>
      <c r="I642" s="32" t="inlineStr">
        <is>
          <t>Sim</t>
        </is>
      </c>
      <c r="J642" s="35">
        <f>IF(A642="","",MONTH(A642))</f>
        <v>8</v>
      </c>
      <c r="K642" s="35">
        <f>IF(A642="","",YEAR(A642))</f>
        <v>2026</v>
      </c>
    </row>
    <row r="643">
      <c r="A643" s="39" t="n">
        <v>46254</v>
      </c>
      <c r="B643" s="32" t="inlineStr">
        <is>
          <t>Saída</t>
        </is>
      </c>
      <c r="C643" s="31" t="inlineStr">
        <is>
          <t>Impostos e taxas</t>
        </is>
      </c>
      <c r="D643" s="31" t="inlineStr"/>
      <c r="E643" s="31" t="inlineStr"/>
      <c r="F643" s="31" t="inlineStr">
        <is>
          <t>Guia de impostos do mês anterior (alíquota efetiva combinada com o contador)</t>
        </is>
      </c>
      <c r="G643" s="36" t="n">
        <v>5841</v>
      </c>
      <c r="H643" s="32" t="inlineStr">
        <is>
          <t>Boleto</t>
        </is>
      </c>
      <c r="I643" s="32" t="inlineStr">
        <is>
          <t>Sim</t>
        </is>
      </c>
      <c r="J643" s="35">
        <f>IF(A643="","",MONTH(A643))</f>
        <v>8</v>
      </c>
      <c r="K643" s="35">
        <f>IF(A643="","",YEAR(A643))</f>
        <v>2026</v>
      </c>
    </row>
    <row r="644">
      <c r="A644" s="39" t="n">
        <v>46254</v>
      </c>
      <c r="B644" s="32" t="inlineStr">
        <is>
          <t>Saída</t>
        </is>
      </c>
      <c r="C644" s="31" t="inlineStr">
        <is>
          <t>Marketing e site</t>
        </is>
      </c>
      <c r="D644" s="31" t="inlineStr"/>
      <c r="E644" s="31" t="inlineStr"/>
      <c r="F644" s="31" t="inlineStr">
        <is>
          <t>Marketing e site</t>
        </is>
      </c>
      <c r="G644" s="36" t="n">
        <v>650</v>
      </c>
      <c r="H644" s="32" t="inlineStr">
        <is>
          <t>Cartão de crédito</t>
        </is>
      </c>
      <c r="I644" s="32" t="inlineStr">
        <is>
          <t>Sim</t>
        </is>
      </c>
      <c r="J644" s="35">
        <f>IF(A644="","",MONTH(A644))</f>
        <v>8</v>
      </c>
      <c r="K644" s="35">
        <f>IF(A644="","",YEAR(A644))</f>
        <v>2026</v>
      </c>
    </row>
    <row r="645">
      <c r="A645" s="39" t="n">
        <v>46255</v>
      </c>
      <c r="B645" s="32" t="inlineStr">
        <is>
          <t>Entrada</t>
        </is>
      </c>
      <c r="C645" s="31" t="inlineStr">
        <is>
          <t>Particular a prazo</t>
        </is>
      </c>
      <c r="D645" s="31" t="inlineStr">
        <is>
          <t>Cláudia Santos</t>
        </is>
      </c>
      <c r="E645" s="31" t="inlineStr">
        <is>
          <t>Parcela</t>
        </is>
      </c>
      <c r="F645" s="31" t="inlineStr">
        <is>
          <t>Consulta de 20/07 · parcela 1/1</t>
        </is>
      </c>
      <c r="G645" s="36" t="n">
        <v>380</v>
      </c>
      <c r="H645" s="32" t="inlineStr">
        <is>
          <t>Pix</t>
        </is>
      </c>
      <c r="I645" s="32" t="inlineStr">
        <is>
          <t>Sim</t>
        </is>
      </c>
      <c r="J645" s="35">
        <f>IF(A645="","",MONTH(A645))</f>
        <v>8</v>
      </c>
      <c r="K645" s="35">
        <f>IF(A645="","",YEAR(A645))</f>
        <v>2026</v>
      </c>
    </row>
    <row r="646">
      <c r="A646" s="39" t="n">
        <v>46255</v>
      </c>
      <c r="B646" s="32" t="inlineStr">
        <is>
          <t>Entrada</t>
        </is>
      </c>
      <c r="C646" s="31" t="inlineStr">
        <is>
          <t>Particular a prazo</t>
        </is>
      </c>
      <c r="D646" s="31" t="inlineStr">
        <is>
          <t>Gustavo Ferreira</t>
        </is>
      </c>
      <c r="E646" s="31" t="inlineStr">
        <is>
          <t>Parcela</t>
        </is>
      </c>
      <c r="F646" s="31" t="inlineStr">
        <is>
          <t>Consulta de 22/07 · parcela 1/1</t>
        </is>
      </c>
      <c r="G646" s="36" t="n">
        <v>380</v>
      </c>
      <c r="H646" s="32" t="inlineStr">
        <is>
          <t>Pix</t>
        </is>
      </c>
      <c r="I646" s="32" t="inlineStr">
        <is>
          <t>Sim</t>
        </is>
      </c>
      <c r="J646" s="35">
        <f>IF(A646="","",MONTH(A646))</f>
        <v>8</v>
      </c>
      <c r="K646" s="35">
        <f>IF(A646="","",YEAR(A646))</f>
        <v>2026</v>
      </c>
    </row>
    <row r="647">
      <c r="A647" s="39" t="n">
        <v>46256</v>
      </c>
      <c r="B647" s="32" t="inlineStr">
        <is>
          <t>Entrada</t>
        </is>
      </c>
      <c r="C647" s="31" t="inlineStr">
        <is>
          <t>Particular a prazo</t>
        </is>
      </c>
      <c r="D647" s="31" t="inlineStr">
        <is>
          <t>Mariana Reis</t>
        </is>
      </c>
      <c r="E647" s="31" t="inlineStr">
        <is>
          <t>Parcela</t>
        </is>
      </c>
      <c r="F647" s="31" t="inlineStr">
        <is>
          <t>Avaliação endócrina de 23/06 · parcela 2/2</t>
        </is>
      </c>
      <c r="G647" s="36" t="n">
        <v>200</v>
      </c>
      <c r="H647" s="32" t="inlineStr">
        <is>
          <t>Pix</t>
        </is>
      </c>
      <c r="I647" s="32" t="inlineStr">
        <is>
          <t>Sim</t>
        </is>
      </c>
      <c r="J647" s="35">
        <f>IF(A647="","",MONTH(A647))</f>
        <v>8</v>
      </c>
      <c r="K647" s="35">
        <f>IF(A647="","",YEAR(A647))</f>
        <v>2026</v>
      </c>
    </row>
    <row r="648">
      <c r="A648" s="39" t="n">
        <v>46256</v>
      </c>
      <c r="B648" s="32" t="inlineStr">
        <is>
          <t>Entrada</t>
        </is>
      </c>
      <c r="C648" s="31" t="inlineStr">
        <is>
          <t>Particular a prazo</t>
        </is>
      </c>
      <c r="D648" s="31" t="inlineStr">
        <is>
          <t>Márcia Duarte</t>
        </is>
      </c>
      <c r="E648" s="31" t="inlineStr">
        <is>
          <t>Parcela</t>
        </is>
      </c>
      <c r="F648" s="31" t="inlineStr">
        <is>
          <t>Avaliação endócrina de 23/07 · parcela 1/2</t>
        </is>
      </c>
      <c r="G648" s="36" t="n">
        <v>200</v>
      </c>
      <c r="H648" s="32" t="inlineStr">
        <is>
          <t>Pix</t>
        </is>
      </c>
      <c r="I648" s="32" t="inlineStr">
        <is>
          <t>Sim</t>
        </is>
      </c>
      <c r="J648" s="35">
        <f>IF(A648="","",MONTH(A648))</f>
        <v>8</v>
      </c>
      <c r="K648" s="35">
        <f>IF(A648="","",YEAR(A648))</f>
        <v>2026</v>
      </c>
    </row>
    <row r="649">
      <c r="A649" s="39" t="n">
        <v>46256</v>
      </c>
      <c r="B649" s="32" t="inlineStr">
        <is>
          <t>Entrada</t>
        </is>
      </c>
      <c r="C649" s="31" t="inlineStr">
        <is>
          <t>Particular a prazo</t>
        </is>
      </c>
      <c r="D649" s="31" t="inlineStr">
        <is>
          <t>Fábio Machado</t>
        </is>
      </c>
      <c r="E649" s="31" t="inlineStr">
        <is>
          <t>Parcela</t>
        </is>
      </c>
      <c r="F649" s="31" t="inlineStr">
        <is>
          <t>Consulta de 23/06 · parcela 2/2</t>
        </is>
      </c>
      <c r="G649" s="36" t="n">
        <v>190</v>
      </c>
      <c r="H649" s="32" t="inlineStr">
        <is>
          <t>Pix</t>
        </is>
      </c>
      <c r="I649" s="32" t="inlineStr">
        <is>
          <t>Sim</t>
        </is>
      </c>
      <c r="J649" s="35">
        <f>IF(A649="","",MONTH(A649))</f>
        <v>8</v>
      </c>
      <c r="K649" s="35">
        <f>IF(A649="","",YEAR(A649))</f>
        <v>2026</v>
      </c>
    </row>
    <row r="650">
      <c r="A650" s="39" t="n">
        <v>46256</v>
      </c>
      <c r="B650" s="32" t="inlineStr">
        <is>
          <t>Saída</t>
        </is>
      </c>
      <c r="C650" s="31" t="inlineStr">
        <is>
          <t>Materiais e insumos de atendimento</t>
        </is>
      </c>
      <c r="D650" s="31" t="inlineStr"/>
      <c r="E650" s="31" t="inlineStr"/>
      <c r="F650" s="31" t="inlineStr">
        <is>
          <t>Reposição de descartáveis e papel para ECG</t>
        </is>
      </c>
      <c r="G650" s="36" t="n">
        <v>550</v>
      </c>
      <c r="H650" s="32" t="inlineStr">
        <is>
          <t>Cartão de crédito</t>
        </is>
      </c>
      <c r="I650" s="32" t="inlineStr">
        <is>
          <t>Sim</t>
        </is>
      </c>
      <c r="J650" s="35">
        <f>IF(A650="","",MONTH(A650))</f>
        <v>8</v>
      </c>
      <c r="K650" s="35">
        <f>IF(A650="","",YEAR(A650))</f>
        <v>2026</v>
      </c>
    </row>
    <row r="651">
      <c r="A651" s="39" t="n">
        <v>46257</v>
      </c>
      <c r="B651" s="32" t="inlineStr">
        <is>
          <t>Entrada</t>
        </is>
      </c>
      <c r="C651" s="31" t="inlineStr">
        <is>
          <t>Particular a prazo</t>
        </is>
      </c>
      <c r="D651" s="31" t="inlineStr">
        <is>
          <t>Eduardo Lima</t>
        </is>
      </c>
      <c r="E651" s="31" t="inlineStr">
        <is>
          <t>Parcela</t>
        </is>
      </c>
      <c r="F651" s="31" t="inlineStr">
        <is>
          <t>Teste ergométrico de 24/07 · parcela 1/1 (vencida)</t>
        </is>
      </c>
      <c r="G651" s="36" t="n">
        <v>450</v>
      </c>
      <c r="H651" s="32" t="inlineStr">
        <is>
          <t>Pix</t>
        </is>
      </c>
      <c r="I651" s="32" t="inlineStr">
        <is>
          <t>Não</t>
        </is>
      </c>
      <c r="J651" s="35">
        <f>IF(A651="","",MONTH(A651))</f>
        <v>8</v>
      </c>
      <c r="K651" s="35">
        <f>IF(A651="","",YEAR(A651))</f>
        <v>2026</v>
      </c>
    </row>
    <row r="652">
      <c r="A652" s="39" t="n">
        <v>46258</v>
      </c>
      <c r="B652" s="32" t="inlineStr">
        <is>
          <t>Entrada</t>
        </is>
      </c>
      <c r="C652" s="31" t="inlineStr">
        <is>
          <t>Particular a prazo</t>
        </is>
      </c>
      <c r="D652" s="31" t="inlineStr">
        <is>
          <t>Rafael Dias</t>
        </is>
      </c>
      <c r="E652" s="31" t="inlineStr">
        <is>
          <t>Parcela</t>
        </is>
      </c>
      <c r="F652" s="31" t="inlineStr">
        <is>
          <t>Consulta de 20/07 · parcela 1/1</t>
        </is>
      </c>
      <c r="G652" s="36" t="n">
        <v>380</v>
      </c>
      <c r="H652" s="32" t="inlineStr">
        <is>
          <t>Pix</t>
        </is>
      </c>
      <c r="I652" s="32" t="inlineStr">
        <is>
          <t>Sim</t>
        </is>
      </c>
      <c r="J652" s="35">
        <f>IF(A652="","",MONTH(A652))</f>
        <v>8</v>
      </c>
      <c r="K652" s="35">
        <f>IF(A652="","",YEAR(A652))</f>
        <v>2026</v>
      </c>
    </row>
    <row r="653">
      <c r="A653" s="39" t="n">
        <v>46258</v>
      </c>
      <c r="B653" s="32" t="inlineStr">
        <is>
          <t>Entrada</t>
        </is>
      </c>
      <c r="C653" s="31" t="inlineStr">
        <is>
          <t>Particular a prazo</t>
        </is>
      </c>
      <c r="D653" s="31" t="inlineStr">
        <is>
          <t>Cláudia Costa</t>
        </is>
      </c>
      <c r="E653" s="31" t="inlineStr">
        <is>
          <t>Parcela</t>
        </is>
      </c>
      <c r="F653" s="31" t="inlineStr">
        <is>
          <t>Consulta de 22/06 · parcela 2/2</t>
        </is>
      </c>
      <c r="G653" s="36" t="n">
        <v>190</v>
      </c>
      <c r="H653" s="32" t="inlineStr">
        <is>
          <t>Pix</t>
        </is>
      </c>
      <c r="I653" s="32" t="inlineStr">
        <is>
          <t>Sim</t>
        </is>
      </c>
      <c r="J653" s="35">
        <f>IF(A653="","",MONTH(A653))</f>
        <v>8</v>
      </c>
      <c r="K653" s="35">
        <f>IF(A653="","",YEAR(A653))</f>
        <v>2026</v>
      </c>
    </row>
    <row r="654">
      <c r="A654" s="39" t="n">
        <v>46258</v>
      </c>
      <c r="B654" s="32" t="inlineStr">
        <is>
          <t>Entrada</t>
        </is>
      </c>
      <c r="C654" s="31" t="inlineStr">
        <is>
          <t>Particular à vista</t>
        </is>
      </c>
      <c r="D654" s="31" t="inlineStr"/>
      <c r="E654" s="31" t="inlineStr">
        <is>
          <t>Fechamento do dia</t>
        </is>
      </c>
      <c r="F654" s="31" t="inlineStr">
        <is>
          <t>Fechamento do dia · 1 atendimento · cartão de débito</t>
        </is>
      </c>
      <c r="G654" s="36" t="n">
        <v>380</v>
      </c>
      <c r="H654" s="32" t="inlineStr">
        <is>
          <t>Cartão de débito</t>
        </is>
      </c>
      <c r="I654" s="32" t="inlineStr">
        <is>
          <t>Sim</t>
        </is>
      </c>
      <c r="J654" s="35">
        <f>IF(A654="","",MONTH(A654))</f>
        <v>8</v>
      </c>
      <c r="K654" s="35">
        <f>IF(A654="","",YEAR(A654))</f>
        <v>2026</v>
      </c>
    </row>
    <row r="655">
      <c r="A655" s="39" t="n">
        <v>46258</v>
      </c>
      <c r="B655" s="32" t="inlineStr">
        <is>
          <t>Entrada</t>
        </is>
      </c>
      <c r="C655" s="31" t="inlineStr">
        <is>
          <t>Particular à vista</t>
        </is>
      </c>
      <c r="D655" s="31" t="inlineStr"/>
      <c r="E655" s="31" t="inlineStr">
        <is>
          <t>Fechamento do dia</t>
        </is>
      </c>
      <c r="F655" s="31" t="inlineStr">
        <is>
          <t>Fechamento do dia · 1 atendimento · dinheiro</t>
        </is>
      </c>
      <c r="G655" s="36" t="n">
        <v>350</v>
      </c>
      <c r="H655" s="32" t="inlineStr">
        <is>
          <t>Dinheiro</t>
        </is>
      </c>
      <c r="I655" s="32" t="inlineStr">
        <is>
          <t>Sim</t>
        </is>
      </c>
      <c r="J655" s="35">
        <f>IF(A655="","",MONTH(A655))</f>
        <v>8</v>
      </c>
      <c r="K655" s="35">
        <f>IF(A655="","",YEAR(A655))</f>
        <v>2026</v>
      </c>
    </row>
    <row r="656">
      <c r="A656" s="39" t="n">
        <v>46258</v>
      </c>
      <c r="B656" s="32" t="inlineStr">
        <is>
          <t>Entrada</t>
        </is>
      </c>
      <c r="C656" s="31" t="inlineStr">
        <is>
          <t>Particular à vista</t>
        </is>
      </c>
      <c r="D656" s="31" t="inlineStr"/>
      <c r="E656" s="31" t="inlineStr">
        <is>
          <t>Fechamento do dia</t>
        </is>
      </c>
      <c r="F656" s="31" t="inlineStr">
        <is>
          <t>Fechamento do dia · 3 atendimentos · cartão de crédito</t>
        </is>
      </c>
      <c r="G656" s="36" t="n">
        <v>890</v>
      </c>
      <c r="H656" s="32" t="inlineStr">
        <is>
          <t>Cartão de crédito</t>
        </is>
      </c>
      <c r="I656" s="32" t="inlineStr">
        <is>
          <t>Sim</t>
        </is>
      </c>
      <c r="J656" s="35">
        <f>IF(A656="","",MONTH(A656))</f>
        <v>8</v>
      </c>
      <c r="K656" s="35">
        <f>IF(A656="","",YEAR(A656))</f>
        <v>2026</v>
      </c>
    </row>
    <row r="657">
      <c r="A657" s="39" t="n">
        <v>46258</v>
      </c>
      <c r="B657" s="32" t="inlineStr">
        <is>
          <t>Entrada</t>
        </is>
      </c>
      <c r="C657" s="31" t="inlineStr">
        <is>
          <t>Particular à vista</t>
        </is>
      </c>
      <c r="D657" s="31" t="inlineStr"/>
      <c r="E657" s="31" t="inlineStr">
        <is>
          <t>Fechamento do dia</t>
        </is>
      </c>
      <c r="F657" s="31" t="inlineStr">
        <is>
          <t>Fechamento do dia · 3 atendimentos · pix</t>
        </is>
      </c>
      <c r="G657" s="36" t="n">
        <v>1140</v>
      </c>
      <c r="H657" s="32" t="inlineStr">
        <is>
          <t>Pix</t>
        </is>
      </c>
      <c r="I657" s="32" t="inlineStr">
        <is>
          <t>Sim</t>
        </is>
      </c>
      <c r="J657" s="35">
        <f>IF(A657="","",MONTH(A657))</f>
        <v>8</v>
      </c>
      <c r="K657" s="35">
        <f>IF(A657="","",YEAR(A657))</f>
        <v>2026</v>
      </c>
    </row>
    <row r="658">
      <c r="A658" s="39" t="n">
        <v>46259</v>
      </c>
      <c r="B658" s="32" t="inlineStr">
        <is>
          <t>Entrada</t>
        </is>
      </c>
      <c r="C658" s="31" t="inlineStr">
        <is>
          <t>Particular a prazo</t>
        </is>
      </c>
      <c r="D658" s="31" t="inlineStr">
        <is>
          <t>Rafael Barros</t>
        </is>
      </c>
      <c r="E658" s="31" t="inlineStr">
        <is>
          <t>Parcela</t>
        </is>
      </c>
      <c r="F658" s="31" t="inlineStr">
        <is>
          <t>Consulta de 23/07 · parcela 1/2</t>
        </is>
      </c>
      <c r="G658" s="36" t="n">
        <v>190</v>
      </c>
      <c r="H658" s="32" t="inlineStr">
        <is>
          <t>Pix</t>
        </is>
      </c>
      <c r="I658" s="32" t="inlineStr">
        <is>
          <t>Sim</t>
        </is>
      </c>
      <c r="J658" s="35">
        <f>IF(A658="","",MONTH(A658))</f>
        <v>8</v>
      </c>
      <c r="K658" s="35">
        <f>IF(A658="","",YEAR(A658))</f>
        <v>2026</v>
      </c>
    </row>
    <row r="659">
      <c r="A659" s="39" t="n">
        <v>46259</v>
      </c>
      <c r="B659" s="32" t="inlineStr">
        <is>
          <t>Entrada</t>
        </is>
      </c>
      <c r="C659" s="31" t="inlineStr">
        <is>
          <t>Particular à vista</t>
        </is>
      </c>
      <c r="D659" s="31" t="inlineStr"/>
      <c r="E659" s="31" t="inlineStr">
        <is>
          <t>Fechamento do dia</t>
        </is>
      </c>
      <c r="F659" s="31" t="inlineStr">
        <is>
          <t>Fechamento do dia · 1 atendimento · cartão de débito</t>
        </is>
      </c>
      <c r="G659" s="36" t="n">
        <v>400</v>
      </c>
      <c r="H659" s="32" t="inlineStr">
        <is>
          <t>Cartão de débito</t>
        </is>
      </c>
      <c r="I659" s="32" t="inlineStr">
        <is>
          <t>Sim</t>
        </is>
      </c>
      <c r="J659" s="35">
        <f>IF(A659="","",MONTH(A659))</f>
        <v>8</v>
      </c>
      <c r="K659" s="35">
        <f>IF(A659="","",YEAR(A659))</f>
        <v>2026</v>
      </c>
    </row>
    <row r="660">
      <c r="A660" s="39" t="n">
        <v>46259</v>
      </c>
      <c r="B660" s="32" t="inlineStr">
        <is>
          <t>Entrada</t>
        </is>
      </c>
      <c r="C660" s="31" t="inlineStr">
        <is>
          <t>Particular à vista</t>
        </is>
      </c>
      <c r="D660" s="31" t="inlineStr"/>
      <c r="E660" s="31" t="inlineStr">
        <is>
          <t>Fechamento do dia</t>
        </is>
      </c>
      <c r="F660" s="31" t="inlineStr">
        <is>
          <t>Fechamento do dia · 1 atendimento · dinheiro</t>
        </is>
      </c>
      <c r="G660" s="36" t="n">
        <v>400</v>
      </c>
      <c r="H660" s="32" t="inlineStr">
        <is>
          <t>Dinheiro</t>
        </is>
      </c>
      <c r="I660" s="32" t="inlineStr">
        <is>
          <t>Sim</t>
        </is>
      </c>
      <c r="J660" s="35">
        <f>IF(A660="","",MONTH(A660))</f>
        <v>8</v>
      </c>
      <c r="K660" s="35">
        <f>IF(A660="","",YEAR(A660))</f>
        <v>2026</v>
      </c>
    </row>
    <row r="661">
      <c r="A661" s="39" t="n">
        <v>46259</v>
      </c>
      <c r="B661" s="32" t="inlineStr">
        <is>
          <t>Entrada</t>
        </is>
      </c>
      <c r="C661" s="31" t="inlineStr">
        <is>
          <t>Particular à vista</t>
        </is>
      </c>
      <c r="D661" s="31" t="inlineStr"/>
      <c r="E661" s="31" t="inlineStr">
        <is>
          <t>Fechamento do dia</t>
        </is>
      </c>
      <c r="F661" s="31" t="inlineStr">
        <is>
          <t>Fechamento do dia · 2 atendimentos · pix</t>
        </is>
      </c>
      <c r="G661" s="36" t="n">
        <v>760</v>
      </c>
      <c r="H661" s="32" t="inlineStr">
        <is>
          <t>Pix</t>
        </is>
      </c>
      <c r="I661" s="32" t="inlineStr">
        <is>
          <t>Sim</t>
        </is>
      </c>
      <c r="J661" s="35">
        <f>IF(A661="","",MONTH(A661))</f>
        <v>8</v>
      </c>
      <c r="K661" s="35">
        <f>IF(A661="","",YEAR(A661))</f>
        <v>2026</v>
      </c>
    </row>
    <row r="662">
      <c r="A662" s="39" t="n">
        <v>46259</v>
      </c>
      <c r="B662" s="32" t="inlineStr">
        <is>
          <t>Entrada</t>
        </is>
      </c>
      <c r="C662" s="31" t="inlineStr">
        <is>
          <t>Particular à vista</t>
        </is>
      </c>
      <c r="D662" s="31" t="inlineStr"/>
      <c r="E662" s="31" t="inlineStr">
        <is>
          <t>Fechamento do dia</t>
        </is>
      </c>
      <c r="F662" s="31" t="inlineStr">
        <is>
          <t>Fechamento do dia · 5 atendimentos · cartão de crédito</t>
        </is>
      </c>
      <c r="G662" s="36" t="n">
        <v>1860</v>
      </c>
      <c r="H662" s="32" t="inlineStr">
        <is>
          <t>Cartão de crédito</t>
        </is>
      </c>
      <c r="I662" s="32" t="inlineStr">
        <is>
          <t>Sim</t>
        </is>
      </c>
      <c r="J662" s="35">
        <f>IF(A662="","",MONTH(A662))</f>
        <v>8</v>
      </c>
      <c r="K662" s="35">
        <f>IF(A662="","",YEAR(A662))</f>
        <v>2026</v>
      </c>
    </row>
    <row r="663">
      <c r="A663" s="39" t="n">
        <v>46260</v>
      </c>
      <c r="B663" s="32" t="inlineStr">
        <is>
          <t>Entrada</t>
        </is>
      </c>
      <c r="C663" s="31" t="inlineStr">
        <is>
          <t>Particular a prazo</t>
        </is>
      </c>
      <c r="D663" s="31" t="inlineStr">
        <is>
          <t>Elaine Cardoso</t>
        </is>
      </c>
      <c r="E663" s="31" t="inlineStr">
        <is>
          <t>Parcela</t>
        </is>
      </c>
      <c r="F663" s="31" t="inlineStr">
        <is>
          <t>Consulta de 22/06 · parcela 2/2</t>
        </is>
      </c>
      <c r="G663" s="36" t="n">
        <v>190</v>
      </c>
      <c r="H663" s="32" t="inlineStr">
        <is>
          <t>Pix</t>
        </is>
      </c>
      <c r="I663" s="32" t="inlineStr">
        <is>
          <t>Sim</t>
        </is>
      </c>
      <c r="J663" s="35">
        <f>IF(A663="","",MONTH(A663))</f>
        <v>8</v>
      </c>
      <c r="K663" s="35">
        <f>IF(A663="","",YEAR(A663))</f>
        <v>2026</v>
      </c>
    </row>
    <row r="664">
      <c r="A664" s="39" t="n">
        <v>46260</v>
      </c>
      <c r="B664" s="32" t="inlineStr">
        <is>
          <t>Entrada</t>
        </is>
      </c>
      <c r="C664" s="31" t="inlineStr">
        <is>
          <t>Particular à vista</t>
        </is>
      </c>
      <c r="D664" s="31" t="inlineStr"/>
      <c r="E664" s="31" t="inlineStr">
        <is>
          <t>Fechamento do dia</t>
        </is>
      </c>
      <c r="F664" s="31" t="inlineStr">
        <is>
          <t>Fechamento do dia · 1 atendimento · cartão de débito</t>
        </is>
      </c>
      <c r="G664" s="36" t="n">
        <v>380</v>
      </c>
      <c r="H664" s="32" t="inlineStr">
        <is>
          <t>Cartão de débito</t>
        </is>
      </c>
      <c r="I664" s="32" t="inlineStr">
        <is>
          <t>Sim</t>
        </is>
      </c>
      <c r="J664" s="35">
        <f>IF(A664="","",MONTH(A664))</f>
        <v>8</v>
      </c>
      <c r="K664" s="35">
        <f>IF(A664="","",YEAR(A664))</f>
        <v>2026</v>
      </c>
    </row>
    <row r="665">
      <c r="A665" s="39" t="n">
        <v>46260</v>
      </c>
      <c r="B665" s="32" t="inlineStr">
        <is>
          <t>Entrada</t>
        </is>
      </c>
      <c r="C665" s="31" t="inlineStr">
        <is>
          <t>Particular à vista</t>
        </is>
      </c>
      <c r="D665" s="31" t="inlineStr"/>
      <c r="E665" s="31" t="inlineStr">
        <is>
          <t>Fechamento do dia</t>
        </is>
      </c>
      <c r="F665" s="31" t="inlineStr">
        <is>
          <t>Fechamento do dia · 2 atendimentos · pix</t>
        </is>
      </c>
      <c r="G665" s="36" t="n">
        <v>760</v>
      </c>
      <c r="H665" s="32" t="inlineStr">
        <is>
          <t>Pix</t>
        </is>
      </c>
      <c r="I665" s="32" t="inlineStr">
        <is>
          <t>Sim</t>
        </is>
      </c>
      <c r="J665" s="35">
        <f>IF(A665="","",MONTH(A665))</f>
        <v>8</v>
      </c>
      <c r="K665" s="35">
        <f>IF(A665="","",YEAR(A665))</f>
        <v>2026</v>
      </c>
    </row>
    <row r="666">
      <c r="A666" s="39" t="n">
        <v>46261</v>
      </c>
      <c r="B666" s="32" t="inlineStr">
        <is>
          <t>Entrada</t>
        </is>
      </c>
      <c r="C666" s="31" t="inlineStr">
        <is>
          <t>Particular a prazo</t>
        </is>
      </c>
      <c r="D666" s="31" t="inlineStr">
        <is>
          <t>Otávio Nascimento</t>
        </is>
      </c>
      <c r="E666" s="31" t="inlineStr">
        <is>
          <t>Parcela</t>
        </is>
      </c>
      <c r="F666" s="31" t="inlineStr">
        <is>
          <t>Holter de 28/07 · parcela 1/1</t>
        </is>
      </c>
      <c r="G666" s="36" t="n">
        <v>350</v>
      </c>
      <c r="H666" s="32" t="inlineStr">
        <is>
          <t>Pix</t>
        </is>
      </c>
      <c r="I666" s="32" t="inlineStr">
        <is>
          <t>Sim</t>
        </is>
      </c>
      <c r="J666" s="35">
        <f>IF(A666="","",MONTH(A666))</f>
        <v>8</v>
      </c>
      <c r="K666" s="35">
        <f>IF(A666="","",YEAR(A666))</f>
        <v>2026</v>
      </c>
    </row>
    <row r="667">
      <c r="A667" s="39" t="n">
        <v>46261</v>
      </c>
      <c r="B667" s="32" t="inlineStr">
        <is>
          <t>Entrada</t>
        </is>
      </c>
      <c r="C667" s="31" t="inlineStr">
        <is>
          <t>Particular à vista</t>
        </is>
      </c>
      <c r="D667" s="31" t="inlineStr"/>
      <c r="E667" s="31" t="inlineStr">
        <is>
          <t>Fechamento do dia</t>
        </is>
      </c>
      <c r="F667" s="31" t="inlineStr">
        <is>
          <t>Fechamento do dia · 2 atendimentos · cartão de crédito</t>
        </is>
      </c>
      <c r="G667" s="36" t="n">
        <v>760</v>
      </c>
      <c r="H667" s="32" t="inlineStr">
        <is>
          <t>Cartão de crédito</t>
        </is>
      </c>
      <c r="I667" s="32" t="inlineStr">
        <is>
          <t>Sim</t>
        </is>
      </c>
      <c r="J667" s="35">
        <f>IF(A667="","",MONTH(A667))</f>
        <v>8</v>
      </c>
      <c r="K667" s="35">
        <f>IF(A667="","",YEAR(A667))</f>
        <v>2026</v>
      </c>
    </row>
    <row r="668">
      <c r="A668" s="39" t="n">
        <v>46261</v>
      </c>
      <c r="B668" s="32" t="inlineStr">
        <is>
          <t>Entrada</t>
        </is>
      </c>
      <c r="C668" s="31" t="inlineStr">
        <is>
          <t>Particular à vista</t>
        </is>
      </c>
      <c r="D668" s="31" t="inlineStr"/>
      <c r="E668" s="31" t="inlineStr">
        <is>
          <t>Fechamento do dia</t>
        </is>
      </c>
      <c r="F668" s="31" t="inlineStr">
        <is>
          <t>Fechamento do dia · 2 atendimentos · cartão de débito</t>
        </is>
      </c>
      <c r="G668" s="36" t="n">
        <v>780</v>
      </c>
      <c r="H668" s="32" t="inlineStr">
        <is>
          <t>Cartão de débito</t>
        </is>
      </c>
      <c r="I668" s="32" t="inlineStr">
        <is>
          <t>Sim</t>
        </is>
      </c>
      <c r="J668" s="35">
        <f>IF(A668="","",MONTH(A668))</f>
        <v>8</v>
      </c>
      <c r="K668" s="35">
        <f>IF(A668="","",YEAR(A668))</f>
        <v>2026</v>
      </c>
    </row>
    <row r="669">
      <c r="A669" s="39" t="n">
        <v>46261</v>
      </c>
      <c r="B669" s="32" t="inlineStr">
        <is>
          <t>Entrada</t>
        </is>
      </c>
      <c r="C669" s="31" t="inlineStr">
        <is>
          <t>Particular à vista</t>
        </is>
      </c>
      <c r="D669" s="31" t="inlineStr"/>
      <c r="E669" s="31" t="inlineStr">
        <is>
          <t>Fechamento do dia</t>
        </is>
      </c>
      <c r="F669" s="31" t="inlineStr">
        <is>
          <t>Fechamento do dia · 2 atendimentos · pix</t>
        </is>
      </c>
      <c r="G669" s="36" t="n">
        <v>700</v>
      </c>
      <c r="H669" s="32" t="inlineStr">
        <is>
          <t>Pix</t>
        </is>
      </c>
      <c r="I669" s="32" t="inlineStr">
        <is>
          <t>Sim</t>
        </is>
      </c>
      <c r="J669" s="35">
        <f>IF(A669="","",MONTH(A669))</f>
        <v>8</v>
      </c>
      <c r="K669" s="35">
        <f>IF(A669="","",YEAR(A669))</f>
        <v>2026</v>
      </c>
    </row>
    <row r="670">
      <c r="A670" s="39" t="n">
        <v>46262</v>
      </c>
      <c r="B670" s="32" t="inlineStr">
        <is>
          <t>Saída</t>
        </is>
      </c>
      <c r="C670" s="31" t="inlineStr">
        <is>
          <t>Pró-labore dos sócios</t>
        </is>
      </c>
      <c r="D670" s="31" t="inlineStr"/>
      <c r="E670" s="31" t="inlineStr"/>
      <c r="F670" s="31" t="inlineStr">
        <is>
          <t>Pró-labore · Dr. Paulo Andrade</t>
        </is>
      </c>
      <c r="G670" s="36" t="n">
        <v>9000</v>
      </c>
      <c r="H670" s="32" t="inlineStr">
        <is>
          <t>Transferência</t>
        </is>
      </c>
      <c r="I670" s="32" t="inlineStr">
        <is>
          <t>Sim</t>
        </is>
      </c>
      <c r="J670" s="35">
        <f>IF(A670="","",MONTH(A670))</f>
        <v>8</v>
      </c>
      <c r="K670" s="35">
        <f>IF(A670="","",YEAR(A670))</f>
        <v>2026</v>
      </c>
    </row>
    <row r="671">
      <c r="A671" s="39" t="n">
        <v>46262</v>
      </c>
      <c r="B671" s="32" t="inlineStr">
        <is>
          <t>Saída</t>
        </is>
      </c>
      <c r="C671" s="31" t="inlineStr">
        <is>
          <t>Pró-labore dos sócios</t>
        </is>
      </c>
      <c r="D671" s="31" t="inlineStr"/>
      <c r="E671" s="31" t="inlineStr"/>
      <c r="F671" s="31" t="inlineStr">
        <is>
          <t>Pró-labore · Dra. Carolina Mendes</t>
        </is>
      </c>
      <c r="G671" s="36" t="n">
        <v>9000</v>
      </c>
      <c r="H671" s="32" t="inlineStr">
        <is>
          <t>Transferência</t>
        </is>
      </c>
      <c r="I671" s="32" t="inlineStr">
        <is>
          <t>Sim</t>
        </is>
      </c>
      <c r="J671" s="35">
        <f>IF(A671="","",MONTH(A671))</f>
        <v>8</v>
      </c>
      <c r="K671" s="35">
        <f>IF(A671="","",YEAR(A671))</f>
        <v>2026</v>
      </c>
    </row>
    <row r="672">
      <c r="A672" s="39" t="n">
        <v>46263</v>
      </c>
      <c r="B672" s="32" t="inlineStr">
        <is>
          <t>Entrada</t>
        </is>
      </c>
      <c r="C672" s="31" t="inlineStr">
        <is>
          <t>Particular a prazo</t>
        </is>
      </c>
      <c r="D672" s="31" t="inlineStr">
        <is>
          <t>Rodrigo Moreira</t>
        </is>
      </c>
      <c r="E672" s="31" t="inlineStr">
        <is>
          <t>Parcela</t>
        </is>
      </c>
      <c r="F672" s="31" t="inlineStr">
        <is>
          <t>Teste ergométrico de 27/07 · parcela 1/2</t>
        </is>
      </c>
      <c r="G672" s="36" t="n">
        <v>225</v>
      </c>
      <c r="H672" s="32" t="inlineStr">
        <is>
          <t>Pix</t>
        </is>
      </c>
      <c r="I672" s="32" t="inlineStr">
        <is>
          <t>Sim</t>
        </is>
      </c>
      <c r="J672" s="35">
        <f>IF(A672="","",MONTH(A672))</f>
        <v>8</v>
      </c>
      <c r="K672" s="35">
        <f>IF(A672="","",YEAR(A672))</f>
        <v>2026</v>
      </c>
    </row>
    <row r="673">
      <c r="A673" s="39" t="n">
        <v>46264</v>
      </c>
      <c r="B673" s="32" t="inlineStr">
        <is>
          <t>Entrada</t>
        </is>
      </c>
      <c r="C673" s="31" t="inlineStr">
        <is>
          <t>Particular a prazo</t>
        </is>
      </c>
      <c r="D673" s="31" t="inlineStr">
        <is>
          <t>Roberta Lima</t>
        </is>
      </c>
      <c r="E673" s="31" t="inlineStr">
        <is>
          <t>Parcela</t>
        </is>
      </c>
      <c r="F673" s="31" t="inlineStr">
        <is>
          <t>Avaliação endócrina de 30/06 · parcela 2/2</t>
        </is>
      </c>
      <c r="G673" s="36" t="n">
        <v>200</v>
      </c>
      <c r="H673" s="32" t="inlineStr">
        <is>
          <t>Pix</t>
        </is>
      </c>
      <c r="I673" s="32" t="inlineStr">
        <is>
          <t>Sim</t>
        </is>
      </c>
      <c r="J673" s="35">
        <f>IF(A673="","",MONTH(A673))</f>
        <v>8</v>
      </c>
      <c r="K673" s="35">
        <f>IF(A673="","",YEAR(A673))</f>
        <v>2026</v>
      </c>
    </row>
    <row r="674">
      <c r="A674" s="39" t="n">
        <v>46265</v>
      </c>
      <c r="B674" s="32" t="inlineStr">
        <is>
          <t>Entrada</t>
        </is>
      </c>
      <c r="C674" s="31" t="inlineStr">
        <is>
          <t>Particular a prazo</t>
        </is>
      </c>
      <c r="D674" s="31" t="inlineStr">
        <is>
          <t>Regina Duarte</t>
        </is>
      </c>
      <c r="E674" s="31" t="inlineStr">
        <is>
          <t>Parcela</t>
        </is>
      </c>
      <c r="F674" s="31" t="inlineStr">
        <is>
          <t>Consulta de 27/07 · parcela 1/2</t>
        </is>
      </c>
      <c r="G674" s="36" t="n">
        <v>190</v>
      </c>
      <c r="H674" s="32" t="inlineStr">
        <is>
          <t>Pix</t>
        </is>
      </c>
      <c r="I674" s="32" t="inlineStr">
        <is>
          <t>Sim</t>
        </is>
      </c>
      <c r="J674" s="35">
        <f>IF(A674="","",MONTH(A674))</f>
        <v>8</v>
      </c>
      <c r="K674" s="35">
        <f>IF(A674="","",YEAR(A674))</f>
        <v>2026</v>
      </c>
    </row>
    <row r="675">
      <c r="A675" s="39" t="n">
        <v>46265</v>
      </c>
      <c r="B675" s="32" t="inlineStr">
        <is>
          <t>Entrada</t>
        </is>
      </c>
      <c r="C675" s="31" t="inlineStr">
        <is>
          <t>Particular à vista</t>
        </is>
      </c>
      <c r="D675" s="31" t="inlineStr"/>
      <c r="E675" s="31" t="inlineStr">
        <is>
          <t>Fechamento do dia</t>
        </is>
      </c>
      <c r="F675" s="31" t="inlineStr">
        <is>
          <t>Fechamento do dia · 1 atendimento · pix</t>
        </is>
      </c>
      <c r="G675" s="36" t="n">
        <v>380</v>
      </c>
      <c r="H675" s="32" t="inlineStr">
        <is>
          <t>Pix</t>
        </is>
      </c>
      <c r="I675" s="32" t="inlineStr">
        <is>
          <t>Sim</t>
        </is>
      </c>
      <c r="J675" s="35">
        <f>IF(A675="","",MONTH(A675))</f>
        <v>8</v>
      </c>
      <c r="K675" s="35">
        <f>IF(A675="","",YEAR(A675))</f>
        <v>2026</v>
      </c>
    </row>
    <row r="676">
      <c r="A676" s="39" t="n">
        <v>46265</v>
      </c>
      <c r="B676" s="32" t="inlineStr">
        <is>
          <t>Entrada</t>
        </is>
      </c>
      <c r="C676" s="31" t="inlineStr">
        <is>
          <t>Particular à vista</t>
        </is>
      </c>
      <c r="D676" s="31" t="inlineStr"/>
      <c r="E676" s="31" t="inlineStr">
        <is>
          <t>Fechamento do dia</t>
        </is>
      </c>
      <c r="F676" s="31" t="inlineStr">
        <is>
          <t>Fechamento do dia · 2 atendimentos · cartão de débito</t>
        </is>
      </c>
      <c r="G676" s="36" t="n">
        <v>510</v>
      </c>
      <c r="H676" s="32" t="inlineStr">
        <is>
          <t>Cartão de débito</t>
        </is>
      </c>
      <c r="I676" s="32" t="inlineStr">
        <is>
          <t>Sim</t>
        </is>
      </c>
      <c r="J676" s="35">
        <f>IF(A676="","",MONTH(A676))</f>
        <v>8</v>
      </c>
      <c r="K676" s="35">
        <f>IF(A676="","",YEAR(A676))</f>
        <v>2026</v>
      </c>
    </row>
    <row r="677">
      <c r="A677" s="39" t="n">
        <v>46265</v>
      </c>
      <c r="B677" s="32" t="inlineStr">
        <is>
          <t>Saída</t>
        </is>
      </c>
      <c r="C677" s="31" t="inlineStr">
        <is>
          <t>Taxas de cartão</t>
        </is>
      </c>
      <c r="D677" s="31" t="inlineStr"/>
      <c r="E677" s="31" t="inlineStr"/>
      <c r="F677" s="31" t="inlineStr">
        <is>
          <t>Taxas da operadora de cartão · vendas de ago</t>
        </is>
      </c>
      <c r="G677" s="36" t="n">
        <v>484.12</v>
      </c>
      <c r="H677" s="32" t="inlineStr">
        <is>
          <t>Transferência</t>
        </is>
      </c>
      <c r="I677" s="32" t="inlineStr">
        <is>
          <t>Sim</t>
        </is>
      </c>
      <c r="J677" s="35">
        <f>IF(A677="","",MONTH(A677))</f>
        <v>8</v>
      </c>
      <c r="K677" s="35">
        <f>IF(A677="","",YEAR(A677))</f>
        <v>2026</v>
      </c>
    </row>
    <row r="678">
      <c r="A678" s="39" t="n">
        <v>46266</v>
      </c>
      <c r="B678" s="32" t="inlineStr">
        <is>
          <t>Entrada</t>
        </is>
      </c>
      <c r="C678" s="31" t="inlineStr">
        <is>
          <t>Particular a prazo</t>
        </is>
      </c>
      <c r="D678" s="31" t="inlineStr">
        <is>
          <t>Rafael Pereira</t>
        </is>
      </c>
      <c r="E678" s="31" t="inlineStr">
        <is>
          <t>Parcela</t>
        </is>
      </c>
      <c r="F678" s="31" t="inlineStr">
        <is>
          <t>Avaliação endócrina de 28/07 · parcela 1/1</t>
        </is>
      </c>
      <c r="G678" s="36" t="n">
        <v>400</v>
      </c>
      <c r="H678" s="32" t="inlineStr">
        <is>
          <t>Pix</t>
        </is>
      </c>
      <c r="I678" s="32" t="inlineStr">
        <is>
          <t>Sim</t>
        </is>
      </c>
      <c r="J678" s="35">
        <f>IF(A678="","",MONTH(A678))</f>
        <v>9</v>
      </c>
      <c r="K678" s="35">
        <f>IF(A678="","",YEAR(A678))</f>
        <v>2026</v>
      </c>
    </row>
    <row r="679">
      <c r="A679" s="39" t="n">
        <v>46266</v>
      </c>
      <c r="B679" s="32" t="inlineStr">
        <is>
          <t>Entrada</t>
        </is>
      </c>
      <c r="C679" s="31" t="inlineStr">
        <is>
          <t>Particular à vista</t>
        </is>
      </c>
      <c r="D679" s="31" t="inlineStr"/>
      <c r="E679" s="31" t="inlineStr">
        <is>
          <t>Fechamento do dia</t>
        </is>
      </c>
      <c r="F679" s="31" t="inlineStr">
        <is>
          <t>Fechamento do dia · 1 atendimento · cartão de débito</t>
        </is>
      </c>
      <c r="G679" s="36" t="n">
        <v>400</v>
      </c>
      <c r="H679" s="32" t="inlineStr">
        <is>
          <t>Cartão de débito</t>
        </is>
      </c>
      <c r="I679" s="32" t="inlineStr">
        <is>
          <t>Sim</t>
        </is>
      </c>
      <c r="J679" s="35">
        <f>IF(A679="","",MONTH(A679))</f>
        <v>9</v>
      </c>
      <c r="K679" s="35">
        <f>IF(A679="","",YEAR(A679))</f>
        <v>2026</v>
      </c>
    </row>
    <row r="680">
      <c r="A680" s="39" t="n">
        <v>46266</v>
      </c>
      <c r="B680" s="32" t="inlineStr">
        <is>
          <t>Entrada</t>
        </is>
      </c>
      <c r="C680" s="31" t="inlineStr">
        <is>
          <t>Particular à vista</t>
        </is>
      </c>
      <c r="D680" s="31" t="inlineStr"/>
      <c r="E680" s="31" t="inlineStr">
        <is>
          <t>Fechamento do dia</t>
        </is>
      </c>
      <c r="F680" s="31" t="inlineStr">
        <is>
          <t>Fechamento do dia · 1 atendimento · pix</t>
        </is>
      </c>
      <c r="G680" s="36" t="n">
        <v>400</v>
      </c>
      <c r="H680" s="32" t="inlineStr">
        <is>
          <t>Pix</t>
        </is>
      </c>
      <c r="I680" s="32" t="inlineStr">
        <is>
          <t>Sim</t>
        </is>
      </c>
      <c r="J680" s="35">
        <f>IF(A680="","",MONTH(A680))</f>
        <v>9</v>
      </c>
      <c r="K680" s="35">
        <f>IF(A680="","",YEAR(A680))</f>
        <v>2026</v>
      </c>
    </row>
    <row r="681">
      <c r="A681" s="39" t="n">
        <v>46266</v>
      </c>
      <c r="B681" s="32" t="inlineStr">
        <is>
          <t>Entrada</t>
        </is>
      </c>
      <c r="C681" s="31" t="inlineStr">
        <is>
          <t>Particular à vista</t>
        </is>
      </c>
      <c r="D681" s="31" t="inlineStr"/>
      <c r="E681" s="31" t="inlineStr">
        <is>
          <t>Fechamento do dia</t>
        </is>
      </c>
      <c r="F681" s="31" t="inlineStr">
        <is>
          <t>Fechamento do dia · 5 atendimentos · cartão de crédito</t>
        </is>
      </c>
      <c r="G681" s="36" t="n">
        <v>1920</v>
      </c>
      <c r="H681" s="32" t="inlineStr">
        <is>
          <t>Cartão de crédito</t>
        </is>
      </c>
      <c r="I681" s="32" t="inlineStr">
        <is>
          <t>Sim</t>
        </is>
      </c>
      <c r="J681" s="35">
        <f>IF(A681="","",MONTH(A681))</f>
        <v>9</v>
      </c>
      <c r="K681" s="35">
        <f>IF(A681="","",YEAR(A681))</f>
        <v>2026</v>
      </c>
    </row>
    <row r="682">
      <c r="A682" s="39" t="n">
        <v>46267</v>
      </c>
      <c r="B682" s="32" t="inlineStr">
        <is>
          <t>Entrada</t>
        </is>
      </c>
      <c r="C682" s="31" t="inlineStr">
        <is>
          <t>Particular a prazo</t>
        </is>
      </c>
      <c r="D682" s="31" t="inlineStr">
        <is>
          <t>Larissa Costa</t>
        </is>
      </c>
      <c r="E682" s="31" t="inlineStr">
        <is>
          <t>Parcela</t>
        </is>
      </c>
      <c r="F682" s="31" t="inlineStr">
        <is>
          <t>Consulta de 03/08 · parcela 1/2</t>
        </is>
      </c>
      <c r="G682" s="36" t="n">
        <v>190</v>
      </c>
      <c r="H682" s="32" t="inlineStr">
        <is>
          <t>Pix</t>
        </is>
      </c>
      <c r="I682" s="32" t="inlineStr">
        <is>
          <t>Sim</t>
        </is>
      </c>
      <c r="J682" s="35">
        <f>IF(A682="","",MONTH(A682))</f>
        <v>9</v>
      </c>
      <c r="K682" s="35">
        <f>IF(A682="","",YEAR(A682))</f>
        <v>2026</v>
      </c>
    </row>
    <row r="683">
      <c r="A683" s="39" t="n">
        <v>46267</v>
      </c>
      <c r="B683" s="32" t="inlineStr">
        <is>
          <t>Entrada</t>
        </is>
      </c>
      <c r="C683" s="31" t="inlineStr">
        <is>
          <t>Particular à vista</t>
        </is>
      </c>
      <c r="D683" s="31" t="inlineStr"/>
      <c r="E683" s="31" t="inlineStr">
        <is>
          <t>Fechamento do dia</t>
        </is>
      </c>
      <c r="F683" s="31" t="inlineStr">
        <is>
          <t>Fechamento do dia · 1 atendimento · cartão de crédito</t>
        </is>
      </c>
      <c r="G683" s="36" t="n">
        <v>380</v>
      </c>
      <c r="H683" s="32" t="inlineStr">
        <is>
          <t>Cartão de crédito</t>
        </is>
      </c>
      <c r="I683" s="32" t="inlineStr">
        <is>
          <t>Sim</t>
        </is>
      </c>
      <c r="J683" s="35">
        <f>IF(A683="","",MONTH(A683))</f>
        <v>9</v>
      </c>
      <c r="K683" s="35">
        <f>IF(A683="","",YEAR(A683))</f>
        <v>2026</v>
      </c>
    </row>
    <row r="684">
      <c r="A684" s="39" t="n">
        <v>46267</v>
      </c>
      <c r="B684" s="32" t="inlineStr">
        <is>
          <t>Entrada</t>
        </is>
      </c>
      <c r="C684" s="31" t="inlineStr">
        <is>
          <t>Particular à vista</t>
        </is>
      </c>
      <c r="D684" s="31" t="inlineStr"/>
      <c r="E684" s="31" t="inlineStr">
        <is>
          <t>Fechamento do dia</t>
        </is>
      </c>
      <c r="F684" s="31" t="inlineStr">
        <is>
          <t>Fechamento do dia · 1 atendimento · cartão de débito</t>
        </is>
      </c>
      <c r="G684" s="36" t="n">
        <v>380</v>
      </c>
      <c r="H684" s="32" t="inlineStr">
        <is>
          <t>Cartão de débito</t>
        </is>
      </c>
      <c r="I684" s="32" t="inlineStr">
        <is>
          <t>Sim</t>
        </is>
      </c>
      <c r="J684" s="35">
        <f>IF(A684="","",MONTH(A684))</f>
        <v>9</v>
      </c>
      <c r="K684" s="35">
        <f>IF(A684="","",YEAR(A684))</f>
        <v>2026</v>
      </c>
    </row>
    <row r="685">
      <c r="A685" s="39" t="n">
        <v>46267</v>
      </c>
      <c r="B685" s="32" t="inlineStr">
        <is>
          <t>Entrada</t>
        </is>
      </c>
      <c r="C685" s="31" t="inlineStr">
        <is>
          <t>Particular à vista</t>
        </is>
      </c>
      <c r="D685" s="31" t="inlineStr"/>
      <c r="E685" s="31" t="inlineStr">
        <is>
          <t>Fechamento do dia</t>
        </is>
      </c>
      <c r="F685" s="31" t="inlineStr">
        <is>
          <t>Fechamento do dia · 1 atendimento · pix</t>
        </is>
      </c>
      <c r="G685" s="36" t="n">
        <v>380</v>
      </c>
      <c r="H685" s="32" t="inlineStr">
        <is>
          <t>Pix</t>
        </is>
      </c>
      <c r="I685" s="32" t="inlineStr">
        <is>
          <t>Sim</t>
        </is>
      </c>
      <c r="J685" s="35">
        <f>IF(A685="","",MONTH(A685))</f>
        <v>9</v>
      </c>
      <c r="K685" s="35">
        <f>IF(A685="","",YEAR(A685))</f>
        <v>2026</v>
      </c>
    </row>
    <row r="686">
      <c r="A686" s="39" t="n">
        <v>46268</v>
      </c>
      <c r="B686" s="32" t="inlineStr">
        <is>
          <t>Entrada</t>
        </is>
      </c>
      <c r="C686" s="31" t="inlineStr">
        <is>
          <t>Particular à vista</t>
        </is>
      </c>
      <c r="D686" s="31" t="inlineStr"/>
      <c r="E686" s="31" t="inlineStr">
        <is>
          <t>Fechamento do dia</t>
        </is>
      </c>
      <c r="F686" s="31" t="inlineStr">
        <is>
          <t>Fechamento do dia · 2 atendimentos · cartão de crédito</t>
        </is>
      </c>
      <c r="G686" s="36" t="n">
        <v>780</v>
      </c>
      <c r="H686" s="32" t="inlineStr">
        <is>
          <t>Cartão de crédito</t>
        </is>
      </c>
      <c r="I686" s="32" t="inlineStr">
        <is>
          <t>Sim</t>
        </is>
      </c>
      <c r="J686" s="35">
        <f>IF(A686="","",MONTH(A686))</f>
        <v>9</v>
      </c>
      <c r="K686" s="35">
        <f>IF(A686="","",YEAR(A686))</f>
        <v>2026</v>
      </c>
    </row>
    <row r="687">
      <c r="A687" s="39" t="n">
        <v>46268</v>
      </c>
      <c r="B687" s="32" t="inlineStr">
        <is>
          <t>Entrada</t>
        </is>
      </c>
      <c r="C687" s="31" t="inlineStr">
        <is>
          <t>Particular à vista</t>
        </is>
      </c>
      <c r="D687" s="31" t="inlineStr"/>
      <c r="E687" s="31" t="inlineStr">
        <is>
          <t>Fechamento do dia</t>
        </is>
      </c>
      <c r="F687" s="31" t="inlineStr">
        <is>
          <t>Fechamento do dia · 3 atendimentos · cartão de débito</t>
        </is>
      </c>
      <c r="G687" s="36" t="n">
        <v>960</v>
      </c>
      <c r="H687" s="32" t="inlineStr">
        <is>
          <t>Cartão de débito</t>
        </is>
      </c>
      <c r="I687" s="32" t="inlineStr">
        <is>
          <t>Sim</t>
        </is>
      </c>
      <c r="J687" s="35">
        <f>IF(A687="","",MONTH(A687))</f>
        <v>9</v>
      </c>
      <c r="K687" s="35">
        <f>IF(A687="","",YEAR(A687))</f>
        <v>2026</v>
      </c>
    </row>
    <row r="688">
      <c r="A688" s="39" t="n">
        <v>46268</v>
      </c>
      <c r="B688" s="32" t="inlineStr">
        <is>
          <t>Entrada</t>
        </is>
      </c>
      <c r="C688" s="31" t="inlineStr">
        <is>
          <t>Particular à vista</t>
        </is>
      </c>
      <c r="D688" s="31" t="inlineStr"/>
      <c r="E688" s="31" t="inlineStr">
        <is>
          <t>Fechamento do dia</t>
        </is>
      </c>
      <c r="F688" s="31" t="inlineStr">
        <is>
          <t>Fechamento do dia · 4 atendimentos · pix</t>
        </is>
      </c>
      <c r="G688" s="36" t="n">
        <v>1580</v>
      </c>
      <c r="H688" s="32" t="inlineStr">
        <is>
          <t>Pix</t>
        </is>
      </c>
      <c r="I688" s="32" t="inlineStr">
        <is>
          <t>Sim</t>
        </is>
      </c>
      <c r="J688" s="35">
        <f>IF(A688="","",MONTH(A688))</f>
        <v>9</v>
      </c>
      <c r="K688" s="35">
        <f>IF(A688="","",YEAR(A688))</f>
        <v>2026</v>
      </c>
    </row>
    <row r="689">
      <c r="A689" s="39" t="n">
        <v>46269</v>
      </c>
      <c r="B689" s="32" t="inlineStr">
        <is>
          <t>Entrada</t>
        </is>
      </c>
      <c r="C689" s="31" t="inlineStr">
        <is>
          <t>Convênio · Vida Care</t>
        </is>
      </c>
      <c r="D689" s="31" t="inlineStr">
        <is>
          <t>Vida Care</t>
        </is>
      </c>
      <c r="E689" s="31" t="inlineStr">
        <is>
          <t>Lote jun/2026</t>
        </is>
      </c>
      <c r="F689" s="31" t="inlineStr">
        <is>
          <t>Lote de jun/2026 enviado em 06/07 (atrasado)</t>
        </is>
      </c>
      <c r="G689" s="36" t="n">
        <v>1727</v>
      </c>
      <c r="H689" s="32" t="inlineStr">
        <is>
          <t>Transferência</t>
        </is>
      </c>
      <c r="I689" s="32" t="inlineStr">
        <is>
          <t>Não</t>
        </is>
      </c>
      <c r="J689" s="35">
        <f>IF(A689="","",MONTH(A689))</f>
        <v>9</v>
      </c>
      <c r="K689" s="35">
        <f>IF(A689="","",YEAR(A689))</f>
        <v>2026</v>
      </c>
    </row>
    <row r="690">
      <c r="A690" s="39" t="n">
        <v>46269</v>
      </c>
      <c r="B690" s="32" t="inlineStr">
        <is>
          <t>Entrada</t>
        </is>
      </c>
      <c r="C690" s="31" t="inlineStr">
        <is>
          <t>Particular à vista</t>
        </is>
      </c>
      <c r="D690" s="31" t="inlineStr"/>
      <c r="E690" s="31" t="inlineStr">
        <is>
          <t>Fechamento do dia</t>
        </is>
      </c>
      <c r="F690" s="31" t="inlineStr">
        <is>
          <t>Fechamento do dia · 1 atendimento · dinheiro</t>
        </is>
      </c>
      <c r="G690" s="36" t="n">
        <v>300</v>
      </c>
      <c r="H690" s="32" t="inlineStr">
        <is>
          <t>Dinheiro</t>
        </is>
      </c>
      <c r="I690" s="32" t="inlineStr">
        <is>
          <t>Sim</t>
        </is>
      </c>
      <c r="J690" s="35">
        <f>IF(A690="","",MONTH(A690))</f>
        <v>9</v>
      </c>
      <c r="K690" s="35">
        <f>IF(A690="","",YEAR(A690))</f>
        <v>2026</v>
      </c>
    </row>
    <row r="691">
      <c r="A691" s="39" t="n">
        <v>46270</v>
      </c>
      <c r="B691" s="32" t="inlineStr">
        <is>
          <t>Entrada</t>
        </is>
      </c>
      <c r="C691" s="31" t="inlineStr">
        <is>
          <t>Particular a prazo</t>
        </is>
      </c>
      <c r="D691" s="31" t="inlineStr">
        <is>
          <t>Roberta Lima</t>
        </is>
      </c>
      <c r="E691" s="31" t="inlineStr">
        <is>
          <t>Parcela</t>
        </is>
      </c>
      <c r="F691" s="31" t="inlineStr">
        <is>
          <t>Avaliação endócrina de 06/08 · parcela 1/1 (vencida)</t>
        </is>
      </c>
      <c r="G691" s="36" t="n">
        <v>400</v>
      </c>
      <c r="H691" s="32" t="inlineStr">
        <is>
          <t>Pix</t>
        </is>
      </c>
      <c r="I691" s="32" t="inlineStr">
        <is>
          <t>Não</t>
        </is>
      </c>
      <c r="J691" s="35">
        <f>IF(A691="","",MONTH(A691))</f>
        <v>9</v>
      </c>
      <c r="K691" s="35">
        <f>IF(A691="","",YEAR(A691))</f>
        <v>2026</v>
      </c>
    </row>
    <row r="692">
      <c r="A692" s="39" t="n">
        <v>46270</v>
      </c>
      <c r="B692" s="32" t="inlineStr">
        <is>
          <t>Entrada</t>
        </is>
      </c>
      <c r="C692" s="31" t="inlineStr">
        <is>
          <t>Particular a prazo</t>
        </is>
      </c>
      <c r="D692" s="31" t="inlineStr">
        <is>
          <t>Gustavo Ferreira</t>
        </is>
      </c>
      <c r="E692" s="31" t="inlineStr">
        <is>
          <t>Parcela</t>
        </is>
      </c>
      <c r="F692" s="31" t="inlineStr">
        <is>
          <t>Consulta de 07/07 · parcela 2/2 (vencida)</t>
        </is>
      </c>
      <c r="G692" s="36" t="n">
        <v>190</v>
      </c>
      <c r="H692" s="32" t="inlineStr">
        <is>
          <t>Pix</t>
        </is>
      </c>
      <c r="I692" s="32" t="inlineStr">
        <is>
          <t>Não</t>
        </is>
      </c>
      <c r="J692" s="35">
        <f>IF(A692="","",MONTH(A692))</f>
        <v>9</v>
      </c>
      <c r="K692" s="35">
        <f>IF(A692="","",YEAR(A692))</f>
        <v>2026</v>
      </c>
    </row>
    <row r="693">
      <c r="A693" s="39" t="n">
        <v>46270</v>
      </c>
      <c r="B693" s="32" t="inlineStr">
        <is>
          <t>Saída</t>
        </is>
      </c>
      <c r="C693" s="31" t="inlineStr">
        <is>
          <t>Aluguel e condomínio</t>
        </is>
      </c>
      <c r="D693" s="31" t="inlineStr"/>
      <c r="E693" s="31" t="inlineStr"/>
      <c r="F693" s="31" t="inlineStr">
        <is>
          <t>Aluguel e condomínio da clínica</t>
        </is>
      </c>
      <c r="G693" s="36" t="n">
        <v>3900</v>
      </c>
      <c r="H693" s="32" t="inlineStr">
        <is>
          <t>Boleto</t>
        </is>
      </c>
      <c r="I693" s="32" t="inlineStr">
        <is>
          <t>Sim</t>
        </is>
      </c>
      <c r="J693" s="35">
        <f>IF(A693="","",MONTH(A693))</f>
        <v>9</v>
      </c>
      <c r="K693" s="35">
        <f>IF(A693="","",YEAR(A693))</f>
        <v>2026</v>
      </c>
    </row>
    <row r="694">
      <c r="A694" s="39" t="n">
        <v>46270</v>
      </c>
      <c r="B694" s="32" t="inlineStr">
        <is>
          <t>Saída</t>
        </is>
      </c>
      <c r="C694" s="31" t="inlineStr">
        <is>
          <t>Recepção (salário e encargos)</t>
        </is>
      </c>
      <c r="D694" s="31" t="inlineStr"/>
      <c r="E694" s="31" t="inlineStr"/>
      <c r="F694" s="31" t="inlineStr">
        <is>
          <t>Salário e encargos · Bruna Carvalho</t>
        </is>
      </c>
      <c r="G694" s="36" t="n">
        <v>3100</v>
      </c>
      <c r="H694" s="32" t="inlineStr">
        <is>
          <t>Transferência</t>
        </is>
      </c>
      <c r="I694" s="32" t="inlineStr">
        <is>
          <t>Sim</t>
        </is>
      </c>
      <c r="J694" s="35">
        <f>IF(A694="","",MONTH(A694))</f>
        <v>9</v>
      </c>
      <c r="K694" s="35">
        <f>IF(A694="","",YEAR(A694))</f>
        <v>2026</v>
      </c>
    </row>
    <row r="695">
      <c r="A695" s="39" t="n">
        <v>46271</v>
      </c>
      <c r="B695" s="32" t="inlineStr">
        <is>
          <t>Entrada</t>
        </is>
      </c>
      <c r="C695" s="31" t="inlineStr">
        <is>
          <t>Particular a prazo</t>
        </is>
      </c>
      <c r="D695" s="31" t="inlineStr">
        <is>
          <t>Isabela Xavier</t>
        </is>
      </c>
      <c r="E695" s="31" t="inlineStr">
        <is>
          <t>Parcela</t>
        </is>
      </c>
      <c r="F695" s="31" t="inlineStr">
        <is>
          <t>Avaliação endócrina de 04/08 · parcela 1/1</t>
        </is>
      </c>
      <c r="G695" s="36" t="n">
        <v>400</v>
      </c>
      <c r="H695" s="32" t="inlineStr">
        <is>
          <t>Pix</t>
        </is>
      </c>
      <c r="I695" s="32" t="inlineStr">
        <is>
          <t>Sim</t>
        </is>
      </c>
      <c r="J695" s="35">
        <f>IF(A695="","",MONTH(A695))</f>
        <v>9</v>
      </c>
      <c r="K695" s="35">
        <f>IF(A695="","",YEAR(A695))</f>
        <v>2026</v>
      </c>
    </row>
    <row r="696">
      <c r="A696" s="39" t="n">
        <v>46273</v>
      </c>
      <c r="B696" s="32" t="inlineStr">
        <is>
          <t>Entrada</t>
        </is>
      </c>
      <c r="C696" s="31" t="inlineStr">
        <is>
          <t>Convênio · Saúde Total</t>
        </is>
      </c>
      <c r="D696" s="31" t="inlineStr">
        <is>
          <t>Saúde Total</t>
        </is>
      </c>
      <c r="E696" s="31" t="inlineStr">
        <is>
          <t>Lote jul/2026</t>
        </is>
      </c>
      <c r="F696" s="31" t="inlineStr">
        <is>
          <t>Pagamento do lote de jul/2026 (49 guias. glosa de R$ 170)</t>
        </is>
      </c>
      <c r="G696" s="36" t="n">
        <v>5780</v>
      </c>
      <c r="H696" s="32" t="inlineStr">
        <is>
          <t>Transferência</t>
        </is>
      </c>
      <c r="I696" s="32" t="inlineStr">
        <is>
          <t>Sim</t>
        </is>
      </c>
      <c r="J696" s="35">
        <f>IF(A696="","",MONTH(A696))</f>
        <v>9</v>
      </c>
      <c r="K696" s="35">
        <f>IF(A696="","",YEAR(A696))</f>
        <v>2026</v>
      </c>
    </row>
    <row r="697">
      <c r="A697" s="39" t="n">
        <v>46273</v>
      </c>
      <c r="B697" s="32" t="inlineStr">
        <is>
          <t>Entrada</t>
        </is>
      </c>
      <c r="C697" s="31" t="inlineStr">
        <is>
          <t>Convênio · Vida Care</t>
        </is>
      </c>
      <c r="D697" s="31" t="inlineStr">
        <is>
          <t>Vida Care</t>
        </is>
      </c>
      <c r="E697" s="31" t="inlineStr">
        <is>
          <t>Lote mai/2026</t>
        </is>
      </c>
      <c r="F697" s="31" t="inlineStr">
        <is>
          <t>Recurso de glosa aceito · lote de mai/2026</t>
        </is>
      </c>
      <c r="G697" s="36" t="n">
        <v>200</v>
      </c>
      <c r="H697" s="32" t="inlineStr">
        <is>
          <t>Transferência</t>
        </is>
      </c>
      <c r="I697" s="32" t="inlineStr">
        <is>
          <t>Sim</t>
        </is>
      </c>
      <c r="J697" s="35">
        <f>IF(A697="","",MONTH(A697))</f>
        <v>9</v>
      </c>
      <c r="K697" s="35">
        <f>IF(A697="","",YEAR(A697))</f>
        <v>2026</v>
      </c>
    </row>
    <row r="698">
      <c r="A698" s="39" t="n">
        <v>46273</v>
      </c>
      <c r="B698" s="32" t="inlineStr">
        <is>
          <t>Entrada</t>
        </is>
      </c>
      <c r="C698" s="31" t="inlineStr">
        <is>
          <t>Particular à vista</t>
        </is>
      </c>
      <c r="D698" s="31" t="inlineStr"/>
      <c r="E698" s="31" t="inlineStr">
        <is>
          <t>Fechamento do dia</t>
        </is>
      </c>
      <c r="F698" s="31" t="inlineStr">
        <is>
          <t>Fechamento do dia · 2 atendimentos · pix</t>
        </is>
      </c>
      <c r="G698" s="36" t="n">
        <v>700</v>
      </c>
      <c r="H698" s="32" t="inlineStr">
        <is>
          <t>Pix</t>
        </is>
      </c>
      <c r="I698" s="32" t="inlineStr">
        <is>
          <t>Sim</t>
        </is>
      </c>
      <c r="J698" s="35">
        <f>IF(A698="","",MONTH(A698))</f>
        <v>9</v>
      </c>
      <c r="K698" s="35">
        <f>IF(A698="","",YEAR(A698))</f>
        <v>2026</v>
      </c>
    </row>
    <row r="699">
      <c r="A699" s="39" t="n">
        <v>46273</v>
      </c>
      <c r="B699" s="32" t="inlineStr">
        <is>
          <t>Entrada</t>
        </is>
      </c>
      <c r="C699" s="31" t="inlineStr">
        <is>
          <t>Particular à vista</t>
        </is>
      </c>
      <c r="D699" s="31" t="inlineStr"/>
      <c r="E699" s="31" t="inlineStr">
        <is>
          <t>Fechamento do dia</t>
        </is>
      </c>
      <c r="F699" s="31" t="inlineStr">
        <is>
          <t>Fechamento do dia · 5 atendimentos · cartão de crédito</t>
        </is>
      </c>
      <c r="G699" s="36" t="n">
        <v>1940</v>
      </c>
      <c r="H699" s="32" t="inlineStr">
        <is>
          <t>Cartão de crédito</t>
        </is>
      </c>
      <c r="I699" s="32" t="inlineStr">
        <is>
          <t>Sim</t>
        </is>
      </c>
      <c r="J699" s="35">
        <f>IF(A699="","",MONTH(A699))</f>
        <v>9</v>
      </c>
      <c r="K699" s="35">
        <f>IF(A699="","",YEAR(A699))</f>
        <v>2026</v>
      </c>
    </row>
    <row r="700">
      <c r="A700" s="39" t="n">
        <v>46273</v>
      </c>
      <c r="B700" s="32" t="inlineStr">
        <is>
          <t>Saída</t>
        </is>
      </c>
      <c r="C700" s="31" t="inlineStr">
        <is>
          <t>Materiais e insumos de atendimento</t>
        </is>
      </c>
      <c r="D700" s="31" t="inlineStr"/>
      <c r="E700" s="31" t="inlineStr"/>
      <c r="F700" s="31" t="inlineStr">
        <is>
          <t>Eletrodos, manguitos e descartáveis (fornecedor)</t>
        </is>
      </c>
      <c r="G700" s="36" t="n">
        <v>540</v>
      </c>
      <c r="H700" s="32" t="inlineStr">
        <is>
          <t>Boleto</t>
        </is>
      </c>
      <c r="I700" s="32" t="inlineStr">
        <is>
          <t>Sim</t>
        </is>
      </c>
      <c r="J700" s="35">
        <f>IF(A700="","",MONTH(A700))</f>
        <v>9</v>
      </c>
      <c r="K700" s="35">
        <f>IF(A700="","",YEAR(A700))</f>
        <v>2026</v>
      </c>
    </row>
    <row r="701">
      <c r="A701" s="39" t="n">
        <v>46273</v>
      </c>
      <c r="B701" s="32" t="inlineStr">
        <is>
          <t>Saída</t>
        </is>
      </c>
      <c r="C701" s="31" t="inlineStr">
        <is>
          <t>Sistema de agenda e assinaturas</t>
        </is>
      </c>
      <c r="D701" s="31" t="inlineStr"/>
      <c r="E701" s="31" t="inlineStr"/>
      <c r="F701" s="31" t="inlineStr">
        <is>
          <t>Sistema de agenda e assinaturas</t>
        </is>
      </c>
      <c r="G701" s="36" t="n">
        <v>300</v>
      </c>
      <c r="H701" s="32" t="inlineStr">
        <is>
          <t>Cartão de crédito</t>
        </is>
      </c>
      <c r="I701" s="32" t="inlineStr">
        <is>
          <t>Sim</t>
        </is>
      </c>
      <c r="J701" s="35">
        <f>IF(A701="","",MONTH(A701))</f>
        <v>9</v>
      </c>
      <c r="K701" s="35">
        <f>IF(A701="","",YEAR(A701))</f>
        <v>2026</v>
      </c>
    </row>
    <row r="702">
      <c r="A702" s="39" t="n">
        <v>46274</v>
      </c>
      <c r="B702" s="32" t="inlineStr">
        <is>
          <t>Entrada</t>
        </is>
      </c>
      <c r="C702" s="31" t="inlineStr">
        <is>
          <t>Particular a prazo</t>
        </is>
      </c>
      <c r="D702" s="31" t="inlineStr">
        <is>
          <t>Sérgio Martins</t>
        </is>
      </c>
      <c r="E702" s="31" t="inlineStr">
        <is>
          <t>Parcela</t>
        </is>
      </c>
      <c r="F702" s="31" t="inlineStr">
        <is>
          <t>Consulta de 10/08 · parcela 1/1</t>
        </is>
      </c>
      <c r="G702" s="36" t="n">
        <v>380</v>
      </c>
      <c r="H702" s="32" t="inlineStr">
        <is>
          <t>Pix</t>
        </is>
      </c>
      <c r="I702" s="32" t="inlineStr">
        <is>
          <t>Sim</t>
        </is>
      </c>
      <c r="J702" s="35">
        <f>IF(A702="","",MONTH(A702))</f>
        <v>9</v>
      </c>
      <c r="K702" s="35">
        <f>IF(A702="","",YEAR(A702))</f>
        <v>2026</v>
      </c>
    </row>
    <row r="703">
      <c r="A703" s="39" t="n">
        <v>46274</v>
      </c>
      <c r="B703" s="32" t="inlineStr">
        <is>
          <t>Entrada</t>
        </is>
      </c>
      <c r="C703" s="31" t="inlineStr">
        <is>
          <t>Particular à vista</t>
        </is>
      </c>
      <c r="D703" s="31" t="inlineStr"/>
      <c r="E703" s="31" t="inlineStr">
        <is>
          <t>Fechamento do dia</t>
        </is>
      </c>
      <c r="F703" s="31" t="inlineStr">
        <is>
          <t>Fechamento do dia · 1 atendimento · cartão de crédito</t>
        </is>
      </c>
      <c r="G703" s="36" t="n">
        <v>380</v>
      </c>
      <c r="H703" s="32" t="inlineStr">
        <is>
          <t>Cartão de crédito</t>
        </is>
      </c>
      <c r="I703" s="32" t="inlineStr">
        <is>
          <t>Sim</t>
        </is>
      </c>
      <c r="J703" s="35">
        <f>IF(A703="","",MONTH(A703))</f>
        <v>9</v>
      </c>
      <c r="K703" s="35">
        <f>IF(A703="","",YEAR(A703))</f>
        <v>2026</v>
      </c>
    </row>
    <row r="704">
      <c r="A704" s="39" t="n">
        <v>46274</v>
      </c>
      <c r="B704" s="32" t="inlineStr">
        <is>
          <t>Entrada</t>
        </is>
      </c>
      <c r="C704" s="31" t="inlineStr">
        <is>
          <t>Particular à vista</t>
        </is>
      </c>
      <c r="D704" s="31" t="inlineStr"/>
      <c r="E704" s="31" t="inlineStr">
        <is>
          <t>Fechamento do dia</t>
        </is>
      </c>
      <c r="F704" s="31" t="inlineStr">
        <is>
          <t>Fechamento do dia · 1 atendimento · cartão de débito</t>
        </is>
      </c>
      <c r="G704" s="36" t="n">
        <v>380</v>
      </c>
      <c r="H704" s="32" t="inlineStr">
        <is>
          <t>Cartão de débito</t>
        </is>
      </c>
      <c r="I704" s="32" t="inlineStr">
        <is>
          <t>Sim</t>
        </is>
      </c>
      <c r="J704" s="35">
        <f>IF(A704="","",MONTH(A704))</f>
        <v>9</v>
      </c>
      <c r="K704" s="35">
        <f>IF(A704="","",YEAR(A704))</f>
        <v>2026</v>
      </c>
    </row>
    <row r="705">
      <c r="A705" s="39" t="n">
        <v>46274</v>
      </c>
      <c r="B705" s="32" t="inlineStr">
        <is>
          <t>Entrada</t>
        </is>
      </c>
      <c r="C705" s="31" t="inlineStr">
        <is>
          <t>Particular à vista</t>
        </is>
      </c>
      <c r="D705" s="31" t="inlineStr"/>
      <c r="E705" s="31" t="inlineStr">
        <is>
          <t>Fechamento do dia</t>
        </is>
      </c>
      <c r="F705" s="31" t="inlineStr">
        <is>
          <t>Fechamento do dia · 1 atendimento · pix</t>
        </is>
      </c>
      <c r="G705" s="36" t="n">
        <v>380</v>
      </c>
      <c r="H705" s="32" t="inlineStr">
        <is>
          <t>Pix</t>
        </is>
      </c>
      <c r="I705" s="32" t="inlineStr">
        <is>
          <t>Sim</t>
        </is>
      </c>
      <c r="J705" s="35">
        <f>IF(A705="","",MONTH(A705))</f>
        <v>9</v>
      </c>
      <c r="K705" s="35">
        <f>IF(A705="","",YEAR(A705))</f>
        <v>2026</v>
      </c>
    </row>
    <row r="706">
      <c r="A706" s="39" t="n">
        <v>46275</v>
      </c>
      <c r="B706" s="32" t="inlineStr">
        <is>
          <t>Entrada</t>
        </is>
      </c>
      <c r="C706" s="31" t="inlineStr">
        <is>
          <t>Particular à vista</t>
        </is>
      </c>
      <c r="D706" s="31" t="inlineStr"/>
      <c r="E706" s="31" t="inlineStr">
        <is>
          <t>Fechamento do dia</t>
        </is>
      </c>
      <c r="F706" s="31" t="inlineStr">
        <is>
          <t>Fechamento do dia · 2 atendimentos · cartão de crédito</t>
        </is>
      </c>
      <c r="G706" s="36" t="n">
        <v>780</v>
      </c>
      <c r="H706" s="32" t="inlineStr">
        <is>
          <t>Cartão de crédito</t>
        </is>
      </c>
      <c r="I706" s="32" t="inlineStr">
        <is>
          <t>Sim</t>
        </is>
      </c>
      <c r="J706" s="35">
        <f>IF(A706="","",MONTH(A706))</f>
        <v>9</v>
      </c>
      <c r="K706" s="35">
        <f>IF(A706="","",YEAR(A706))</f>
        <v>2026</v>
      </c>
    </row>
    <row r="707">
      <c r="A707" s="39" t="n">
        <v>46275</v>
      </c>
      <c r="B707" s="32" t="inlineStr">
        <is>
          <t>Entrada</t>
        </is>
      </c>
      <c r="C707" s="31" t="inlineStr">
        <is>
          <t>Particular à vista</t>
        </is>
      </c>
      <c r="D707" s="31" t="inlineStr"/>
      <c r="E707" s="31" t="inlineStr">
        <is>
          <t>Fechamento do dia</t>
        </is>
      </c>
      <c r="F707" s="31" t="inlineStr">
        <is>
          <t>Fechamento do dia · 2 atendimentos · cartão de débito</t>
        </is>
      </c>
      <c r="G707" s="36" t="n">
        <v>680</v>
      </c>
      <c r="H707" s="32" t="inlineStr">
        <is>
          <t>Cartão de débito</t>
        </is>
      </c>
      <c r="I707" s="32" t="inlineStr">
        <is>
          <t>Sim</t>
        </is>
      </c>
      <c r="J707" s="35">
        <f>IF(A707="","",MONTH(A707))</f>
        <v>9</v>
      </c>
      <c r="K707" s="35">
        <f>IF(A707="","",YEAR(A707))</f>
        <v>2026</v>
      </c>
    </row>
    <row r="708">
      <c r="A708" s="39" t="n">
        <v>46275</v>
      </c>
      <c r="B708" s="32" t="inlineStr">
        <is>
          <t>Entrada</t>
        </is>
      </c>
      <c r="C708" s="31" t="inlineStr">
        <is>
          <t>Particular à vista</t>
        </is>
      </c>
      <c r="D708" s="31" t="inlineStr"/>
      <c r="E708" s="31" t="inlineStr">
        <is>
          <t>Fechamento do dia</t>
        </is>
      </c>
      <c r="F708" s="31" t="inlineStr">
        <is>
          <t>Fechamento do dia · 2 atendimentos · pix</t>
        </is>
      </c>
      <c r="G708" s="36" t="n">
        <v>780</v>
      </c>
      <c r="H708" s="32" t="inlineStr">
        <is>
          <t>Pix</t>
        </is>
      </c>
      <c r="I708" s="32" t="inlineStr">
        <is>
          <t>Sim</t>
        </is>
      </c>
      <c r="J708" s="35">
        <f>IF(A708="","",MONTH(A708))</f>
        <v>9</v>
      </c>
      <c r="K708" s="35">
        <f>IF(A708="","",YEAR(A708))</f>
        <v>2026</v>
      </c>
    </row>
    <row r="709">
      <c r="A709" s="39" t="n">
        <v>46275</v>
      </c>
      <c r="B709" s="32" t="inlineStr">
        <is>
          <t>Saída</t>
        </is>
      </c>
      <c r="C709" s="31" t="inlineStr">
        <is>
          <t>Contador</t>
        </is>
      </c>
      <c r="D709" s="31" t="inlineStr"/>
      <c r="E709" s="31" t="inlineStr"/>
      <c r="F709" s="31" t="inlineStr">
        <is>
          <t>Honorários do contador</t>
        </is>
      </c>
      <c r="G709" s="36" t="n">
        <v>600</v>
      </c>
      <c r="H709" s="32" t="inlineStr">
        <is>
          <t>Boleto</t>
        </is>
      </c>
      <c r="I709" s="32" t="inlineStr">
        <is>
          <t>Sim</t>
        </is>
      </c>
      <c r="J709" s="35">
        <f>IF(A709="","",MONTH(A709))</f>
        <v>9</v>
      </c>
      <c r="K709" s="35">
        <f>IF(A709="","",YEAR(A709))</f>
        <v>2026</v>
      </c>
    </row>
    <row r="710">
      <c r="A710" s="39" t="n">
        <v>46275</v>
      </c>
      <c r="B710" s="32" t="inlineStr">
        <is>
          <t>Saída</t>
        </is>
      </c>
      <c r="C710" s="31" t="inlineStr">
        <is>
          <t>Repasse à médica parceira</t>
        </is>
      </c>
      <c r="D710" s="31" t="inlineStr">
        <is>
          <t>Dra. Renata Sousa</t>
        </is>
      </c>
      <c r="E710" s="31" t="inlineStr"/>
      <c r="F710" s="31" t="inlineStr">
        <is>
          <t>Repasse · Dra. Renata Sousa · 50 % da produção de ago</t>
        </is>
      </c>
      <c r="G710" s="36" t="n">
        <v>5190</v>
      </c>
      <c r="H710" s="32" t="inlineStr">
        <is>
          <t>Transferência</t>
        </is>
      </c>
      <c r="I710" s="32" t="inlineStr">
        <is>
          <t>Sim</t>
        </is>
      </c>
      <c r="J710" s="35">
        <f>IF(A710="","",MONTH(A710))</f>
        <v>9</v>
      </c>
      <c r="K710" s="35">
        <f>IF(A710="","",YEAR(A710))</f>
        <v>2026</v>
      </c>
    </row>
    <row r="711">
      <c r="A711" s="39" t="n">
        <v>46276</v>
      </c>
      <c r="B711" s="32" t="inlineStr">
        <is>
          <t>Entrada</t>
        </is>
      </c>
      <c r="C711" s="31" t="inlineStr">
        <is>
          <t>Particular a prazo</t>
        </is>
      </c>
      <c r="D711" s="31" t="inlineStr">
        <is>
          <t>Fábio Gomes</t>
        </is>
      </c>
      <c r="E711" s="31" t="inlineStr">
        <is>
          <t>Parcela</t>
        </is>
      </c>
      <c r="F711" s="31" t="inlineStr">
        <is>
          <t>Avaliação endócrina de 11/08 · parcela 1/1</t>
        </is>
      </c>
      <c r="G711" s="36" t="n">
        <v>400</v>
      </c>
      <c r="H711" s="32" t="inlineStr">
        <is>
          <t>Pix</t>
        </is>
      </c>
      <c r="I711" s="32" t="inlineStr">
        <is>
          <t>Sim</t>
        </is>
      </c>
      <c r="J711" s="35">
        <f>IF(A711="","",MONTH(A711))</f>
        <v>9</v>
      </c>
      <c r="K711" s="35">
        <f>IF(A711="","",YEAR(A711))</f>
        <v>2026</v>
      </c>
    </row>
    <row r="712">
      <c r="A712" s="39" t="n">
        <v>46276</v>
      </c>
      <c r="B712" s="32" t="inlineStr">
        <is>
          <t>Entrada</t>
        </is>
      </c>
      <c r="C712" s="31" t="inlineStr">
        <is>
          <t>Particular a prazo</t>
        </is>
      </c>
      <c r="D712" s="31" t="inlineStr">
        <is>
          <t>Helena Moreira</t>
        </is>
      </c>
      <c r="E712" s="31" t="inlineStr">
        <is>
          <t>Parcela</t>
        </is>
      </c>
      <c r="F712" s="31" t="inlineStr">
        <is>
          <t>Consulta de 13/07 · parcela 2/2</t>
        </is>
      </c>
      <c r="G712" s="36" t="n">
        <v>190</v>
      </c>
      <c r="H712" s="32" t="inlineStr">
        <is>
          <t>Pix</t>
        </is>
      </c>
      <c r="I712" s="32" t="inlineStr">
        <is>
          <t>Sim</t>
        </is>
      </c>
      <c r="J712" s="35">
        <f>IF(A712="","",MONTH(A712))</f>
        <v>9</v>
      </c>
      <c r="K712" s="35">
        <f>IF(A712="","",YEAR(A712))</f>
        <v>2026</v>
      </c>
    </row>
    <row r="713">
      <c r="A713" s="39" t="n">
        <v>46276</v>
      </c>
      <c r="B713" s="32" t="inlineStr">
        <is>
          <t>Entrada</t>
        </is>
      </c>
      <c r="C713" s="31" t="inlineStr">
        <is>
          <t>Particular à vista</t>
        </is>
      </c>
      <c r="D713" s="31" t="inlineStr"/>
      <c r="E713" s="31" t="inlineStr">
        <is>
          <t>Fechamento do dia</t>
        </is>
      </c>
      <c r="F713" s="31" t="inlineStr">
        <is>
          <t>Fechamento do dia · 1 atendimento · cartão de crédito</t>
        </is>
      </c>
      <c r="G713" s="36" t="n">
        <v>130</v>
      </c>
      <c r="H713" s="32" t="inlineStr">
        <is>
          <t>Cartão de crédito</t>
        </is>
      </c>
      <c r="I713" s="32" t="inlineStr">
        <is>
          <t>Sim</t>
        </is>
      </c>
      <c r="J713" s="35">
        <f>IF(A713="","",MONTH(A713))</f>
        <v>9</v>
      </c>
      <c r="K713" s="35">
        <f>IF(A713="","",YEAR(A713))</f>
        <v>2026</v>
      </c>
    </row>
    <row r="714">
      <c r="A714" s="39" t="n">
        <v>46277</v>
      </c>
      <c r="B714" s="32" t="inlineStr">
        <is>
          <t>Entrada</t>
        </is>
      </c>
      <c r="C714" s="31" t="inlineStr">
        <is>
          <t>Particular a prazo</t>
        </is>
      </c>
      <c r="D714" s="31" t="inlineStr">
        <is>
          <t>Paulo Reis</t>
        </is>
      </c>
      <c r="E714" s="31" t="inlineStr">
        <is>
          <t>Parcela</t>
        </is>
      </c>
      <c r="F714" s="31" t="inlineStr">
        <is>
          <t>Consulta de 14/07 · parcela 2/2 (vencida)</t>
        </is>
      </c>
      <c r="G714" s="36" t="n">
        <v>190</v>
      </c>
      <c r="H714" s="32" t="inlineStr">
        <is>
          <t>Pix</t>
        </is>
      </c>
      <c r="I714" s="32" t="inlineStr">
        <is>
          <t>Não</t>
        </is>
      </c>
      <c r="J714" s="35">
        <f>IF(A714="","",MONTH(A714))</f>
        <v>9</v>
      </c>
      <c r="K714" s="35">
        <f>IF(A714="","",YEAR(A714))</f>
        <v>2026</v>
      </c>
    </row>
    <row r="715">
      <c r="A715" s="39" t="n">
        <v>46277</v>
      </c>
      <c r="B715" s="32" t="inlineStr">
        <is>
          <t>Saída</t>
        </is>
      </c>
      <c r="C715" s="31" t="inlineStr">
        <is>
          <t>Energia, água, internet e telefone</t>
        </is>
      </c>
      <c r="D715" s="31" t="inlineStr"/>
      <c r="E715" s="31" t="inlineStr"/>
      <c r="F715" s="31" t="inlineStr">
        <is>
          <t>Energia, água, internet e telefone</t>
        </is>
      </c>
      <c r="G715" s="36" t="n">
        <v>550</v>
      </c>
      <c r="H715" s="32" t="inlineStr">
        <is>
          <t>Boleto</t>
        </is>
      </c>
      <c r="I715" s="32" t="inlineStr">
        <is>
          <t>Não</t>
        </is>
      </c>
      <c r="J715" s="35">
        <f>IF(A715="","",MONTH(A715))</f>
        <v>9</v>
      </c>
      <c r="K715" s="35">
        <f>IF(A715="","",YEAR(A715))</f>
        <v>2026</v>
      </c>
    </row>
    <row r="716">
      <c r="A716" s="39" t="n">
        <v>46278</v>
      </c>
      <c r="B716" s="32" t="inlineStr">
        <is>
          <t>Entrada</t>
        </is>
      </c>
      <c r="C716" s="31" t="inlineStr">
        <is>
          <t>Particular a prazo</t>
        </is>
      </c>
      <c r="D716" s="31" t="inlineStr">
        <is>
          <t>Elaine Cardoso</t>
        </is>
      </c>
      <c r="E716" s="31" t="inlineStr">
        <is>
          <t>Parcela</t>
        </is>
      </c>
      <c r="F716" s="31" t="inlineStr">
        <is>
          <t>ECG de 14/08 · parcela 1/1 (vencida)</t>
        </is>
      </c>
      <c r="G716" s="36" t="n">
        <v>130</v>
      </c>
      <c r="H716" s="32" t="inlineStr">
        <is>
          <t>Pix</t>
        </is>
      </c>
      <c r="I716" s="32" t="inlineStr">
        <is>
          <t>Não</t>
        </is>
      </c>
      <c r="J716" s="35">
        <f>IF(A716="","",MONTH(A716))</f>
        <v>9</v>
      </c>
      <c r="K716" s="35">
        <f>IF(A716="","",YEAR(A716))</f>
        <v>2026</v>
      </c>
    </row>
    <row r="717">
      <c r="A717" s="39" t="n">
        <v>46280</v>
      </c>
      <c r="B717" s="32" t="inlineStr">
        <is>
          <t>Saída</t>
        </is>
      </c>
      <c r="C717" s="31" t="inlineStr">
        <is>
          <t>Anuidade CRM, seguro e cursos</t>
        </is>
      </c>
      <c r="D717" s="31" t="inlineStr"/>
      <c r="E717" s="31" t="inlineStr"/>
      <c r="F717" s="31" t="inlineStr">
        <is>
          <t>Anuidade CRM, seguro e cursos</t>
        </is>
      </c>
      <c r="G717" s="36" t="n">
        <v>450</v>
      </c>
      <c r="H717" s="32" t="inlineStr">
        <is>
          <t>Cartão de crédito</t>
        </is>
      </c>
      <c r="I717" s="32" t="inlineStr">
        <is>
          <t>Não</t>
        </is>
      </c>
      <c r="J717" s="35">
        <f>IF(A717="","",MONTH(A717))</f>
        <v>9</v>
      </c>
      <c r="K717" s="35">
        <f>IF(A717="","",YEAR(A717))</f>
        <v>2026</v>
      </c>
    </row>
    <row r="718">
      <c r="A718" s="39" t="n">
        <v>46280</v>
      </c>
      <c r="B718" s="32" t="inlineStr">
        <is>
          <t>Saída</t>
        </is>
      </c>
      <c r="C718" s="31" t="inlineStr">
        <is>
          <t>Limpeza e material de escritório</t>
        </is>
      </c>
      <c r="D718" s="31" t="inlineStr"/>
      <c r="E718" s="31" t="inlineStr"/>
      <c r="F718" s="31" t="inlineStr">
        <is>
          <t>Limpeza e material de escritório</t>
        </is>
      </c>
      <c r="G718" s="36" t="n">
        <v>450</v>
      </c>
      <c r="H718" s="32" t="inlineStr">
        <is>
          <t>Cartão de crédito</t>
        </is>
      </c>
      <c r="I718" s="32" t="inlineStr">
        <is>
          <t>Não</t>
        </is>
      </c>
      <c r="J718" s="35">
        <f>IF(A718="","",MONTH(A718))</f>
        <v>9</v>
      </c>
      <c r="K718" s="35">
        <f>IF(A718="","",YEAR(A718))</f>
        <v>2026</v>
      </c>
    </row>
    <row r="719">
      <c r="A719" s="39" t="n">
        <v>46281</v>
      </c>
      <c r="B719" s="32" t="inlineStr">
        <is>
          <t>Entrada</t>
        </is>
      </c>
      <c r="C719" s="31" t="inlineStr">
        <is>
          <t>Particular a prazo</t>
        </is>
      </c>
      <c r="D719" s="31" t="inlineStr">
        <is>
          <t>Elaine Cardoso</t>
        </is>
      </c>
      <c r="E719" s="31" t="inlineStr">
        <is>
          <t>Parcela</t>
        </is>
      </c>
      <c r="F719" s="31" t="inlineStr">
        <is>
          <t>Consulta de 17/08 · parcela 1/2 (a vencer)</t>
        </is>
      </c>
      <c r="G719" s="36" t="n">
        <v>190</v>
      </c>
      <c r="H719" s="32" t="inlineStr">
        <is>
          <t>Pix</t>
        </is>
      </c>
      <c r="I719" s="32" t="inlineStr">
        <is>
          <t>Não</t>
        </is>
      </c>
      <c r="J719" s="35">
        <f>IF(A719="","",MONTH(A719))</f>
        <v>9</v>
      </c>
      <c r="K719" s="35">
        <f>IF(A719="","",YEAR(A719))</f>
        <v>2026</v>
      </c>
    </row>
    <row r="720">
      <c r="A720" s="39" t="n">
        <v>46282</v>
      </c>
      <c r="B720" s="32" t="inlineStr">
        <is>
          <t>Entrada</t>
        </is>
      </c>
      <c r="C720" s="31" t="inlineStr">
        <is>
          <t>Particular a prazo</t>
        </is>
      </c>
      <c r="D720" s="31" t="inlineStr">
        <is>
          <t>Fábio Gomes</t>
        </is>
      </c>
      <c r="E720" s="31" t="inlineStr">
        <is>
          <t>Parcela</t>
        </is>
      </c>
      <c r="F720" s="31" t="inlineStr">
        <is>
          <t>Avaliação endócrina de 18/08 · parcela 1/1 (a vencer)</t>
        </is>
      </c>
      <c r="G720" s="36" t="n">
        <v>400</v>
      </c>
      <c r="H720" s="32" t="inlineStr">
        <is>
          <t>Pix</t>
        </is>
      </c>
      <c r="I720" s="32" t="inlineStr">
        <is>
          <t>Não</t>
        </is>
      </c>
      <c r="J720" s="35">
        <f>IF(A720="","",MONTH(A720))</f>
        <v>9</v>
      </c>
      <c r="K720" s="35">
        <f>IF(A720="","",YEAR(A720))</f>
        <v>2026</v>
      </c>
    </row>
    <row r="721">
      <c r="A721" s="39" t="n">
        <v>46284</v>
      </c>
      <c r="B721" s="32" t="inlineStr">
        <is>
          <t>Entrada</t>
        </is>
      </c>
      <c r="C721" s="31" t="inlineStr">
        <is>
          <t>Convênio · MediPlan</t>
        </is>
      </c>
      <c r="D721" s="31" t="inlineStr">
        <is>
          <t>MediPlan</t>
        </is>
      </c>
      <c r="E721" s="31" t="inlineStr">
        <is>
          <t>Lote jul/2026</t>
        </is>
      </c>
      <c r="F721" s="31" t="inlineStr">
        <is>
          <t>Lote de jul/2026 enviado em 05/08 (a receber)</t>
        </is>
      </c>
      <c r="G721" s="36" t="n">
        <v>2875</v>
      </c>
      <c r="H721" s="32" t="inlineStr">
        <is>
          <t>Transferência</t>
        </is>
      </c>
      <c r="I721" s="32" t="inlineStr">
        <is>
          <t>Não</t>
        </is>
      </c>
      <c r="J721" s="35">
        <f>IF(A721="","",MONTH(A721))</f>
        <v>9</v>
      </c>
      <c r="K721" s="35">
        <f>IF(A721="","",YEAR(A721))</f>
        <v>2026</v>
      </c>
    </row>
    <row r="722">
      <c r="A722" s="39" t="n">
        <v>46284</v>
      </c>
      <c r="B722" s="32" t="inlineStr">
        <is>
          <t>Entrada</t>
        </is>
      </c>
      <c r="C722" s="31" t="inlineStr">
        <is>
          <t>Particular a prazo</t>
        </is>
      </c>
      <c r="D722" s="31" t="inlineStr">
        <is>
          <t>Eduardo Lima</t>
        </is>
      </c>
      <c r="E722" s="31" t="inlineStr">
        <is>
          <t>Parcela</t>
        </is>
      </c>
      <c r="F722" s="31" t="inlineStr">
        <is>
          <t>Consulta de 20/08 · parcela 1/1 (a vencer)</t>
        </is>
      </c>
      <c r="G722" s="36" t="n">
        <v>380</v>
      </c>
      <c r="H722" s="32" t="inlineStr">
        <is>
          <t>Pix</t>
        </is>
      </c>
      <c r="I722" s="32" t="inlineStr">
        <is>
          <t>Não</t>
        </is>
      </c>
      <c r="J722" s="35">
        <f>IF(A722="","",MONTH(A722))</f>
        <v>9</v>
      </c>
      <c r="K722" s="35">
        <f>IF(A722="","",YEAR(A722))</f>
        <v>2026</v>
      </c>
    </row>
    <row r="723">
      <c r="A723" s="39" t="n">
        <v>46285</v>
      </c>
      <c r="B723" s="32" t="inlineStr">
        <is>
          <t>Saída</t>
        </is>
      </c>
      <c r="C723" s="31" t="inlineStr">
        <is>
          <t>Impostos e taxas</t>
        </is>
      </c>
      <c r="D723" s="31" t="inlineStr"/>
      <c r="E723" s="31" t="inlineStr"/>
      <c r="F723" s="31" t="inlineStr">
        <is>
          <t>Guia de impostos do mês anterior (alíquota efetiva combinada com o contador)</t>
        </is>
      </c>
      <c r="G723" s="36" t="n">
        <v>5537</v>
      </c>
      <c r="H723" s="32" t="inlineStr">
        <is>
          <t>Boleto</t>
        </is>
      </c>
      <c r="I723" s="32" t="inlineStr">
        <is>
          <t>Não</t>
        </is>
      </c>
      <c r="J723" s="35">
        <f>IF(A723="","",MONTH(A723))</f>
        <v>9</v>
      </c>
      <c r="K723" s="35">
        <f>IF(A723="","",YEAR(A723))</f>
        <v>2026</v>
      </c>
    </row>
    <row r="724">
      <c r="A724" s="39" t="n">
        <v>46285</v>
      </c>
      <c r="B724" s="32" t="inlineStr">
        <is>
          <t>Saída</t>
        </is>
      </c>
      <c r="C724" s="31" t="inlineStr">
        <is>
          <t>Marketing e site</t>
        </is>
      </c>
      <c r="D724" s="31" t="inlineStr"/>
      <c r="E724" s="31" t="inlineStr"/>
      <c r="F724" s="31" t="inlineStr">
        <is>
          <t>Marketing e site</t>
        </is>
      </c>
      <c r="G724" s="36" t="n">
        <v>650</v>
      </c>
      <c r="H724" s="32" t="inlineStr">
        <is>
          <t>Cartão de crédito</t>
        </is>
      </c>
      <c r="I724" s="32" t="inlineStr">
        <is>
          <t>Não</t>
        </is>
      </c>
      <c r="J724" s="35">
        <f>IF(A724="","",MONTH(A724))</f>
        <v>9</v>
      </c>
      <c r="K724" s="35">
        <f>IF(A724="","",YEAR(A724))</f>
        <v>2026</v>
      </c>
    </row>
    <row r="725">
      <c r="A725" s="39" t="n">
        <v>46286</v>
      </c>
      <c r="B725" s="32" t="inlineStr">
        <is>
          <t>Entrada</t>
        </is>
      </c>
      <c r="C725" s="31" t="inlineStr">
        <is>
          <t>Particular a prazo</t>
        </is>
      </c>
      <c r="D725" s="31" t="inlineStr">
        <is>
          <t>Márcia Duarte</t>
        </is>
      </c>
      <c r="E725" s="31" t="inlineStr">
        <is>
          <t>Parcela</t>
        </is>
      </c>
      <c r="F725" s="31" t="inlineStr">
        <is>
          <t>Avaliação endócrina de 23/07 · parcela 2/2 (a vencer)</t>
        </is>
      </c>
      <c r="G725" s="36" t="n">
        <v>200</v>
      </c>
      <c r="H725" s="32" t="inlineStr">
        <is>
          <t>Pix</t>
        </is>
      </c>
      <c r="I725" s="32" t="inlineStr">
        <is>
          <t>Não</t>
        </is>
      </c>
      <c r="J725" s="35">
        <f>IF(A725="","",MONTH(A725))</f>
        <v>9</v>
      </c>
      <c r="K725" s="35">
        <f>IF(A725="","",YEAR(A725))</f>
        <v>2026</v>
      </c>
    </row>
    <row r="726">
      <c r="A726" s="39" t="n">
        <v>46286</v>
      </c>
      <c r="B726" s="32" t="inlineStr">
        <is>
          <t>Entrada</t>
        </is>
      </c>
      <c r="C726" s="31" t="inlineStr">
        <is>
          <t>Particular a prazo</t>
        </is>
      </c>
      <c r="D726" s="31" t="inlineStr">
        <is>
          <t>Rafael Barros</t>
        </is>
      </c>
      <c r="E726" s="31" t="inlineStr">
        <is>
          <t>Parcela</t>
        </is>
      </c>
      <c r="F726" s="31" t="inlineStr">
        <is>
          <t>Consulta de 23/07 · parcela 2/2 (a vencer)</t>
        </is>
      </c>
      <c r="G726" s="36" t="n">
        <v>190</v>
      </c>
      <c r="H726" s="32" t="inlineStr">
        <is>
          <t>Pix</t>
        </is>
      </c>
      <c r="I726" s="32" t="inlineStr">
        <is>
          <t>Não</t>
        </is>
      </c>
      <c r="J726" s="35">
        <f>IF(A726="","",MONTH(A726))</f>
        <v>9</v>
      </c>
      <c r="K726" s="35">
        <f>IF(A726="","",YEAR(A726))</f>
        <v>2026</v>
      </c>
    </row>
    <row r="727">
      <c r="A727" s="39" t="n">
        <v>46287</v>
      </c>
      <c r="B727" s="32" t="inlineStr">
        <is>
          <t>Saída</t>
        </is>
      </c>
      <c r="C727" s="31" t="inlineStr">
        <is>
          <t>Materiais e insumos de atendimento</t>
        </is>
      </c>
      <c r="D727" s="31" t="inlineStr"/>
      <c r="E727" s="31" t="inlineStr"/>
      <c r="F727" s="31" t="inlineStr">
        <is>
          <t>Reposição de descartáveis e papel para ECG</t>
        </is>
      </c>
      <c r="G727" s="36" t="n">
        <v>360</v>
      </c>
      <c r="H727" s="32" t="inlineStr">
        <is>
          <t>Cartão de crédito</t>
        </is>
      </c>
      <c r="I727" s="32" t="inlineStr">
        <is>
          <t>Não</t>
        </is>
      </c>
      <c r="J727" s="35">
        <f>IF(A727="","",MONTH(A727))</f>
        <v>9</v>
      </c>
      <c r="K727" s="35">
        <f>IF(A727="","",YEAR(A727))</f>
        <v>2026</v>
      </c>
    </row>
    <row r="728">
      <c r="A728" s="39" t="n">
        <v>46288</v>
      </c>
      <c r="B728" s="32" t="inlineStr">
        <is>
          <t>Entrada</t>
        </is>
      </c>
      <c r="C728" s="31" t="inlineStr">
        <is>
          <t>Particular a prazo</t>
        </is>
      </c>
      <c r="D728" s="31" t="inlineStr">
        <is>
          <t>Cláudia Santos</t>
        </is>
      </c>
      <c r="E728" s="31" t="inlineStr">
        <is>
          <t>Parcela</t>
        </is>
      </c>
      <c r="F728" s="31" t="inlineStr">
        <is>
          <t>Consulta de 24/08 · parcela 1/1 (a vencer)</t>
        </is>
      </c>
      <c r="G728" s="36" t="n">
        <v>380</v>
      </c>
      <c r="H728" s="32" t="inlineStr">
        <is>
          <t>Pix</t>
        </is>
      </c>
      <c r="I728" s="32" t="inlineStr">
        <is>
          <t>Não</t>
        </is>
      </c>
      <c r="J728" s="35">
        <f>IF(A728="","",MONTH(A728))</f>
        <v>9</v>
      </c>
      <c r="K728" s="35">
        <f>IF(A728="","",YEAR(A728))</f>
        <v>2026</v>
      </c>
    </row>
    <row r="729">
      <c r="A729" s="39" t="n">
        <v>46290</v>
      </c>
      <c r="B729" s="32" t="inlineStr">
        <is>
          <t>Entrada</t>
        </is>
      </c>
      <c r="C729" s="31" t="inlineStr">
        <is>
          <t>Particular a prazo</t>
        </is>
      </c>
      <c r="D729" s="31" t="inlineStr">
        <is>
          <t>Sérgio Martins</t>
        </is>
      </c>
      <c r="E729" s="31" t="inlineStr">
        <is>
          <t>Parcela</t>
        </is>
      </c>
      <c r="F729" s="31" t="inlineStr">
        <is>
          <t>Consulta de 26/08 · parcela 1/1 (a vencer)</t>
        </is>
      </c>
      <c r="G729" s="36" t="n">
        <v>380</v>
      </c>
      <c r="H729" s="32" t="inlineStr">
        <is>
          <t>Pix</t>
        </is>
      </c>
      <c r="I729" s="32" t="inlineStr">
        <is>
          <t>Não</t>
        </is>
      </c>
      <c r="J729" s="35">
        <f>IF(A729="","",MONTH(A729))</f>
        <v>9</v>
      </c>
      <c r="K729" s="35">
        <f>IF(A729="","",YEAR(A729))</f>
        <v>2026</v>
      </c>
    </row>
    <row r="730">
      <c r="A730" s="39" t="n">
        <v>46290</v>
      </c>
      <c r="B730" s="32" t="inlineStr">
        <is>
          <t>Entrada</t>
        </is>
      </c>
      <c r="C730" s="31" t="inlineStr">
        <is>
          <t>Particular a prazo</t>
        </is>
      </c>
      <c r="D730" s="31" t="inlineStr">
        <is>
          <t>Regina Duarte</t>
        </is>
      </c>
      <c r="E730" s="31" t="inlineStr">
        <is>
          <t>Parcela</t>
        </is>
      </c>
      <c r="F730" s="31" t="inlineStr">
        <is>
          <t>Consulta de 27/07 · parcela 2/2 (a vencer)</t>
        </is>
      </c>
      <c r="G730" s="36" t="n">
        <v>190</v>
      </c>
      <c r="H730" s="32" t="inlineStr">
        <is>
          <t>Pix</t>
        </is>
      </c>
      <c r="I730" s="32" t="inlineStr">
        <is>
          <t>Não</t>
        </is>
      </c>
      <c r="J730" s="35">
        <f>IF(A730="","",MONTH(A730))</f>
        <v>9</v>
      </c>
      <c r="K730" s="35">
        <f>IF(A730="","",YEAR(A730))</f>
        <v>2026</v>
      </c>
    </row>
    <row r="731">
      <c r="A731" s="39" t="n">
        <v>46290</v>
      </c>
      <c r="B731" s="32" t="inlineStr">
        <is>
          <t>Entrada</t>
        </is>
      </c>
      <c r="C731" s="31" t="inlineStr">
        <is>
          <t>Particular a prazo</t>
        </is>
      </c>
      <c r="D731" s="31" t="inlineStr">
        <is>
          <t>Rodrigo Moreira</t>
        </is>
      </c>
      <c r="E731" s="31" t="inlineStr">
        <is>
          <t>Parcela</t>
        </is>
      </c>
      <c r="F731" s="31" t="inlineStr">
        <is>
          <t>Teste ergométrico de 27/07 · parcela 2/2 (a vencer)</t>
        </is>
      </c>
      <c r="G731" s="36" t="n">
        <v>225</v>
      </c>
      <c r="H731" s="32" t="inlineStr">
        <is>
          <t>Pix</t>
        </is>
      </c>
      <c r="I731" s="32" t="inlineStr">
        <is>
          <t>Não</t>
        </is>
      </c>
      <c r="J731" s="35">
        <f>IF(A731="","",MONTH(A731))</f>
        <v>9</v>
      </c>
      <c r="K731" s="35">
        <f>IF(A731="","",YEAR(A731))</f>
        <v>2026</v>
      </c>
    </row>
    <row r="732">
      <c r="A732" s="39" t="n">
        <v>46291</v>
      </c>
      <c r="B732" s="32" t="inlineStr">
        <is>
          <t>Entrada</t>
        </is>
      </c>
      <c r="C732" s="31" t="inlineStr">
        <is>
          <t>Particular a prazo</t>
        </is>
      </c>
      <c r="D732" s="31" t="inlineStr">
        <is>
          <t>Mariana Reis</t>
        </is>
      </c>
      <c r="E732" s="31" t="inlineStr">
        <is>
          <t>Parcela</t>
        </is>
      </c>
      <c r="F732" s="31" t="inlineStr">
        <is>
          <t>Avaliação endócrina de 27/08 · parcela 1/1 (a vencer)</t>
        </is>
      </c>
      <c r="G732" s="36" t="n">
        <v>400</v>
      </c>
      <c r="H732" s="32" t="inlineStr">
        <is>
          <t>Pix</t>
        </is>
      </c>
      <c r="I732" s="32" t="inlineStr">
        <is>
          <t>Não</t>
        </is>
      </c>
      <c r="J732" s="35">
        <f>IF(A732="","",MONTH(A732))</f>
        <v>9</v>
      </c>
      <c r="K732" s="35">
        <f>IF(A732="","",YEAR(A732))</f>
        <v>2026</v>
      </c>
    </row>
    <row r="733">
      <c r="A733" s="39" t="n">
        <v>46291</v>
      </c>
      <c r="B733" s="32" t="inlineStr">
        <is>
          <t>Entrada</t>
        </is>
      </c>
      <c r="C733" s="31" t="inlineStr">
        <is>
          <t>Particular a prazo</t>
        </is>
      </c>
      <c r="D733" s="31" t="inlineStr">
        <is>
          <t>Gisele Ribeiro</t>
        </is>
      </c>
      <c r="E733" s="31" t="inlineStr">
        <is>
          <t>Parcela</t>
        </is>
      </c>
      <c r="F733" s="31" t="inlineStr">
        <is>
          <t>Consulta de 27/08 · parcela 1/1 (a vencer)</t>
        </is>
      </c>
      <c r="G733" s="36" t="n">
        <v>380</v>
      </c>
      <c r="H733" s="32" t="inlineStr">
        <is>
          <t>Pix</t>
        </is>
      </c>
      <c r="I733" s="32" t="inlineStr">
        <is>
          <t>Não</t>
        </is>
      </c>
      <c r="J733" s="35">
        <f>IF(A733="","",MONTH(A733))</f>
        <v>9</v>
      </c>
      <c r="K733" s="35">
        <f>IF(A733="","",YEAR(A733))</f>
        <v>2026</v>
      </c>
    </row>
    <row r="734">
      <c r="A734" s="39" t="n">
        <v>46291</v>
      </c>
      <c r="B734" s="32" t="inlineStr">
        <is>
          <t>Entrada</t>
        </is>
      </c>
      <c r="C734" s="31" t="inlineStr">
        <is>
          <t>Particular a prazo</t>
        </is>
      </c>
      <c r="D734" s="31" t="inlineStr">
        <is>
          <t>Renato Dias</t>
        </is>
      </c>
      <c r="E734" s="31" t="inlineStr">
        <is>
          <t>Parcela</t>
        </is>
      </c>
      <c r="F734" s="31" t="inlineStr">
        <is>
          <t>Holter de 27/08 · parcela 1/2 (a vencer)</t>
        </is>
      </c>
      <c r="G734" s="36" t="n">
        <v>175</v>
      </c>
      <c r="H734" s="32" t="inlineStr">
        <is>
          <t>Pix</t>
        </is>
      </c>
      <c r="I734" s="32" t="inlineStr">
        <is>
          <t>Não</t>
        </is>
      </c>
      <c r="J734" s="35">
        <f>IF(A734="","",MONTH(A734))</f>
        <v>9</v>
      </c>
      <c r="K734" s="35">
        <f>IF(A734="","",YEAR(A734))</f>
        <v>2026</v>
      </c>
    </row>
    <row r="735">
      <c r="A735" s="39" t="n">
        <v>46293</v>
      </c>
      <c r="B735" s="32" t="inlineStr">
        <is>
          <t>Saída</t>
        </is>
      </c>
      <c r="C735" s="31" t="inlineStr">
        <is>
          <t>Pró-labore dos sócios</t>
        </is>
      </c>
      <c r="D735" s="31" t="inlineStr"/>
      <c r="E735" s="31" t="inlineStr"/>
      <c r="F735" s="31" t="inlineStr">
        <is>
          <t>Pró-labore · Dr. Paulo Andrade</t>
        </is>
      </c>
      <c r="G735" s="36" t="n">
        <v>9000</v>
      </c>
      <c r="H735" s="32" t="inlineStr">
        <is>
          <t>Transferência</t>
        </is>
      </c>
      <c r="I735" s="32" t="inlineStr">
        <is>
          <t>Não</t>
        </is>
      </c>
      <c r="J735" s="35">
        <f>IF(A735="","",MONTH(A735))</f>
        <v>9</v>
      </c>
      <c r="K735" s="35">
        <f>IF(A735="","",YEAR(A735))</f>
        <v>2026</v>
      </c>
    </row>
    <row r="736">
      <c r="A736" s="39" t="n">
        <v>46293</v>
      </c>
      <c r="B736" s="32" t="inlineStr">
        <is>
          <t>Saída</t>
        </is>
      </c>
      <c r="C736" s="31" t="inlineStr">
        <is>
          <t>Pró-labore dos sócios</t>
        </is>
      </c>
      <c r="D736" s="31" t="inlineStr"/>
      <c r="E736" s="31" t="inlineStr"/>
      <c r="F736" s="31" t="inlineStr">
        <is>
          <t>Pró-labore · Dra. Carolina Mendes</t>
        </is>
      </c>
      <c r="G736" s="36" t="n">
        <v>9000</v>
      </c>
      <c r="H736" s="32" t="inlineStr">
        <is>
          <t>Transferência</t>
        </is>
      </c>
      <c r="I736" s="32" t="inlineStr">
        <is>
          <t>Não</t>
        </is>
      </c>
      <c r="J736" s="35">
        <f>IF(A736="","",MONTH(A736))</f>
        <v>9</v>
      </c>
      <c r="K736" s="35">
        <f>IF(A736="","",YEAR(A736))</f>
        <v>2026</v>
      </c>
    </row>
    <row r="737">
      <c r="A737" s="39" t="n"/>
      <c r="B737" s="32" t="n"/>
      <c r="C737" s="31" t="n"/>
      <c r="D737" s="31" t="n"/>
      <c r="E737" s="31" t="n"/>
      <c r="F737" s="31" t="n"/>
      <c r="G737" s="36" t="n"/>
      <c r="H737" s="32" t="n"/>
      <c r="I737" s="32" t="n"/>
      <c r="J737" s="35">
        <f>IF(A737="","",MONTH(A737))</f>
        <v/>
      </c>
      <c r="K737" s="35">
        <f>IF(A737="","",YEAR(A737))</f>
        <v/>
      </c>
    </row>
    <row r="738">
      <c r="A738" s="39" t="n"/>
      <c r="B738" s="32" t="n"/>
      <c r="C738" s="31" t="n"/>
      <c r="D738" s="31" t="n"/>
      <c r="E738" s="31" t="n"/>
      <c r="F738" s="31" t="n"/>
      <c r="G738" s="36" t="n"/>
      <c r="H738" s="32" t="n"/>
      <c r="I738" s="32" t="n"/>
      <c r="J738" s="35">
        <f>IF(A738="","",MONTH(A738))</f>
        <v/>
      </c>
      <c r="K738" s="35">
        <f>IF(A738="","",YEAR(A738))</f>
        <v/>
      </c>
    </row>
    <row r="739">
      <c r="A739" s="39" t="n"/>
      <c r="B739" s="32" t="n"/>
      <c r="C739" s="31" t="n"/>
      <c r="D739" s="31" t="n"/>
      <c r="E739" s="31" t="n"/>
      <c r="F739" s="31" t="n"/>
      <c r="G739" s="36" t="n"/>
      <c r="H739" s="32" t="n"/>
      <c r="I739" s="32" t="n"/>
      <c r="J739" s="35">
        <f>IF(A739="","",MONTH(A739))</f>
        <v/>
      </c>
      <c r="K739" s="35">
        <f>IF(A739="","",YEAR(A739))</f>
        <v/>
      </c>
    </row>
    <row r="740">
      <c r="A740" s="39" t="n"/>
      <c r="B740" s="32" t="n"/>
      <c r="C740" s="31" t="n"/>
      <c r="D740" s="31" t="n"/>
      <c r="E740" s="31" t="n"/>
      <c r="F740" s="31" t="n"/>
      <c r="G740" s="36" t="n"/>
      <c r="H740" s="32" t="n"/>
      <c r="I740" s="32" t="n"/>
      <c r="J740" s="35">
        <f>IF(A740="","",MONTH(A740))</f>
        <v/>
      </c>
      <c r="K740" s="35">
        <f>IF(A740="","",YEAR(A740))</f>
        <v/>
      </c>
    </row>
    <row r="741">
      <c r="A741" s="39" t="n"/>
      <c r="B741" s="32" t="n"/>
      <c r="C741" s="31" t="n"/>
      <c r="D741" s="31" t="n"/>
      <c r="E741" s="31" t="n"/>
      <c r="F741" s="31" t="n"/>
      <c r="G741" s="36" t="n"/>
      <c r="H741" s="32" t="n"/>
      <c r="I741" s="32" t="n"/>
      <c r="J741" s="35">
        <f>IF(A741="","",MONTH(A741))</f>
        <v/>
      </c>
      <c r="K741" s="35">
        <f>IF(A741="","",YEAR(A741))</f>
        <v/>
      </c>
    </row>
    <row r="742">
      <c r="A742" s="39" t="n"/>
      <c r="B742" s="32" t="n"/>
      <c r="C742" s="31" t="n"/>
      <c r="D742" s="31" t="n"/>
      <c r="E742" s="31" t="n"/>
      <c r="F742" s="31" t="n"/>
      <c r="G742" s="36" t="n"/>
      <c r="H742" s="32" t="n"/>
      <c r="I742" s="32" t="n"/>
      <c r="J742" s="35">
        <f>IF(A742="","",MONTH(A742))</f>
        <v/>
      </c>
      <c r="K742" s="35">
        <f>IF(A742="","",YEAR(A742))</f>
        <v/>
      </c>
    </row>
    <row r="743">
      <c r="A743" s="39" t="n"/>
      <c r="B743" s="32" t="n"/>
      <c r="C743" s="31" t="n"/>
      <c r="D743" s="31" t="n"/>
      <c r="E743" s="31" t="n"/>
      <c r="F743" s="31" t="n"/>
      <c r="G743" s="36" t="n"/>
      <c r="H743" s="32" t="n"/>
      <c r="I743" s="32" t="n"/>
      <c r="J743" s="35">
        <f>IF(A743="","",MONTH(A743))</f>
        <v/>
      </c>
      <c r="K743" s="35">
        <f>IF(A743="","",YEAR(A743))</f>
        <v/>
      </c>
    </row>
    <row r="744">
      <c r="A744" s="39" t="n"/>
      <c r="B744" s="32" t="n"/>
      <c r="C744" s="31" t="n"/>
      <c r="D744" s="31" t="n"/>
      <c r="E744" s="31" t="n"/>
      <c r="F744" s="31" t="n"/>
      <c r="G744" s="36" t="n"/>
      <c r="H744" s="32" t="n"/>
      <c r="I744" s="32" t="n"/>
      <c r="J744" s="35">
        <f>IF(A744="","",MONTH(A744))</f>
        <v/>
      </c>
      <c r="K744" s="35">
        <f>IF(A744="","",YEAR(A744))</f>
        <v/>
      </c>
    </row>
    <row r="745">
      <c r="A745" s="39" t="n"/>
      <c r="B745" s="32" t="n"/>
      <c r="C745" s="31" t="n"/>
      <c r="D745" s="31" t="n"/>
      <c r="E745" s="31" t="n"/>
      <c r="F745" s="31" t="n"/>
      <c r="G745" s="36" t="n"/>
      <c r="H745" s="32" t="n"/>
      <c r="I745" s="32" t="n"/>
      <c r="J745" s="35">
        <f>IF(A745="","",MONTH(A745))</f>
        <v/>
      </c>
      <c r="K745" s="35">
        <f>IF(A745="","",YEAR(A745))</f>
        <v/>
      </c>
    </row>
    <row r="746">
      <c r="A746" s="39" t="n"/>
      <c r="B746" s="32" t="n"/>
      <c r="C746" s="31" t="n"/>
      <c r="D746" s="31" t="n"/>
      <c r="E746" s="31" t="n"/>
      <c r="F746" s="31" t="n"/>
      <c r="G746" s="36" t="n"/>
      <c r="H746" s="32" t="n"/>
      <c r="I746" s="32" t="n"/>
      <c r="J746" s="35">
        <f>IF(A746="","",MONTH(A746))</f>
        <v/>
      </c>
      <c r="K746" s="35">
        <f>IF(A746="","",YEAR(A746))</f>
        <v/>
      </c>
    </row>
    <row r="747">
      <c r="A747" s="39" t="n"/>
      <c r="B747" s="32" t="n"/>
      <c r="C747" s="31" t="n"/>
      <c r="D747" s="31" t="n"/>
      <c r="E747" s="31" t="n"/>
      <c r="F747" s="31" t="n"/>
      <c r="G747" s="36" t="n"/>
      <c r="H747" s="32" t="n"/>
      <c r="I747" s="32" t="n"/>
      <c r="J747" s="35">
        <f>IF(A747="","",MONTH(A747))</f>
        <v/>
      </c>
      <c r="K747" s="35">
        <f>IF(A747="","",YEAR(A747))</f>
        <v/>
      </c>
    </row>
    <row r="748">
      <c r="A748" s="39" t="n"/>
      <c r="B748" s="32" t="n"/>
      <c r="C748" s="31" t="n"/>
      <c r="D748" s="31" t="n"/>
      <c r="E748" s="31" t="n"/>
      <c r="F748" s="31" t="n"/>
      <c r="G748" s="36" t="n"/>
      <c r="H748" s="32" t="n"/>
      <c r="I748" s="32" t="n"/>
      <c r="J748" s="35">
        <f>IF(A748="","",MONTH(A748))</f>
        <v/>
      </c>
      <c r="K748" s="35">
        <f>IF(A748="","",YEAR(A748))</f>
        <v/>
      </c>
    </row>
    <row r="749">
      <c r="A749" s="39" t="n"/>
      <c r="B749" s="32" t="n"/>
      <c r="C749" s="31" t="n"/>
      <c r="D749" s="31" t="n"/>
      <c r="E749" s="31" t="n"/>
      <c r="F749" s="31" t="n"/>
      <c r="G749" s="36" t="n"/>
      <c r="H749" s="32" t="n"/>
      <c r="I749" s="32" t="n"/>
      <c r="J749" s="35">
        <f>IF(A749="","",MONTH(A749))</f>
        <v/>
      </c>
      <c r="K749" s="35">
        <f>IF(A749="","",YEAR(A749))</f>
        <v/>
      </c>
    </row>
    <row r="750">
      <c r="A750" s="39" t="n"/>
      <c r="B750" s="32" t="n"/>
      <c r="C750" s="31" t="n"/>
      <c r="D750" s="31" t="n"/>
      <c r="E750" s="31" t="n"/>
      <c r="F750" s="31" t="n"/>
      <c r="G750" s="36" t="n"/>
      <c r="H750" s="32" t="n"/>
      <c r="I750" s="32" t="n"/>
      <c r="J750" s="35">
        <f>IF(A750="","",MONTH(A750))</f>
        <v/>
      </c>
      <c r="K750" s="35">
        <f>IF(A750="","",YEAR(A750))</f>
        <v/>
      </c>
    </row>
    <row r="751">
      <c r="A751" s="39" t="n"/>
      <c r="B751" s="32" t="n"/>
      <c r="C751" s="31" t="n"/>
      <c r="D751" s="31" t="n"/>
      <c r="E751" s="31" t="n"/>
      <c r="F751" s="31" t="n"/>
      <c r="G751" s="36" t="n"/>
      <c r="H751" s="32" t="n"/>
      <c r="I751" s="32" t="n"/>
      <c r="J751" s="35">
        <f>IF(A751="","",MONTH(A751))</f>
        <v/>
      </c>
      <c r="K751" s="35">
        <f>IF(A751="","",YEAR(A751))</f>
        <v/>
      </c>
    </row>
    <row r="752">
      <c r="A752" s="39" t="n"/>
      <c r="B752" s="32" t="n"/>
      <c r="C752" s="31" t="n"/>
      <c r="D752" s="31" t="n"/>
      <c r="E752" s="31" t="n"/>
      <c r="F752" s="31" t="n"/>
      <c r="G752" s="36" t="n"/>
      <c r="H752" s="32" t="n"/>
      <c r="I752" s="32" t="n"/>
      <c r="J752" s="35">
        <f>IF(A752="","",MONTH(A752))</f>
        <v/>
      </c>
      <c r="K752" s="35">
        <f>IF(A752="","",YEAR(A752))</f>
        <v/>
      </c>
    </row>
    <row r="753">
      <c r="A753" s="39" t="n"/>
      <c r="B753" s="32" t="n"/>
      <c r="C753" s="31" t="n"/>
      <c r="D753" s="31" t="n"/>
      <c r="E753" s="31" t="n"/>
      <c r="F753" s="31" t="n"/>
      <c r="G753" s="36" t="n"/>
      <c r="H753" s="32" t="n"/>
      <c r="I753" s="32" t="n"/>
      <c r="J753" s="35">
        <f>IF(A753="","",MONTH(A753))</f>
        <v/>
      </c>
      <c r="K753" s="35">
        <f>IF(A753="","",YEAR(A753))</f>
        <v/>
      </c>
    </row>
    <row r="754">
      <c r="A754" s="39" t="n"/>
      <c r="B754" s="32" t="n"/>
      <c r="C754" s="31" t="n"/>
      <c r="D754" s="31" t="n"/>
      <c r="E754" s="31" t="n"/>
      <c r="F754" s="31" t="n"/>
      <c r="G754" s="36" t="n"/>
      <c r="H754" s="32" t="n"/>
      <c r="I754" s="32" t="n"/>
      <c r="J754" s="35">
        <f>IF(A754="","",MONTH(A754))</f>
        <v/>
      </c>
      <c r="K754" s="35">
        <f>IF(A754="","",YEAR(A754))</f>
        <v/>
      </c>
    </row>
    <row r="755">
      <c r="A755" s="39" t="n"/>
      <c r="B755" s="32" t="n"/>
      <c r="C755" s="31" t="n"/>
      <c r="D755" s="31" t="n"/>
      <c r="E755" s="31" t="n"/>
      <c r="F755" s="31" t="n"/>
      <c r="G755" s="36" t="n"/>
      <c r="H755" s="32" t="n"/>
      <c r="I755" s="32" t="n"/>
      <c r="J755" s="35">
        <f>IF(A755="","",MONTH(A755))</f>
        <v/>
      </c>
      <c r="K755" s="35">
        <f>IF(A755="","",YEAR(A755))</f>
        <v/>
      </c>
    </row>
    <row r="756">
      <c r="A756" s="39" t="n"/>
      <c r="B756" s="32" t="n"/>
      <c r="C756" s="31" t="n"/>
      <c r="D756" s="31" t="n"/>
      <c r="E756" s="31" t="n"/>
      <c r="F756" s="31" t="n"/>
      <c r="G756" s="36" t="n"/>
      <c r="H756" s="32" t="n"/>
      <c r="I756" s="32" t="n"/>
      <c r="J756" s="35">
        <f>IF(A756="","",MONTH(A756))</f>
        <v/>
      </c>
      <c r="K756" s="35">
        <f>IF(A756="","",YEAR(A756))</f>
        <v/>
      </c>
    </row>
    <row r="757">
      <c r="A757" s="39" t="n"/>
      <c r="B757" s="32" t="n"/>
      <c r="C757" s="31" t="n"/>
      <c r="D757" s="31" t="n"/>
      <c r="E757" s="31" t="n"/>
      <c r="F757" s="31" t="n"/>
      <c r="G757" s="36" t="n"/>
      <c r="H757" s="32" t="n"/>
      <c r="I757" s="32" t="n"/>
      <c r="J757" s="35">
        <f>IF(A757="","",MONTH(A757))</f>
        <v/>
      </c>
      <c r="K757" s="35">
        <f>IF(A757="","",YEAR(A757))</f>
        <v/>
      </c>
    </row>
    <row r="758">
      <c r="A758" s="39" t="n"/>
      <c r="B758" s="32" t="n"/>
      <c r="C758" s="31" t="n"/>
      <c r="D758" s="31" t="n"/>
      <c r="E758" s="31" t="n"/>
      <c r="F758" s="31" t="n"/>
      <c r="G758" s="36" t="n"/>
      <c r="H758" s="32" t="n"/>
      <c r="I758" s="32" t="n"/>
      <c r="J758" s="35">
        <f>IF(A758="","",MONTH(A758))</f>
        <v/>
      </c>
      <c r="K758" s="35">
        <f>IF(A758="","",YEAR(A758))</f>
        <v/>
      </c>
    </row>
    <row r="759">
      <c r="A759" s="39" t="n"/>
      <c r="B759" s="32" t="n"/>
      <c r="C759" s="31" t="n"/>
      <c r="D759" s="31" t="n"/>
      <c r="E759" s="31" t="n"/>
      <c r="F759" s="31" t="n"/>
      <c r="G759" s="36" t="n"/>
      <c r="H759" s="32" t="n"/>
      <c r="I759" s="32" t="n"/>
      <c r="J759" s="35">
        <f>IF(A759="","",MONTH(A759))</f>
        <v/>
      </c>
      <c r="K759" s="35">
        <f>IF(A759="","",YEAR(A759))</f>
        <v/>
      </c>
    </row>
    <row r="760">
      <c r="A760" s="39" t="n"/>
      <c r="B760" s="32" t="n"/>
      <c r="C760" s="31" t="n"/>
      <c r="D760" s="31" t="n"/>
      <c r="E760" s="31" t="n"/>
      <c r="F760" s="31" t="n"/>
      <c r="G760" s="36" t="n"/>
      <c r="H760" s="32" t="n"/>
      <c r="I760" s="32" t="n"/>
      <c r="J760" s="35">
        <f>IF(A760="","",MONTH(A760))</f>
        <v/>
      </c>
      <c r="K760" s="35">
        <f>IF(A760="","",YEAR(A760))</f>
        <v/>
      </c>
    </row>
    <row r="761">
      <c r="A761" s="39" t="n"/>
      <c r="B761" s="32" t="n"/>
      <c r="C761" s="31" t="n"/>
      <c r="D761" s="31" t="n"/>
      <c r="E761" s="31" t="n"/>
      <c r="F761" s="31" t="n"/>
      <c r="G761" s="36" t="n"/>
      <c r="H761" s="32" t="n"/>
      <c r="I761" s="32" t="n"/>
      <c r="J761" s="35">
        <f>IF(A761="","",MONTH(A761))</f>
        <v/>
      </c>
      <c r="K761" s="35">
        <f>IF(A761="","",YEAR(A761))</f>
        <v/>
      </c>
    </row>
    <row r="762">
      <c r="A762" s="39" t="n"/>
      <c r="B762" s="32" t="n"/>
      <c r="C762" s="31" t="n"/>
      <c r="D762" s="31" t="n"/>
      <c r="E762" s="31" t="n"/>
      <c r="F762" s="31" t="n"/>
      <c r="G762" s="36" t="n"/>
      <c r="H762" s="32" t="n"/>
      <c r="I762" s="32" t="n"/>
      <c r="J762" s="35">
        <f>IF(A762="","",MONTH(A762))</f>
        <v/>
      </c>
      <c r="K762" s="35">
        <f>IF(A762="","",YEAR(A762))</f>
        <v/>
      </c>
    </row>
    <row r="763">
      <c r="A763" s="39" t="n"/>
      <c r="B763" s="32" t="n"/>
      <c r="C763" s="31" t="n"/>
      <c r="D763" s="31" t="n"/>
      <c r="E763" s="31" t="n"/>
      <c r="F763" s="31" t="n"/>
      <c r="G763" s="36" t="n"/>
      <c r="H763" s="32" t="n"/>
      <c r="I763" s="32" t="n"/>
      <c r="J763" s="35">
        <f>IF(A763="","",MONTH(A763))</f>
        <v/>
      </c>
      <c r="K763" s="35">
        <f>IF(A763="","",YEAR(A763))</f>
        <v/>
      </c>
    </row>
    <row r="764">
      <c r="A764" s="39" t="n"/>
      <c r="B764" s="32" t="n"/>
      <c r="C764" s="31" t="n"/>
      <c r="D764" s="31" t="n"/>
      <c r="E764" s="31" t="n"/>
      <c r="F764" s="31" t="n"/>
      <c r="G764" s="36" t="n"/>
      <c r="H764" s="32" t="n"/>
      <c r="I764" s="32" t="n"/>
      <c r="J764" s="35">
        <f>IF(A764="","",MONTH(A764))</f>
        <v/>
      </c>
      <c r="K764" s="35">
        <f>IF(A764="","",YEAR(A764))</f>
        <v/>
      </c>
    </row>
    <row r="765">
      <c r="A765" s="39" t="n"/>
      <c r="B765" s="32" t="n"/>
      <c r="C765" s="31" t="n"/>
      <c r="D765" s="31" t="n"/>
      <c r="E765" s="31" t="n"/>
      <c r="F765" s="31" t="n"/>
      <c r="G765" s="36" t="n"/>
      <c r="H765" s="32" t="n"/>
      <c r="I765" s="32" t="n"/>
      <c r="J765" s="35">
        <f>IF(A765="","",MONTH(A765))</f>
        <v/>
      </c>
      <c r="K765" s="35">
        <f>IF(A765="","",YEAR(A765))</f>
        <v/>
      </c>
    </row>
    <row r="766">
      <c r="A766" s="39" t="n"/>
      <c r="B766" s="32" t="n"/>
      <c r="C766" s="31" t="n"/>
      <c r="D766" s="31" t="n"/>
      <c r="E766" s="31" t="n"/>
      <c r="F766" s="31" t="n"/>
      <c r="G766" s="36" t="n"/>
      <c r="H766" s="32" t="n"/>
      <c r="I766" s="32" t="n"/>
      <c r="J766" s="35">
        <f>IF(A766="","",MONTH(A766))</f>
        <v/>
      </c>
      <c r="K766" s="35">
        <f>IF(A766="","",YEAR(A766))</f>
        <v/>
      </c>
    </row>
    <row r="767">
      <c r="A767" s="39" t="n"/>
      <c r="B767" s="32" t="n"/>
      <c r="C767" s="31" t="n"/>
      <c r="D767" s="31" t="n"/>
      <c r="E767" s="31" t="n"/>
      <c r="F767" s="31" t="n"/>
      <c r="G767" s="36" t="n"/>
      <c r="H767" s="32" t="n"/>
      <c r="I767" s="32" t="n"/>
      <c r="J767" s="35">
        <f>IF(A767="","",MONTH(A767))</f>
        <v/>
      </c>
      <c r="K767" s="35">
        <f>IF(A767="","",YEAR(A767))</f>
        <v/>
      </c>
    </row>
    <row r="768">
      <c r="A768" s="39" t="n"/>
      <c r="B768" s="32" t="n"/>
      <c r="C768" s="31" t="n"/>
      <c r="D768" s="31" t="n"/>
      <c r="E768" s="31" t="n"/>
      <c r="F768" s="31" t="n"/>
      <c r="G768" s="36" t="n"/>
      <c r="H768" s="32" t="n"/>
      <c r="I768" s="32" t="n"/>
      <c r="J768" s="35">
        <f>IF(A768="","",MONTH(A768))</f>
        <v/>
      </c>
      <c r="K768" s="35">
        <f>IF(A768="","",YEAR(A768))</f>
        <v/>
      </c>
    </row>
    <row r="769">
      <c r="A769" s="39" t="n"/>
      <c r="B769" s="32" t="n"/>
      <c r="C769" s="31" t="n"/>
      <c r="D769" s="31" t="n"/>
      <c r="E769" s="31" t="n"/>
      <c r="F769" s="31" t="n"/>
      <c r="G769" s="36" t="n"/>
      <c r="H769" s="32" t="n"/>
      <c r="I769" s="32" t="n"/>
      <c r="J769" s="35">
        <f>IF(A769="","",MONTH(A769))</f>
        <v/>
      </c>
      <c r="K769" s="35">
        <f>IF(A769="","",YEAR(A769))</f>
        <v/>
      </c>
    </row>
    <row r="770">
      <c r="A770" s="39" t="n"/>
      <c r="B770" s="32" t="n"/>
      <c r="C770" s="31" t="n"/>
      <c r="D770" s="31" t="n"/>
      <c r="E770" s="31" t="n"/>
      <c r="F770" s="31" t="n"/>
      <c r="G770" s="36" t="n"/>
      <c r="H770" s="32" t="n"/>
      <c r="I770" s="32" t="n"/>
      <c r="J770" s="35">
        <f>IF(A770="","",MONTH(A770))</f>
        <v/>
      </c>
      <c r="K770" s="35">
        <f>IF(A770="","",YEAR(A770))</f>
        <v/>
      </c>
    </row>
    <row r="771">
      <c r="A771" s="39" t="n"/>
      <c r="B771" s="32" t="n"/>
      <c r="C771" s="31" t="n"/>
      <c r="D771" s="31" t="n"/>
      <c r="E771" s="31" t="n"/>
      <c r="F771" s="31" t="n"/>
      <c r="G771" s="36" t="n"/>
      <c r="H771" s="32" t="n"/>
      <c r="I771" s="32" t="n"/>
      <c r="J771" s="35">
        <f>IF(A771="","",MONTH(A771))</f>
        <v/>
      </c>
      <c r="K771" s="35">
        <f>IF(A771="","",YEAR(A771))</f>
        <v/>
      </c>
    </row>
    <row r="772">
      <c r="A772" s="39" t="n"/>
      <c r="B772" s="32" t="n"/>
      <c r="C772" s="31" t="n"/>
      <c r="D772" s="31" t="n"/>
      <c r="E772" s="31" t="n"/>
      <c r="F772" s="31" t="n"/>
      <c r="G772" s="36" t="n"/>
      <c r="H772" s="32" t="n"/>
      <c r="I772" s="32" t="n"/>
      <c r="J772" s="35">
        <f>IF(A772="","",MONTH(A772))</f>
        <v/>
      </c>
      <c r="K772" s="35">
        <f>IF(A772="","",YEAR(A772))</f>
        <v/>
      </c>
    </row>
    <row r="773">
      <c r="A773" s="39" t="n"/>
      <c r="B773" s="32" t="n"/>
      <c r="C773" s="31" t="n"/>
      <c r="D773" s="31" t="n"/>
      <c r="E773" s="31" t="n"/>
      <c r="F773" s="31" t="n"/>
      <c r="G773" s="36" t="n"/>
      <c r="H773" s="32" t="n"/>
      <c r="I773" s="32" t="n"/>
      <c r="J773" s="35">
        <f>IF(A773="","",MONTH(A773))</f>
        <v/>
      </c>
      <c r="K773" s="35">
        <f>IF(A773="","",YEAR(A773))</f>
        <v/>
      </c>
    </row>
    <row r="774">
      <c r="A774" s="39" t="n"/>
      <c r="B774" s="32" t="n"/>
      <c r="C774" s="31" t="n"/>
      <c r="D774" s="31" t="n"/>
      <c r="E774" s="31" t="n"/>
      <c r="F774" s="31" t="n"/>
      <c r="G774" s="36" t="n"/>
      <c r="H774" s="32" t="n"/>
      <c r="I774" s="32" t="n"/>
      <c r="J774" s="35">
        <f>IF(A774="","",MONTH(A774))</f>
        <v/>
      </c>
      <c r="K774" s="35">
        <f>IF(A774="","",YEAR(A774))</f>
        <v/>
      </c>
    </row>
    <row r="775">
      <c r="A775" s="39" t="n"/>
      <c r="B775" s="32" t="n"/>
      <c r="C775" s="31" t="n"/>
      <c r="D775" s="31" t="n"/>
      <c r="E775" s="31" t="n"/>
      <c r="F775" s="31" t="n"/>
      <c r="G775" s="36" t="n"/>
      <c r="H775" s="32" t="n"/>
      <c r="I775" s="32" t="n"/>
      <c r="J775" s="35">
        <f>IF(A775="","",MONTH(A775))</f>
        <v/>
      </c>
      <c r="K775" s="35">
        <f>IF(A775="","",YEAR(A775))</f>
        <v/>
      </c>
    </row>
    <row r="776">
      <c r="A776" s="39" t="n"/>
      <c r="B776" s="32" t="n"/>
      <c r="C776" s="31" t="n"/>
      <c r="D776" s="31" t="n"/>
      <c r="E776" s="31" t="n"/>
      <c r="F776" s="31" t="n"/>
      <c r="G776" s="36" t="n"/>
      <c r="H776" s="32" t="n"/>
      <c r="I776" s="32" t="n"/>
      <c r="J776" s="35">
        <f>IF(A776="","",MONTH(A776))</f>
        <v/>
      </c>
      <c r="K776" s="35">
        <f>IF(A776="","",YEAR(A776))</f>
        <v/>
      </c>
    </row>
    <row r="777">
      <c r="A777" s="39" t="n"/>
      <c r="B777" s="32" t="n"/>
      <c r="C777" s="31" t="n"/>
      <c r="D777" s="31" t="n"/>
      <c r="E777" s="31" t="n"/>
      <c r="F777" s="31" t="n"/>
      <c r="G777" s="36" t="n"/>
      <c r="H777" s="32" t="n"/>
      <c r="I777" s="32" t="n"/>
      <c r="J777" s="35">
        <f>IF(A777="","",MONTH(A777))</f>
        <v/>
      </c>
      <c r="K777" s="35">
        <f>IF(A777="","",YEAR(A777))</f>
        <v/>
      </c>
    </row>
    <row r="778">
      <c r="A778" s="39" t="n"/>
      <c r="B778" s="32" t="n"/>
      <c r="C778" s="31" t="n"/>
      <c r="D778" s="31" t="n"/>
      <c r="E778" s="31" t="n"/>
      <c r="F778" s="31" t="n"/>
      <c r="G778" s="36" t="n"/>
      <c r="H778" s="32" t="n"/>
      <c r="I778" s="32" t="n"/>
      <c r="J778" s="35">
        <f>IF(A778="","",MONTH(A778))</f>
        <v/>
      </c>
      <c r="K778" s="35">
        <f>IF(A778="","",YEAR(A778))</f>
        <v/>
      </c>
    </row>
    <row r="779">
      <c r="A779" s="39" t="n"/>
      <c r="B779" s="32" t="n"/>
      <c r="C779" s="31" t="n"/>
      <c r="D779" s="31" t="n"/>
      <c r="E779" s="31" t="n"/>
      <c r="F779" s="31" t="n"/>
      <c r="G779" s="36" t="n"/>
      <c r="H779" s="32" t="n"/>
      <c r="I779" s="32" t="n"/>
      <c r="J779" s="35">
        <f>IF(A779="","",MONTH(A779))</f>
        <v/>
      </c>
      <c r="K779" s="35">
        <f>IF(A779="","",YEAR(A779))</f>
        <v/>
      </c>
    </row>
    <row r="780">
      <c r="A780" s="39" t="n"/>
      <c r="B780" s="32" t="n"/>
      <c r="C780" s="31" t="n"/>
      <c r="D780" s="31" t="n"/>
      <c r="E780" s="31" t="n"/>
      <c r="F780" s="31" t="n"/>
      <c r="G780" s="36" t="n"/>
      <c r="H780" s="32" t="n"/>
      <c r="I780" s="32" t="n"/>
      <c r="J780" s="35">
        <f>IF(A780="","",MONTH(A780))</f>
        <v/>
      </c>
      <c r="K780" s="35">
        <f>IF(A780="","",YEAR(A780))</f>
        <v/>
      </c>
    </row>
    <row r="781">
      <c r="A781" s="39" t="n"/>
      <c r="B781" s="32" t="n"/>
      <c r="C781" s="31" t="n"/>
      <c r="D781" s="31" t="n"/>
      <c r="E781" s="31" t="n"/>
      <c r="F781" s="31" t="n"/>
      <c r="G781" s="36" t="n"/>
      <c r="H781" s="32" t="n"/>
      <c r="I781" s="32" t="n"/>
      <c r="J781" s="35">
        <f>IF(A781="","",MONTH(A781))</f>
        <v/>
      </c>
      <c r="K781" s="35">
        <f>IF(A781="","",YEAR(A781))</f>
        <v/>
      </c>
    </row>
    <row r="782">
      <c r="A782" s="39" t="n"/>
      <c r="B782" s="32" t="n"/>
      <c r="C782" s="31" t="n"/>
      <c r="D782" s="31" t="n"/>
      <c r="E782" s="31" t="n"/>
      <c r="F782" s="31" t="n"/>
      <c r="G782" s="36" t="n"/>
      <c r="H782" s="32" t="n"/>
      <c r="I782" s="32" t="n"/>
      <c r="J782" s="35">
        <f>IF(A782="","",MONTH(A782))</f>
        <v/>
      </c>
      <c r="K782" s="35">
        <f>IF(A782="","",YEAR(A782))</f>
        <v/>
      </c>
    </row>
    <row r="783">
      <c r="A783" s="39" t="n"/>
      <c r="B783" s="32" t="n"/>
      <c r="C783" s="31" t="n"/>
      <c r="D783" s="31" t="n"/>
      <c r="E783" s="31" t="n"/>
      <c r="F783" s="31" t="n"/>
      <c r="G783" s="36" t="n"/>
      <c r="H783" s="32" t="n"/>
      <c r="I783" s="32" t="n"/>
      <c r="J783" s="35">
        <f>IF(A783="","",MONTH(A783))</f>
        <v/>
      </c>
      <c r="K783" s="35">
        <f>IF(A783="","",YEAR(A783))</f>
        <v/>
      </c>
    </row>
    <row r="784">
      <c r="A784" s="39" t="n"/>
      <c r="B784" s="32" t="n"/>
      <c r="C784" s="31" t="n"/>
      <c r="D784" s="31" t="n"/>
      <c r="E784" s="31" t="n"/>
      <c r="F784" s="31" t="n"/>
      <c r="G784" s="36" t="n"/>
      <c r="H784" s="32" t="n"/>
      <c r="I784" s="32" t="n"/>
      <c r="J784" s="35">
        <f>IF(A784="","",MONTH(A784))</f>
        <v/>
      </c>
      <c r="K784" s="35">
        <f>IF(A784="","",YEAR(A784))</f>
        <v/>
      </c>
    </row>
    <row r="785">
      <c r="A785" s="39" t="n"/>
      <c r="B785" s="32" t="n"/>
      <c r="C785" s="31" t="n"/>
      <c r="D785" s="31" t="n"/>
      <c r="E785" s="31" t="n"/>
      <c r="F785" s="31" t="n"/>
      <c r="G785" s="36" t="n"/>
      <c r="H785" s="32" t="n"/>
      <c r="I785" s="32" t="n"/>
      <c r="J785" s="35">
        <f>IF(A785="","",MONTH(A785))</f>
        <v/>
      </c>
      <c r="K785" s="35">
        <f>IF(A785="","",YEAR(A785))</f>
        <v/>
      </c>
    </row>
    <row r="786">
      <c r="A786" s="39" t="n"/>
      <c r="B786" s="32" t="n"/>
      <c r="C786" s="31" t="n"/>
      <c r="D786" s="31" t="n"/>
      <c r="E786" s="31" t="n"/>
      <c r="F786" s="31" t="n"/>
      <c r="G786" s="36" t="n"/>
      <c r="H786" s="32" t="n"/>
      <c r="I786" s="32" t="n"/>
      <c r="J786" s="35">
        <f>IF(A786="","",MONTH(A786))</f>
        <v/>
      </c>
      <c r="K786" s="35">
        <f>IF(A786="","",YEAR(A786))</f>
        <v/>
      </c>
    </row>
    <row r="787">
      <c r="A787" s="39" t="n"/>
      <c r="B787" s="32" t="n"/>
      <c r="C787" s="31" t="n"/>
      <c r="D787" s="31" t="n"/>
      <c r="E787" s="31" t="n"/>
      <c r="F787" s="31" t="n"/>
      <c r="G787" s="36" t="n"/>
      <c r="H787" s="32" t="n"/>
      <c r="I787" s="32" t="n"/>
      <c r="J787" s="35">
        <f>IF(A787="","",MONTH(A787))</f>
        <v/>
      </c>
      <c r="K787" s="35">
        <f>IF(A787="","",YEAR(A787))</f>
        <v/>
      </c>
    </row>
    <row r="788">
      <c r="A788" s="39" t="n"/>
      <c r="B788" s="32" t="n"/>
      <c r="C788" s="31" t="n"/>
      <c r="D788" s="31" t="n"/>
      <c r="E788" s="31" t="n"/>
      <c r="F788" s="31" t="n"/>
      <c r="G788" s="36" t="n"/>
      <c r="H788" s="32" t="n"/>
      <c r="I788" s="32" t="n"/>
      <c r="J788" s="35">
        <f>IF(A788="","",MONTH(A788))</f>
        <v/>
      </c>
      <c r="K788" s="35">
        <f>IF(A788="","",YEAR(A788))</f>
        <v/>
      </c>
    </row>
    <row r="789">
      <c r="A789" s="39" t="n"/>
      <c r="B789" s="32" t="n"/>
      <c r="C789" s="31" t="n"/>
      <c r="D789" s="31" t="n"/>
      <c r="E789" s="31" t="n"/>
      <c r="F789" s="31" t="n"/>
      <c r="G789" s="36" t="n"/>
      <c r="H789" s="32" t="n"/>
      <c r="I789" s="32" t="n"/>
      <c r="J789" s="35">
        <f>IF(A789="","",MONTH(A789))</f>
        <v/>
      </c>
      <c r="K789" s="35">
        <f>IF(A789="","",YEAR(A789))</f>
        <v/>
      </c>
    </row>
    <row r="790">
      <c r="A790" s="39" t="n"/>
      <c r="B790" s="32" t="n"/>
      <c r="C790" s="31" t="n"/>
      <c r="D790" s="31" t="n"/>
      <c r="E790" s="31" t="n"/>
      <c r="F790" s="31" t="n"/>
      <c r="G790" s="36" t="n"/>
      <c r="H790" s="32" t="n"/>
      <c r="I790" s="32" t="n"/>
      <c r="J790" s="35">
        <f>IF(A790="","",MONTH(A790))</f>
        <v/>
      </c>
      <c r="K790" s="35">
        <f>IF(A790="","",YEAR(A790))</f>
        <v/>
      </c>
    </row>
    <row r="791">
      <c r="A791" s="39" t="n"/>
      <c r="B791" s="32" t="n"/>
      <c r="C791" s="31" t="n"/>
      <c r="D791" s="31" t="n"/>
      <c r="E791" s="31" t="n"/>
      <c r="F791" s="31" t="n"/>
      <c r="G791" s="36" t="n"/>
      <c r="H791" s="32" t="n"/>
      <c r="I791" s="32" t="n"/>
      <c r="J791" s="35">
        <f>IF(A791="","",MONTH(A791))</f>
        <v/>
      </c>
      <c r="K791" s="35">
        <f>IF(A791="","",YEAR(A791))</f>
        <v/>
      </c>
    </row>
    <row r="792">
      <c r="A792" s="39" t="n"/>
      <c r="B792" s="32" t="n"/>
      <c r="C792" s="31" t="n"/>
      <c r="D792" s="31" t="n"/>
      <c r="E792" s="31" t="n"/>
      <c r="F792" s="31" t="n"/>
      <c r="G792" s="36" t="n"/>
      <c r="H792" s="32" t="n"/>
      <c r="I792" s="32" t="n"/>
      <c r="J792" s="35">
        <f>IF(A792="","",MONTH(A792))</f>
        <v/>
      </c>
      <c r="K792" s="35">
        <f>IF(A792="","",YEAR(A792))</f>
        <v/>
      </c>
    </row>
    <row r="793">
      <c r="A793" s="39" t="n"/>
      <c r="B793" s="32" t="n"/>
      <c r="C793" s="31" t="n"/>
      <c r="D793" s="31" t="n"/>
      <c r="E793" s="31" t="n"/>
      <c r="F793" s="31" t="n"/>
      <c r="G793" s="36" t="n"/>
      <c r="H793" s="32" t="n"/>
      <c r="I793" s="32" t="n"/>
      <c r="J793" s="35">
        <f>IF(A793="","",MONTH(A793))</f>
        <v/>
      </c>
      <c r="K793" s="35">
        <f>IF(A793="","",YEAR(A793))</f>
        <v/>
      </c>
    </row>
    <row r="794">
      <c r="A794" s="39" t="n"/>
      <c r="B794" s="32" t="n"/>
      <c r="C794" s="31" t="n"/>
      <c r="D794" s="31" t="n"/>
      <c r="E794" s="31" t="n"/>
      <c r="F794" s="31" t="n"/>
      <c r="G794" s="36" t="n"/>
      <c r="H794" s="32" t="n"/>
      <c r="I794" s="32" t="n"/>
      <c r="J794" s="35">
        <f>IF(A794="","",MONTH(A794))</f>
        <v/>
      </c>
      <c r="K794" s="35">
        <f>IF(A794="","",YEAR(A794))</f>
        <v/>
      </c>
    </row>
    <row r="795">
      <c r="A795" s="39" t="n"/>
      <c r="B795" s="32" t="n"/>
      <c r="C795" s="31" t="n"/>
      <c r="D795" s="31" t="n"/>
      <c r="E795" s="31" t="n"/>
      <c r="F795" s="31" t="n"/>
      <c r="G795" s="36" t="n"/>
      <c r="H795" s="32" t="n"/>
      <c r="I795" s="32" t="n"/>
      <c r="J795" s="35">
        <f>IF(A795="","",MONTH(A795))</f>
        <v/>
      </c>
      <c r="K795" s="35">
        <f>IF(A795="","",YEAR(A795))</f>
        <v/>
      </c>
    </row>
    <row r="796">
      <c r="A796" s="39" t="n"/>
      <c r="B796" s="32" t="n"/>
      <c r="C796" s="31" t="n"/>
      <c r="D796" s="31" t="n"/>
      <c r="E796" s="31" t="n"/>
      <c r="F796" s="31" t="n"/>
      <c r="G796" s="36" t="n"/>
      <c r="H796" s="32" t="n"/>
      <c r="I796" s="32" t="n"/>
      <c r="J796" s="35">
        <f>IF(A796="","",MONTH(A796))</f>
        <v/>
      </c>
      <c r="K796" s="35">
        <f>IF(A796="","",YEAR(A796))</f>
        <v/>
      </c>
    </row>
    <row r="797">
      <c r="A797" s="39" t="n"/>
      <c r="B797" s="32" t="n"/>
      <c r="C797" s="31" t="n"/>
      <c r="D797" s="31" t="n"/>
      <c r="E797" s="31" t="n"/>
      <c r="F797" s="31" t="n"/>
      <c r="G797" s="36" t="n"/>
      <c r="H797" s="32" t="n"/>
      <c r="I797" s="32" t="n"/>
      <c r="J797" s="35">
        <f>IF(A797="","",MONTH(A797))</f>
        <v/>
      </c>
      <c r="K797" s="35">
        <f>IF(A797="","",YEAR(A797))</f>
        <v/>
      </c>
    </row>
    <row r="798">
      <c r="A798" s="39" t="n"/>
      <c r="B798" s="32" t="n"/>
      <c r="C798" s="31" t="n"/>
      <c r="D798" s="31" t="n"/>
      <c r="E798" s="31" t="n"/>
      <c r="F798" s="31" t="n"/>
      <c r="G798" s="36" t="n"/>
      <c r="H798" s="32" t="n"/>
      <c r="I798" s="32" t="n"/>
      <c r="J798" s="35">
        <f>IF(A798="","",MONTH(A798))</f>
        <v/>
      </c>
      <c r="K798" s="35">
        <f>IF(A798="","",YEAR(A798))</f>
        <v/>
      </c>
    </row>
    <row r="799">
      <c r="A799" s="39" t="n"/>
      <c r="B799" s="32" t="n"/>
      <c r="C799" s="31" t="n"/>
      <c r="D799" s="31" t="n"/>
      <c r="E799" s="31" t="n"/>
      <c r="F799" s="31" t="n"/>
      <c r="G799" s="36" t="n"/>
      <c r="H799" s="32" t="n"/>
      <c r="I799" s="32" t="n"/>
      <c r="J799" s="35">
        <f>IF(A799="","",MONTH(A799))</f>
        <v/>
      </c>
      <c r="K799" s="35">
        <f>IF(A799="","",YEAR(A799))</f>
        <v/>
      </c>
    </row>
    <row r="800">
      <c r="A800" s="39" t="n"/>
      <c r="B800" s="32" t="n"/>
      <c r="C800" s="31" t="n"/>
      <c r="D800" s="31" t="n"/>
      <c r="E800" s="31" t="n"/>
      <c r="F800" s="31" t="n"/>
      <c r="G800" s="36" t="n"/>
      <c r="H800" s="32" t="n"/>
      <c r="I800" s="32" t="n"/>
      <c r="J800" s="35">
        <f>IF(A800="","",MONTH(A800))</f>
        <v/>
      </c>
      <c r="K800" s="35">
        <f>IF(A800="","",YEAR(A800))</f>
        <v/>
      </c>
    </row>
    <row r="801">
      <c r="A801" s="39" t="n"/>
      <c r="B801" s="32" t="n"/>
      <c r="C801" s="31" t="n"/>
      <c r="D801" s="31" t="n"/>
      <c r="E801" s="31" t="n"/>
      <c r="F801" s="31" t="n"/>
      <c r="G801" s="36" t="n"/>
      <c r="H801" s="32" t="n"/>
      <c r="I801" s="32" t="n"/>
      <c r="J801" s="35">
        <f>IF(A801="","",MONTH(A801))</f>
        <v/>
      </c>
      <c r="K801" s="35">
        <f>IF(A801="","",YEAR(A801))</f>
        <v/>
      </c>
    </row>
    <row r="802">
      <c r="A802" s="39" t="n"/>
      <c r="B802" s="32" t="n"/>
      <c r="C802" s="31" t="n"/>
      <c r="D802" s="31" t="n"/>
      <c r="E802" s="31" t="n"/>
      <c r="F802" s="31" t="n"/>
      <c r="G802" s="36" t="n"/>
      <c r="H802" s="32" t="n"/>
      <c r="I802" s="32" t="n"/>
      <c r="J802" s="35">
        <f>IF(A802="","",MONTH(A802))</f>
        <v/>
      </c>
      <c r="K802" s="35">
        <f>IF(A802="","",YEAR(A802))</f>
        <v/>
      </c>
    </row>
    <row r="803">
      <c r="A803" s="39" t="n"/>
      <c r="B803" s="32" t="n"/>
      <c r="C803" s="31" t="n"/>
      <c r="D803" s="31" t="n"/>
      <c r="E803" s="31" t="n"/>
      <c r="F803" s="31" t="n"/>
      <c r="G803" s="36" t="n"/>
      <c r="H803" s="32" t="n"/>
      <c r="I803" s="32" t="n"/>
      <c r="J803" s="35">
        <f>IF(A803="","",MONTH(A803))</f>
        <v/>
      </c>
      <c r="K803" s="35">
        <f>IF(A803="","",YEAR(A803))</f>
        <v/>
      </c>
    </row>
    <row r="804">
      <c r="A804" s="39" t="n"/>
      <c r="B804" s="32" t="n"/>
      <c r="C804" s="31" t="n"/>
      <c r="D804" s="31" t="n"/>
      <c r="E804" s="31" t="n"/>
      <c r="F804" s="31" t="n"/>
      <c r="G804" s="36" t="n"/>
      <c r="H804" s="32" t="n"/>
      <c r="I804" s="32" t="n"/>
      <c r="J804" s="35">
        <f>IF(A804="","",MONTH(A804))</f>
        <v/>
      </c>
      <c r="K804" s="35">
        <f>IF(A804="","",YEAR(A804))</f>
        <v/>
      </c>
    </row>
    <row r="805">
      <c r="A805" s="39" t="n"/>
      <c r="B805" s="32" t="n"/>
      <c r="C805" s="31" t="n"/>
      <c r="D805" s="31" t="n"/>
      <c r="E805" s="31" t="n"/>
      <c r="F805" s="31" t="n"/>
      <c r="G805" s="36" t="n"/>
      <c r="H805" s="32" t="n"/>
      <c r="I805" s="32" t="n"/>
      <c r="J805" s="35">
        <f>IF(A805="","",MONTH(A805))</f>
        <v/>
      </c>
      <c r="K805" s="35">
        <f>IF(A805="","",YEAR(A805))</f>
        <v/>
      </c>
    </row>
    <row r="806">
      <c r="A806" s="39" t="n"/>
      <c r="B806" s="32" t="n"/>
      <c r="C806" s="31" t="n"/>
      <c r="D806" s="31" t="n"/>
      <c r="E806" s="31" t="n"/>
      <c r="F806" s="31" t="n"/>
      <c r="G806" s="36" t="n"/>
      <c r="H806" s="32" t="n"/>
      <c r="I806" s="32" t="n"/>
      <c r="J806" s="35">
        <f>IF(A806="","",MONTH(A806))</f>
        <v/>
      </c>
      <c r="K806" s="35">
        <f>IF(A806="","",YEAR(A806))</f>
        <v/>
      </c>
    </row>
    <row r="807">
      <c r="A807" s="39" t="n"/>
      <c r="B807" s="32" t="n"/>
      <c r="C807" s="31" t="n"/>
      <c r="D807" s="31" t="n"/>
      <c r="E807" s="31" t="n"/>
      <c r="F807" s="31" t="n"/>
      <c r="G807" s="36" t="n"/>
      <c r="H807" s="32" t="n"/>
      <c r="I807" s="32" t="n"/>
      <c r="J807" s="35">
        <f>IF(A807="","",MONTH(A807))</f>
        <v/>
      </c>
      <c r="K807" s="35">
        <f>IF(A807="","",YEAR(A807))</f>
        <v/>
      </c>
    </row>
    <row r="808">
      <c r="A808" s="39" t="n"/>
      <c r="B808" s="32" t="n"/>
      <c r="C808" s="31" t="n"/>
      <c r="D808" s="31" t="n"/>
      <c r="E808" s="31" t="n"/>
      <c r="F808" s="31" t="n"/>
      <c r="G808" s="36" t="n"/>
      <c r="H808" s="32" t="n"/>
      <c r="I808" s="32" t="n"/>
      <c r="J808" s="35">
        <f>IF(A808="","",MONTH(A808))</f>
        <v/>
      </c>
      <c r="K808" s="35">
        <f>IF(A808="","",YEAR(A808))</f>
        <v/>
      </c>
    </row>
    <row r="809">
      <c r="A809" s="39" t="n"/>
      <c r="B809" s="32" t="n"/>
      <c r="C809" s="31" t="n"/>
      <c r="D809" s="31" t="n"/>
      <c r="E809" s="31" t="n"/>
      <c r="F809" s="31" t="n"/>
      <c r="G809" s="36" t="n"/>
      <c r="H809" s="32" t="n"/>
      <c r="I809" s="32" t="n"/>
      <c r="J809" s="35">
        <f>IF(A809="","",MONTH(A809))</f>
        <v/>
      </c>
      <c r="K809" s="35">
        <f>IF(A809="","",YEAR(A809))</f>
        <v/>
      </c>
    </row>
    <row r="810">
      <c r="A810" s="39" t="n"/>
      <c r="B810" s="32" t="n"/>
      <c r="C810" s="31" t="n"/>
      <c r="D810" s="31" t="n"/>
      <c r="E810" s="31" t="n"/>
      <c r="F810" s="31" t="n"/>
      <c r="G810" s="36" t="n"/>
      <c r="H810" s="32" t="n"/>
      <c r="I810" s="32" t="n"/>
      <c r="J810" s="35">
        <f>IF(A810="","",MONTH(A810))</f>
        <v/>
      </c>
      <c r="K810" s="35">
        <f>IF(A810="","",YEAR(A810))</f>
        <v/>
      </c>
    </row>
    <row r="811">
      <c r="A811" s="39" t="n"/>
      <c r="B811" s="32" t="n"/>
      <c r="C811" s="31" t="n"/>
      <c r="D811" s="31" t="n"/>
      <c r="E811" s="31" t="n"/>
      <c r="F811" s="31" t="n"/>
      <c r="G811" s="36" t="n"/>
      <c r="H811" s="32" t="n"/>
      <c r="I811" s="32" t="n"/>
      <c r="J811" s="35">
        <f>IF(A811="","",MONTH(A811))</f>
        <v/>
      </c>
      <c r="K811" s="35">
        <f>IF(A811="","",YEAR(A811))</f>
        <v/>
      </c>
    </row>
    <row r="812">
      <c r="A812" s="39" t="n"/>
      <c r="B812" s="32" t="n"/>
      <c r="C812" s="31" t="n"/>
      <c r="D812" s="31" t="n"/>
      <c r="E812" s="31" t="n"/>
      <c r="F812" s="31" t="n"/>
      <c r="G812" s="36" t="n"/>
      <c r="H812" s="32" t="n"/>
      <c r="I812" s="32" t="n"/>
      <c r="J812" s="35">
        <f>IF(A812="","",MONTH(A812))</f>
        <v/>
      </c>
      <c r="K812" s="35">
        <f>IF(A812="","",YEAR(A812))</f>
        <v/>
      </c>
    </row>
    <row r="813">
      <c r="A813" s="39" t="n"/>
      <c r="B813" s="32" t="n"/>
      <c r="C813" s="31" t="n"/>
      <c r="D813" s="31" t="n"/>
      <c r="E813" s="31" t="n"/>
      <c r="F813" s="31" t="n"/>
      <c r="G813" s="36" t="n"/>
      <c r="H813" s="32" t="n"/>
      <c r="I813" s="32" t="n"/>
      <c r="J813" s="35">
        <f>IF(A813="","",MONTH(A813))</f>
        <v/>
      </c>
      <c r="K813" s="35">
        <f>IF(A813="","",YEAR(A813))</f>
        <v/>
      </c>
    </row>
    <row r="814">
      <c r="A814" s="39" t="n"/>
      <c r="B814" s="32" t="n"/>
      <c r="C814" s="31" t="n"/>
      <c r="D814" s="31" t="n"/>
      <c r="E814" s="31" t="n"/>
      <c r="F814" s="31" t="n"/>
      <c r="G814" s="36" t="n"/>
      <c r="H814" s="32" t="n"/>
      <c r="I814" s="32" t="n"/>
      <c r="J814" s="35">
        <f>IF(A814="","",MONTH(A814))</f>
        <v/>
      </c>
      <c r="K814" s="35">
        <f>IF(A814="","",YEAR(A814))</f>
        <v/>
      </c>
    </row>
    <row r="815">
      <c r="A815" s="39" t="n"/>
      <c r="B815" s="32" t="n"/>
      <c r="C815" s="31" t="n"/>
      <c r="D815" s="31" t="n"/>
      <c r="E815" s="31" t="n"/>
      <c r="F815" s="31" t="n"/>
      <c r="G815" s="36" t="n"/>
      <c r="H815" s="32" t="n"/>
      <c r="I815" s="32" t="n"/>
      <c r="J815" s="35">
        <f>IF(A815="","",MONTH(A815))</f>
        <v/>
      </c>
      <c r="K815" s="35">
        <f>IF(A815="","",YEAR(A815))</f>
        <v/>
      </c>
    </row>
    <row r="816">
      <c r="A816" s="39" t="n"/>
      <c r="B816" s="32" t="n"/>
      <c r="C816" s="31" t="n"/>
      <c r="D816" s="31" t="n"/>
      <c r="E816" s="31" t="n"/>
      <c r="F816" s="31" t="n"/>
      <c r="G816" s="36" t="n"/>
      <c r="H816" s="32" t="n"/>
      <c r="I816" s="32" t="n"/>
      <c r="J816" s="35">
        <f>IF(A816="","",MONTH(A816))</f>
        <v/>
      </c>
      <c r="K816" s="35">
        <f>IF(A816="","",YEAR(A816))</f>
        <v/>
      </c>
    </row>
    <row r="817">
      <c r="A817" s="39" t="n"/>
      <c r="B817" s="32" t="n"/>
      <c r="C817" s="31" t="n"/>
      <c r="D817" s="31" t="n"/>
      <c r="E817" s="31" t="n"/>
      <c r="F817" s="31" t="n"/>
      <c r="G817" s="36" t="n"/>
      <c r="H817" s="32" t="n"/>
      <c r="I817" s="32" t="n"/>
      <c r="J817" s="35">
        <f>IF(A817="","",MONTH(A817))</f>
        <v/>
      </c>
      <c r="K817" s="35">
        <f>IF(A817="","",YEAR(A817))</f>
        <v/>
      </c>
    </row>
    <row r="818">
      <c r="A818" s="39" t="n"/>
      <c r="B818" s="32" t="n"/>
      <c r="C818" s="31" t="n"/>
      <c r="D818" s="31" t="n"/>
      <c r="E818" s="31" t="n"/>
      <c r="F818" s="31" t="n"/>
      <c r="G818" s="36" t="n"/>
      <c r="H818" s="32" t="n"/>
      <c r="I818" s="32" t="n"/>
      <c r="J818" s="35">
        <f>IF(A818="","",MONTH(A818))</f>
        <v/>
      </c>
      <c r="K818" s="35">
        <f>IF(A818="","",YEAR(A818))</f>
        <v/>
      </c>
    </row>
    <row r="819">
      <c r="A819" s="39" t="n"/>
      <c r="B819" s="32" t="n"/>
      <c r="C819" s="31" t="n"/>
      <c r="D819" s="31" t="n"/>
      <c r="E819" s="31" t="n"/>
      <c r="F819" s="31" t="n"/>
      <c r="G819" s="36" t="n"/>
      <c r="H819" s="32" t="n"/>
      <c r="I819" s="32" t="n"/>
      <c r="J819" s="35">
        <f>IF(A819="","",MONTH(A819))</f>
        <v/>
      </c>
      <c r="K819" s="35">
        <f>IF(A819="","",YEAR(A819))</f>
        <v/>
      </c>
    </row>
    <row r="820">
      <c r="A820" s="39" t="n"/>
      <c r="B820" s="32" t="n"/>
      <c r="C820" s="31" t="n"/>
      <c r="D820" s="31" t="n"/>
      <c r="E820" s="31" t="n"/>
      <c r="F820" s="31" t="n"/>
      <c r="G820" s="36" t="n"/>
      <c r="H820" s="32" t="n"/>
      <c r="I820" s="32" t="n"/>
      <c r="J820" s="35">
        <f>IF(A820="","",MONTH(A820))</f>
        <v/>
      </c>
      <c r="K820" s="35">
        <f>IF(A820="","",YEAR(A820))</f>
        <v/>
      </c>
    </row>
    <row r="821">
      <c r="A821" s="39" t="n"/>
      <c r="B821" s="32" t="n"/>
      <c r="C821" s="31" t="n"/>
      <c r="D821" s="31" t="n"/>
      <c r="E821" s="31" t="n"/>
      <c r="F821" s="31" t="n"/>
      <c r="G821" s="36" t="n"/>
      <c r="H821" s="32" t="n"/>
      <c r="I821" s="32" t="n"/>
      <c r="J821" s="35">
        <f>IF(A821="","",MONTH(A821))</f>
        <v/>
      </c>
      <c r="K821" s="35">
        <f>IF(A821="","",YEAR(A821))</f>
        <v/>
      </c>
    </row>
    <row r="822">
      <c r="A822" s="39" t="n"/>
      <c r="B822" s="32" t="n"/>
      <c r="C822" s="31" t="n"/>
      <c r="D822" s="31" t="n"/>
      <c r="E822" s="31" t="n"/>
      <c r="F822" s="31" t="n"/>
      <c r="G822" s="36" t="n"/>
      <c r="H822" s="32" t="n"/>
      <c r="I822" s="32" t="n"/>
      <c r="J822" s="35">
        <f>IF(A822="","",MONTH(A822))</f>
        <v/>
      </c>
      <c r="K822" s="35">
        <f>IF(A822="","",YEAR(A822))</f>
        <v/>
      </c>
    </row>
    <row r="823">
      <c r="A823" s="39" t="n"/>
      <c r="B823" s="32" t="n"/>
      <c r="C823" s="31" t="n"/>
      <c r="D823" s="31" t="n"/>
      <c r="E823" s="31" t="n"/>
      <c r="F823" s="31" t="n"/>
      <c r="G823" s="36" t="n"/>
      <c r="H823" s="32" t="n"/>
      <c r="I823" s="32" t="n"/>
      <c r="J823" s="35">
        <f>IF(A823="","",MONTH(A823))</f>
        <v/>
      </c>
      <c r="K823" s="35">
        <f>IF(A823="","",YEAR(A823))</f>
        <v/>
      </c>
    </row>
    <row r="824">
      <c r="A824" s="39" t="n"/>
      <c r="B824" s="32" t="n"/>
      <c r="C824" s="31" t="n"/>
      <c r="D824" s="31" t="n"/>
      <c r="E824" s="31" t="n"/>
      <c r="F824" s="31" t="n"/>
      <c r="G824" s="36" t="n"/>
      <c r="H824" s="32" t="n"/>
      <c r="I824" s="32" t="n"/>
      <c r="J824" s="35">
        <f>IF(A824="","",MONTH(A824))</f>
        <v/>
      </c>
      <c r="K824" s="35">
        <f>IF(A824="","",YEAR(A824))</f>
        <v/>
      </c>
    </row>
    <row r="825">
      <c r="A825" s="39" t="n"/>
      <c r="B825" s="32" t="n"/>
      <c r="C825" s="31" t="n"/>
      <c r="D825" s="31" t="n"/>
      <c r="E825" s="31" t="n"/>
      <c r="F825" s="31" t="n"/>
      <c r="G825" s="36" t="n"/>
      <c r="H825" s="32" t="n"/>
      <c r="I825" s="32" t="n"/>
      <c r="J825" s="35">
        <f>IF(A825="","",MONTH(A825))</f>
        <v/>
      </c>
      <c r="K825" s="35">
        <f>IF(A825="","",YEAR(A825))</f>
        <v/>
      </c>
    </row>
    <row r="826">
      <c r="A826" s="39" t="n"/>
      <c r="B826" s="32" t="n"/>
      <c r="C826" s="31" t="n"/>
      <c r="D826" s="31" t="n"/>
      <c r="E826" s="31" t="n"/>
      <c r="F826" s="31" t="n"/>
      <c r="G826" s="36" t="n"/>
      <c r="H826" s="32" t="n"/>
      <c r="I826" s="32" t="n"/>
      <c r="J826" s="35">
        <f>IF(A826="","",MONTH(A826))</f>
        <v/>
      </c>
      <c r="K826" s="35">
        <f>IF(A826="","",YEAR(A826))</f>
        <v/>
      </c>
    </row>
    <row r="827">
      <c r="A827" s="39" t="n"/>
      <c r="B827" s="32" t="n"/>
      <c r="C827" s="31" t="n"/>
      <c r="D827" s="31" t="n"/>
      <c r="E827" s="31" t="n"/>
      <c r="F827" s="31" t="n"/>
      <c r="G827" s="36" t="n"/>
      <c r="H827" s="32" t="n"/>
      <c r="I827" s="32" t="n"/>
      <c r="J827" s="35">
        <f>IF(A827="","",MONTH(A827))</f>
        <v/>
      </c>
      <c r="K827" s="35">
        <f>IF(A827="","",YEAR(A827))</f>
        <v/>
      </c>
    </row>
    <row r="828">
      <c r="A828" s="39" t="n"/>
      <c r="B828" s="32" t="n"/>
      <c r="C828" s="31" t="n"/>
      <c r="D828" s="31" t="n"/>
      <c r="E828" s="31" t="n"/>
      <c r="F828" s="31" t="n"/>
      <c r="G828" s="36" t="n"/>
      <c r="H828" s="32" t="n"/>
      <c r="I828" s="32" t="n"/>
      <c r="J828" s="35">
        <f>IF(A828="","",MONTH(A828))</f>
        <v/>
      </c>
      <c r="K828" s="35">
        <f>IF(A828="","",YEAR(A828))</f>
        <v/>
      </c>
    </row>
    <row r="829">
      <c r="A829" s="39" t="n"/>
      <c r="B829" s="32" t="n"/>
      <c r="C829" s="31" t="n"/>
      <c r="D829" s="31" t="n"/>
      <c r="E829" s="31" t="n"/>
      <c r="F829" s="31" t="n"/>
      <c r="G829" s="36" t="n"/>
      <c r="H829" s="32" t="n"/>
      <c r="I829" s="32" t="n"/>
      <c r="J829" s="35">
        <f>IF(A829="","",MONTH(A829))</f>
        <v/>
      </c>
      <c r="K829" s="35">
        <f>IF(A829="","",YEAR(A829))</f>
        <v/>
      </c>
    </row>
    <row r="830">
      <c r="A830" s="39" t="n"/>
      <c r="B830" s="32" t="n"/>
      <c r="C830" s="31" t="n"/>
      <c r="D830" s="31" t="n"/>
      <c r="E830" s="31" t="n"/>
      <c r="F830" s="31" t="n"/>
      <c r="G830" s="36" t="n"/>
      <c r="H830" s="32" t="n"/>
      <c r="I830" s="32" t="n"/>
      <c r="J830" s="35">
        <f>IF(A830="","",MONTH(A830))</f>
        <v/>
      </c>
      <c r="K830" s="35">
        <f>IF(A830="","",YEAR(A830))</f>
        <v/>
      </c>
    </row>
    <row r="831">
      <c r="A831" s="39" t="n"/>
      <c r="B831" s="32" t="n"/>
      <c r="C831" s="31" t="n"/>
      <c r="D831" s="31" t="n"/>
      <c r="E831" s="31" t="n"/>
      <c r="F831" s="31" t="n"/>
      <c r="G831" s="36" t="n"/>
      <c r="H831" s="32" t="n"/>
      <c r="I831" s="32" t="n"/>
      <c r="J831" s="35">
        <f>IF(A831="","",MONTH(A831))</f>
        <v/>
      </c>
      <c r="K831" s="35">
        <f>IF(A831="","",YEAR(A831))</f>
        <v/>
      </c>
    </row>
    <row r="832">
      <c r="A832" s="39" t="n"/>
      <c r="B832" s="32" t="n"/>
      <c r="C832" s="31" t="n"/>
      <c r="D832" s="31" t="n"/>
      <c r="E832" s="31" t="n"/>
      <c r="F832" s="31" t="n"/>
      <c r="G832" s="36" t="n"/>
      <c r="H832" s="32" t="n"/>
      <c r="I832" s="32" t="n"/>
      <c r="J832" s="35">
        <f>IF(A832="","",MONTH(A832))</f>
        <v/>
      </c>
      <c r="K832" s="35">
        <f>IF(A832="","",YEAR(A832))</f>
        <v/>
      </c>
    </row>
    <row r="833">
      <c r="A833" s="39" t="n"/>
      <c r="B833" s="32" t="n"/>
      <c r="C833" s="31" t="n"/>
      <c r="D833" s="31" t="n"/>
      <c r="E833" s="31" t="n"/>
      <c r="F833" s="31" t="n"/>
      <c r="G833" s="36" t="n"/>
      <c r="H833" s="32" t="n"/>
      <c r="I833" s="32" t="n"/>
      <c r="J833" s="35">
        <f>IF(A833="","",MONTH(A833))</f>
        <v/>
      </c>
      <c r="K833" s="35">
        <f>IF(A833="","",YEAR(A833))</f>
        <v/>
      </c>
    </row>
    <row r="834">
      <c r="A834" s="39" t="n"/>
      <c r="B834" s="32" t="n"/>
      <c r="C834" s="31" t="n"/>
      <c r="D834" s="31" t="n"/>
      <c r="E834" s="31" t="n"/>
      <c r="F834" s="31" t="n"/>
      <c r="G834" s="36" t="n"/>
      <c r="H834" s="32" t="n"/>
      <c r="I834" s="32" t="n"/>
      <c r="J834" s="35">
        <f>IF(A834="","",MONTH(A834))</f>
        <v/>
      </c>
      <c r="K834" s="35">
        <f>IF(A834="","",YEAR(A834))</f>
        <v/>
      </c>
    </row>
    <row r="835">
      <c r="A835" s="39" t="n"/>
      <c r="B835" s="32" t="n"/>
      <c r="C835" s="31" t="n"/>
      <c r="D835" s="31" t="n"/>
      <c r="E835" s="31" t="n"/>
      <c r="F835" s="31" t="n"/>
      <c r="G835" s="36" t="n"/>
      <c r="H835" s="32" t="n"/>
      <c r="I835" s="32" t="n"/>
      <c r="J835" s="35">
        <f>IF(A835="","",MONTH(A835))</f>
        <v/>
      </c>
      <c r="K835" s="35">
        <f>IF(A835="","",YEAR(A835))</f>
        <v/>
      </c>
    </row>
    <row r="836">
      <c r="A836" s="39" t="n"/>
      <c r="B836" s="32" t="n"/>
      <c r="C836" s="31" t="n"/>
      <c r="D836" s="31" t="n"/>
      <c r="E836" s="31" t="n"/>
      <c r="F836" s="31" t="n"/>
      <c r="G836" s="36" t="n"/>
      <c r="H836" s="32" t="n"/>
      <c r="I836" s="32" t="n"/>
      <c r="J836" s="35">
        <f>IF(A836="","",MONTH(A836))</f>
        <v/>
      </c>
      <c r="K836" s="35">
        <f>IF(A836="","",YEAR(A836))</f>
        <v/>
      </c>
    </row>
    <row r="837">
      <c r="A837" s="39" t="n"/>
      <c r="B837" s="32" t="n"/>
      <c r="C837" s="31" t="n"/>
      <c r="D837" s="31" t="n"/>
      <c r="E837" s="31" t="n"/>
      <c r="F837" s="31" t="n"/>
      <c r="G837" s="36" t="n"/>
      <c r="H837" s="32" t="n"/>
      <c r="I837" s="32" t="n"/>
      <c r="J837" s="35">
        <f>IF(A837="","",MONTH(A837))</f>
        <v/>
      </c>
      <c r="K837" s="35">
        <f>IF(A837="","",YEAR(A837))</f>
        <v/>
      </c>
    </row>
    <row r="838">
      <c r="A838" s="39" t="n"/>
      <c r="B838" s="32" t="n"/>
      <c r="C838" s="31" t="n"/>
      <c r="D838" s="31" t="n"/>
      <c r="E838" s="31" t="n"/>
      <c r="F838" s="31" t="n"/>
      <c r="G838" s="36" t="n"/>
      <c r="H838" s="32" t="n"/>
      <c r="I838" s="32" t="n"/>
      <c r="J838" s="35">
        <f>IF(A838="","",MONTH(A838))</f>
        <v/>
      </c>
      <c r="K838" s="35">
        <f>IF(A838="","",YEAR(A838))</f>
        <v/>
      </c>
    </row>
    <row r="839">
      <c r="A839" s="39" t="n"/>
      <c r="B839" s="32" t="n"/>
      <c r="C839" s="31" t="n"/>
      <c r="D839" s="31" t="n"/>
      <c r="E839" s="31" t="n"/>
      <c r="F839" s="31" t="n"/>
      <c r="G839" s="36" t="n"/>
      <c r="H839" s="32" t="n"/>
      <c r="I839" s="32" t="n"/>
      <c r="J839" s="35">
        <f>IF(A839="","",MONTH(A839))</f>
        <v/>
      </c>
      <c r="K839" s="35">
        <f>IF(A839="","",YEAR(A839))</f>
        <v/>
      </c>
    </row>
    <row r="840">
      <c r="A840" s="39" t="n"/>
      <c r="B840" s="32" t="n"/>
      <c r="C840" s="31" t="n"/>
      <c r="D840" s="31" t="n"/>
      <c r="E840" s="31" t="n"/>
      <c r="F840" s="31" t="n"/>
      <c r="G840" s="36" t="n"/>
      <c r="H840" s="32" t="n"/>
      <c r="I840" s="32" t="n"/>
      <c r="J840" s="35">
        <f>IF(A840="","",MONTH(A840))</f>
        <v/>
      </c>
      <c r="K840" s="35">
        <f>IF(A840="","",YEAR(A840))</f>
        <v/>
      </c>
    </row>
    <row r="841">
      <c r="A841" s="39" t="n"/>
      <c r="B841" s="32" t="n"/>
      <c r="C841" s="31" t="n"/>
      <c r="D841" s="31" t="n"/>
      <c r="E841" s="31" t="n"/>
      <c r="F841" s="31" t="n"/>
      <c r="G841" s="36" t="n"/>
      <c r="H841" s="32" t="n"/>
      <c r="I841" s="32" t="n"/>
      <c r="J841" s="35">
        <f>IF(A841="","",MONTH(A841))</f>
        <v/>
      </c>
      <c r="K841" s="35">
        <f>IF(A841="","",YEAR(A841))</f>
        <v/>
      </c>
    </row>
    <row r="842">
      <c r="A842" s="39" t="n"/>
      <c r="B842" s="32" t="n"/>
      <c r="C842" s="31" t="n"/>
      <c r="D842" s="31" t="n"/>
      <c r="E842" s="31" t="n"/>
      <c r="F842" s="31" t="n"/>
      <c r="G842" s="36" t="n"/>
      <c r="H842" s="32" t="n"/>
      <c r="I842" s="32" t="n"/>
      <c r="J842" s="35">
        <f>IF(A842="","",MONTH(A842))</f>
        <v/>
      </c>
      <c r="K842" s="35">
        <f>IF(A842="","",YEAR(A842))</f>
        <v/>
      </c>
    </row>
    <row r="843">
      <c r="A843" s="39" t="n"/>
      <c r="B843" s="32" t="n"/>
      <c r="C843" s="31" t="n"/>
      <c r="D843" s="31" t="n"/>
      <c r="E843" s="31" t="n"/>
      <c r="F843" s="31" t="n"/>
      <c r="G843" s="36" t="n"/>
      <c r="H843" s="32" t="n"/>
      <c r="I843" s="32" t="n"/>
      <c r="J843" s="35">
        <f>IF(A843="","",MONTH(A843))</f>
        <v/>
      </c>
      <c r="K843" s="35">
        <f>IF(A843="","",YEAR(A843))</f>
        <v/>
      </c>
    </row>
    <row r="844">
      <c r="A844" s="39" t="n"/>
      <c r="B844" s="32" t="n"/>
      <c r="C844" s="31" t="n"/>
      <c r="D844" s="31" t="n"/>
      <c r="E844" s="31" t="n"/>
      <c r="F844" s="31" t="n"/>
      <c r="G844" s="36" t="n"/>
      <c r="H844" s="32" t="n"/>
      <c r="I844" s="32" t="n"/>
      <c r="J844" s="35">
        <f>IF(A844="","",MONTH(A844))</f>
        <v/>
      </c>
      <c r="K844" s="35">
        <f>IF(A844="","",YEAR(A844))</f>
        <v/>
      </c>
    </row>
    <row r="845">
      <c r="A845" s="39" t="n"/>
      <c r="B845" s="32" t="n"/>
      <c r="C845" s="31" t="n"/>
      <c r="D845" s="31" t="n"/>
      <c r="E845" s="31" t="n"/>
      <c r="F845" s="31" t="n"/>
      <c r="G845" s="36" t="n"/>
      <c r="H845" s="32" t="n"/>
      <c r="I845" s="32" t="n"/>
      <c r="J845" s="35">
        <f>IF(A845="","",MONTH(A845))</f>
        <v/>
      </c>
      <c r="K845" s="35">
        <f>IF(A845="","",YEAR(A845))</f>
        <v/>
      </c>
    </row>
    <row r="846">
      <c r="A846" s="39" t="n"/>
      <c r="B846" s="32" t="n"/>
      <c r="C846" s="31" t="n"/>
      <c r="D846" s="31" t="n"/>
      <c r="E846" s="31" t="n"/>
      <c r="F846" s="31" t="n"/>
      <c r="G846" s="36" t="n"/>
      <c r="H846" s="32" t="n"/>
      <c r="I846" s="32" t="n"/>
      <c r="J846" s="35">
        <f>IF(A846="","",MONTH(A846))</f>
        <v/>
      </c>
      <c r="K846" s="35">
        <f>IF(A846="","",YEAR(A846))</f>
        <v/>
      </c>
    </row>
    <row r="847">
      <c r="A847" s="39" t="n"/>
      <c r="B847" s="32" t="n"/>
      <c r="C847" s="31" t="n"/>
      <c r="D847" s="31" t="n"/>
      <c r="E847" s="31" t="n"/>
      <c r="F847" s="31" t="n"/>
      <c r="G847" s="36" t="n"/>
      <c r="H847" s="32" t="n"/>
      <c r="I847" s="32" t="n"/>
      <c r="J847" s="35">
        <f>IF(A847="","",MONTH(A847))</f>
        <v/>
      </c>
      <c r="K847" s="35">
        <f>IF(A847="","",YEAR(A847))</f>
        <v/>
      </c>
    </row>
    <row r="848">
      <c r="A848" s="39" t="n"/>
      <c r="B848" s="32" t="n"/>
      <c r="C848" s="31" t="n"/>
      <c r="D848" s="31" t="n"/>
      <c r="E848" s="31" t="n"/>
      <c r="F848" s="31" t="n"/>
      <c r="G848" s="36" t="n"/>
      <c r="H848" s="32" t="n"/>
      <c r="I848" s="32" t="n"/>
      <c r="J848" s="35">
        <f>IF(A848="","",MONTH(A848))</f>
        <v/>
      </c>
      <c r="K848" s="35">
        <f>IF(A848="","",YEAR(A848))</f>
        <v/>
      </c>
    </row>
    <row r="849">
      <c r="A849" s="39" t="n"/>
      <c r="B849" s="32" t="n"/>
      <c r="C849" s="31" t="n"/>
      <c r="D849" s="31" t="n"/>
      <c r="E849" s="31" t="n"/>
      <c r="F849" s="31" t="n"/>
      <c r="G849" s="36" t="n"/>
      <c r="H849" s="32" t="n"/>
      <c r="I849" s="32" t="n"/>
      <c r="J849" s="35">
        <f>IF(A849="","",MONTH(A849))</f>
        <v/>
      </c>
      <c r="K849" s="35">
        <f>IF(A849="","",YEAR(A849))</f>
        <v/>
      </c>
    </row>
    <row r="850">
      <c r="A850" s="39" t="n"/>
      <c r="B850" s="32" t="n"/>
      <c r="C850" s="31" t="n"/>
      <c r="D850" s="31" t="n"/>
      <c r="E850" s="31" t="n"/>
      <c r="F850" s="31" t="n"/>
      <c r="G850" s="36" t="n"/>
      <c r="H850" s="32" t="n"/>
      <c r="I850" s="32" t="n"/>
      <c r="J850" s="35">
        <f>IF(A850="","",MONTH(A850))</f>
        <v/>
      </c>
      <c r="K850" s="35">
        <f>IF(A850="","",YEAR(A850))</f>
        <v/>
      </c>
    </row>
    <row r="851">
      <c r="A851" s="39" t="n"/>
      <c r="B851" s="32" t="n"/>
      <c r="C851" s="31" t="n"/>
      <c r="D851" s="31" t="n"/>
      <c r="E851" s="31" t="n"/>
      <c r="F851" s="31" t="n"/>
      <c r="G851" s="36" t="n"/>
      <c r="H851" s="32" t="n"/>
      <c r="I851" s="32" t="n"/>
      <c r="J851" s="35">
        <f>IF(A851="","",MONTH(A851))</f>
        <v/>
      </c>
      <c r="K851" s="35">
        <f>IF(A851="","",YEAR(A851))</f>
        <v/>
      </c>
    </row>
    <row r="852">
      <c r="A852" s="39" t="n"/>
      <c r="B852" s="32" t="n"/>
      <c r="C852" s="31" t="n"/>
      <c r="D852" s="31" t="n"/>
      <c r="E852" s="31" t="n"/>
      <c r="F852" s="31" t="n"/>
      <c r="G852" s="36" t="n"/>
      <c r="H852" s="32" t="n"/>
      <c r="I852" s="32" t="n"/>
      <c r="J852" s="35">
        <f>IF(A852="","",MONTH(A852))</f>
        <v/>
      </c>
      <c r="K852" s="35">
        <f>IF(A852="","",YEAR(A852))</f>
        <v/>
      </c>
    </row>
    <row r="853">
      <c r="A853" s="39" t="n"/>
      <c r="B853" s="32" t="n"/>
      <c r="C853" s="31" t="n"/>
      <c r="D853" s="31" t="n"/>
      <c r="E853" s="31" t="n"/>
      <c r="F853" s="31" t="n"/>
      <c r="G853" s="36" t="n"/>
      <c r="H853" s="32" t="n"/>
      <c r="I853" s="32" t="n"/>
      <c r="J853" s="35">
        <f>IF(A853="","",MONTH(A853))</f>
        <v/>
      </c>
      <c r="K853" s="35">
        <f>IF(A853="","",YEAR(A853))</f>
        <v/>
      </c>
    </row>
    <row r="854">
      <c r="A854" s="39" t="n"/>
      <c r="B854" s="32" t="n"/>
      <c r="C854" s="31" t="n"/>
      <c r="D854" s="31" t="n"/>
      <c r="E854" s="31" t="n"/>
      <c r="F854" s="31" t="n"/>
      <c r="G854" s="36" t="n"/>
      <c r="H854" s="32" t="n"/>
      <c r="I854" s="32" t="n"/>
      <c r="J854" s="35">
        <f>IF(A854="","",MONTH(A854))</f>
        <v/>
      </c>
      <c r="K854" s="35">
        <f>IF(A854="","",YEAR(A854))</f>
        <v/>
      </c>
    </row>
    <row r="855">
      <c r="A855" s="39" t="n"/>
      <c r="B855" s="32" t="n"/>
      <c r="C855" s="31" t="n"/>
      <c r="D855" s="31" t="n"/>
      <c r="E855" s="31" t="n"/>
      <c r="F855" s="31" t="n"/>
      <c r="G855" s="36" t="n"/>
      <c r="H855" s="32" t="n"/>
      <c r="I855" s="32" t="n"/>
      <c r="J855" s="35">
        <f>IF(A855="","",MONTH(A855))</f>
        <v/>
      </c>
      <c r="K855" s="35">
        <f>IF(A855="","",YEAR(A855))</f>
        <v/>
      </c>
    </row>
    <row r="856">
      <c r="A856" s="39" t="n"/>
      <c r="B856" s="32" t="n"/>
      <c r="C856" s="31" t="n"/>
      <c r="D856" s="31" t="n"/>
      <c r="E856" s="31" t="n"/>
      <c r="F856" s="31" t="n"/>
      <c r="G856" s="36" t="n"/>
      <c r="H856" s="32" t="n"/>
      <c r="I856" s="32" t="n"/>
      <c r="J856" s="35">
        <f>IF(A856="","",MONTH(A856))</f>
        <v/>
      </c>
      <c r="K856" s="35">
        <f>IF(A856="","",YEAR(A856))</f>
        <v/>
      </c>
    </row>
    <row r="857">
      <c r="A857" s="39" t="n"/>
      <c r="B857" s="32" t="n"/>
      <c r="C857" s="31" t="n"/>
      <c r="D857" s="31" t="n"/>
      <c r="E857" s="31" t="n"/>
      <c r="F857" s="31" t="n"/>
      <c r="G857" s="36" t="n"/>
      <c r="H857" s="32" t="n"/>
      <c r="I857" s="32" t="n"/>
      <c r="J857" s="35">
        <f>IF(A857="","",MONTH(A857))</f>
        <v/>
      </c>
      <c r="K857" s="35">
        <f>IF(A857="","",YEAR(A857))</f>
        <v/>
      </c>
    </row>
    <row r="858">
      <c r="A858" s="39" t="n"/>
      <c r="B858" s="32" t="n"/>
      <c r="C858" s="31" t="n"/>
      <c r="D858" s="31" t="n"/>
      <c r="E858" s="31" t="n"/>
      <c r="F858" s="31" t="n"/>
      <c r="G858" s="36" t="n"/>
      <c r="H858" s="32" t="n"/>
      <c r="I858" s="32" t="n"/>
      <c r="J858" s="35">
        <f>IF(A858="","",MONTH(A858))</f>
        <v/>
      </c>
      <c r="K858" s="35">
        <f>IF(A858="","",YEAR(A858))</f>
        <v/>
      </c>
    </row>
    <row r="859">
      <c r="A859" s="39" t="n"/>
      <c r="B859" s="32" t="n"/>
      <c r="C859" s="31" t="n"/>
      <c r="D859" s="31" t="n"/>
      <c r="E859" s="31" t="n"/>
      <c r="F859" s="31" t="n"/>
      <c r="G859" s="36" t="n"/>
      <c r="H859" s="32" t="n"/>
      <c r="I859" s="32" t="n"/>
      <c r="J859" s="35">
        <f>IF(A859="","",MONTH(A859))</f>
        <v/>
      </c>
      <c r="K859" s="35">
        <f>IF(A859="","",YEAR(A859))</f>
        <v/>
      </c>
    </row>
    <row r="860">
      <c r="A860" s="39" t="n"/>
      <c r="B860" s="32" t="n"/>
      <c r="C860" s="31" t="n"/>
      <c r="D860" s="31" t="n"/>
      <c r="E860" s="31" t="n"/>
      <c r="F860" s="31" t="n"/>
      <c r="G860" s="36" t="n"/>
      <c r="H860" s="32" t="n"/>
      <c r="I860" s="32" t="n"/>
      <c r="J860" s="35">
        <f>IF(A860="","",MONTH(A860))</f>
        <v/>
      </c>
      <c r="K860" s="35">
        <f>IF(A860="","",YEAR(A860))</f>
        <v/>
      </c>
    </row>
    <row r="861">
      <c r="A861" s="39" t="n"/>
      <c r="B861" s="32" t="n"/>
      <c r="C861" s="31" t="n"/>
      <c r="D861" s="31" t="n"/>
      <c r="E861" s="31" t="n"/>
      <c r="F861" s="31" t="n"/>
      <c r="G861" s="36" t="n"/>
      <c r="H861" s="32" t="n"/>
      <c r="I861" s="32" t="n"/>
      <c r="J861" s="35">
        <f>IF(A861="","",MONTH(A861))</f>
        <v/>
      </c>
      <c r="K861" s="35">
        <f>IF(A861="","",YEAR(A861))</f>
        <v/>
      </c>
    </row>
    <row r="862">
      <c r="A862" s="39" t="n"/>
      <c r="B862" s="32" t="n"/>
      <c r="C862" s="31" t="n"/>
      <c r="D862" s="31" t="n"/>
      <c r="E862" s="31" t="n"/>
      <c r="F862" s="31" t="n"/>
      <c r="G862" s="36" t="n"/>
      <c r="H862" s="32" t="n"/>
      <c r="I862" s="32" t="n"/>
      <c r="J862" s="35">
        <f>IF(A862="","",MONTH(A862))</f>
        <v/>
      </c>
      <c r="K862" s="35">
        <f>IF(A862="","",YEAR(A862))</f>
        <v/>
      </c>
    </row>
    <row r="863">
      <c r="A863" s="39" t="n"/>
      <c r="B863" s="32" t="n"/>
      <c r="C863" s="31" t="n"/>
      <c r="D863" s="31" t="n"/>
      <c r="E863" s="31" t="n"/>
      <c r="F863" s="31" t="n"/>
      <c r="G863" s="36" t="n"/>
      <c r="H863" s="32" t="n"/>
      <c r="I863" s="32" t="n"/>
      <c r="J863" s="35">
        <f>IF(A863="","",MONTH(A863))</f>
        <v/>
      </c>
      <c r="K863" s="35">
        <f>IF(A863="","",YEAR(A863))</f>
        <v/>
      </c>
    </row>
    <row r="864">
      <c r="A864" s="39" t="n"/>
      <c r="B864" s="32" t="n"/>
      <c r="C864" s="31" t="n"/>
      <c r="D864" s="31" t="n"/>
      <c r="E864" s="31" t="n"/>
      <c r="F864" s="31" t="n"/>
      <c r="G864" s="36" t="n"/>
      <c r="H864" s="32" t="n"/>
      <c r="I864" s="32" t="n"/>
      <c r="J864" s="35">
        <f>IF(A864="","",MONTH(A864))</f>
        <v/>
      </c>
      <c r="K864" s="35">
        <f>IF(A864="","",YEAR(A864))</f>
        <v/>
      </c>
    </row>
    <row r="865">
      <c r="A865" s="39" t="n"/>
      <c r="B865" s="32" t="n"/>
      <c r="C865" s="31" t="n"/>
      <c r="D865" s="31" t="n"/>
      <c r="E865" s="31" t="n"/>
      <c r="F865" s="31" t="n"/>
      <c r="G865" s="36" t="n"/>
      <c r="H865" s="32" t="n"/>
      <c r="I865" s="32" t="n"/>
      <c r="J865" s="35">
        <f>IF(A865="","",MONTH(A865))</f>
        <v/>
      </c>
      <c r="K865" s="35">
        <f>IF(A865="","",YEAR(A865))</f>
        <v/>
      </c>
    </row>
    <row r="866">
      <c r="A866" s="39" t="n"/>
      <c r="B866" s="32" t="n"/>
      <c r="C866" s="31" t="n"/>
      <c r="D866" s="31" t="n"/>
      <c r="E866" s="31" t="n"/>
      <c r="F866" s="31" t="n"/>
      <c r="G866" s="36" t="n"/>
      <c r="H866" s="32" t="n"/>
      <c r="I866" s="32" t="n"/>
      <c r="J866" s="35">
        <f>IF(A866="","",MONTH(A866))</f>
        <v/>
      </c>
      <c r="K866" s="35">
        <f>IF(A866="","",YEAR(A866))</f>
        <v/>
      </c>
    </row>
    <row r="867">
      <c r="A867" s="39" t="n"/>
      <c r="B867" s="32" t="n"/>
      <c r="C867" s="31" t="n"/>
      <c r="D867" s="31" t="n"/>
      <c r="E867" s="31" t="n"/>
      <c r="F867" s="31" t="n"/>
      <c r="G867" s="36" t="n"/>
      <c r="H867" s="32" t="n"/>
      <c r="I867" s="32" t="n"/>
      <c r="J867" s="35">
        <f>IF(A867="","",MONTH(A867))</f>
        <v/>
      </c>
      <c r="K867" s="35">
        <f>IF(A867="","",YEAR(A867))</f>
        <v/>
      </c>
    </row>
    <row r="868">
      <c r="A868" s="39" t="n"/>
      <c r="B868" s="32" t="n"/>
      <c r="C868" s="31" t="n"/>
      <c r="D868" s="31" t="n"/>
      <c r="E868" s="31" t="n"/>
      <c r="F868" s="31" t="n"/>
      <c r="G868" s="36" t="n"/>
      <c r="H868" s="32" t="n"/>
      <c r="I868" s="32" t="n"/>
      <c r="J868" s="35">
        <f>IF(A868="","",MONTH(A868))</f>
        <v/>
      </c>
      <c r="K868" s="35">
        <f>IF(A868="","",YEAR(A868))</f>
        <v/>
      </c>
    </row>
    <row r="869">
      <c r="A869" s="39" t="n"/>
      <c r="B869" s="32" t="n"/>
      <c r="C869" s="31" t="n"/>
      <c r="D869" s="31" t="n"/>
      <c r="E869" s="31" t="n"/>
      <c r="F869" s="31" t="n"/>
      <c r="G869" s="36" t="n"/>
      <c r="H869" s="32" t="n"/>
      <c r="I869" s="32" t="n"/>
      <c r="J869" s="35">
        <f>IF(A869="","",MONTH(A869))</f>
        <v/>
      </c>
      <c r="K869" s="35">
        <f>IF(A869="","",YEAR(A869))</f>
        <v/>
      </c>
    </row>
    <row r="870">
      <c r="A870" s="39" t="n"/>
      <c r="B870" s="32" t="n"/>
      <c r="C870" s="31" t="n"/>
      <c r="D870" s="31" t="n"/>
      <c r="E870" s="31" t="n"/>
      <c r="F870" s="31" t="n"/>
      <c r="G870" s="36" t="n"/>
      <c r="H870" s="32" t="n"/>
      <c r="I870" s="32" t="n"/>
      <c r="J870" s="35">
        <f>IF(A870="","",MONTH(A870))</f>
        <v/>
      </c>
      <c r="K870" s="35">
        <f>IF(A870="","",YEAR(A870))</f>
        <v/>
      </c>
    </row>
    <row r="871">
      <c r="A871" s="39" t="n"/>
      <c r="B871" s="32" t="n"/>
      <c r="C871" s="31" t="n"/>
      <c r="D871" s="31" t="n"/>
      <c r="E871" s="31" t="n"/>
      <c r="F871" s="31" t="n"/>
      <c r="G871" s="36" t="n"/>
      <c r="H871" s="32" t="n"/>
      <c r="I871" s="32" t="n"/>
      <c r="J871" s="35">
        <f>IF(A871="","",MONTH(A871))</f>
        <v/>
      </c>
      <c r="K871" s="35">
        <f>IF(A871="","",YEAR(A871))</f>
        <v/>
      </c>
    </row>
    <row r="872">
      <c r="A872" s="39" t="n"/>
      <c r="B872" s="32" t="n"/>
      <c r="C872" s="31" t="n"/>
      <c r="D872" s="31" t="n"/>
      <c r="E872" s="31" t="n"/>
      <c r="F872" s="31" t="n"/>
      <c r="G872" s="36" t="n"/>
      <c r="H872" s="32" t="n"/>
      <c r="I872" s="32" t="n"/>
      <c r="J872" s="35">
        <f>IF(A872="","",MONTH(A872))</f>
        <v/>
      </c>
      <c r="K872" s="35">
        <f>IF(A872="","",YEAR(A872))</f>
        <v/>
      </c>
    </row>
    <row r="873">
      <c r="A873" s="39" t="n"/>
      <c r="B873" s="32" t="n"/>
      <c r="C873" s="31" t="n"/>
      <c r="D873" s="31" t="n"/>
      <c r="E873" s="31" t="n"/>
      <c r="F873" s="31" t="n"/>
      <c r="G873" s="36" t="n"/>
      <c r="H873" s="32" t="n"/>
      <c r="I873" s="32" t="n"/>
      <c r="J873" s="35">
        <f>IF(A873="","",MONTH(A873))</f>
        <v/>
      </c>
      <c r="K873" s="35">
        <f>IF(A873="","",YEAR(A873))</f>
        <v/>
      </c>
    </row>
    <row r="874">
      <c r="A874" s="39" t="n"/>
      <c r="B874" s="32" t="n"/>
      <c r="C874" s="31" t="n"/>
      <c r="D874" s="31" t="n"/>
      <c r="E874" s="31" t="n"/>
      <c r="F874" s="31" t="n"/>
      <c r="G874" s="36" t="n"/>
      <c r="H874" s="32" t="n"/>
      <c r="I874" s="32" t="n"/>
      <c r="J874" s="35">
        <f>IF(A874="","",MONTH(A874))</f>
        <v/>
      </c>
      <c r="K874" s="35">
        <f>IF(A874="","",YEAR(A874))</f>
        <v/>
      </c>
    </row>
    <row r="875">
      <c r="A875" s="39" t="n"/>
      <c r="B875" s="32" t="n"/>
      <c r="C875" s="31" t="n"/>
      <c r="D875" s="31" t="n"/>
      <c r="E875" s="31" t="n"/>
      <c r="F875" s="31" t="n"/>
      <c r="G875" s="36" t="n"/>
      <c r="H875" s="32" t="n"/>
      <c r="I875" s="32" t="n"/>
      <c r="J875" s="35">
        <f>IF(A875="","",MONTH(A875))</f>
        <v/>
      </c>
      <c r="K875" s="35">
        <f>IF(A875="","",YEAR(A875))</f>
        <v/>
      </c>
    </row>
    <row r="876">
      <c r="A876" s="39" t="n"/>
      <c r="B876" s="32" t="n"/>
      <c r="C876" s="31" t="n"/>
      <c r="D876" s="31" t="n"/>
      <c r="E876" s="31" t="n"/>
      <c r="F876" s="31" t="n"/>
      <c r="G876" s="36" t="n"/>
      <c r="H876" s="32" t="n"/>
      <c r="I876" s="32" t="n"/>
      <c r="J876" s="35">
        <f>IF(A876="","",MONTH(A876))</f>
        <v/>
      </c>
      <c r="K876" s="35">
        <f>IF(A876="","",YEAR(A876))</f>
        <v/>
      </c>
    </row>
    <row r="877">
      <c r="A877" s="39" t="n"/>
      <c r="B877" s="32" t="n"/>
      <c r="C877" s="31" t="n"/>
      <c r="D877" s="31" t="n"/>
      <c r="E877" s="31" t="n"/>
      <c r="F877" s="31" t="n"/>
      <c r="G877" s="36" t="n"/>
      <c r="H877" s="32" t="n"/>
      <c r="I877" s="32" t="n"/>
      <c r="J877" s="35">
        <f>IF(A877="","",MONTH(A877))</f>
        <v/>
      </c>
      <c r="K877" s="35">
        <f>IF(A877="","",YEAR(A877))</f>
        <v/>
      </c>
    </row>
    <row r="878">
      <c r="A878" s="39" t="n"/>
      <c r="B878" s="32" t="n"/>
      <c r="C878" s="31" t="n"/>
      <c r="D878" s="31" t="n"/>
      <c r="E878" s="31" t="n"/>
      <c r="F878" s="31" t="n"/>
      <c r="G878" s="36" t="n"/>
      <c r="H878" s="32" t="n"/>
      <c r="I878" s="32" t="n"/>
      <c r="J878" s="35">
        <f>IF(A878="","",MONTH(A878))</f>
        <v/>
      </c>
      <c r="K878" s="35">
        <f>IF(A878="","",YEAR(A878))</f>
        <v/>
      </c>
    </row>
    <row r="879">
      <c r="A879" s="39" t="n"/>
      <c r="B879" s="32" t="n"/>
      <c r="C879" s="31" t="n"/>
      <c r="D879" s="31" t="n"/>
      <c r="E879" s="31" t="n"/>
      <c r="F879" s="31" t="n"/>
      <c r="G879" s="36" t="n"/>
      <c r="H879" s="32" t="n"/>
      <c r="I879" s="32" t="n"/>
      <c r="J879" s="35">
        <f>IF(A879="","",MONTH(A879))</f>
        <v/>
      </c>
      <c r="K879" s="35">
        <f>IF(A879="","",YEAR(A879))</f>
        <v/>
      </c>
    </row>
    <row r="880">
      <c r="A880" s="39" t="n"/>
      <c r="B880" s="32" t="n"/>
      <c r="C880" s="31" t="n"/>
      <c r="D880" s="31" t="n"/>
      <c r="E880" s="31" t="n"/>
      <c r="F880" s="31" t="n"/>
      <c r="G880" s="36" t="n"/>
      <c r="H880" s="32" t="n"/>
      <c r="I880" s="32" t="n"/>
      <c r="J880" s="35">
        <f>IF(A880="","",MONTH(A880))</f>
        <v/>
      </c>
      <c r="K880" s="35">
        <f>IF(A880="","",YEAR(A880))</f>
        <v/>
      </c>
    </row>
    <row r="881">
      <c r="A881" s="39" t="n"/>
      <c r="B881" s="32" t="n"/>
      <c r="C881" s="31" t="n"/>
      <c r="D881" s="31" t="n"/>
      <c r="E881" s="31" t="n"/>
      <c r="F881" s="31" t="n"/>
      <c r="G881" s="36" t="n"/>
      <c r="H881" s="32" t="n"/>
      <c r="I881" s="32" t="n"/>
      <c r="J881" s="35">
        <f>IF(A881="","",MONTH(A881))</f>
        <v/>
      </c>
      <c r="K881" s="35">
        <f>IF(A881="","",YEAR(A881))</f>
        <v/>
      </c>
    </row>
    <row r="882">
      <c r="A882" s="39" t="n"/>
      <c r="B882" s="32" t="n"/>
      <c r="C882" s="31" t="n"/>
      <c r="D882" s="31" t="n"/>
      <c r="E882" s="31" t="n"/>
      <c r="F882" s="31" t="n"/>
      <c r="G882" s="36" t="n"/>
      <c r="H882" s="32" t="n"/>
      <c r="I882" s="32" t="n"/>
      <c r="J882" s="35">
        <f>IF(A882="","",MONTH(A882))</f>
        <v/>
      </c>
      <c r="K882" s="35">
        <f>IF(A882="","",YEAR(A882))</f>
        <v/>
      </c>
    </row>
    <row r="883">
      <c r="A883" s="39" t="n"/>
      <c r="B883" s="32" t="n"/>
      <c r="C883" s="31" t="n"/>
      <c r="D883" s="31" t="n"/>
      <c r="E883" s="31" t="n"/>
      <c r="F883" s="31" t="n"/>
      <c r="G883" s="36" t="n"/>
      <c r="H883" s="32" t="n"/>
      <c r="I883" s="32" t="n"/>
      <c r="J883" s="35">
        <f>IF(A883="","",MONTH(A883))</f>
        <v/>
      </c>
      <c r="K883" s="35">
        <f>IF(A883="","",YEAR(A883))</f>
        <v/>
      </c>
    </row>
    <row r="884">
      <c r="A884" s="39" t="n"/>
      <c r="B884" s="32" t="n"/>
      <c r="C884" s="31" t="n"/>
      <c r="D884" s="31" t="n"/>
      <c r="E884" s="31" t="n"/>
      <c r="F884" s="31" t="n"/>
      <c r="G884" s="36" t="n"/>
      <c r="H884" s="32" t="n"/>
      <c r="I884" s="32" t="n"/>
      <c r="J884" s="35">
        <f>IF(A884="","",MONTH(A884))</f>
        <v/>
      </c>
      <c r="K884" s="35">
        <f>IF(A884="","",YEAR(A884))</f>
        <v/>
      </c>
    </row>
    <row r="885">
      <c r="A885" s="39" t="n"/>
      <c r="B885" s="32" t="n"/>
      <c r="C885" s="31" t="n"/>
      <c r="D885" s="31" t="n"/>
      <c r="E885" s="31" t="n"/>
      <c r="F885" s="31" t="n"/>
      <c r="G885" s="36" t="n"/>
      <c r="H885" s="32" t="n"/>
      <c r="I885" s="32" t="n"/>
      <c r="J885" s="35">
        <f>IF(A885="","",MONTH(A885))</f>
        <v/>
      </c>
      <c r="K885" s="35">
        <f>IF(A885="","",YEAR(A885))</f>
        <v/>
      </c>
    </row>
    <row r="886">
      <c r="A886" s="39" t="n"/>
      <c r="B886" s="32" t="n"/>
      <c r="C886" s="31" t="n"/>
      <c r="D886" s="31" t="n"/>
      <c r="E886" s="31" t="n"/>
      <c r="F886" s="31" t="n"/>
      <c r="G886" s="36" t="n"/>
      <c r="H886" s="32" t="n"/>
      <c r="I886" s="32" t="n"/>
      <c r="J886" s="35">
        <f>IF(A886="","",MONTH(A886))</f>
        <v/>
      </c>
      <c r="K886" s="35">
        <f>IF(A886="","",YEAR(A886))</f>
        <v/>
      </c>
    </row>
    <row r="887">
      <c r="A887" s="39" t="n"/>
      <c r="B887" s="32" t="n"/>
      <c r="C887" s="31" t="n"/>
      <c r="D887" s="31" t="n"/>
      <c r="E887" s="31" t="n"/>
      <c r="F887" s="31" t="n"/>
      <c r="G887" s="36" t="n"/>
      <c r="H887" s="32" t="n"/>
      <c r="I887" s="32" t="n"/>
      <c r="J887" s="35">
        <f>IF(A887="","",MONTH(A887))</f>
        <v/>
      </c>
      <c r="K887" s="35">
        <f>IF(A887="","",YEAR(A887))</f>
        <v/>
      </c>
    </row>
    <row r="888">
      <c r="A888" s="39" t="n"/>
      <c r="B888" s="32" t="n"/>
      <c r="C888" s="31" t="n"/>
      <c r="D888" s="31" t="n"/>
      <c r="E888" s="31" t="n"/>
      <c r="F888" s="31" t="n"/>
      <c r="G888" s="36" t="n"/>
      <c r="H888" s="32" t="n"/>
      <c r="I888" s="32" t="n"/>
      <c r="J888" s="35">
        <f>IF(A888="","",MONTH(A888))</f>
        <v/>
      </c>
      <c r="K888" s="35">
        <f>IF(A888="","",YEAR(A888))</f>
        <v/>
      </c>
    </row>
    <row r="889">
      <c r="A889" s="39" t="n"/>
      <c r="B889" s="32" t="n"/>
      <c r="C889" s="31" t="n"/>
      <c r="D889" s="31" t="n"/>
      <c r="E889" s="31" t="n"/>
      <c r="F889" s="31" t="n"/>
      <c r="G889" s="36" t="n"/>
      <c r="H889" s="32" t="n"/>
      <c r="I889" s="32" t="n"/>
      <c r="J889" s="35">
        <f>IF(A889="","",MONTH(A889))</f>
        <v/>
      </c>
      <c r="K889" s="35">
        <f>IF(A889="","",YEAR(A889))</f>
        <v/>
      </c>
    </row>
    <row r="890">
      <c r="A890" s="39" t="n"/>
      <c r="B890" s="32" t="n"/>
      <c r="C890" s="31" t="n"/>
      <c r="D890" s="31" t="n"/>
      <c r="E890" s="31" t="n"/>
      <c r="F890" s="31" t="n"/>
      <c r="G890" s="36" t="n"/>
      <c r="H890" s="32" t="n"/>
      <c r="I890" s="32" t="n"/>
      <c r="J890" s="35">
        <f>IF(A890="","",MONTH(A890))</f>
        <v/>
      </c>
      <c r="K890" s="35">
        <f>IF(A890="","",YEAR(A890))</f>
        <v/>
      </c>
    </row>
    <row r="891">
      <c r="A891" s="39" t="n"/>
      <c r="B891" s="32" t="n"/>
      <c r="C891" s="31" t="n"/>
      <c r="D891" s="31" t="n"/>
      <c r="E891" s="31" t="n"/>
      <c r="F891" s="31" t="n"/>
      <c r="G891" s="36" t="n"/>
      <c r="H891" s="32" t="n"/>
      <c r="I891" s="32" t="n"/>
      <c r="J891" s="35">
        <f>IF(A891="","",MONTH(A891))</f>
        <v/>
      </c>
      <c r="K891" s="35">
        <f>IF(A891="","",YEAR(A891))</f>
        <v/>
      </c>
    </row>
    <row r="892">
      <c r="A892" s="39" t="n"/>
      <c r="B892" s="32" t="n"/>
      <c r="C892" s="31" t="n"/>
      <c r="D892" s="31" t="n"/>
      <c r="E892" s="31" t="n"/>
      <c r="F892" s="31" t="n"/>
      <c r="G892" s="36" t="n"/>
      <c r="H892" s="32" t="n"/>
      <c r="I892" s="32" t="n"/>
      <c r="J892" s="35">
        <f>IF(A892="","",MONTH(A892))</f>
        <v/>
      </c>
      <c r="K892" s="35">
        <f>IF(A892="","",YEAR(A892))</f>
        <v/>
      </c>
    </row>
    <row r="893">
      <c r="A893" s="39" t="n"/>
      <c r="B893" s="32" t="n"/>
      <c r="C893" s="31" t="n"/>
      <c r="D893" s="31" t="n"/>
      <c r="E893" s="31" t="n"/>
      <c r="F893" s="31" t="n"/>
      <c r="G893" s="36" t="n"/>
      <c r="H893" s="32" t="n"/>
      <c r="I893" s="32" t="n"/>
      <c r="J893" s="35">
        <f>IF(A893="","",MONTH(A893))</f>
        <v/>
      </c>
      <c r="K893" s="35">
        <f>IF(A893="","",YEAR(A893))</f>
        <v/>
      </c>
    </row>
    <row r="894">
      <c r="A894" s="39" t="n"/>
      <c r="B894" s="32" t="n"/>
      <c r="C894" s="31" t="n"/>
      <c r="D894" s="31" t="n"/>
      <c r="E894" s="31" t="n"/>
      <c r="F894" s="31" t="n"/>
      <c r="G894" s="36" t="n"/>
      <c r="H894" s="32" t="n"/>
      <c r="I894" s="32" t="n"/>
      <c r="J894" s="35">
        <f>IF(A894="","",MONTH(A894))</f>
        <v/>
      </c>
      <c r="K894" s="35">
        <f>IF(A894="","",YEAR(A894))</f>
        <v/>
      </c>
    </row>
    <row r="895">
      <c r="A895" s="39" t="n"/>
      <c r="B895" s="32" t="n"/>
      <c r="C895" s="31" t="n"/>
      <c r="D895" s="31" t="n"/>
      <c r="E895" s="31" t="n"/>
      <c r="F895" s="31" t="n"/>
      <c r="G895" s="36" t="n"/>
      <c r="H895" s="32" t="n"/>
      <c r="I895" s="32" t="n"/>
      <c r="J895" s="35">
        <f>IF(A895="","",MONTH(A895))</f>
        <v/>
      </c>
      <c r="K895" s="35">
        <f>IF(A895="","",YEAR(A895))</f>
        <v/>
      </c>
    </row>
    <row r="896">
      <c r="A896" s="39" t="n"/>
      <c r="B896" s="32" t="n"/>
      <c r="C896" s="31" t="n"/>
      <c r="D896" s="31" t="n"/>
      <c r="E896" s="31" t="n"/>
      <c r="F896" s="31" t="n"/>
      <c r="G896" s="36" t="n"/>
      <c r="H896" s="32" t="n"/>
      <c r="I896" s="32" t="n"/>
      <c r="J896" s="35">
        <f>IF(A896="","",MONTH(A896))</f>
        <v/>
      </c>
      <c r="K896" s="35">
        <f>IF(A896="","",YEAR(A896))</f>
        <v/>
      </c>
    </row>
    <row r="897">
      <c r="A897" s="39" t="n"/>
      <c r="B897" s="32" t="n"/>
      <c r="C897" s="31" t="n"/>
      <c r="D897" s="31" t="n"/>
      <c r="E897" s="31" t="n"/>
      <c r="F897" s="31" t="n"/>
      <c r="G897" s="36" t="n"/>
      <c r="H897" s="32" t="n"/>
      <c r="I897" s="32" t="n"/>
      <c r="J897" s="35">
        <f>IF(A897="","",MONTH(A897))</f>
        <v/>
      </c>
      <c r="K897" s="35">
        <f>IF(A897="","",YEAR(A897))</f>
        <v/>
      </c>
    </row>
    <row r="898">
      <c r="A898" s="39" t="n"/>
      <c r="B898" s="32" t="n"/>
      <c r="C898" s="31" t="n"/>
      <c r="D898" s="31" t="n"/>
      <c r="E898" s="31" t="n"/>
      <c r="F898" s="31" t="n"/>
      <c r="G898" s="36" t="n"/>
      <c r="H898" s="32" t="n"/>
      <c r="I898" s="32" t="n"/>
      <c r="J898" s="35">
        <f>IF(A898="","",MONTH(A898))</f>
        <v/>
      </c>
      <c r="K898" s="35">
        <f>IF(A898="","",YEAR(A898))</f>
        <v/>
      </c>
    </row>
    <row r="899">
      <c r="A899" s="39" t="n"/>
      <c r="B899" s="32" t="n"/>
      <c r="C899" s="31" t="n"/>
      <c r="D899" s="31" t="n"/>
      <c r="E899" s="31" t="n"/>
      <c r="F899" s="31" t="n"/>
      <c r="G899" s="36" t="n"/>
      <c r="H899" s="32" t="n"/>
      <c r="I899" s="32" t="n"/>
      <c r="J899" s="35">
        <f>IF(A899="","",MONTH(A899))</f>
        <v/>
      </c>
      <c r="K899" s="35">
        <f>IF(A899="","",YEAR(A899))</f>
        <v/>
      </c>
    </row>
    <row r="900">
      <c r="A900" s="39" t="n"/>
      <c r="B900" s="32" t="n"/>
      <c r="C900" s="31" t="n"/>
      <c r="D900" s="31" t="n"/>
      <c r="E900" s="31" t="n"/>
      <c r="F900" s="31" t="n"/>
      <c r="G900" s="36" t="n"/>
      <c r="H900" s="32" t="n"/>
      <c r="I900" s="32" t="n"/>
      <c r="J900" s="35">
        <f>IF(A900="","",MONTH(A900))</f>
        <v/>
      </c>
      <c r="K900" s="35">
        <f>IF(A900="","",YEAR(A900))</f>
        <v/>
      </c>
    </row>
    <row r="901">
      <c r="A901" s="39" t="n"/>
      <c r="B901" s="32" t="n"/>
      <c r="C901" s="31" t="n"/>
      <c r="D901" s="31" t="n"/>
      <c r="E901" s="31" t="n"/>
      <c r="F901" s="31" t="n"/>
      <c r="G901" s="36" t="n"/>
      <c r="H901" s="32" t="n"/>
      <c r="I901" s="32" t="n"/>
      <c r="J901" s="35">
        <f>IF(A901="","",MONTH(A901))</f>
        <v/>
      </c>
      <c r="K901" s="35">
        <f>IF(A901="","",YEAR(A901))</f>
        <v/>
      </c>
    </row>
    <row r="902">
      <c r="A902" s="39" t="n"/>
      <c r="B902" s="32" t="n"/>
      <c r="C902" s="31" t="n"/>
      <c r="D902" s="31" t="n"/>
      <c r="E902" s="31" t="n"/>
      <c r="F902" s="31" t="n"/>
      <c r="G902" s="36" t="n"/>
      <c r="H902" s="32" t="n"/>
      <c r="I902" s="32" t="n"/>
      <c r="J902" s="35">
        <f>IF(A902="","",MONTH(A902))</f>
        <v/>
      </c>
      <c r="K902" s="35">
        <f>IF(A902="","",YEAR(A902))</f>
        <v/>
      </c>
    </row>
    <row r="903">
      <c r="A903" s="39" t="n"/>
      <c r="B903" s="32" t="n"/>
      <c r="C903" s="31" t="n"/>
      <c r="D903" s="31" t="n"/>
      <c r="E903" s="31" t="n"/>
      <c r="F903" s="31" t="n"/>
      <c r="G903" s="36" t="n"/>
      <c r="H903" s="32" t="n"/>
      <c r="I903" s="32" t="n"/>
      <c r="J903" s="35">
        <f>IF(A903="","",MONTH(A903))</f>
        <v/>
      </c>
      <c r="K903" s="35">
        <f>IF(A903="","",YEAR(A903))</f>
        <v/>
      </c>
    </row>
    <row r="904">
      <c r="A904" s="39" t="n"/>
      <c r="B904" s="32" t="n"/>
      <c r="C904" s="31" t="n"/>
      <c r="D904" s="31" t="n"/>
      <c r="E904" s="31" t="n"/>
      <c r="F904" s="31" t="n"/>
      <c r="G904" s="36" t="n"/>
      <c r="H904" s="32" t="n"/>
      <c r="I904" s="32" t="n"/>
      <c r="J904" s="35">
        <f>IF(A904="","",MONTH(A904))</f>
        <v/>
      </c>
      <c r="K904" s="35">
        <f>IF(A904="","",YEAR(A904))</f>
        <v/>
      </c>
    </row>
    <row r="905">
      <c r="A905" s="39" t="n"/>
      <c r="B905" s="32" t="n"/>
      <c r="C905" s="31" t="n"/>
      <c r="D905" s="31" t="n"/>
      <c r="E905" s="31" t="n"/>
      <c r="F905" s="31" t="n"/>
      <c r="G905" s="36" t="n"/>
      <c r="H905" s="32" t="n"/>
      <c r="I905" s="32" t="n"/>
      <c r="J905" s="35">
        <f>IF(A905="","",MONTH(A905))</f>
        <v/>
      </c>
      <c r="K905" s="35">
        <f>IF(A905="","",YEAR(A905))</f>
        <v/>
      </c>
    </row>
    <row r="906">
      <c r="A906" s="39" t="n"/>
      <c r="B906" s="32" t="n"/>
      <c r="C906" s="31" t="n"/>
      <c r="D906" s="31" t="n"/>
      <c r="E906" s="31" t="n"/>
      <c r="F906" s="31" t="n"/>
      <c r="G906" s="36" t="n"/>
      <c r="H906" s="32" t="n"/>
      <c r="I906" s="32" t="n"/>
      <c r="J906" s="35">
        <f>IF(A906="","",MONTH(A906))</f>
        <v/>
      </c>
      <c r="K906" s="35">
        <f>IF(A906="","",YEAR(A906))</f>
        <v/>
      </c>
    </row>
    <row r="907">
      <c r="A907" s="39" t="n"/>
      <c r="B907" s="32" t="n"/>
      <c r="C907" s="31" t="n"/>
      <c r="D907" s="31" t="n"/>
      <c r="E907" s="31" t="n"/>
      <c r="F907" s="31" t="n"/>
      <c r="G907" s="36" t="n"/>
      <c r="H907" s="32" t="n"/>
      <c r="I907" s="32" t="n"/>
      <c r="J907" s="35">
        <f>IF(A907="","",MONTH(A907))</f>
        <v/>
      </c>
      <c r="K907" s="35">
        <f>IF(A907="","",YEAR(A907))</f>
        <v/>
      </c>
    </row>
    <row r="908">
      <c r="A908" s="39" t="n"/>
      <c r="B908" s="32" t="n"/>
      <c r="C908" s="31" t="n"/>
      <c r="D908" s="31" t="n"/>
      <c r="E908" s="31" t="n"/>
      <c r="F908" s="31" t="n"/>
      <c r="G908" s="36" t="n"/>
      <c r="H908" s="32" t="n"/>
      <c r="I908" s="32" t="n"/>
      <c r="J908" s="35">
        <f>IF(A908="","",MONTH(A908))</f>
        <v/>
      </c>
      <c r="K908" s="35">
        <f>IF(A908="","",YEAR(A908))</f>
        <v/>
      </c>
    </row>
    <row r="909">
      <c r="A909" s="39" t="n"/>
      <c r="B909" s="32" t="n"/>
      <c r="C909" s="31" t="n"/>
      <c r="D909" s="31" t="n"/>
      <c r="E909" s="31" t="n"/>
      <c r="F909" s="31" t="n"/>
      <c r="G909" s="36" t="n"/>
      <c r="H909" s="32" t="n"/>
      <c r="I909" s="32" t="n"/>
      <c r="J909" s="35">
        <f>IF(A909="","",MONTH(A909))</f>
        <v/>
      </c>
      <c r="K909" s="35">
        <f>IF(A909="","",YEAR(A909))</f>
        <v/>
      </c>
    </row>
    <row r="910">
      <c r="A910" s="39" t="n"/>
      <c r="B910" s="32" t="n"/>
      <c r="C910" s="31" t="n"/>
      <c r="D910" s="31" t="n"/>
      <c r="E910" s="31" t="n"/>
      <c r="F910" s="31" t="n"/>
      <c r="G910" s="36" t="n"/>
      <c r="H910" s="32" t="n"/>
      <c r="I910" s="32" t="n"/>
      <c r="J910" s="35">
        <f>IF(A910="","",MONTH(A910))</f>
        <v/>
      </c>
      <c r="K910" s="35">
        <f>IF(A910="","",YEAR(A910))</f>
        <v/>
      </c>
    </row>
    <row r="911">
      <c r="A911" s="39" t="n"/>
      <c r="B911" s="32" t="n"/>
      <c r="C911" s="31" t="n"/>
      <c r="D911" s="31" t="n"/>
      <c r="E911" s="31" t="n"/>
      <c r="F911" s="31" t="n"/>
      <c r="G911" s="36" t="n"/>
      <c r="H911" s="32" t="n"/>
      <c r="I911" s="32" t="n"/>
      <c r="J911" s="35">
        <f>IF(A911="","",MONTH(A911))</f>
        <v/>
      </c>
      <c r="K911" s="35">
        <f>IF(A911="","",YEAR(A911))</f>
        <v/>
      </c>
    </row>
    <row r="912">
      <c r="A912" s="39" t="n"/>
      <c r="B912" s="32" t="n"/>
      <c r="C912" s="31" t="n"/>
      <c r="D912" s="31" t="n"/>
      <c r="E912" s="31" t="n"/>
      <c r="F912" s="31" t="n"/>
      <c r="G912" s="36" t="n"/>
      <c r="H912" s="32" t="n"/>
      <c r="I912" s="32" t="n"/>
      <c r="J912" s="35">
        <f>IF(A912="","",MONTH(A912))</f>
        <v/>
      </c>
      <c r="K912" s="35">
        <f>IF(A912="","",YEAR(A912))</f>
        <v/>
      </c>
    </row>
    <row r="913">
      <c r="A913" s="39" t="n"/>
      <c r="B913" s="32" t="n"/>
      <c r="C913" s="31" t="n"/>
      <c r="D913" s="31" t="n"/>
      <c r="E913" s="31" t="n"/>
      <c r="F913" s="31" t="n"/>
      <c r="G913" s="36" t="n"/>
      <c r="H913" s="32" t="n"/>
      <c r="I913" s="32" t="n"/>
      <c r="J913" s="35">
        <f>IF(A913="","",MONTH(A913))</f>
        <v/>
      </c>
      <c r="K913" s="35">
        <f>IF(A913="","",YEAR(A913))</f>
        <v/>
      </c>
    </row>
    <row r="914">
      <c r="A914" s="39" t="n"/>
      <c r="B914" s="32" t="n"/>
      <c r="C914" s="31" t="n"/>
      <c r="D914" s="31" t="n"/>
      <c r="E914" s="31" t="n"/>
      <c r="F914" s="31" t="n"/>
      <c r="G914" s="36" t="n"/>
      <c r="H914" s="32" t="n"/>
      <c r="I914" s="32" t="n"/>
      <c r="J914" s="35">
        <f>IF(A914="","",MONTH(A914))</f>
        <v/>
      </c>
      <c r="K914" s="35">
        <f>IF(A914="","",YEAR(A914))</f>
        <v/>
      </c>
    </row>
    <row r="915">
      <c r="A915" s="39" t="n"/>
      <c r="B915" s="32" t="n"/>
      <c r="C915" s="31" t="n"/>
      <c r="D915" s="31" t="n"/>
      <c r="E915" s="31" t="n"/>
      <c r="F915" s="31" t="n"/>
      <c r="G915" s="36" t="n"/>
      <c r="H915" s="32" t="n"/>
      <c r="I915" s="32" t="n"/>
      <c r="J915" s="35">
        <f>IF(A915="","",MONTH(A915))</f>
        <v/>
      </c>
      <c r="K915" s="35">
        <f>IF(A915="","",YEAR(A915))</f>
        <v/>
      </c>
    </row>
    <row r="916">
      <c r="A916" s="39" t="n"/>
      <c r="B916" s="32" t="n"/>
      <c r="C916" s="31" t="n"/>
      <c r="D916" s="31" t="n"/>
      <c r="E916" s="31" t="n"/>
      <c r="F916" s="31" t="n"/>
      <c r="G916" s="36" t="n"/>
      <c r="H916" s="32" t="n"/>
      <c r="I916" s="32" t="n"/>
      <c r="J916" s="35">
        <f>IF(A916="","",MONTH(A916))</f>
        <v/>
      </c>
      <c r="K916" s="35">
        <f>IF(A916="","",YEAR(A916))</f>
        <v/>
      </c>
    </row>
    <row r="917">
      <c r="A917" s="39" t="n"/>
      <c r="B917" s="32" t="n"/>
      <c r="C917" s="31" t="n"/>
      <c r="D917" s="31" t="n"/>
      <c r="E917" s="31" t="n"/>
      <c r="F917" s="31" t="n"/>
      <c r="G917" s="36" t="n"/>
      <c r="H917" s="32" t="n"/>
      <c r="I917" s="32" t="n"/>
      <c r="J917" s="35">
        <f>IF(A917="","",MONTH(A917))</f>
        <v/>
      </c>
      <c r="K917" s="35">
        <f>IF(A917="","",YEAR(A917))</f>
        <v/>
      </c>
    </row>
    <row r="918">
      <c r="A918" s="39" t="n"/>
      <c r="B918" s="32" t="n"/>
      <c r="C918" s="31" t="n"/>
      <c r="D918" s="31" t="n"/>
      <c r="E918" s="31" t="n"/>
      <c r="F918" s="31" t="n"/>
      <c r="G918" s="36" t="n"/>
      <c r="H918" s="32" t="n"/>
      <c r="I918" s="32" t="n"/>
      <c r="J918" s="35">
        <f>IF(A918="","",MONTH(A918))</f>
        <v/>
      </c>
      <c r="K918" s="35">
        <f>IF(A918="","",YEAR(A918))</f>
        <v/>
      </c>
    </row>
    <row r="919">
      <c r="A919" s="39" t="n"/>
      <c r="B919" s="32" t="n"/>
      <c r="C919" s="31" t="n"/>
      <c r="D919" s="31" t="n"/>
      <c r="E919" s="31" t="n"/>
      <c r="F919" s="31" t="n"/>
      <c r="G919" s="36" t="n"/>
      <c r="H919" s="32" t="n"/>
      <c r="I919" s="32" t="n"/>
      <c r="J919" s="35">
        <f>IF(A919="","",MONTH(A919))</f>
        <v/>
      </c>
      <c r="K919" s="35">
        <f>IF(A919="","",YEAR(A919))</f>
        <v/>
      </c>
    </row>
    <row r="920">
      <c r="A920" s="39" t="n"/>
      <c r="B920" s="32" t="n"/>
      <c r="C920" s="31" t="n"/>
      <c r="D920" s="31" t="n"/>
      <c r="E920" s="31" t="n"/>
      <c r="F920" s="31" t="n"/>
      <c r="G920" s="36" t="n"/>
      <c r="H920" s="32" t="n"/>
      <c r="I920" s="32" t="n"/>
      <c r="J920" s="35">
        <f>IF(A920="","",MONTH(A920))</f>
        <v/>
      </c>
      <c r="K920" s="35">
        <f>IF(A920="","",YEAR(A920))</f>
        <v/>
      </c>
    </row>
    <row r="921">
      <c r="A921" s="39" t="n"/>
      <c r="B921" s="32" t="n"/>
      <c r="C921" s="31" t="n"/>
      <c r="D921" s="31" t="n"/>
      <c r="E921" s="31" t="n"/>
      <c r="F921" s="31" t="n"/>
      <c r="G921" s="36" t="n"/>
      <c r="H921" s="32" t="n"/>
      <c r="I921" s="32" t="n"/>
      <c r="J921" s="35">
        <f>IF(A921="","",MONTH(A921))</f>
        <v/>
      </c>
      <c r="K921" s="35">
        <f>IF(A921="","",YEAR(A921))</f>
        <v/>
      </c>
    </row>
    <row r="922">
      <c r="A922" s="39" t="n"/>
      <c r="B922" s="32" t="n"/>
      <c r="C922" s="31" t="n"/>
      <c r="D922" s="31" t="n"/>
      <c r="E922" s="31" t="n"/>
      <c r="F922" s="31" t="n"/>
      <c r="G922" s="36" t="n"/>
      <c r="H922" s="32" t="n"/>
      <c r="I922" s="32" t="n"/>
      <c r="J922" s="35">
        <f>IF(A922="","",MONTH(A922))</f>
        <v/>
      </c>
      <c r="K922" s="35">
        <f>IF(A922="","",YEAR(A922))</f>
        <v/>
      </c>
    </row>
    <row r="923">
      <c r="A923" s="39" t="n"/>
      <c r="B923" s="32" t="n"/>
      <c r="C923" s="31" t="n"/>
      <c r="D923" s="31" t="n"/>
      <c r="E923" s="31" t="n"/>
      <c r="F923" s="31" t="n"/>
      <c r="G923" s="36" t="n"/>
      <c r="H923" s="32" t="n"/>
      <c r="I923" s="32" t="n"/>
      <c r="J923" s="35">
        <f>IF(A923="","",MONTH(A923))</f>
        <v/>
      </c>
      <c r="K923" s="35">
        <f>IF(A923="","",YEAR(A923))</f>
        <v/>
      </c>
    </row>
    <row r="924">
      <c r="A924" s="39" t="n"/>
      <c r="B924" s="32" t="n"/>
      <c r="C924" s="31" t="n"/>
      <c r="D924" s="31" t="n"/>
      <c r="E924" s="31" t="n"/>
      <c r="F924" s="31" t="n"/>
      <c r="G924" s="36" t="n"/>
      <c r="H924" s="32" t="n"/>
      <c r="I924" s="32" t="n"/>
      <c r="J924" s="35">
        <f>IF(A924="","",MONTH(A924))</f>
        <v/>
      </c>
      <c r="K924" s="35">
        <f>IF(A924="","",YEAR(A924))</f>
        <v/>
      </c>
    </row>
    <row r="925">
      <c r="A925" s="39" t="n"/>
      <c r="B925" s="32" t="n"/>
      <c r="C925" s="31" t="n"/>
      <c r="D925" s="31" t="n"/>
      <c r="E925" s="31" t="n"/>
      <c r="F925" s="31" t="n"/>
      <c r="G925" s="36" t="n"/>
      <c r="H925" s="32" t="n"/>
      <c r="I925" s="32" t="n"/>
      <c r="J925" s="35">
        <f>IF(A925="","",MONTH(A925))</f>
        <v/>
      </c>
      <c r="K925" s="35">
        <f>IF(A925="","",YEAR(A925))</f>
        <v/>
      </c>
    </row>
    <row r="926">
      <c r="A926" s="39" t="n"/>
      <c r="B926" s="32" t="n"/>
      <c r="C926" s="31" t="n"/>
      <c r="D926" s="31" t="n"/>
      <c r="E926" s="31" t="n"/>
      <c r="F926" s="31" t="n"/>
      <c r="G926" s="36" t="n"/>
      <c r="H926" s="32" t="n"/>
      <c r="I926" s="32" t="n"/>
      <c r="J926" s="35">
        <f>IF(A926="","",MONTH(A926))</f>
        <v/>
      </c>
      <c r="K926" s="35">
        <f>IF(A926="","",YEAR(A926))</f>
        <v/>
      </c>
    </row>
    <row r="927">
      <c r="A927" s="39" t="n"/>
      <c r="B927" s="32" t="n"/>
      <c r="C927" s="31" t="n"/>
      <c r="D927" s="31" t="n"/>
      <c r="E927" s="31" t="n"/>
      <c r="F927" s="31" t="n"/>
      <c r="G927" s="36" t="n"/>
      <c r="H927" s="32" t="n"/>
      <c r="I927" s="32" t="n"/>
      <c r="J927" s="35">
        <f>IF(A927="","",MONTH(A927))</f>
        <v/>
      </c>
      <c r="K927" s="35">
        <f>IF(A927="","",YEAR(A927))</f>
        <v/>
      </c>
    </row>
    <row r="928">
      <c r="A928" s="39" t="n"/>
      <c r="B928" s="32" t="n"/>
      <c r="C928" s="31" t="n"/>
      <c r="D928" s="31" t="n"/>
      <c r="E928" s="31" t="n"/>
      <c r="F928" s="31" t="n"/>
      <c r="G928" s="36" t="n"/>
      <c r="H928" s="32" t="n"/>
      <c r="I928" s="32" t="n"/>
      <c r="J928" s="35">
        <f>IF(A928="","",MONTH(A928))</f>
        <v/>
      </c>
      <c r="K928" s="35">
        <f>IF(A928="","",YEAR(A928))</f>
        <v/>
      </c>
    </row>
    <row r="929">
      <c r="A929" s="39" t="n"/>
      <c r="B929" s="32" t="n"/>
      <c r="C929" s="31" t="n"/>
      <c r="D929" s="31" t="n"/>
      <c r="E929" s="31" t="n"/>
      <c r="F929" s="31" t="n"/>
      <c r="G929" s="36" t="n"/>
      <c r="H929" s="32" t="n"/>
      <c r="I929" s="32" t="n"/>
      <c r="J929" s="35">
        <f>IF(A929="","",MONTH(A929))</f>
        <v/>
      </c>
      <c r="K929" s="35">
        <f>IF(A929="","",YEAR(A929))</f>
        <v/>
      </c>
    </row>
    <row r="930">
      <c r="A930" s="39" t="n"/>
      <c r="B930" s="32" t="n"/>
      <c r="C930" s="31" t="n"/>
      <c r="D930" s="31" t="n"/>
      <c r="E930" s="31" t="n"/>
      <c r="F930" s="31" t="n"/>
      <c r="G930" s="36" t="n"/>
      <c r="H930" s="32" t="n"/>
      <c r="I930" s="32" t="n"/>
      <c r="J930" s="35">
        <f>IF(A930="","",MONTH(A930))</f>
        <v/>
      </c>
      <c r="K930" s="35">
        <f>IF(A930="","",YEAR(A930))</f>
        <v/>
      </c>
    </row>
    <row r="931">
      <c r="A931" s="39" t="n"/>
      <c r="B931" s="32" t="n"/>
      <c r="C931" s="31" t="n"/>
      <c r="D931" s="31" t="n"/>
      <c r="E931" s="31" t="n"/>
      <c r="F931" s="31" t="n"/>
      <c r="G931" s="36" t="n"/>
      <c r="H931" s="32" t="n"/>
      <c r="I931" s="32" t="n"/>
      <c r="J931" s="35">
        <f>IF(A931="","",MONTH(A931))</f>
        <v/>
      </c>
      <c r="K931" s="35">
        <f>IF(A931="","",YEAR(A931))</f>
        <v/>
      </c>
    </row>
    <row r="932">
      <c r="A932" s="39" t="n"/>
      <c r="B932" s="32" t="n"/>
      <c r="C932" s="31" t="n"/>
      <c r="D932" s="31" t="n"/>
      <c r="E932" s="31" t="n"/>
      <c r="F932" s="31" t="n"/>
      <c r="G932" s="36" t="n"/>
      <c r="H932" s="32" t="n"/>
      <c r="I932" s="32" t="n"/>
      <c r="J932" s="35">
        <f>IF(A932="","",MONTH(A932))</f>
        <v/>
      </c>
      <c r="K932" s="35">
        <f>IF(A932="","",YEAR(A932))</f>
        <v/>
      </c>
    </row>
    <row r="933">
      <c r="A933" s="39" t="n"/>
      <c r="B933" s="32" t="n"/>
      <c r="C933" s="31" t="n"/>
      <c r="D933" s="31" t="n"/>
      <c r="E933" s="31" t="n"/>
      <c r="F933" s="31" t="n"/>
      <c r="G933" s="36" t="n"/>
      <c r="H933" s="32" t="n"/>
      <c r="I933" s="32" t="n"/>
      <c r="J933" s="35">
        <f>IF(A933="","",MONTH(A933))</f>
        <v/>
      </c>
      <c r="K933" s="35">
        <f>IF(A933="","",YEAR(A933))</f>
        <v/>
      </c>
    </row>
    <row r="934">
      <c r="A934" s="39" t="n"/>
      <c r="B934" s="32" t="n"/>
      <c r="C934" s="31" t="n"/>
      <c r="D934" s="31" t="n"/>
      <c r="E934" s="31" t="n"/>
      <c r="F934" s="31" t="n"/>
      <c r="G934" s="36" t="n"/>
      <c r="H934" s="32" t="n"/>
      <c r="I934" s="32" t="n"/>
      <c r="J934" s="35">
        <f>IF(A934="","",MONTH(A934))</f>
        <v/>
      </c>
      <c r="K934" s="35">
        <f>IF(A934="","",YEAR(A934))</f>
        <v/>
      </c>
    </row>
    <row r="935">
      <c r="A935" s="39" t="n"/>
      <c r="B935" s="32" t="n"/>
      <c r="C935" s="31" t="n"/>
      <c r="D935" s="31" t="n"/>
      <c r="E935" s="31" t="n"/>
      <c r="F935" s="31" t="n"/>
      <c r="G935" s="36" t="n"/>
      <c r="H935" s="32" t="n"/>
      <c r="I935" s="32" t="n"/>
      <c r="J935" s="35">
        <f>IF(A935="","",MONTH(A935))</f>
        <v/>
      </c>
      <c r="K935" s="35">
        <f>IF(A935="","",YEAR(A935))</f>
        <v/>
      </c>
    </row>
    <row r="936">
      <c r="A936" s="39" t="n"/>
      <c r="B936" s="32" t="n"/>
      <c r="C936" s="31" t="n"/>
      <c r="D936" s="31" t="n"/>
      <c r="E936" s="31" t="n"/>
      <c r="F936" s="31" t="n"/>
      <c r="G936" s="36" t="n"/>
      <c r="H936" s="32" t="n"/>
      <c r="I936" s="32" t="n"/>
      <c r="J936" s="35">
        <f>IF(A936="","",MONTH(A936))</f>
        <v/>
      </c>
      <c r="K936" s="35">
        <f>IF(A936="","",YEAR(A936))</f>
        <v/>
      </c>
    </row>
    <row r="937">
      <c r="A937" s="39" t="n"/>
      <c r="B937" s="32" t="n"/>
      <c r="C937" s="31" t="n"/>
      <c r="D937" s="31" t="n"/>
      <c r="E937" s="31" t="n"/>
      <c r="F937" s="31" t="n"/>
      <c r="G937" s="36" t="n"/>
      <c r="H937" s="32" t="n"/>
      <c r="I937" s="32" t="n"/>
      <c r="J937" s="35">
        <f>IF(A937="","",MONTH(A937))</f>
        <v/>
      </c>
      <c r="K937" s="35">
        <f>IF(A937="","",YEAR(A937))</f>
        <v/>
      </c>
    </row>
    <row r="938">
      <c r="A938" s="39" t="n"/>
      <c r="B938" s="32" t="n"/>
      <c r="C938" s="31" t="n"/>
      <c r="D938" s="31" t="n"/>
      <c r="E938" s="31" t="n"/>
      <c r="F938" s="31" t="n"/>
      <c r="G938" s="36" t="n"/>
      <c r="H938" s="32" t="n"/>
      <c r="I938" s="32" t="n"/>
      <c r="J938" s="35">
        <f>IF(A938="","",MONTH(A938))</f>
        <v/>
      </c>
      <c r="K938" s="35">
        <f>IF(A938="","",YEAR(A938))</f>
        <v/>
      </c>
    </row>
    <row r="939">
      <c r="A939" s="39" t="n"/>
      <c r="B939" s="32" t="n"/>
      <c r="C939" s="31" t="n"/>
      <c r="D939" s="31" t="n"/>
      <c r="E939" s="31" t="n"/>
      <c r="F939" s="31" t="n"/>
      <c r="G939" s="36" t="n"/>
      <c r="H939" s="32" t="n"/>
      <c r="I939" s="32" t="n"/>
      <c r="J939" s="35">
        <f>IF(A939="","",MONTH(A939))</f>
        <v/>
      </c>
      <c r="K939" s="35">
        <f>IF(A939="","",YEAR(A939))</f>
        <v/>
      </c>
    </row>
    <row r="940">
      <c r="A940" s="39" t="n"/>
      <c r="B940" s="32" t="n"/>
      <c r="C940" s="31" t="n"/>
      <c r="D940" s="31" t="n"/>
      <c r="E940" s="31" t="n"/>
      <c r="F940" s="31" t="n"/>
      <c r="G940" s="36" t="n"/>
      <c r="H940" s="32" t="n"/>
      <c r="I940" s="32" t="n"/>
      <c r="J940" s="35">
        <f>IF(A940="","",MONTH(A940))</f>
        <v/>
      </c>
      <c r="K940" s="35">
        <f>IF(A940="","",YEAR(A940))</f>
        <v/>
      </c>
    </row>
    <row r="941">
      <c r="A941" s="39" t="n"/>
      <c r="B941" s="32" t="n"/>
      <c r="C941" s="31" t="n"/>
      <c r="D941" s="31" t="n"/>
      <c r="E941" s="31" t="n"/>
      <c r="F941" s="31" t="n"/>
      <c r="G941" s="36" t="n"/>
      <c r="H941" s="32" t="n"/>
      <c r="I941" s="32" t="n"/>
      <c r="J941" s="35">
        <f>IF(A941="","",MONTH(A941))</f>
        <v/>
      </c>
      <c r="K941" s="35">
        <f>IF(A941="","",YEAR(A941))</f>
        <v/>
      </c>
    </row>
    <row r="942">
      <c r="A942" s="39" t="n"/>
      <c r="B942" s="32" t="n"/>
      <c r="C942" s="31" t="n"/>
      <c r="D942" s="31" t="n"/>
      <c r="E942" s="31" t="n"/>
      <c r="F942" s="31" t="n"/>
      <c r="G942" s="36" t="n"/>
      <c r="H942" s="32" t="n"/>
      <c r="I942" s="32" t="n"/>
      <c r="J942" s="35">
        <f>IF(A942="","",MONTH(A942))</f>
        <v/>
      </c>
      <c r="K942" s="35">
        <f>IF(A942="","",YEAR(A942))</f>
        <v/>
      </c>
    </row>
    <row r="943">
      <c r="A943" s="39" t="n"/>
      <c r="B943" s="32" t="n"/>
      <c r="C943" s="31" t="n"/>
      <c r="D943" s="31" t="n"/>
      <c r="E943" s="31" t="n"/>
      <c r="F943" s="31" t="n"/>
      <c r="G943" s="36" t="n"/>
      <c r="H943" s="32" t="n"/>
      <c r="I943" s="32" t="n"/>
      <c r="J943" s="35">
        <f>IF(A943="","",MONTH(A943))</f>
        <v/>
      </c>
      <c r="K943" s="35">
        <f>IF(A943="","",YEAR(A943))</f>
        <v/>
      </c>
    </row>
    <row r="944">
      <c r="A944" s="39" t="n"/>
      <c r="B944" s="32" t="n"/>
      <c r="C944" s="31" t="n"/>
      <c r="D944" s="31" t="n"/>
      <c r="E944" s="31" t="n"/>
      <c r="F944" s="31" t="n"/>
      <c r="G944" s="36" t="n"/>
      <c r="H944" s="32" t="n"/>
      <c r="I944" s="32" t="n"/>
      <c r="J944" s="35">
        <f>IF(A944="","",MONTH(A944))</f>
        <v/>
      </c>
      <c r="K944" s="35">
        <f>IF(A944="","",YEAR(A944))</f>
        <v/>
      </c>
    </row>
    <row r="945">
      <c r="A945" s="39" t="n"/>
      <c r="B945" s="32" t="n"/>
      <c r="C945" s="31" t="n"/>
      <c r="D945" s="31" t="n"/>
      <c r="E945" s="31" t="n"/>
      <c r="F945" s="31" t="n"/>
      <c r="G945" s="36" t="n"/>
      <c r="H945" s="32" t="n"/>
      <c r="I945" s="32" t="n"/>
      <c r="J945" s="35">
        <f>IF(A945="","",MONTH(A945))</f>
        <v/>
      </c>
      <c r="K945" s="35">
        <f>IF(A945="","",YEAR(A945))</f>
        <v/>
      </c>
    </row>
    <row r="946">
      <c r="A946" s="39" t="n"/>
      <c r="B946" s="32" t="n"/>
      <c r="C946" s="31" t="n"/>
      <c r="D946" s="31" t="n"/>
      <c r="E946" s="31" t="n"/>
      <c r="F946" s="31" t="n"/>
      <c r="G946" s="36" t="n"/>
      <c r="H946" s="32" t="n"/>
      <c r="I946" s="32" t="n"/>
      <c r="J946" s="35">
        <f>IF(A946="","",MONTH(A946))</f>
        <v/>
      </c>
      <c r="K946" s="35">
        <f>IF(A946="","",YEAR(A946))</f>
        <v/>
      </c>
    </row>
    <row r="947">
      <c r="A947" s="39" t="n"/>
      <c r="B947" s="32" t="n"/>
      <c r="C947" s="31" t="n"/>
      <c r="D947" s="31" t="n"/>
      <c r="E947" s="31" t="n"/>
      <c r="F947" s="31" t="n"/>
      <c r="G947" s="36" t="n"/>
      <c r="H947" s="32" t="n"/>
      <c r="I947" s="32" t="n"/>
      <c r="J947" s="35">
        <f>IF(A947="","",MONTH(A947))</f>
        <v/>
      </c>
      <c r="K947" s="35">
        <f>IF(A947="","",YEAR(A947))</f>
        <v/>
      </c>
    </row>
    <row r="948">
      <c r="A948" s="39" t="n"/>
      <c r="B948" s="32" t="n"/>
      <c r="C948" s="31" t="n"/>
      <c r="D948" s="31" t="n"/>
      <c r="E948" s="31" t="n"/>
      <c r="F948" s="31" t="n"/>
      <c r="G948" s="36" t="n"/>
      <c r="H948" s="32" t="n"/>
      <c r="I948" s="32" t="n"/>
      <c r="J948" s="35">
        <f>IF(A948="","",MONTH(A948))</f>
        <v/>
      </c>
      <c r="K948" s="35">
        <f>IF(A948="","",YEAR(A948))</f>
        <v/>
      </c>
    </row>
    <row r="949">
      <c r="A949" s="39" t="n"/>
      <c r="B949" s="32" t="n"/>
      <c r="C949" s="31" t="n"/>
      <c r="D949" s="31" t="n"/>
      <c r="E949" s="31" t="n"/>
      <c r="F949" s="31" t="n"/>
      <c r="G949" s="36" t="n"/>
      <c r="H949" s="32" t="n"/>
      <c r="I949" s="32" t="n"/>
      <c r="J949" s="35">
        <f>IF(A949="","",MONTH(A949))</f>
        <v/>
      </c>
      <c r="K949" s="35">
        <f>IF(A949="","",YEAR(A949))</f>
        <v/>
      </c>
    </row>
    <row r="950">
      <c r="A950" s="39" t="n"/>
      <c r="B950" s="32" t="n"/>
      <c r="C950" s="31" t="n"/>
      <c r="D950" s="31" t="n"/>
      <c r="E950" s="31" t="n"/>
      <c r="F950" s="31" t="n"/>
      <c r="G950" s="36" t="n"/>
      <c r="H950" s="32" t="n"/>
      <c r="I950" s="32" t="n"/>
      <c r="J950" s="35">
        <f>IF(A950="","",MONTH(A950))</f>
        <v/>
      </c>
      <c r="K950" s="35">
        <f>IF(A950="","",YEAR(A950))</f>
        <v/>
      </c>
    </row>
    <row r="951">
      <c r="A951" s="39" t="n"/>
      <c r="B951" s="32" t="n"/>
      <c r="C951" s="31" t="n"/>
      <c r="D951" s="31" t="n"/>
      <c r="E951" s="31" t="n"/>
      <c r="F951" s="31" t="n"/>
      <c r="G951" s="36" t="n"/>
      <c r="H951" s="32" t="n"/>
      <c r="I951" s="32" t="n"/>
      <c r="J951" s="35">
        <f>IF(A951="","",MONTH(A951))</f>
        <v/>
      </c>
      <c r="K951" s="35">
        <f>IF(A951="","",YEAR(A951))</f>
        <v/>
      </c>
    </row>
    <row r="952">
      <c r="A952" s="39" t="n"/>
      <c r="B952" s="32" t="n"/>
      <c r="C952" s="31" t="n"/>
      <c r="D952" s="31" t="n"/>
      <c r="E952" s="31" t="n"/>
      <c r="F952" s="31" t="n"/>
      <c r="G952" s="36" t="n"/>
      <c r="H952" s="32" t="n"/>
      <c r="I952" s="32" t="n"/>
      <c r="J952" s="35">
        <f>IF(A952="","",MONTH(A952))</f>
        <v/>
      </c>
      <c r="K952" s="35">
        <f>IF(A952="","",YEAR(A952))</f>
        <v/>
      </c>
    </row>
    <row r="953">
      <c r="A953" s="39" t="n"/>
      <c r="B953" s="32" t="n"/>
      <c r="C953" s="31" t="n"/>
      <c r="D953" s="31" t="n"/>
      <c r="E953" s="31" t="n"/>
      <c r="F953" s="31" t="n"/>
      <c r="G953" s="36" t="n"/>
      <c r="H953" s="32" t="n"/>
      <c r="I953" s="32" t="n"/>
      <c r="J953" s="35">
        <f>IF(A953="","",MONTH(A953))</f>
        <v/>
      </c>
      <c r="K953" s="35">
        <f>IF(A953="","",YEAR(A953))</f>
        <v/>
      </c>
    </row>
    <row r="954">
      <c r="A954" s="39" t="n"/>
      <c r="B954" s="32" t="n"/>
      <c r="C954" s="31" t="n"/>
      <c r="D954" s="31" t="n"/>
      <c r="E954" s="31" t="n"/>
      <c r="F954" s="31" t="n"/>
      <c r="G954" s="36" t="n"/>
      <c r="H954" s="32" t="n"/>
      <c r="I954" s="32" t="n"/>
      <c r="J954" s="35">
        <f>IF(A954="","",MONTH(A954))</f>
        <v/>
      </c>
      <c r="K954" s="35">
        <f>IF(A954="","",YEAR(A954))</f>
        <v/>
      </c>
    </row>
    <row r="955">
      <c r="A955" s="39" t="n"/>
      <c r="B955" s="32" t="n"/>
      <c r="C955" s="31" t="n"/>
      <c r="D955" s="31" t="n"/>
      <c r="E955" s="31" t="n"/>
      <c r="F955" s="31" t="n"/>
      <c r="G955" s="36" t="n"/>
      <c r="H955" s="32" t="n"/>
      <c r="I955" s="32" t="n"/>
      <c r="J955" s="35">
        <f>IF(A955="","",MONTH(A955))</f>
        <v/>
      </c>
      <c r="K955" s="35">
        <f>IF(A955="","",YEAR(A955))</f>
        <v/>
      </c>
    </row>
    <row r="956">
      <c r="A956" s="39" t="n"/>
      <c r="B956" s="32" t="n"/>
      <c r="C956" s="31" t="n"/>
      <c r="D956" s="31" t="n"/>
      <c r="E956" s="31" t="n"/>
      <c r="F956" s="31" t="n"/>
      <c r="G956" s="36" t="n"/>
      <c r="H956" s="32" t="n"/>
      <c r="I956" s="32" t="n"/>
      <c r="J956" s="35">
        <f>IF(A956="","",MONTH(A956))</f>
        <v/>
      </c>
      <c r="K956" s="35">
        <f>IF(A956="","",YEAR(A956))</f>
        <v/>
      </c>
    </row>
    <row r="957">
      <c r="A957" s="39" t="n"/>
      <c r="B957" s="32" t="n"/>
      <c r="C957" s="31" t="n"/>
      <c r="D957" s="31" t="n"/>
      <c r="E957" s="31" t="n"/>
      <c r="F957" s="31" t="n"/>
      <c r="G957" s="36" t="n"/>
      <c r="H957" s="32" t="n"/>
      <c r="I957" s="32" t="n"/>
      <c r="J957" s="35">
        <f>IF(A957="","",MONTH(A957))</f>
        <v/>
      </c>
      <c r="K957" s="35">
        <f>IF(A957="","",YEAR(A957))</f>
        <v/>
      </c>
    </row>
    <row r="958">
      <c r="A958" s="39" t="n"/>
      <c r="B958" s="32" t="n"/>
      <c r="C958" s="31" t="n"/>
      <c r="D958" s="31" t="n"/>
      <c r="E958" s="31" t="n"/>
      <c r="F958" s="31" t="n"/>
      <c r="G958" s="36" t="n"/>
      <c r="H958" s="32" t="n"/>
      <c r="I958" s="32" t="n"/>
      <c r="J958" s="35">
        <f>IF(A958="","",MONTH(A958))</f>
        <v/>
      </c>
      <c r="K958" s="35">
        <f>IF(A958="","",YEAR(A958))</f>
        <v/>
      </c>
    </row>
    <row r="959">
      <c r="A959" s="39" t="n"/>
      <c r="B959" s="32" t="n"/>
      <c r="C959" s="31" t="n"/>
      <c r="D959" s="31" t="n"/>
      <c r="E959" s="31" t="n"/>
      <c r="F959" s="31" t="n"/>
      <c r="G959" s="36" t="n"/>
      <c r="H959" s="32" t="n"/>
      <c r="I959" s="32" t="n"/>
      <c r="J959" s="35">
        <f>IF(A959="","",MONTH(A959))</f>
        <v/>
      </c>
      <c r="K959" s="35">
        <f>IF(A959="","",YEAR(A959))</f>
        <v/>
      </c>
    </row>
    <row r="960">
      <c r="A960" s="39" t="n"/>
      <c r="B960" s="32" t="n"/>
      <c r="C960" s="31" t="n"/>
      <c r="D960" s="31" t="n"/>
      <c r="E960" s="31" t="n"/>
      <c r="F960" s="31" t="n"/>
      <c r="G960" s="36" t="n"/>
      <c r="H960" s="32" t="n"/>
      <c r="I960" s="32" t="n"/>
      <c r="J960" s="35">
        <f>IF(A960="","",MONTH(A960))</f>
        <v/>
      </c>
      <c r="K960" s="35">
        <f>IF(A960="","",YEAR(A960))</f>
        <v/>
      </c>
    </row>
    <row r="961">
      <c r="A961" s="39" t="n"/>
      <c r="B961" s="32" t="n"/>
      <c r="C961" s="31" t="n"/>
      <c r="D961" s="31" t="n"/>
      <c r="E961" s="31" t="n"/>
      <c r="F961" s="31" t="n"/>
      <c r="G961" s="36" t="n"/>
      <c r="H961" s="32" t="n"/>
      <c r="I961" s="32" t="n"/>
      <c r="J961" s="35">
        <f>IF(A961="","",MONTH(A961))</f>
        <v/>
      </c>
      <c r="K961" s="35">
        <f>IF(A961="","",YEAR(A961))</f>
        <v/>
      </c>
    </row>
    <row r="962">
      <c r="A962" s="39" t="n"/>
      <c r="B962" s="32" t="n"/>
      <c r="C962" s="31" t="n"/>
      <c r="D962" s="31" t="n"/>
      <c r="E962" s="31" t="n"/>
      <c r="F962" s="31" t="n"/>
      <c r="G962" s="36" t="n"/>
      <c r="H962" s="32" t="n"/>
      <c r="I962" s="32" t="n"/>
      <c r="J962" s="35">
        <f>IF(A962="","",MONTH(A962))</f>
        <v/>
      </c>
      <c r="K962" s="35">
        <f>IF(A962="","",YEAR(A962))</f>
        <v/>
      </c>
    </row>
    <row r="963">
      <c r="A963" s="39" t="n"/>
      <c r="B963" s="32" t="n"/>
      <c r="C963" s="31" t="n"/>
      <c r="D963" s="31" t="n"/>
      <c r="E963" s="31" t="n"/>
      <c r="F963" s="31" t="n"/>
      <c r="G963" s="36" t="n"/>
      <c r="H963" s="32" t="n"/>
      <c r="I963" s="32" t="n"/>
      <c r="J963" s="35">
        <f>IF(A963="","",MONTH(A963))</f>
        <v/>
      </c>
      <c r="K963" s="35">
        <f>IF(A963="","",YEAR(A963))</f>
        <v/>
      </c>
    </row>
    <row r="964">
      <c r="A964" s="39" t="n"/>
      <c r="B964" s="32" t="n"/>
      <c r="C964" s="31" t="n"/>
      <c r="D964" s="31" t="n"/>
      <c r="E964" s="31" t="n"/>
      <c r="F964" s="31" t="n"/>
      <c r="G964" s="36" t="n"/>
      <c r="H964" s="32" t="n"/>
      <c r="I964" s="32" t="n"/>
      <c r="J964" s="35">
        <f>IF(A964="","",MONTH(A964))</f>
        <v/>
      </c>
      <c r="K964" s="35">
        <f>IF(A964="","",YEAR(A964))</f>
        <v/>
      </c>
    </row>
    <row r="965">
      <c r="A965" s="39" t="n"/>
      <c r="B965" s="32" t="n"/>
      <c r="C965" s="31" t="n"/>
      <c r="D965" s="31" t="n"/>
      <c r="E965" s="31" t="n"/>
      <c r="F965" s="31" t="n"/>
      <c r="G965" s="36" t="n"/>
      <c r="H965" s="32" t="n"/>
      <c r="I965" s="32" t="n"/>
      <c r="J965" s="35">
        <f>IF(A965="","",MONTH(A965))</f>
        <v/>
      </c>
      <c r="K965" s="35">
        <f>IF(A965="","",YEAR(A965))</f>
        <v/>
      </c>
    </row>
    <row r="966">
      <c r="A966" s="39" t="n"/>
      <c r="B966" s="32" t="n"/>
      <c r="C966" s="31" t="n"/>
      <c r="D966" s="31" t="n"/>
      <c r="E966" s="31" t="n"/>
      <c r="F966" s="31" t="n"/>
      <c r="G966" s="36" t="n"/>
      <c r="H966" s="32" t="n"/>
      <c r="I966" s="32" t="n"/>
      <c r="J966" s="35">
        <f>IF(A966="","",MONTH(A966))</f>
        <v/>
      </c>
      <c r="K966" s="35">
        <f>IF(A966="","",YEAR(A966))</f>
        <v/>
      </c>
    </row>
    <row r="967">
      <c r="A967" s="39" t="n"/>
      <c r="B967" s="32" t="n"/>
      <c r="C967" s="31" t="n"/>
      <c r="D967" s="31" t="n"/>
      <c r="E967" s="31" t="n"/>
      <c r="F967" s="31" t="n"/>
      <c r="G967" s="36" t="n"/>
      <c r="H967" s="32" t="n"/>
      <c r="I967" s="32" t="n"/>
      <c r="J967" s="35">
        <f>IF(A967="","",MONTH(A967))</f>
        <v/>
      </c>
      <c r="K967" s="35">
        <f>IF(A967="","",YEAR(A967))</f>
        <v/>
      </c>
    </row>
    <row r="968">
      <c r="A968" s="39" t="n"/>
      <c r="B968" s="32" t="n"/>
      <c r="C968" s="31" t="n"/>
      <c r="D968" s="31" t="n"/>
      <c r="E968" s="31" t="n"/>
      <c r="F968" s="31" t="n"/>
      <c r="G968" s="36" t="n"/>
      <c r="H968" s="32" t="n"/>
      <c r="I968" s="32" t="n"/>
      <c r="J968" s="35">
        <f>IF(A968="","",MONTH(A968))</f>
        <v/>
      </c>
      <c r="K968" s="35">
        <f>IF(A968="","",YEAR(A968))</f>
        <v/>
      </c>
    </row>
    <row r="969">
      <c r="A969" s="39" t="n"/>
      <c r="B969" s="32" t="n"/>
      <c r="C969" s="31" t="n"/>
      <c r="D969" s="31" t="n"/>
      <c r="E969" s="31" t="n"/>
      <c r="F969" s="31" t="n"/>
      <c r="G969" s="36" t="n"/>
      <c r="H969" s="32" t="n"/>
      <c r="I969" s="32" t="n"/>
      <c r="J969" s="35">
        <f>IF(A969="","",MONTH(A969))</f>
        <v/>
      </c>
      <c r="K969" s="35">
        <f>IF(A969="","",YEAR(A969))</f>
        <v/>
      </c>
    </row>
    <row r="970">
      <c r="A970" s="39" t="n"/>
      <c r="B970" s="32" t="n"/>
      <c r="C970" s="31" t="n"/>
      <c r="D970" s="31" t="n"/>
      <c r="E970" s="31" t="n"/>
      <c r="F970" s="31" t="n"/>
      <c r="G970" s="36" t="n"/>
      <c r="H970" s="32" t="n"/>
      <c r="I970" s="32" t="n"/>
      <c r="J970" s="35">
        <f>IF(A970="","",MONTH(A970))</f>
        <v/>
      </c>
      <c r="K970" s="35">
        <f>IF(A970="","",YEAR(A970))</f>
        <v/>
      </c>
    </row>
    <row r="971">
      <c r="A971" s="39" t="n"/>
      <c r="B971" s="32" t="n"/>
      <c r="C971" s="31" t="n"/>
      <c r="D971" s="31" t="n"/>
      <c r="E971" s="31" t="n"/>
      <c r="F971" s="31" t="n"/>
      <c r="G971" s="36" t="n"/>
      <c r="H971" s="32" t="n"/>
      <c r="I971" s="32" t="n"/>
      <c r="J971" s="35">
        <f>IF(A971="","",MONTH(A971))</f>
        <v/>
      </c>
      <c r="K971" s="35">
        <f>IF(A971="","",YEAR(A971))</f>
        <v/>
      </c>
    </row>
    <row r="972">
      <c r="A972" s="39" t="n"/>
      <c r="B972" s="32" t="n"/>
      <c r="C972" s="31" t="n"/>
      <c r="D972" s="31" t="n"/>
      <c r="E972" s="31" t="n"/>
      <c r="F972" s="31" t="n"/>
      <c r="G972" s="36" t="n"/>
      <c r="H972" s="32" t="n"/>
      <c r="I972" s="32" t="n"/>
      <c r="J972" s="35">
        <f>IF(A972="","",MONTH(A972))</f>
        <v/>
      </c>
      <c r="K972" s="35">
        <f>IF(A972="","",YEAR(A972))</f>
        <v/>
      </c>
    </row>
    <row r="973">
      <c r="A973" s="39" t="n"/>
      <c r="B973" s="32" t="n"/>
      <c r="C973" s="31" t="n"/>
      <c r="D973" s="31" t="n"/>
      <c r="E973" s="31" t="n"/>
      <c r="F973" s="31" t="n"/>
      <c r="G973" s="36" t="n"/>
      <c r="H973" s="32" t="n"/>
      <c r="I973" s="32" t="n"/>
      <c r="J973" s="35">
        <f>IF(A973="","",MONTH(A973))</f>
        <v/>
      </c>
      <c r="K973" s="35">
        <f>IF(A973="","",YEAR(A973))</f>
        <v/>
      </c>
    </row>
    <row r="974">
      <c r="A974" s="39" t="n"/>
      <c r="B974" s="32" t="n"/>
      <c r="C974" s="31" t="n"/>
      <c r="D974" s="31" t="n"/>
      <c r="E974" s="31" t="n"/>
      <c r="F974" s="31" t="n"/>
      <c r="G974" s="36" t="n"/>
      <c r="H974" s="32" t="n"/>
      <c r="I974" s="32" t="n"/>
      <c r="J974" s="35">
        <f>IF(A974="","",MONTH(A974))</f>
        <v/>
      </c>
      <c r="K974" s="35">
        <f>IF(A974="","",YEAR(A974))</f>
        <v/>
      </c>
    </row>
    <row r="975">
      <c r="A975" s="39" t="n"/>
      <c r="B975" s="32" t="n"/>
      <c r="C975" s="31" t="n"/>
      <c r="D975" s="31" t="n"/>
      <c r="E975" s="31" t="n"/>
      <c r="F975" s="31" t="n"/>
      <c r="G975" s="36" t="n"/>
      <c r="H975" s="32" t="n"/>
      <c r="I975" s="32" t="n"/>
      <c r="J975" s="35">
        <f>IF(A975="","",MONTH(A975))</f>
        <v/>
      </c>
      <c r="K975" s="35">
        <f>IF(A975="","",YEAR(A975))</f>
        <v/>
      </c>
    </row>
    <row r="976">
      <c r="A976" s="39" t="n"/>
      <c r="B976" s="32" t="n"/>
      <c r="C976" s="31" t="n"/>
      <c r="D976" s="31" t="n"/>
      <c r="E976" s="31" t="n"/>
      <c r="F976" s="31" t="n"/>
      <c r="G976" s="36" t="n"/>
      <c r="H976" s="32" t="n"/>
      <c r="I976" s="32" t="n"/>
      <c r="J976" s="35">
        <f>IF(A976="","",MONTH(A976))</f>
        <v/>
      </c>
      <c r="K976" s="35">
        <f>IF(A976="","",YEAR(A976))</f>
        <v/>
      </c>
    </row>
    <row r="977">
      <c r="A977" s="39" t="n"/>
      <c r="B977" s="32" t="n"/>
      <c r="C977" s="31" t="n"/>
      <c r="D977" s="31" t="n"/>
      <c r="E977" s="31" t="n"/>
      <c r="F977" s="31" t="n"/>
      <c r="G977" s="36" t="n"/>
      <c r="H977" s="32" t="n"/>
      <c r="I977" s="32" t="n"/>
      <c r="J977" s="35">
        <f>IF(A977="","",MONTH(A977))</f>
        <v/>
      </c>
      <c r="K977" s="35">
        <f>IF(A977="","",YEAR(A977))</f>
        <v/>
      </c>
    </row>
    <row r="978">
      <c r="A978" s="39" t="n"/>
      <c r="B978" s="32" t="n"/>
      <c r="C978" s="31" t="n"/>
      <c r="D978" s="31" t="n"/>
      <c r="E978" s="31" t="n"/>
      <c r="F978" s="31" t="n"/>
      <c r="G978" s="36" t="n"/>
      <c r="H978" s="32" t="n"/>
      <c r="I978" s="32" t="n"/>
      <c r="J978" s="35">
        <f>IF(A978="","",MONTH(A978))</f>
        <v/>
      </c>
      <c r="K978" s="35">
        <f>IF(A978="","",YEAR(A978))</f>
        <v/>
      </c>
    </row>
    <row r="979">
      <c r="A979" s="39" t="n"/>
      <c r="B979" s="32" t="n"/>
      <c r="C979" s="31" t="n"/>
      <c r="D979" s="31" t="n"/>
      <c r="E979" s="31" t="n"/>
      <c r="F979" s="31" t="n"/>
      <c r="G979" s="36" t="n"/>
      <c r="H979" s="32" t="n"/>
      <c r="I979" s="32" t="n"/>
      <c r="J979" s="35">
        <f>IF(A979="","",MONTH(A979))</f>
        <v/>
      </c>
      <c r="K979" s="35">
        <f>IF(A979="","",YEAR(A979))</f>
        <v/>
      </c>
    </row>
    <row r="980">
      <c r="A980" s="39" t="n"/>
      <c r="B980" s="32" t="n"/>
      <c r="C980" s="31" t="n"/>
      <c r="D980" s="31" t="n"/>
      <c r="E980" s="31" t="n"/>
      <c r="F980" s="31" t="n"/>
      <c r="G980" s="36" t="n"/>
      <c r="H980" s="32" t="n"/>
      <c r="I980" s="32" t="n"/>
      <c r="J980" s="35">
        <f>IF(A980="","",MONTH(A980))</f>
        <v/>
      </c>
      <c r="K980" s="35">
        <f>IF(A980="","",YEAR(A980))</f>
        <v/>
      </c>
    </row>
    <row r="981">
      <c r="A981" s="39" t="n"/>
      <c r="B981" s="32" t="n"/>
      <c r="C981" s="31" t="n"/>
      <c r="D981" s="31" t="n"/>
      <c r="E981" s="31" t="n"/>
      <c r="F981" s="31" t="n"/>
      <c r="G981" s="36" t="n"/>
      <c r="H981" s="32" t="n"/>
      <c r="I981" s="32" t="n"/>
      <c r="J981" s="35">
        <f>IF(A981="","",MONTH(A981))</f>
        <v/>
      </c>
      <c r="K981" s="35">
        <f>IF(A981="","",YEAR(A981))</f>
        <v/>
      </c>
    </row>
    <row r="982">
      <c r="A982" s="39" t="n"/>
      <c r="B982" s="32" t="n"/>
      <c r="C982" s="31" t="n"/>
      <c r="D982" s="31" t="n"/>
      <c r="E982" s="31" t="n"/>
      <c r="F982" s="31" t="n"/>
      <c r="G982" s="36" t="n"/>
      <c r="H982" s="32" t="n"/>
      <c r="I982" s="32" t="n"/>
      <c r="J982" s="35">
        <f>IF(A982="","",MONTH(A982))</f>
        <v/>
      </c>
      <c r="K982" s="35">
        <f>IF(A982="","",YEAR(A982))</f>
        <v/>
      </c>
    </row>
    <row r="983">
      <c r="A983" s="39" t="n"/>
      <c r="B983" s="32" t="n"/>
      <c r="C983" s="31" t="n"/>
      <c r="D983" s="31" t="n"/>
      <c r="E983" s="31" t="n"/>
      <c r="F983" s="31" t="n"/>
      <c r="G983" s="36" t="n"/>
      <c r="H983" s="32" t="n"/>
      <c r="I983" s="32" t="n"/>
      <c r="J983" s="35">
        <f>IF(A983="","",MONTH(A983))</f>
        <v/>
      </c>
      <c r="K983" s="35">
        <f>IF(A983="","",YEAR(A983))</f>
        <v/>
      </c>
    </row>
    <row r="984">
      <c r="A984" s="39" t="n"/>
      <c r="B984" s="32" t="n"/>
      <c r="C984" s="31" t="n"/>
      <c r="D984" s="31" t="n"/>
      <c r="E984" s="31" t="n"/>
      <c r="F984" s="31" t="n"/>
      <c r="G984" s="36" t="n"/>
      <c r="H984" s="32" t="n"/>
      <c r="I984" s="32" t="n"/>
      <c r="J984" s="35">
        <f>IF(A984="","",MONTH(A984))</f>
        <v/>
      </c>
      <c r="K984" s="35">
        <f>IF(A984="","",YEAR(A984))</f>
        <v/>
      </c>
    </row>
    <row r="985">
      <c r="A985" s="39" t="n"/>
      <c r="B985" s="32" t="n"/>
      <c r="C985" s="31" t="n"/>
      <c r="D985" s="31" t="n"/>
      <c r="E985" s="31" t="n"/>
      <c r="F985" s="31" t="n"/>
      <c r="G985" s="36" t="n"/>
      <c r="H985" s="32" t="n"/>
      <c r="I985" s="32" t="n"/>
      <c r="J985" s="35">
        <f>IF(A985="","",MONTH(A985))</f>
        <v/>
      </c>
      <c r="K985" s="35">
        <f>IF(A985="","",YEAR(A985))</f>
        <v/>
      </c>
    </row>
    <row r="986">
      <c r="A986" s="39" t="n"/>
      <c r="B986" s="32" t="n"/>
      <c r="C986" s="31" t="n"/>
      <c r="D986" s="31" t="n"/>
      <c r="E986" s="31" t="n"/>
      <c r="F986" s="31" t="n"/>
      <c r="G986" s="36" t="n"/>
      <c r="H986" s="32" t="n"/>
      <c r="I986" s="32" t="n"/>
      <c r="J986" s="35">
        <f>IF(A986="","",MONTH(A986))</f>
        <v/>
      </c>
      <c r="K986" s="35">
        <f>IF(A986="","",YEAR(A986))</f>
        <v/>
      </c>
    </row>
    <row r="987">
      <c r="A987" s="39" t="n"/>
      <c r="B987" s="32" t="n"/>
      <c r="C987" s="31" t="n"/>
      <c r="D987" s="31" t="n"/>
      <c r="E987" s="31" t="n"/>
      <c r="F987" s="31" t="n"/>
      <c r="G987" s="36" t="n"/>
      <c r="H987" s="32" t="n"/>
      <c r="I987" s="32" t="n"/>
      <c r="J987" s="35">
        <f>IF(A987="","",MONTH(A987))</f>
        <v/>
      </c>
      <c r="K987" s="35">
        <f>IF(A987="","",YEAR(A987))</f>
        <v/>
      </c>
    </row>
    <row r="988">
      <c r="A988" s="39" t="n"/>
      <c r="B988" s="32" t="n"/>
      <c r="C988" s="31" t="n"/>
      <c r="D988" s="31" t="n"/>
      <c r="E988" s="31" t="n"/>
      <c r="F988" s="31" t="n"/>
      <c r="G988" s="36" t="n"/>
      <c r="H988" s="32" t="n"/>
      <c r="I988" s="32" t="n"/>
      <c r="J988" s="35">
        <f>IF(A988="","",MONTH(A988))</f>
        <v/>
      </c>
      <c r="K988" s="35">
        <f>IF(A988="","",YEAR(A988))</f>
        <v/>
      </c>
    </row>
    <row r="989">
      <c r="A989" s="39" t="n"/>
      <c r="B989" s="32" t="n"/>
      <c r="C989" s="31" t="n"/>
      <c r="D989" s="31" t="n"/>
      <c r="E989" s="31" t="n"/>
      <c r="F989" s="31" t="n"/>
      <c r="G989" s="36" t="n"/>
      <c r="H989" s="32" t="n"/>
      <c r="I989" s="32" t="n"/>
      <c r="J989" s="35">
        <f>IF(A989="","",MONTH(A989))</f>
        <v/>
      </c>
      <c r="K989" s="35">
        <f>IF(A989="","",YEAR(A989))</f>
        <v/>
      </c>
    </row>
    <row r="990">
      <c r="A990" s="39" t="n"/>
      <c r="B990" s="32" t="n"/>
      <c r="C990" s="31" t="n"/>
      <c r="D990" s="31" t="n"/>
      <c r="E990" s="31" t="n"/>
      <c r="F990" s="31" t="n"/>
      <c r="G990" s="36" t="n"/>
      <c r="H990" s="32" t="n"/>
      <c r="I990" s="32" t="n"/>
      <c r="J990" s="35">
        <f>IF(A990="","",MONTH(A990))</f>
        <v/>
      </c>
      <c r="K990" s="35">
        <f>IF(A990="","",YEAR(A990))</f>
        <v/>
      </c>
    </row>
    <row r="991">
      <c r="A991" s="39" t="n"/>
      <c r="B991" s="32" t="n"/>
      <c r="C991" s="31" t="n"/>
      <c r="D991" s="31" t="n"/>
      <c r="E991" s="31" t="n"/>
      <c r="F991" s="31" t="n"/>
      <c r="G991" s="36" t="n"/>
      <c r="H991" s="32" t="n"/>
      <c r="I991" s="32" t="n"/>
      <c r="J991" s="35">
        <f>IF(A991="","",MONTH(A991))</f>
        <v/>
      </c>
      <c r="K991" s="35">
        <f>IF(A991="","",YEAR(A991))</f>
        <v/>
      </c>
    </row>
    <row r="992">
      <c r="A992" s="39" t="n"/>
      <c r="B992" s="32" t="n"/>
      <c r="C992" s="31" t="n"/>
      <c r="D992" s="31" t="n"/>
      <c r="E992" s="31" t="n"/>
      <c r="F992" s="31" t="n"/>
      <c r="G992" s="36" t="n"/>
      <c r="H992" s="32" t="n"/>
      <c r="I992" s="32" t="n"/>
      <c r="J992" s="35">
        <f>IF(A992="","",MONTH(A992))</f>
        <v/>
      </c>
      <c r="K992" s="35">
        <f>IF(A992="","",YEAR(A992))</f>
        <v/>
      </c>
    </row>
    <row r="993">
      <c r="A993" s="39" t="n"/>
      <c r="B993" s="32" t="n"/>
      <c r="C993" s="31" t="n"/>
      <c r="D993" s="31" t="n"/>
      <c r="E993" s="31" t="n"/>
      <c r="F993" s="31" t="n"/>
      <c r="G993" s="36" t="n"/>
      <c r="H993" s="32" t="n"/>
      <c r="I993" s="32" t="n"/>
      <c r="J993" s="35">
        <f>IF(A993="","",MONTH(A993))</f>
        <v/>
      </c>
      <c r="K993" s="35">
        <f>IF(A993="","",YEAR(A993))</f>
        <v/>
      </c>
    </row>
    <row r="994">
      <c r="A994" s="39" t="n"/>
      <c r="B994" s="32" t="n"/>
      <c r="C994" s="31" t="n"/>
      <c r="D994" s="31" t="n"/>
      <c r="E994" s="31" t="n"/>
      <c r="F994" s="31" t="n"/>
      <c r="G994" s="36" t="n"/>
      <c r="H994" s="32" t="n"/>
      <c r="I994" s="32" t="n"/>
      <c r="J994" s="35">
        <f>IF(A994="","",MONTH(A994))</f>
        <v/>
      </c>
      <c r="K994" s="35">
        <f>IF(A994="","",YEAR(A994))</f>
        <v/>
      </c>
    </row>
    <row r="995">
      <c r="A995" s="39" t="n"/>
      <c r="B995" s="32" t="n"/>
      <c r="C995" s="31" t="n"/>
      <c r="D995" s="31" t="n"/>
      <c r="E995" s="31" t="n"/>
      <c r="F995" s="31" t="n"/>
      <c r="G995" s="36" t="n"/>
      <c r="H995" s="32" t="n"/>
      <c r="I995" s="32" t="n"/>
      <c r="J995" s="35">
        <f>IF(A995="","",MONTH(A995))</f>
        <v/>
      </c>
      <c r="K995" s="35">
        <f>IF(A995="","",YEAR(A995))</f>
        <v/>
      </c>
    </row>
    <row r="996">
      <c r="A996" s="39" t="n"/>
      <c r="B996" s="32" t="n"/>
      <c r="C996" s="31" t="n"/>
      <c r="D996" s="31" t="n"/>
      <c r="E996" s="31" t="n"/>
      <c r="F996" s="31" t="n"/>
      <c r="G996" s="36" t="n"/>
      <c r="H996" s="32" t="n"/>
      <c r="I996" s="32" t="n"/>
      <c r="J996" s="35">
        <f>IF(A996="","",MONTH(A996))</f>
        <v/>
      </c>
      <c r="K996" s="35">
        <f>IF(A996="","",YEAR(A996))</f>
        <v/>
      </c>
    </row>
    <row r="997">
      <c r="A997" s="39" t="n"/>
      <c r="B997" s="32" t="n"/>
      <c r="C997" s="31" t="n"/>
      <c r="D997" s="31" t="n"/>
      <c r="E997" s="31" t="n"/>
      <c r="F997" s="31" t="n"/>
      <c r="G997" s="36" t="n"/>
      <c r="H997" s="32" t="n"/>
      <c r="I997" s="32" t="n"/>
      <c r="J997" s="35">
        <f>IF(A997="","",MONTH(A997))</f>
        <v/>
      </c>
      <c r="K997" s="35">
        <f>IF(A997="","",YEAR(A997))</f>
        <v/>
      </c>
    </row>
    <row r="998">
      <c r="A998" s="39" t="n"/>
      <c r="B998" s="32" t="n"/>
      <c r="C998" s="31" t="n"/>
      <c r="D998" s="31" t="n"/>
      <c r="E998" s="31" t="n"/>
      <c r="F998" s="31" t="n"/>
      <c r="G998" s="36" t="n"/>
      <c r="H998" s="32" t="n"/>
      <c r="I998" s="32" t="n"/>
      <c r="J998" s="35">
        <f>IF(A998="","",MONTH(A998))</f>
        <v/>
      </c>
      <c r="K998" s="35">
        <f>IF(A998="","",YEAR(A998))</f>
        <v/>
      </c>
    </row>
    <row r="999">
      <c r="A999" s="39" t="n"/>
      <c r="B999" s="32" t="n"/>
      <c r="C999" s="31" t="n"/>
      <c r="D999" s="31" t="n"/>
      <c r="E999" s="31" t="n"/>
      <c r="F999" s="31" t="n"/>
      <c r="G999" s="36" t="n"/>
      <c r="H999" s="32" t="n"/>
      <c r="I999" s="32" t="n"/>
      <c r="J999" s="35">
        <f>IF(A999="","",MONTH(A999))</f>
        <v/>
      </c>
      <c r="K999" s="35">
        <f>IF(A999="","",YEAR(A999))</f>
        <v/>
      </c>
    </row>
    <row r="1000">
      <c r="A1000" s="39" t="n"/>
      <c r="B1000" s="32" t="n"/>
      <c r="C1000" s="31" t="n"/>
      <c r="D1000" s="31" t="n"/>
      <c r="E1000" s="31" t="n"/>
      <c r="F1000" s="31" t="n"/>
      <c r="G1000" s="36" t="n"/>
      <c r="H1000" s="32" t="n"/>
      <c r="I1000" s="32" t="n"/>
      <c r="J1000" s="35">
        <f>IF(A1000="","",MONTH(A1000))</f>
        <v/>
      </c>
      <c r="K1000" s="35">
        <f>IF(A1000="","",YEAR(A1000))</f>
        <v/>
      </c>
    </row>
    <row r="1001">
      <c r="A1001" s="39" t="n"/>
      <c r="B1001" s="32" t="n"/>
      <c r="C1001" s="31" t="n"/>
      <c r="D1001" s="31" t="n"/>
      <c r="E1001" s="31" t="n"/>
      <c r="F1001" s="31" t="n"/>
      <c r="G1001" s="36" t="n"/>
      <c r="H1001" s="32" t="n"/>
      <c r="I1001" s="32" t="n"/>
      <c r="J1001" s="35">
        <f>IF(A1001="","",MONTH(A1001))</f>
        <v/>
      </c>
      <c r="K1001" s="35">
        <f>IF(A1001="","",YEAR(A1001))</f>
        <v/>
      </c>
    </row>
    <row r="1002">
      <c r="A1002" s="39" t="n"/>
      <c r="B1002" s="32" t="n"/>
      <c r="C1002" s="31" t="n"/>
      <c r="D1002" s="31" t="n"/>
      <c r="E1002" s="31" t="n"/>
      <c r="F1002" s="31" t="n"/>
      <c r="G1002" s="36" t="n"/>
      <c r="H1002" s="32" t="n"/>
      <c r="I1002" s="32" t="n"/>
      <c r="J1002" s="35">
        <f>IF(A1002="","",MONTH(A1002))</f>
        <v/>
      </c>
      <c r="K1002" s="35">
        <f>IF(A1002="","",YEAR(A1002))</f>
        <v/>
      </c>
    </row>
    <row r="1003">
      <c r="A1003" s="39" t="n"/>
      <c r="B1003" s="32" t="n"/>
      <c r="C1003" s="31" t="n"/>
      <c r="D1003" s="31" t="n"/>
      <c r="E1003" s="31" t="n"/>
      <c r="F1003" s="31" t="n"/>
      <c r="G1003" s="36" t="n"/>
      <c r="H1003" s="32" t="n"/>
      <c r="I1003" s="32" t="n"/>
      <c r="J1003" s="35">
        <f>IF(A1003="","",MONTH(A1003))</f>
        <v/>
      </c>
      <c r="K1003" s="35">
        <f>IF(A1003="","",YEAR(A1003))</f>
        <v/>
      </c>
    </row>
    <row r="1004">
      <c r="A1004" s="39" t="n"/>
      <c r="B1004" s="32" t="n"/>
      <c r="C1004" s="31" t="n"/>
      <c r="D1004" s="31" t="n"/>
      <c r="E1004" s="31" t="n"/>
      <c r="F1004" s="31" t="n"/>
      <c r="G1004" s="36" t="n"/>
      <c r="H1004" s="32" t="n"/>
      <c r="I1004" s="32" t="n"/>
      <c r="J1004" s="35">
        <f>IF(A1004="","",MONTH(A1004))</f>
        <v/>
      </c>
      <c r="K1004" s="35">
        <f>IF(A1004="","",YEAR(A1004))</f>
        <v/>
      </c>
    </row>
    <row r="1005">
      <c r="A1005" s="39" t="n"/>
      <c r="B1005" s="32" t="n"/>
      <c r="C1005" s="31" t="n"/>
      <c r="D1005" s="31" t="n"/>
      <c r="E1005" s="31" t="n"/>
      <c r="F1005" s="31" t="n"/>
      <c r="G1005" s="36" t="n"/>
      <c r="H1005" s="32" t="n"/>
      <c r="I1005" s="32" t="n"/>
      <c r="J1005" s="35">
        <f>IF(A1005="","",MONTH(A1005))</f>
        <v/>
      </c>
      <c r="K1005" s="35">
        <f>IF(A1005="","",YEAR(A1005))</f>
        <v/>
      </c>
    </row>
    <row r="1006">
      <c r="A1006" s="39" t="n"/>
      <c r="B1006" s="32" t="n"/>
      <c r="C1006" s="31" t="n"/>
      <c r="D1006" s="31" t="n"/>
      <c r="E1006" s="31" t="n"/>
      <c r="F1006" s="31" t="n"/>
      <c r="G1006" s="36" t="n"/>
      <c r="H1006" s="32" t="n"/>
      <c r="I1006" s="32" t="n"/>
      <c r="J1006" s="35">
        <f>IF(A1006="","",MONTH(A1006))</f>
        <v/>
      </c>
      <c r="K1006" s="35">
        <f>IF(A1006="","",YEAR(A1006))</f>
        <v/>
      </c>
    </row>
    <row r="1007">
      <c r="A1007" s="39" t="n"/>
      <c r="B1007" s="32" t="n"/>
      <c r="C1007" s="31" t="n"/>
      <c r="D1007" s="31" t="n"/>
      <c r="E1007" s="31" t="n"/>
      <c r="F1007" s="31" t="n"/>
      <c r="G1007" s="36" t="n"/>
      <c r="H1007" s="32" t="n"/>
      <c r="I1007" s="32" t="n"/>
      <c r="J1007" s="35">
        <f>IF(A1007="","",MONTH(A1007))</f>
        <v/>
      </c>
      <c r="K1007" s="35">
        <f>IF(A1007="","",YEAR(A1007))</f>
        <v/>
      </c>
    </row>
    <row r="1008">
      <c r="A1008" s="39" t="n"/>
      <c r="B1008" s="32" t="n"/>
      <c r="C1008" s="31" t="n"/>
      <c r="D1008" s="31" t="n"/>
      <c r="E1008" s="31" t="n"/>
      <c r="F1008" s="31" t="n"/>
      <c r="G1008" s="36" t="n"/>
      <c r="H1008" s="32" t="n"/>
      <c r="I1008" s="32" t="n"/>
      <c r="J1008" s="35">
        <f>IF(A1008="","",MONTH(A1008))</f>
        <v/>
      </c>
      <c r="K1008" s="35">
        <f>IF(A1008="","",YEAR(A1008))</f>
        <v/>
      </c>
    </row>
    <row r="1009">
      <c r="A1009" s="39" t="n"/>
      <c r="B1009" s="32" t="n"/>
      <c r="C1009" s="31" t="n"/>
      <c r="D1009" s="31" t="n"/>
      <c r="E1009" s="31" t="n"/>
      <c r="F1009" s="31" t="n"/>
      <c r="G1009" s="36" t="n"/>
      <c r="H1009" s="32" t="n"/>
      <c r="I1009" s="32" t="n"/>
      <c r="J1009" s="35">
        <f>IF(A1009="","",MONTH(A1009))</f>
        <v/>
      </c>
      <c r="K1009" s="35">
        <f>IF(A1009="","",YEAR(A1009))</f>
        <v/>
      </c>
    </row>
    <row r="1010">
      <c r="A1010" s="39" t="n"/>
      <c r="B1010" s="32" t="n"/>
      <c r="C1010" s="31" t="n"/>
      <c r="D1010" s="31" t="n"/>
      <c r="E1010" s="31" t="n"/>
      <c r="F1010" s="31" t="n"/>
      <c r="G1010" s="36" t="n"/>
      <c r="H1010" s="32" t="n"/>
      <c r="I1010" s="32" t="n"/>
      <c r="J1010" s="35">
        <f>IF(A1010="","",MONTH(A1010))</f>
        <v/>
      </c>
      <c r="K1010" s="35">
        <f>IF(A1010="","",YEAR(A1010))</f>
        <v/>
      </c>
    </row>
    <row r="1011">
      <c r="A1011" s="39" t="n"/>
      <c r="B1011" s="32" t="n"/>
      <c r="C1011" s="31" t="n"/>
      <c r="D1011" s="31" t="n"/>
      <c r="E1011" s="31" t="n"/>
      <c r="F1011" s="31" t="n"/>
      <c r="G1011" s="36" t="n"/>
      <c r="H1011" s="32" t="n"/>
      <c r="I1011" s="32" t="n"/>
      <c r="J1011" s="35">
        <f>IF(A1011="","",MONTH(A1011))</f>
        <v/>
      </c>
      <c r="K1011" s="35">
        <f>IF(A1011="","",YEAR(A1011))</f>
        <v/>
      </c>
    </row>
    <row r="1012">
      <c r="A1012" s="39" t="n"/>
      <c r="B1012" s="32" t="n"/>
      <c r="C1012" s="31" t="n"/>
      <c r="D1012" s="31" t="n"/>
      <c r="E1012" s="31" t="n"/>
      <c r="F1012" s="31" t="n"/>
      <c r="G1012" s="36" t="n"/>
      <c r="H1012" s="32" t="n"/>
      <c r="I1012" s="32" t="n"/>
      <c r="J1012" s="35">
        <f>IF(A1012="","",MONTH(A1012))</f>
        <v/>
      </c>
      <c r="K1012" s="35">
        <f>IF(A1012="","",YEAR(A1012))</f>
        <v/>
      </c>
    </row>
    <row r="1013">
      <c r="A1013" s="39" t="n"/>
      <c r="B1013" s="32" t="n"/>
      <c r="C1013" s="31" t="n"/>
      <c r="D1013" s="31" t="n"/>
      <c r="E1013" s="31" t="n"/>
      <c r="F1013" s="31" t="n"/>
      <c r="G1013" s="36" t="n"/>
      <c r="H1013" s="32" t="n"/>
      <c r="I1013" s="32" t="n"/>
      <c r="J1013" s="35">
        <f>IF(A1013="","",MONTH(A1013))</f>
        <v/>
      </c>
      <c r="K1013" s="35">
        <f>IF(A1013="","",YEAR(A1013))</f>
        <v/>
      </c>
    </row>
    <row r="1014">
      <c r="A1014" s="39" t="n"/>
      <c r="B1014" s="32" t="n"/>
      <c r="C1014" s="31" t="n"/>
      <c r="D1014" s="31" t="n"/>
      <c r="E1014" s="31" t="n"/>
      <c r="F1014" s="31" t="n"/>
      <c r="G1014" s="36" t="n"/>
      <c r="H1014" s="32" t="n"/>
      <c r="I1014" s="32" t="n"/>
      <c r="J1014" s="35">
        <f>IF(A1014="","",MONTH(A1014))</f>
        <v/>
      </c>
      <c r="K1014" s="35">
        <f>IF(A1014="","",YEAR(A1014))</f>
        <v/>
      </c>
    </row>
    <row r="1015">
      <c r="A1015" s="39" t="n"/>
      <c r="B1015" s="32" t="n"/>
      <c r="C1015" s="31" t="n"/>
      <c r="D1015" s="31" t="n"/>
      <c r="E1015" s="31" t="n"/>
      <c r="F1015" s="31" t="n"/>
      <c r="G1015" s="36" t="n"/>
      <c r="H1015" s="32" t="n"/>
      <c r="I1015" s="32" t="n"/>
      <c r="J1015" s="35">
        <f>IF(A1015="","",MONTH(A1015))</f>
        <v/>
      </c>
      <c r="K1015" s="35">
        <f>IF(A1015="","",YEAR(A1015))</f>
        <v/>
      </c>
    </row>
    <row r="1016">
      <c r="A1016" s="39" t="n"/>
      <c r="B1016" s="32" t="n"/>
      <c r="C1016" s="31" t="n"/>
      <c r="D1016" s="31" t="n"/>
      <c r="E1016" s="31" t="n"/>
      <c r="F1016" s="31" t="n"/>
      <c r="G1016" s="36" t="n"/>
      <c r="H1016" s="32" t="n"/>
      <c r="I1016" s="32" t="n"/>
      <c r="J1016" s="35">
        <f>IF(A1016="","",MONTH(A1016))</f>
        <v/>
      </c>
      <c r="K1016" s="35">
        <f>IF(A1016="","",YEAR(A1016))</f>
        <v/>
      </c>
    </row>
    <row r="1017">
      <c r="A1017" s="39" t="n"/>
      <c r="B1017" s="32" t="n"/>
      <c r="C1017" s="31" t="n"/>
      <c r="D1017" s="31" t="n"/>
      <c r="E1017" s="31" t="n"/>
      <c r="F1017" s="31" t="n"/>
      <c r="G1017" s="36" t="n"/>
      <c r="H1017" s="32" t="n"/>
      <c r="I1017" s="32" t="n"/>
      <c r="J1017" s="35">
        <f>IF(A1017="","",MONTH(A1017))</f>
        <v/>
      </c>
      <c r="K1017" s="35">
        <f>IF(A1017="","",YEAR(A1017))</f>
        <v/>
      </c>
    </row>
    <row r="1018">
      <c r="A1018" s="39" t="n"/>
      <c r="B1018" s="32" t="n"/>
      <c r="C1018" s="31" t="n"/>
      <c r="D1018" s="31" t="n"/>
      <c r="E1018" s="31" t="n"/>
      <c r="F1018" s="31" t="n"/>
      <c r="G1018" s="36" t="n"/>
      <c r="H1018" s="32" t="n"/>
      <c r="I1018" s="32" t="n"/>
      <c r="J1018" s="35">
        <f>IF(A1018="","",MONTH(A1018))</f>
        <v/>
      </c>
      <c r="K1018" s="35">
        <f>IF(A1018="","",YEAR(A1018))</f>
        <v/>
      </c>
    </row>
    <row r="1019">
      <c r="A1019" s="39" t="n"/>
      <c r="B1019" s="32" t="n"/>
      <c r="C1019" s="31" t="n"/>
      <c r="D1019" s="31" t="n"/>
      <c r="E1019" s="31" t="n"/>
      <c r="F1019" s="31" t="n"/>
      <c r="G1019" s="36" t="n"/>
      <c r="H1019" s="32" t="n"/>
      <c r="I1019" s="32" t="n"/>
      <c r="J1019" s="35">
        <f>IF(A1019="","",MONTH(A1019))</f>
        <v/>
      </c>
      <c r="K1019" s="35">
        <f>IF(A1019="","",YEAR(A1019))</f>
        <v/>
      </c>
    </row>
    <row r="1020">
      <c r="A1020" s="39" t="n"/>
      <c r="B1020" s="32" t="n"/>
      <c r="C1020" s="31" t="n"/>
      <c r="D1020" s="31" t="n"/>
      <c r="E1020" s="31" t="n"/>
      <c r="F1020" s="31" t="n"/>
      <c r="G1020" s="36" t="n"/>
      <c r="H1020" s="32" t="n"/>
      <c r="I1020" s="32" t="n"/>
      <c r="J1020" s="35">
        <f>IF(A1020="","",MONTH(A1020))</f>
        <v/>
      </c>
      <c r="K1020" s="35">
        <f>IF(A1020="","",YEAR(A1020))</f>
        <v/>
      </c>
    </row>
    <row r="1021">
      <c r="A1021" s="39" t="n"/>
      <c r="B1021" s="32" t="n"/>
      <c r="C1021" s="31" t="n"/>
      <c r="D1021" s="31" t="n"/>
      <c r="E1021" s="31" t="n"/>
      <c r="F1021" s="31" t="n"/>
      <c r="G1021" s="36" t="n"/>
      <c r="H1021" s="32" t="n"/>
      <c r="I1021" s="32" t="n"/>
      <c r="J1021" s="35">
        <f>IF(A1021="","",MONTH(A1021))</f>
        <v/>
      </c>
      <c r="K1021" s="35">
        <f>IF(A1021="","",YEAR(A1021))</f>
        <v/>
      </c>
    </row>
    <row r="1022">
      <c r="A1022" s="39" t="n"/>
      <c r="B1022" s="32" t="n"/>
      <c r="C1022" s="31" t="n"/>
      <c r="D1022" s="31" t="n"/>
      <c r="E1022" s="31" t="n"/>
      <c r="F1022" s="31" t="n"/>
      <c r="G1022" s="36" t="n"/>
      <c r="H1022" s="32" t="n"/>
      <c r="I1022" s="32" t="n"/>
      <c r="J1022" s="35">
        <f>IF(A1022="","",MONTH(A1022))</f>
        <v/>
      </c>
      <c r="K1022" s="35">
        <f>IF(A1022="","",YEAR(A1022))</f>
        <v/>
      </c>
    </row>
    <row r="1023">
      <c r="A1023" s="39" t="n"/>
      <c r="B1023" s="32" t="n"/>
      <c r="C1023" s="31" t="n"/>
      <c r="D1023" s="31" t="n"/>
      <c r="E1023" s="31" t="n"/>
      <c r="F1023" s="31" t="n"/>
      <c r="G1023" s="36" t="n"/>
      <c r="H1023" s="32" t="n"/>
      <c r="I1023" s="32" t="n"/>
      <c r="J1023" s="35">
        <f>IF(A1023="","",MONTH(A1023))</f>
        <v/>
      </c>
      <c r="K1023" s="35">
        <f>IF(A1023="","",YEAR(A1023))</f>
        <v/>
      </c>
    </row>
    <row r="1024">
      <c r="A1024" s="39" t="n"/>
      <c r="B1024" s="32" t="n"/>
      <c r="C1024" s="31" t="n"/>
      <c r="D1024" s="31" t="n"/>
      <c r="E1024" s="31" t="n"/>
      <c r="F1024" s="31" t="n"/>
      <c r="G1024" s="36" t="n"/>
      <c r="H1024" s="32" t="n"/>
      <c r="I1024" s="32" t="n"/>
      <c r="J1024" s="35">
        <f>IF(A1024="","",MONTH(A1024))</f>
        <v/>
      </c>
      <c r="K1024" s="35">
        <f>IF(A1024="","",YEAR(A1024))</f>
        <v/>
      </c>
    </row>
    <row r="1025">
      <c r="A1025" s="39" t="n"/>
      <c r="B1025" s="32" t="n"/>
      <c r="C1025" s="31" t="n"/>
      <c r="D1025" s="31" t="n"/>
      <c r="E1025" s="31" t="n"/>
      <c r="F1025" s="31" t="n"/>
      <c r="G1025" s="36" t="n"/>
      <c r="H1025" s="32" t="n"/>
      <c r="I1025" s="32" t="n"/>
      <c r="J1025" s="35">
        <f>IF(A1025="","",MONTH(A1025))</f>
        <v/>
      </c>
      <c r="K1025" s="35">
        <f>IF(A1025="","",YEAR(A1025))</f>
        <v/>
      </c>
    </row>
    <row r="1026">
      <c r="A1026" s="39" t="n"/>
      <c r="B1026" s="32" t="n"/>
      <c r="C1026" s="31" t="n"/>
      <c r="D1026" s="31" t="n"/>
      <c r="E1026" s="31" t="n"/>
      <c r="F1026" s="31" t="n"/>
      <c r="G1026" s="36" t="n"/>
      <c r="H1026" s="32" t="n"/>
      <c r="I1026" s="32" t="n"/>
      <c r="J1026" s="35">
        <f>IF(A1026="","",MONTH(A1026))</f>
        <v/>
      </c>
      <c r="K1026" s="35">
        <f>IF(A1026="","",YEAR(A1026))</f>
        <v/>
      </c>
    </row>
    <row r="1027">
      <c r="A1027" s="39" t="n"/>
      <c r="B1027" s="32" t="n"/>
      <c r="C1027" s="31" t="n"/>
      <c r="D1027" s="31" t="n"/>
      <c r="E1027" s="31" t="n"/>
      <c r="F1027" s="31" t="n"/>
      <c r="G1027" s="36" t="n"/>
      <c r="H1027" s="32" t="n"/>
      <c r="I1027" s="32" t="n"/>
      <c r="J1027" s="35">
        <f>IF(A1027="","",MONTH(A1027))</f>
        <v/>
      </c>
      <c r="K1027" s="35">
        <f>IF(A1027="","",YEAR(A1027))</f>
        <v/>
      </c>
    </row>
    <row r="1028">
      <c r="A1028" s="39" t="n"/>
      <c r="B1028" s="32" t="n"/>
      <c r="C1028" s="31" t="n"/>
      <c r="D1028" s="31" t="n"/>
      <c r="E1028" s="31" t="n"/>
      <c r="F1028" s="31" t="n"/>
      <c r="G1028" s="36" t="n"/>
      <c r="H1028" s="32" t="n"/>
      <c r="I1028" s="32" t="n"/>
      <c r="J1028" s="35">
        <f>IF(A1028="","",MONTH(A1028))</f>
        <v/>
      </c>
      <c r="K1028" s="35">
        <f>IF(A1028="","",YEAR(A1028))</f>
        <v/>
      </c>
    </row>
    <row r="1029">
      <c r="A1029" s="39" t="n"/>
      <c r="B1029" s="32" t="n"/>
      <c r="C1029" s="31" t="n"/>
      <c r="D1029" s="31" t="n"/>
      <c r="E1029" s="31" t="n"/>
      <c r="F1029" s="31" t="n"/>
      <c r="G1029" s="36" t="n"/>
      <c r="H1029" s="32" t="n"/>
      <c r="I1029" s="32" t="n"/>
      <c r="J1029" s="35">
        <f>IF(A1029="","",MONTH(A1029))</f>
        <v/>
      </c>
      <c r="K1029" s="35">
        <f>IF(A1029="","",YEAR(A1029))</f>
        <v/>
      </c>
    </row>
    <row r="1030">
      <c r="A1030" s="39" t="n"/>
      <c r="B1030" s="32" t="n"/>
      <c r="C1030" s="31" t="n"/>
      <c r="D1030" s="31" t="n"/>
      <c r="E1030" s="31" t="n"/>
      <c r="F1030" s="31" t="n"/>
      <c r="G1030" s="36" t="n"/>
      <c r="H1030" s="32" t="n"/>
      <c r="I1030" s="32" t="n"/>
      <c r="J1030" s="35">
        <f>IF(A1030="","",MONTH(A1030))</f>
        <v/>
      </c>
      <c r="K1030" s="35">
        <f>IF(A1030="","",YEAR(A1030))</f>
        <v/>
      </c>
    </row>
    <row r="1031">
      <c r="A1031" s="39" t="n"/>
      <c r="B1031" s="32" t="n"/>
      <c r="C1031" s="31" t="n"/>
      <c r="D1031" s="31" t="n"/>
      <c r="E1031" s="31" t="n"/>
      <c r="F1031" s="31" t="n"/>
      <c r="G1031" s="36" t="n"/>
      <c r="H1031" s="32" t="n"/>
      <c r="I1031" s="32" t="n"/>
      <c r="J1031" s="35">
        <f>IF(A1031="","",MONTH(A1031))</f>
        <v/>
      </c>
      <c r="K1031" s="35">
        <f>IF(A1031="","",YEAR(A1031))</f>
        <v/>
      </c>
    </row>
    <row r="1032">
      <c r="A1032" s="39" t="n"/>
      <c r="B1032" s="32" t="n"/>
      <c r="C1032" s="31" t="n"/>
      <c r="D1032" s="31" t="n"/>
      <c r="E1032" s="31" t="n"/>
      <c r="F1032" s="31" t="n"/>
      <c r="G1032" s="36" t="n"/>
      <c r="H1032" s="32" t="n"/>
      <c r="I1032" s="32" t="n"/>
      <c r="J1032" s="35">
        <f>IF(A1032="","",MONTH(A1032))</f>
        <v/>
      </c>
      <c r="K1032" s="35">
        <f>IF(A1032="","",YEAR(A1032))</f>
        <v/>
      </c>
    </row>
    <row r="1033">
      <c r="A1033" s="39" t="n"/>
      <c r="B1033" s="32" t="n"/>
      <c r="C1033" s="31" t="n"/>
      <c r="D1033" s="31" t="n"/>
      <c r="E1033" s="31" t="n"/>
      <c r="F1033" s="31" t="n"/>
      <c r="G1033" s="36" t="n"/>
      <c r="H1033" s="32" t="n"/>
      <c r="I1033" s="32" t="n"/>
      <c r="J1033" s="35">
        <f>IF(A1033="","",MONTH(A1033))</f>
        <v/>
      </c>
      <c r="K1033" s="35">
        <f>IF(A1033="","",YEAR(A1033))</f>
        <v/>
      </c>
    </row>
    <row r="1034">
      <c r="A1034" s="39" t="n"/>
      <c r="B1034" s="32" t="n"/>
      <c r="C1034" s="31" t="n"/>
      <c r="D1034" s="31" t="n"/>
      <c r="E1034" s="31" t="n"/>
      <c r="F1034" s="31" t="n"/>
      <c r="G1034" s="36" t="n"/>
      <c r="H1034" s="32" t="n"/>
      <c r="I1034" s="32" t="n"/>
      <c r="J1034" s="35">
        <f>IF(A1034="","",MONTH(A1034))</f>
        <v/>
      </c>
      <c r="K1034" s="35">
        <f>IF(A1034="","",YEAR(A1034))</f>
        <v/>
      </c>
    </row>
    <row r="1035">
      <c r="A1035" s="39" t="n"/>
      <c r="B1035" s="32" t="n"/>
      <c r="C1035" s="31" t="n"/>
      <c r="D1035" s="31" t="n"/>
      <c r="E1035" s="31" t="n"/>
      <c r="F1035" s="31" t="n"/>
      <c r="G1035" s="36" t="n"/>
      <c r="H1035" s="32" t="n"/>
      <c r="I1035" s="32" t="n"/>
      <c r="J1035" s="35">
        <f>IF(A1035="","",MONTH(A1035))</f>
        <v/>
      </c>
      <c r="K1035" s="35">
        <f>IF(A1035="","",YEAR(A1035))</f>
        <v/>
      </c>
    </row>
    <row r="1036">
      <c r="A1036" s="39" t="n"/>
      <c r="B1036" s="32" t="n"/>
      <c r="C1036" s="31" t="n"/>
      <c r="D1036" s="31" t="n"/>
      <c r="E1036" s="31" t="n"/>
      <c r="F1036" s="31" t="n"/>
      <c r="G1036" s="36" t="n"/>
      <c r="H1036" s="32" t="n"/>
      <c r="I1036" s="32" t="n"/>
      <c r="J1036" s="35">
        <f>IF(A1036="","",MONTH(A1036))</f>
        <v/>
      </c>
      <c r="K1036" s="35">
        <f>IF(A1036="","",YEAR(A1036))</f>
        <v/>
      </c>
    </row>
    <row r="1037">
      <c r="A1037" s="39" t="n"/>
      <c r="B1037" s="32" t="n"/>
      <c r="C1037" s="31" t="n"/>
      <c r="D1037" s="31" t="n"/>
      <c r="E1037" s="31" t="n"/>
      <c r="F1037" s="31" t="n"/>
      <c r="G1037" s="36" t="n"/>
      <c r="H1037" s="32" t="n"/>
      <c r="I1037" s="32" t="n"/>
      <c r="J1037" s="35">
        <f>IF(A1037="","",MONTH(A1037))</f>
        <v/>
      </c>
      <c r="K1037" s="35">
        <f>IF(A1037="","",YEAR(A1037))</f>
        <v/>
      </c>
    </row>
    <row r="1038">
      <c r="A1038" s="39" t="n"/>
      <c r="B1038" s="32" t="n"/>
      <c r="C1038" s="31" t="n"/>
      <c r="D1038" s="31" t="n"/>
      <c r="E1038" s="31" t="n"/>
      <c r="F1038" s="31" t="n"/>
      <c r="G1038" s="36" t="n"/>
      <c r="H1038" s="32" t="n"/>
      <c r="I1038" s="32" t="n"/>
      <c r="J1038" s="35">
        <f>IF(A1038="","",MONTH(A1038))</f>
        <v/>
      </c>
      <c r="K1038" s="35">
        <f>IF(A1038="","",YEAR(A1038))</f>
        <v/>
      </c>
    </row>
    <row r="1039">
      <c r="A1039" s="39" t="n"/>
      <c r="B1039" s="32" t="n"/>
      <c r="C1039" s="31" t="n"/>
      <c r="D1039" s="31" t="n"/>
      <c r="E1039" s="31" t="n"/>
      <c r="F1039" s="31" t="n"/>
      <c r="G1039" s="36" t="n"/>
      <c r="H1039" s="32" t="n"/>
      <c r="I1039" s="32" t="n"/>
      <c r="J1039" s="35">
        <f>IF(A1039="","",MONTH(A1039))</f>
        <v/>
      </c>
      <c r="K1039" s="35">
        <f>IF(A1039="","",YEAR(A1039))</f>
        <v/>
      </c>
    </row>
    <row r="1040">
      <c r="A1040" s="39" t="n"/>
      <c r="B1040" s="32" t="n"/>
      <c r="C1040" s="31" t="n"/>
      <c r="D1040" s="31" t="n"/>
      <c r="E1040" s="31" t="n"/>
      <c r="F1040" s="31" t="n"/>
      <c r="G1040" s="36" t="n"/>
      <c r="H1040" s="32" t="n"/>
      <c r="I1040" s="32" t="n"/>
      <c r="J1040" s="35">
        <f>IF(A1040="","",MONTH(A1040))</f>
        <v/>
      </c>
      <c r="K1040" s="35">
        <f>IF(A1040="","",YEAR(A1040))</f>
        <v/>
      </c>
    </row>
    <row r="1041">
      <c r="A1041" s="39" t="n"/>
      <c r="B1041" s="32" t="n"/>
      <c r="C1041" s="31" t="n"/>
      <c r="D1041" s="31" t="n"/>
      <c r="E1041" s="31" t="n"/>
      <c r="F1041" s="31" t="n"/>
      <c r="G1041" s="36" t="n"/>
      <c r="H1041" s="32" t="n"/>
      <c r="I1041" s="32" t="n"/>
      <c r="J1041" s="35">
        <f>IF(A1041="","",MONTH(A1041))</f>
        <v/>
      </c>
      <c r="K1041" s="35">
        <f>IF(A1041="","",YEAR(A1041))</f>
        <v/>
      </c>
    </row>
    <row r="1042">
      <c r="A1042" s="39" t="n"/>
      <c r="B1042" s="32" t="n"/>
      <c r="C1042" s="31" t="n"/>
      <c r="D1042" s="31" t="n"/>
      <c r="E1042" s="31" t="n"/>
      <c r="F1042" s="31" t="n"/>
      <c r="G1042" s="36" t="n"/>
      <c r="H1042" s="32" t="n"/>
      <c r="I1042" s="32" t="n"/>
      <c r="J1042" s="35">
        <f>IF(A1042="","",MONTH(A1042))</f>
        <v/>
      </c>
      <c r="K1042" s="35">
        <f>IF(A1042="","",YEAR(A1042))</f>
        <v/>
      </c>
    </row>
    <row r="1043">
      <c r="A1043" s="39" t="n"/>
      <c r="B1043" s="32" t="n"/>
      <c r="C1043" s="31" t="n"/>
      <c r="D1043" s="31" t="n"/>
      <c r="E1043" s="31" t="n"/>
      <c r="F1043" s="31" t="n"/>
      <c r="G1043" s="36" t="n"/>
      <c r="H1043" s="32" t="n"/>
      <c r="I1043" s="32" t="n"/>
      <c r="J1043" s="35">
        <f>IF(A1043="","",MONTH(A1043))</f>
        <v/>
      </c>
      <c r="K1043" s="35">
        <f>IF(A1043="","",YEAR(A1043))</f>
        <v/>
      </c>
    </row>
    <row r="1044">
      <c r="A1044" s="39" t="n"/>
      <c r="B1044" s="32" t="n"/>
      <c r="C1044" s="31" t="n"/>
      <c r="D1044" s="31" t="n"/>
      <c r="E1044" s="31" t="n"/>
      <c r="F1044" s="31" t="n"/>
      <c r="G1044" s="36" t="n"/>
      <c r="H1044" s="32" t="n"/>
      <c r="I1044" s="32" t="n"/>
      <c r="J1044" s="35">
        <f>IF(A1044="","",MONTH(A1044))</f>
        <v/>
      </c>
      <c r="K1044" s="35">
        <f>IF(A1044="","",YEAR(A1044))</f>
        <v/>
      </c>
    </row>
    <row r="1045">
      <c r="A1045" s="39" t="n"/>
      <c r="B1045" s="32" t="n"/>
      <c r="C1045" s="31" t="n"/>
      <c r="D1045" s="31" t="n"/>
      <c r="E1045" s="31" t="n"/>
      <c r="F1045" s="31" t="n"/>
      <c r="G1045" s="36" t="n"/>
      <c r="H1045" s="32" t="n"/>
      <c r="I1045" s="32" t="n"/>
      <c r="J1045" s="35">
        <f>IF(A1045="","",MONTH(A1045))</f>
        <v/>
      </c>
      <c r="K1045" s="35">
        <f>IF(A1045="","",YEAR(A1045))</f>
        <v/>
      </c>
    </row>
    <row r="1046">
      <c r="A1046" s="39" t="n"/>
      <c r="B1046" s="32" t="n"/>
      <c r="C1046" s="31" t="n"/>
      <c r="D1046" s="31" t="n"/>
      <c r="E1046" s="31" t="n"/>
      <c r="F1046" s="31" t="n"/>
      <c r="G1046" s="36" t="n"/>
      <c r="H1046" s="32" t="n"/>
      <c r="I1046" s="32" t="n"/>
      <c r="J1046" s="35">
        <f>IF(A1046="","",MONTH(A1046))</f>
        <v/>
      </c>
      <c r="K1046" s="35">
        <f>IF(A1046="","",YEAR(A1046))</f>
        <v/>
      </c>
    </row>
    <row r="1047">
      <c r="A1047" s="39" t="n"/>
      <c r="B1047" s="32" t="n"/>
      <c r="C1047" s="31" t="n"/>
      <c r="D1047" s="31" t="n"/>
      <c r="E1047" s="31" t="n"/>
      <c r="F1047" s="31" t="n"/>
      <c r="G1047" s="36" t="n"/>
      <c r="H1047" s="32" t="n"/>
      <c r="I1047" s="32" t="n"/>
      <c r="J1047" s="35">
        <f>IF(A1047="","",MONTH(A1047))</f>
        <v/>
      </c>
      <c r="K1047" s="35">
        <f>IF(A1047="","",YEAR(A1047))</f>
        <v/>
      </c>
    </row>
    <row r="1048">
      <c r="A1048" s="39" t="n"/>
      <c r="B1048" s="32" t="n"/>
      <c r="C1048" s="31" t="n"/>
      <c r="D1048" s="31" t="n"/>
      <c r="E1048" s="31" t="n"/>
      <c r="F1048" s="31" t="n"/>
      <c r="G1048" s="36" t="n"/>
      <c r="H1048" s="32" t="n"/>
      <c r="I1048" s="32" t="n"/>
      <c r="J1048" s="35">
        <f>IF(A1048="","",MONTH(A1048))</f>
        <v/>
      </c>
      <c r="K1048" s="35">
        <f>IF(A1048="","",YEAR(A1048))</f>
        <v/>
      </c>
    </row>
    <row r="1049">
      <c r="A1049" s="39" t="n"/>
      <c r="B1049" s="32" t="n"/>
      <c r="C1049" s="31" t="n"/>
      <c r="D1049" s="31" t="n"/>
      <c r="E1049" s="31" t="n"/>
      <c r="F1049" s="31" t="n"/>
      <c r="G1049" s="36" t="n"/>
      <c r="H1049" s="32" t="n"/>
      <c r="I1049" s="32" t="n"/>
      <c r="J1049" s="35">
        <f>IF(A1049="","",MONTH(A1049))</f>
        <v/>
      </c>
      <c r="K1049" s="35">
        <f>IF(A1049="","",YEAR(A1049))</f>
        <v/>
      </c>
    </row>
    <row r="1050">
      <c r="A1050" s="39" t="n"/>
      <c r="B1050" s="32" t="n"/>
      <c r="C1050" s="31" t="n"/>
      <c r="D1050" s="31" t="n"/>
      <c r="E1050" s="31" t="n"/>
      <c r="F1050" s="31" t="n"/>
      <c r="G1050" s="36" t="n"/>
      <c r="H1050" s="32" t="n"/>
      <c r="I1050" s="32" t="n"/>
      <c r="J1050" s="35">
        <f>IF(A1050="","",MONTH(A1050))</f>
        <v/>
      </c>
      <c r="K1050" s="35">
        <f>IF(A1050="","",YEAR(A1050))</f>
        <v/>
      </c>
    </row>
    <row r="1051">
      <c r="A1051" s="39" t="n"/>
      <c r="B1051" s="32" t="n"/>
      <c r="C1051" s="31" t="n"/>
      <c r="D1051" s="31" t="n"/>
      <c r="E1051" s="31" t="n"/>
      <c r="F1051" s="31" t="n"/>
      <c r="G1051" s="36" t="n"/>
      <c r="H1051" s="32" t="n"/>
      <c r="I1051" s="32" t="n"/>
      <c r="J1051" s="35">
        <f>IF(A1051="","",MONTH(A1051))</f>
        <v/>
      </c>
      <c r="K1051" s="35">
        <f>IF(A1051="","",YEAR(A1051))</f>
        <v/>
      </c>
    </row>
    <row r="1052">
      <c r="A1052" s="39" t="n"/>
      <c r="B1052" s="32" t="n"/>
      <c r="C1052" s="31" t="n"/>
      <c r="D1052" s="31" t="n"/>
      <c r="E1052" s="31" t="n"/>
      <c r="F1052" s="31" t="n"/>
      <c r="G1052" s="36" t="n"/>
      <c r="H1052" s="32" t="n"/>
      <c r="I1052" s="32" t="n"/>
      <c r="J1052" s="35">
        <f>IF(A1052="","",MONTH(A1052))</f>
        <v/>
      </c>
      <c r="K1052" s="35">
        <f>IF(A1052="","",YEAR(A1052))</f>
        <v/>
      </c>
    </row>
    <row r="1053">
      <c r="A1053" s="39" t="n"/>
      <c r="B1053" s="32" t="n"/>
      <c r="C1053" s="31" t="n"/>
      <c r="D1053" s="31" t="n"/>
      <c r="E1053" s="31" t="n"/>
      <c r="F1053" s="31" t="n"/>
      <c r="G1053" s="36" t="n"/>
      <c r="H1053" s="32" t="n"/>
      <c r="I1053" s="32" t="n"/>
      <c r="J1053" s="35">
        <f>IF(A1053="","",MONTH(A1053))</f>
        <v/>
      </c>
      <c r="K1053" s="35">
        <f>IF(A1053="","",YEAR(A1053))</f>
        <v/>
      </c>
    </row>
    <row r="1054">
      <c r="A1054" s="39" t="n"/>
      <c r="B1054" s="32" t="n"/>
      <c r="C1054" s="31" t="n"/>
      <c r="D1054" s="31" t="n"/>
      <c r="E1054" s="31" t="n"/>
      <c r="F1054" s="31" t="n"/>
      <c r="G1054" s="36" t="n"/>
      <c r="H1054" s="32" t="n"/>
      <c r="I1054" s="32" t="n"/>
      <c r="J1054" s="35">
        <f>IF(A1054="","",MONTH(A1054))</f>
        <v/>
      </c>
      <c r="K1054" s="35">
        <f>IF(A1054="","",YEAR(A1054))</f>
        <v/>
      </c>
    </row>
    <row r="1055">
      <c r="A1055" s="39" t="n"/>
      <c r="B1055" s="32" t="n"/>
      <c r="C1055" s="31" t="n"/>
      <c r="D1055" s="31" t="n"/>
      <c r="E1055" s="31" t="n"/>
      <c r="F1055" s="31" t="n"/>
      <c r="G1055" s="36" t="n"/>
      <c r="H1055" s="32" t="n"/>
      <c r="I1055" s="32" t="n"/>
      <c r="J1055" s="35">
        <f>IF(A1055="","",MONTH(A1055))</f>
        <v/>
      </c>
      <c r="K1055" s="35">
        <f>IF(A1055="","",YEAR(A1055))</f>
        <v/>
      </c>
    </row>
    <row r="1056">
      <c r="A1056" s="39" t="n"/>
      <c r="B1056" s="32" t="n"/>
      <c r="C1056" s="31" t="n"/>
      <c r="D1056" s="31" t="n"/>
      <c r="E1056" s="31" t="n"/>
      <c r="F1056" s="31" t="n"/>
      <c r="G1056" s="36" t="n"/>
      <c r="H1056" s="32" t="n"/>
      <c r="I1056" s="32" t="n"/>
      <c r="J1056" s="35">
        <f>IF(A1056="","",MONTH(A1056))</f>
        <v/>
      </c>
      <c r="K1056" s="35">
        <f>IF(A1056="","",YEAR(A1056))</f>
        <v/>
      </c>
    </row>
    <row r="1057">
      <c r="A1057" s="39" t="n"/>
      <c r="B1057" s="32" t="n"/>
      <c r="C1057" s="31" t="n"/>
      <c r="D1057" s="31" t="n"/>
      <c r="E1057" s="31" t="n"/>
      <c r="F1057" s="31" t="n"/>
      <c r="G1057" s="36" t="n"/>
      <c r="H1057" s="32" t="n"/>
      <c r="I1057" s="32" t="n"/>
      <c r="J1057" s="35">
        <f>IF(A1057="","",MONTH(A1057))</f>
        <v/>
      </c>
      <c r="K1057" s="35">
        <f>IF(A1057="","",YEAR(A1057))</f>
        <v/>
      </c>
    </row>
    <row r="1058">
      <c r="A1058" s="39" t="n"/>
      <c r="B1058" s="32" t="n"/>
      <c r="C1058" s="31" t="n"/>
      <c r="D1058" s="31" t="n"/>
      <c r="E1058" s="31" t="n"/>
      <c r="F1058" s="31" t="n"/>
      <c r="G1058" s="36" t="n"/>
      <c r="H1058" s="32" t="n"/>
      <c r="I1058" s="32" t="n"/>
      <c r="J1058" s="35">
        <f>IF(A1058="","",MONTH(A1058))</f>
        <v/>
      </c>
      <c r="K1058" s="35">
        <f>IF(A1058="","",YEAR(A1058))</f>
        <v/>
      </c>
    </row>
    <row r="1059">
      <c r="A1059" s="39" t="n"/>
      <c r="B1059" s="32" t="n"/>
      <c r="C1059" s="31" t="n"/>
      <c r="D1059" s="31" t="n"/>
      <c r="E1059" s="31" t="n"/>
      <c r="F1059" s="31" t="n"/>
      <c r="G1059" s="36" t="n"/>
      <c r="H1059" s="32" t="n"/>
      <c r="I1059" s="32" t="n"/>
      <c r="J1059" s="35">
        <f>IF(A1059="","",MONTH(A1059))</f>
        <v/>
      </c>
      <c r="K1059" s="35">
        <f>IF(A1059="","",YEAR(A1059))</f>
        <v/>
      </c>
    </row>
    <row r="1060">
      <c r="A1060" s="39" t="n"/>
      <c r="B1060" s="32" t="n"/>
      <c r="C1060" s="31" t="n"/>
      <c r="D1060" s="31" t="n"/>
      <c r="E1060" s="31" t="n"/>
      <c r="F1060" s="31" t="n"/>
      <c r="G1060" s="36" t="n"/>
      <c r="H1060" s="32" t="n"/>
      <c r="I1060" s="32" t="n"/>
      <c r="J1060" s="35">
        <f>IF(A1060="","",MONTH(A1060))</f>
        <v/>
      </c>
      <c r="K1060" s="35">
        <f>IF(A1060="","",YEAR(A1060))</f>
        <v/>
      </c>
    </row>
    <row r="1061">
      <c r="A1061" s="39" t="n"/>
      <c r="B1061" s="32" t="n"/>
      <c r="C1061" s="31" t="n"/>
      <c r="D1061" s="31" t="n"/>
      <c r="E1061" s="31" t="n"/>
      <c r="F1061" s="31" t="n"/>
      <c r="G1061" s="36" t="n"/>
      <c r="H1061" s="32" t="n"/>
      <c r="I1061" s="32" t="n"/>
      <c r="J1061" s="35">
        <f>IF(A1061="","",MONTH(A1061))</f>
        <v/>
      </c>
      <c r="K1061" s="35">
        <f>IF(A1061="","",YEAR(A1061))</f>
        <v/>
      </c>
    </row>
    <row r="1062">
      <c r="A1062" s="39" t="n"/>
      <c r="B1062" s="32" t="n"/>
      <c r="C1062" s="31" t="n"/>
      <c r="D1062" s="31" t="n"/>
      <c r="E1062" s="31" t="n"/>
      <c r="F1062" s="31" t="n"/>
      <c r="G1062" s="36" t="n"/>
      <c r="H1062" s="32" t="n"/>
      <c r="I1062" s="32" t="n"/>
      <c r="J1062" s="35">
        <f>IF(A1062="","",MONTH(A1062))</f>
        <v/>
      </c>
      <c r="K1062" s="35">
        <f>IF(A1062="","",YEAR(A1062))</f>
        <v/>
      </c>
    </row>
    <row r="1063">
      <c r="A1063" s="39" t="n"/>
      <c r="B1063" s="32" t="n"/>
      <c r="C1063" s="31" t="n"/>
      <c r="D1063" s="31" t="n"/>
      <c r="E1063" s="31" t="n"/>
      <c r="F1063" s="31" t="n"/>
      <c r="G1063" s="36" t="n"/>
      <c r="H1063" s="32" t="n"/>
      <c r="I1063" s="32" t="n"/>
      <c r="J1063" s="35">
        <f>IF(A1063="","",MONTH(A1063))</f>
        <v/>
      </c>
      <c r="K1063" s="35">
        <f>IF(A1063="","",YEAR(A1063))</f>
        <v/>
      </c>
    </row>
    <row r="1064">
      <c r="A1064" s="39" t="n"/>
      <c r="B1064" s="32" t="n"/>
      <c r="C1064" s="31" t="n"/>
      <c r="D1064" s="31" t="n"/>
      <c r="E1064" s="31" t="n"/>
      <c r="F1064" s="31" t="n"/>
      <c r="G1064" s="36" t="n"/>
      <c r="H1064" s="32" t="n"/>
      <c r="I1064" s="32" t="n"/>
      <c r="J1064" s="35">
        <f>IF(A1064="","",MONTH(A1064))</f>
        <v/>
      </c>
      <c r="K1064" s="35">
        <f>IF(A1064="","",YEAR(A1064))</f>
        <v/>
      </c>
    </row>
    <row r="1065">
      <c r="A1065" s="39" t="n"/>
      <c r="B1065" s="32" t="n"/>
      <c r="C1065" s="31" t="n"/>
      <c r="D1065" s="31" t="n"/>
      <c r="E1065" s="31" t="n"/>
      <c r="F1065" s="31" t="n"/>
      <c r="G1065" s="36" t="n"/>
      <c r="H1065" s="32" t="n"/>
      <c r="I1065" s="32" t="n"/>
      <c r="J1065" s="35">
        <f>IF(A1065="","",MONTH(A1065))</f>
        <v/>
      </c>
      <c r="K1065" s="35">
        <f>IF(A1065="","",YEAR(A1065))</f>
        <v/>
      </c>
    </row>
    <row r="1066">
      <c r="A1066" s="39" t="n"/>
      <c r="B1066" s="32" t="n"/>
      <c r="C1066" s="31" t="n"/>
      <c r="D1066" s="31" t="n"/>
      <c r="E1066" s="31" t="n"/>
      <c r="F1066" s="31" t="n"/>
      <c r="G1066" s="36" t="n"/>
      <c r="H1066" s="32" t="n"/>
      <c r="I1066" s="32" t="n"/>
      <c r="J1066" s="35">
        <f>IF(A1066="","",MONTH(A1066))</f>
        <v/>
      </c>
      <c r="K1066" s="35">
        <f>IF(A1066="","",YEAR(A1066))</f>
        <v/>
      </c>
    </row>
    <row r="1067">
      <c r="A1067" s="39" t="n"/>
      <c r="B1067" s="32" t="n"/>
      <c r="C1067" s="31" t="n"/>
      <c r="D1067" s="31" t="n"/>
      <c r="E1067" s="31" t="n"/>
      <c r="F1067" s="31" t="n"/>
      <c r="G1067" s="36" t="n"/>
      <c r="H1067" s="32" t="n"/>
      <c r="I1067" s="32" t="n"/>
      <c r="J1067" s="35">
        <f>IF(A1067="","",MONTH(A1067))</f>
        <v/>
      </c>
      <c r="K1067" s="35">
        <f>IF(A1067="","",YEAR(A1067))</f>
        <v/>
      </c>
    </row>
    <row r="1068">
      <c r="A1068" s="39" t="n"/>
      <c r="B1068" s="32" t="n"/>
      <c r="C1068" s="31" t="n"/>
      <c r="D1068" s="31" t="n"/>
      <c r="E1068" s="31" t="n"/>
      <c r="F1068" s="31" t="n"/>
      <c r="G1068" s="36" t="n"/>
      <c r="H1068" s="32" t="n"/>
      <c r="I1068" s="32" t="n"/>
      <c r="J1068" s="35">
        <f>IF(A1068="","",MONTH(A1068))</f>
        <v/>
      </c>
      <c r="K1068" s="35">
        <f>IF(A1068="","",YEAR(A1068))</f>
        <v/>
      </c>
    </row>
    <row r="1069">
      <c r="A1069" s="39" t="n"/>
      <c r="B1069" s="32" t="n"/>
      <c r="C1069" s="31" t="n"/>
      <c r="D1069" s="31" t="n"/>
      <c r="E1069" s="31" t="n"/>
      <c r="F1069" s="31" t="n"/>
      <c r="G1069" s="36" t="n"/>
      <c r="H1069" s="32" t="n"/>
      <c r="I1069" s="32" t="n"/>
      <c r="J1069" s="35">
        <f>IF(A1069="","",MONTH(A1069))</f>
        <v/>
      </c>
      <c r="K1069" s="35">
        <f>IF(A1069="","",YEAR(A1069))</f>
        <v/>
      </c>
    </row>
    <row r="1070">
      <c r="A1070" s="39" t="n"/>
      <c r="B1070" s="32" t="n"/>
      <c r="C1070" s="31" t="n"/>
      <c r="D1070" s="31" t="n"/>
      <c r="E1070" s="31" t="n"/>
      <c r="F1070" s="31" t="n"/>
      <c r="G1070" s="36" t="n"/>
      <c r="H1070" s="32" t="n"/>
      <c r="I1070" s="32" t="n"/>
      <c r="J1070" s="35">
        <f>IF(A1070="","",MONTH(A1070))</f>
        <v/>
      </c>
      <c r="K1070" s="35">
        <f>IF(A1070="","",YEAR(A1070))</f>
        <v/>
      </c>
    </row>
    <row r="1071">
      <c r="A1071" s="39" t="n"/>
      <c r="B1071" s="32" t="n"/>
      <c r="C1071" s="31" t="n"/>
      <c r="D1071" s="31" t="n"/>
      <c r="E1071" s="31" t="n"/>
      <c r="F1071" s="31" t="n"/>
      <c r="G1071" s="36" t="n"/>
      <c r="H1071" s="32" t="n"/>
      <c r="I1071" s="32" t="n"/>
      <c r="J1071" s="35">
        <f>IF(A1071="","",MONTH(A1071))</f>
        <v/>
      </c>
      <c r="K1071" s="35">
        <f>IF(A1071="","",YEAR(A1071))</f>
        <v/>
      </c>
    </row>
    <row r="1072">
      <c r="A1072" s="39" t="n"/>
      <c r="B1072" s="32" t="n"/>
      <c r="C1072" s="31" t="n"/>
      <c r="D1072" s="31" t="n"/>
      <c r="E1072" s="31" t="n"/>
      <c r="F1072" s="31" t="n"/>
      <c r="G1072" s="36" t="n"/>
      <c r="H1072" s="32" t="n"/>
      <c r="I1072" s="32" t="n"/>
      <c r="J1072" s="35">
        <f>IF(A1072="","",MONTH(A1072))</f>
        <v/>
      </c>
      <c r="K1072" s="35">
        <f>IF(A1072="","",YEAR(A1072))</f>
        <v/>
      </c>
    </row>
    <row r="1073">
      <c r="A1073" s="39" t="n"/>
      <c r="B1073" s="32" t="n"/>
      <c r="C1073" s="31" t="n"/>
      <c r="D1073" s="31" t="n"/>
      <c r="E1073" s="31" t="n"/>
      <c r="F1073" s="31" t="n"/>
      <c r="G1073" s="36" t="n"/>
      <c r="H1073" s="32" t="n"/>
      <c r="I1073" s="32" t="n"/>
      <c r="J1073" s="35">
        <f>IF(A1073="","",MONTH(A1073))</f>
        <v/>
      </c>
      <c r="K1073" s="35">
        <f>IF(A1073="","",YEAR(A1073))</f>
        <v/>
      </c>
    </row>
    <row r="1074">
      <c r="A1074" s="39" t="n"/>
      <c r="B1074" s="32" t="n"/>
      <c r="C1074" s="31" t="n"/>
      <c r="D1074" s="31" t="n"/>
      <c r="E1074" s="31" t="n"/>
      <c r="F1074" s="31" t="n"/>
      <c r="G1074" s="36" t="n"/>
      <c r="H1074" s="32" t="n"/>
      <c r="I1074" s="32" t="n"/>
      <c r="J1074" s="35">
        <f>IF(A1074="","",MONTH(A1074))</f>
        <v/>
      </c>
      <c r="K1074" s="35">
        <f>IF(A1074="","",YEAR(A1074))</f>
        <v/>
      </c>
    </row>
    <row r="1075">
      <c r="A1075" s="39" t="n"/>
      <c r="B1075" s="32" t="n"/>
      <c r="C1075" s="31" t="n"/>
      <c r="D1075" s="31" t="n"/>
      <c r="E1075" s="31" t="n"/>
      <c r="F1075" s="31" t="n"/>
      <c r="G1075" s="36" t="n"/>
      <c r="H1075" s="32" t="n"/>
      <c r="I1075" s="32" t="n"/>
      <c r="J1075" s="35">
        <f>IF(A1075="","",MONTH(A1075))</f>
        <v/>
      </c>
      <c r="K1075" s="35">
        <f>IF(A1075="","",YEAR(A1075))</f>
        <v/>
      </c>
    </row>
    <row r="1076">
      <c r="A1076" s="39" t="n"/>
      <c r="B1076" s="32" t="n"/>
      <c r="C1076" s="31" t="n"/>
      <c r="D1076" s="31" t="n"/>
      <c r="E1076" s="31" t="n"/>
      <c r="F1076" s="31" t="n"/>
      <c r="G1076" s="36" t="n"/>
      <c r="H1076" s="32" t="n"/>
      <c r="I1076" s="32" t="n"/>
      <c r="J1076" s="35">
        <f>IF(A1076="","",MONTH(A1076))</f>
        <v/>
      </c>
      <c r="K1076" s="35">
        <f>IF(A1076="","",YEAR(A1076))</f>
        <v/>
      </c>
    </row>
    <row r="1077">
      <c r="A1077" s="39" t="n"/>
      <c r="B1077" s="32" t="n"/>
      <c r="C1077" s="31" t="n"/>
      <c r="D1077" s="31" t="n"/>
      <c r="E1077" s="31" t="n"/>
      <c r="F1077" s="31" t="n"/>
      <c r="G1077" s="36" t="n"/>
      <c r="H1077" s="32" t="n"/>
      <c r="I1077" s="32" t="n"/>
      <c r="J1077" s="35">
        <f>IF(A1077="","",MONTH(A1077))</f>
        <v/>
      </c>
      <c r="K1077" s="35">
        <f>IF(A1077="","",YEAR(A1077))</f>
        <v/>
      </c>
    </row>
    <row r="1078">
      <c r="A1078" s="39" t="n"/>
      <c r="B1078" s="32" t="n"/>
      <c r="C1078" s="31" t="n"/>
      <c r="D1078" s="31" t="n"/>
      <c r="E1078" s="31" t="n"/>
      <c r="F1078" s="31" t="n"/>
      <c r="G1078" s="36" t="n"/>
      <c r="H1078" s="32" t="n"/>
      <c r="I1078" s="32" t="n"/>
      <c r="J1078" s="35">
        <f>IF(A1078="","",MONTH(A1078))</f>
        <v/>
      </c>
      <c r="K1078" s="35">
        <f>IF(A1078="","",YEAR(A1078))</f>
        <v/>
      </c>
    </row>
    <row r="1079">
      <c r="A1079" s="39" t="n"/>
      <c r="B1079" s="32" t="n"/>
      <c r="C1079" s="31" t="n"/>
      <c r="D1079" s="31" t="n"/>
      <c r="E1079" s="31" t="n"/>
      <c r="F1079" s="31" t="n"/>
      <c r="G1079" s="36" t="n"/>
      <c r="H1079" s="32" t="n"/>
      <c r="I1079" s="32" t="n"/>
      <c r="J1079" s="35">
        <f>IF(A1079="","",MONTH(A1079))</f>
        <v/>
      </c>
      <c r="K1079" s="35">
        <f>IF(A1079="","",YEAR(A1079))</f>
        <v/>
      </c>
    </row>
    <row r="1080">
      <c r="A1080" s="39" t="n"/>
      <c r="B1080" s="32" t="n"/>
      <c r="C1080" s="31" t="n"/>
      <c r="D1080" s="31" t="n"/>
      <c r="E1080" s="31" t="n"/>
      <c r="F1080" s="31" t="n"/>
      <c r="G1080" s="36" t="n"/>
      <c r="H1080" s="32" t="n"/>
      <c r="I1080" s="32" t="n"/>
      <c r="J1080" s="35">
        <f>IF(A1080="","",MONTH(A1080))</f>
        <v/>
      </c>
      <c r="K1080" s="35">
        <f>IF(A1080="","",YEAR(A1080))</f>
        <v/>
      </c>
    </row>
    <row r="1081">
      <c r="A1081" s="39" t="n"/>
      <c r="B1081" s="32" t="n"/>
      <c r="C1081" s="31" t="n"/>
      <c r="D1081" s="31" t="n"/>
      <c r="E1081" s="31" t="n"/>
      <c r="F1081" s="31" t="n"/>
      <c r="G1081" s="36" t="n"/>
      <c r="H1081" s="32" t="n"/>
      <c r="I1081" s="32" t="n"/>
      <c r="J1081" s="35">
        <f>IF(A1081="","",MONTH(A1081))</f>
        <v/>
      </c>
      <c r="K1081" s="35">
        <f>IF(A1081="","",YEAR(A1081))</f>
        <v/>
      </c>
    </row>
    <row r="1082">
      <c r="A1082" s="39" t="n"/>
      <c r="B1082" s="32" t="n"/>
      <c r="C1082" s="31" t="n"/>
      <c r="D1082" s="31" t="n"/>
      <c r="E1082" s="31" t="n"/>
      <c r="F1082" s="31" t="n"/>
      <c r="G1082" s="36" t="n"/>
      <c r="H1082" s="32" t="n"/>
      <c r="I1082" s="32" t="n"/>
      <c r="J1082" s="35">
        <f>IF(A1082="","",MONTH(A1082))</f>
        <v/>
      </c>
      <c r="K1082" s="35">
        <f>IF(A1082="","",YEAR(A1082))</f>
        <v/>
      </c>
    </row>
    <row r="1083">
      <c r="A1083" s="39" t="n"/>
      <c r="B1083" s="32" t="n"/>
      <c r="C1083" s="31" t="n"/>
      <c r="D1083" s="31" t="n"/>
      <c r="E1083" s="31" t="n"/>
      <c r="F1083" s="31" t="n"/>
      <c r="G1083" s="36" t="n"/>
      <c r="H1083" s="32" t="n"/>
      <c r="I1083" s="32" t="n"/>
      <c r="J1083" s="35">
        <f>IF(A1083="","",MONTH(A1083))</f>
        <v/>
      </c>
      <c r="K1083" s="35">
        <f>IF(A1083="","",YEAR(A1083))</f>
        <v/>
      </c>
    </row>
    <row r="1084">
      <c r="A1084" s="39" t="n"/>
      <c r="B1084" s="32" t="n"/>
      <c r="C1084" s="31" t="n"/>
      <c r="D1084" s="31" t="n"/>
      <c r="E1084" s="31" t="n"/>
      <c r="F1084" s="31" t="n"/>
      <c r="G1084" s="36" t="n"/>
      <c r="H1084" s="32" t="n"/>
      <c r="I1084" s="32" t="n"/>
      <c r="J1084" s="35">
        <f>IF(A1084="","",MONTH(A1084))</f>
        <v/>
      </c>
      <c r="K1084" s="35">
        <f>IF(A1084="","",YEAR(A1084))</f>
        <v/>
      </c>
    </row>
    <row r="1085">
      <c r="A1085" s="39" t="n"/>
      <c r="B1085" s="32" t="n"/>
      <c r="C1085" s="31" t="n"/>
      <c r="D1085" s="31" t="n"/>
      <c r="E1085" s="31" t="n"/>
      <c r="F1085" s="31" t="n"/>
      <c r="G1085" s="36" t="n"/>
      <c r="H1085" s="32" t="n"/>
      <c r="I1085" s="32" t="n"/>
      <c r="J1085" s="35">
        <f>IF(A1085="","",MONTH(A1085))</f>
        <v/>
      </c>
      <c r="K1085" s="35">
        <f>IF(A1085="","",YEAR(A1085))</f>
        <v/>
      </c>
    </row>
    <row r="1086">
      <c r="A1086" s="39" t="n"/>
      <c r="B1086" s="32" t="n"/>
      <c r="C1086" s="31" t="n"/>
      <c r="D1086" s="31" t="n"/>
      <c r="E1086" s="31" t="n"/>
      <c r="F1086" s="31" t="n"/>
      <c r="G1086" s="36" t="n"/>
      <c r="H1086" s="32" t="n"/>
      <c r="I1086" s="32" t="n"/>
      <c r="J1086" s="35">
        <f>IF(A1086="","",MONTH(A1086))</f>
        <v/>
      </c>
      <c r="K1086" s="35">
        <f>IF(A1086="","",YEAR(A1086))</f>
        <v/>
      </c>
    </row>
    <row r="1087">
      <c r="A1087" s="39" t="n"/>
      <c r="B1087" s="32" t="n"/>
      <c r="C1087" s="31" t="n"/>
      <c r="D1087" s="31" t="n"/>
      <c r="E1087" s="31" t="n"/>
      <c r="F1087" s="31" t="n"/>
      <c r="G1087" s="36" t="n"/>
      <c r="H1087" s="32" t="n"/>
      <c r="I1087" s="32" t="n"/>
      <c r="J1087" s="35">
        <f>IF(A1087="","",MONTH(A1087))</f>
        <v/>
      </c>
      <c r="K1087" s="35">
        <f>IF(A1087="","",YEAR(A1087))</f>
        <v/>
      </c>
    </row>
    <row r="1088">
      <c r="A1088" s="39" t="n"/>
      <c r="B1088" s="32" t="n"/>
      <c r="C1088" s="31" t="n"/>
      <c r="D1088" s="31" t="n"/>
      <c r="E1088" s="31" t="n"/>
      <c r="F1088" s="31" t="n"/>
      <c r="G1088" s="36" t="n"/>
      <c r="H1088" s="32" t="n"/>
      <c r="I1088" s="32" t="n"/>
      <c r="J1088" s="35">
        <f>IF(A1088="","",MONTH(A1088))</f>
        <v/>
      </c>
      <c r="K1088" s="35">
        <f>IF(A1088="","",YEAR(A1088))</f>
        <v/>
      </c>
    </row>
    <row r="1089">
      <c r="A1089" s="39" t="n"/>
      <c r="B1089" s="32" t="n"/>
      <c r="C1089" s="31" t="n"/>
      <c r="D1089" s="31" t="n"/>
      <c r="E1089" s="31" t="n"/>
      <c r="F1089" s="31" t="n"/>
      <c r="G1089" s="36" t="n"/>
      <c r="H1089" s="32" t="n"/>
      <c r="I1089" s="32" t="n"/>
      <c r="J1089" s="35">
        <f>IF(A1089="","",MONTH(A1089))</f>
        <v/>
      </c>
      <c r="K1089" s="35">
        <f>IF(A1089="","",YEAR(A1089))</f>
        <v/>
      </c>
    </row>
    <row r="1090">
      <c r="A1090" s="39" t="n"/>
      <c r="B1090" s="32" t="n"/>
      <c r="C1090" s="31" t="n"/>
      <c r="D1090" s="31" t="n"/>
      <c r="E1090" s="31" t="n"/>
      <c r="F1090" s="31" t="n"/>
      <c r="G1090" s="36" t="n"/>
      <c r="H1090" s="32" t="n"/>
      <c r="I1090" s="32" t="n"/>
      <c r="J1090" s="35">
        <f>IF(A1090="","",MONTH(A1090))</f>
        <v/>
      </c>
      <c r="K1090" s="35">
        <f>IF(A1090="","",YEAR(A1090))</f>
        <v/>
      </c>
    </row>
    <row r="1091">
      <c r="A1091" s="39" t="n"/>
      <c r="B1091" s="32" t="n"/>
      <c r="C1091" s="31" t="n"/>
      <c r="D1091" s="31" t="n"/>
      <c r="E1091" s="31" t="n"/>
      <c r="F1091" s="31" t="n"/>
      <c r="G1091" s="36" t="n"/>
      <c r="H1091" s="32" t="n"/>
      <c r="I1091" s="32" t="n"/>
      <c r="J1091" s="35">
        <f>IF(A1091="","",MONTH(A1091))</f>
        <v/>
      </c>
      <c r="K1091" s="35">
        <f>IF(A1091="","",YEAR(A1091))</f>
        <v/>
      </c>
    </row>
    <row r="1092">
      <c r="A1092" s="39" t="n"/>
      <c r="B1092" s="32" t="n"/>
      <c r="C1092" s="31" t="n"/>
      <c r="D1092" s="31" t="n"/>
      <c r="E1092" s="31" t="n"/>
      <c r="F1092" s="31" t="n"/>
      <c r="G1092" s="36" t="n"/>
      <c r="H1092" s="32" t="n"/>
      <c r="I1092" s="32" t="n"/>
      <c r="J1092" s="35">
        <f>IF(A1092="","",MONTH(A1092))</f>
        <v/>
      </c>
      <c r="K1092" s="35">
        <f>IF(A1092="","",YEAR(A1092))</f>
        <v/>
      </c>
    </row>
    <row r="1093">
      <c r="A1093" s="39" t="n"/>
      <c r="B1093" s="32" t="n"/>
      <c r="C1093" s="31" t="n"/>
      <c r="D1093" s="31" t="n"/>
      <c r="E1093" s="31" t="n"/>
      <c r="F1093" s="31" t="n"/>
      <c r="G1093" s="36" t="n"/>
      <c r="H1093" s="32" t="n"/>
      <c r="I1093" s="32" t="n"/>
      <c r="J1093" s="35">
        <f>IF(A1093="","",MONTH(A1093))</f>
        <v/>
      </c>
      <c r="K1093" s="35">
        <f>IF(A1093="","",YEAR(A1093))</f>
        <v/>
      </c>
    </row>
    <row r="1094">
      <c r="A1094" s="39" t="n"/>
      <c r="B1094" s="32" t="n"/>
      <c r="C1094" s="31" t="n"/>
      <c r="D1094" s="31" t="n"/>
      <c r="E1094" s="31" t="n"/>
      <c r="F1094" s="31" t="n"/>
      <c r="G1094" s="36" t="n"/>
      <c r="H1094" s="32" t="n"/>
      <c r="I1094" s="32" t="n"/>
      <c r="J1094" s="35">
        <f>IF(A1094="","",MONTH(A1094))</f>
        <v/>
      </c>
      <c r="K1094" s="35">
        <f>IF(A1094="","",YEAR(A1094))</f>
        <v/>
      </c>
    </row>
    <row r="1095">
      <c r="A1095" s="39" t="n"/>
      <c r="B1095" s="32" t="n"/>
      <c r="C1095" s="31" t="n"/>
      <c r="D1095" s="31" t="n"/>
      <c r="E1095" s="31" t="n"/>
      <c r="F1095" s="31" t="n"/>
      <c r="G1095" s="36" t="n"/>
      <c r="H1095" s="32" t="n"/>
      <c r="I1095" s="32" t="n"/>
      <c r="J1095" s="35">
        <f>IF(A1095="","",MONTH(A1095))</f>
        <v/>
      </c>
      <c r="K1095" s="35">
        <f>IF(A1095="","",YEAR(A1095))</f>
        <v/>
      </c>
    </row>
    <row r="1096">
      <c r="A1096" s="39" t="n"/>
      <c r="B1096" s="32" t="n"/>
      <c r="C1096" s="31" t="n"/>
      <c r="D1096" s="31" t="n"/>
      <c r="E1096" s="31" t="n"/>
      <c r="F1096" s="31" t="n"/>
      <c r="G1096" s="36" t="n"/>
      <c r="H1096" s="32" t="n"/>
      <c r="I1096" s="32" t="n"/>
      <c r="J1096" s="35">
        <f>IF(A1096="","",MONTH(A1096))</f>
        <v/>
      </c>
      <c r="K1096" s="35">
        <f>IF(A1096="","",YEAR(A1096))</f>
        <v/>
      </c>
    </row>
    <row r="1097">
      <c r="A1097" s="39" t="n"/>
      <c r="B1097" s="32" t="n"/>
      <c r="C1097" s="31" t="n"/>
      <c r="D1097" s="31" t="n"/>
      <c r="E1097" s="31" t="n"/>
      <c r="F1097" s="31" t="n"/>
      <c r="G1097" s="36" t="n"/>
      <c r="H1097" s="32" t="n"/>
      <c r="I1097" s="32" t="n"/>
      <c r="J1097" s="35">
        <f>IF(A1097="","",MONTH(A1097))</f>
        <v/>
      </c>
      <c r="K1097" s="35">
        <f>IF(A1097="","",YEAR(A1097))</f>
        <v/>
      </c>
    </row>
    <row r="1098">
      <c r="A1098" s="39" t="n"/>
      <c r="B1098" s="32" t="n"/>
      <c r="C1098" s="31" t="n"/>
      <c r="D1098" s="31" t="n"/>
      <c r="E1098" s="31" t="n"/>
      <c r="F1098" s="31" t="n"/>
      <c r="G1098" s="36" t="n"/>
      <c r="H1098" s="32" t="n"/>
      <c r="I1098" s="32" t="n"/>
      <c r="J1098" s="35">
        <f>IF(A1098="","",MONTH(A1098))</f>
        <v/>
      </c>
      <c r="K1098" s="35">
        <f>IF(A1098="","",YEAR(A1098))</f>
        <v/>
      </c>
    </row>
    <row r="1099">
      <c r="A1099" s="39" t="n"/>
      <c r="B1099" s="32" t="n"/>
      <c r="C1099" s="31" t="n"/>
      <c r="D1099" s="31" t="n"/>
      <c r="E1099" s="31" t="n"/>
      <c r="F1099" s="31" t="n"/>
      <c r="G1099" s="36" t="n"/>
      <c r="H1099" s="32" t="n"/>
      <c r="I1099" s="32" t="n"/>
      <c r="J1099" s="35">
        <f>IF(A1099="","",MONTH(A1099))</f>
        <v/>
      </c>
      <c r="K1099" s="35">
        <f>IF(A1099="","",YEAR(A1099))</f>
        <v/>
      </c>
    </row>
    <row r="1100">
      <c r="A1100" s="39" t="n"/>
      <c r="B1100" s="32" t="n"/>
      <c r="C1100" s="31" t="n"/>
      <c r="D1100" s="31" t="n"/>
      <c r="E1100" s="31" t="n"/>
      <c r="F1100" s="31" t="n"/>
      <c r="G1100" s="36" t="n"/>
      <c r="H1100" s="32" t="n"/>
      <c r="I1100" s="32" t="n"/>
      <c r="J1100" s="35">
        <f>IF(A1100="","",MONTH(A1100))</f>
        <v/>
      </c>
      <c r="K1100" s="35">
        <f>IF(A1100="","",YEAR(A1100))</f>
        <v/>
      </c>
    </row>
    <row r="1101">
      <c r="A1101" s="39" t="n"/>
      <c r="B1101" s="32" t="n"/>
      <c r="C1101" s="31" t="n"/>
      <c r="D1101" s="31" t="n"/>
      <c r="E1101" s="31" t="n"/>
      <c r="F1101" s="31" t="n"/>
      <c r="G1101" s="36" t="n"/>
      <c r="H1101" s="32" t="n"/>
      <c r="I1101" s="32" t="n"/>
      <c r="J1101" s="35">
        <f>IF(A1101="","",MONTH(A1101))</f>
        <v/>
      </c>
      <c r="K1101" s="35">
        <f>IF(A1101="","",YEAR(A1101))</f>
        <v/>
      </c>
    </row>
    <row r="1102">
      <c r="A1102" s="39" t="n"/>
      <c r="B1102" s="32" t="n"/>
      <c r="C1102" s="31" t="n"/>
      <c r="D1102" s="31" t="n"/>
      <c r="E1102" s="31" t="n"/>
      <c r="F1102" s="31" t="n"/>
      <c r="G1102" s="36" t="n"/>
      <c r="H1102" s="32" t="n"/>
      <c r="I1102" s="32" t="n"/>
      <c r="J1102" s="35">
        <f>IF(A1102="","",MONTH(A1102))</f>
        <v/>
      </c>
      <c r="K1102" s="35">
        <f>IF(A1102="","",YEAR(A1102))</f>
        <v/>
      </c>
    </row>
    <row r="1103">
      <c r="A1103" s="39" t="n"/>
      <c r="B1103" s="32" t="n"/>
      <c r="C1103" s="31" t="n"/>
      <c r="D1103" s="31" t="n"/>
      <c r="E1103" s="31" t="n"/>
      <c r="F1103" s="31" t="n"/>
      <c r="G1103" s="36" t="n"/>
      <c r="H1103" s="32" t="n"/>
      <c r="I1103" s="32" t="n"/>
      <c r="J1103" s="35">
        <f>IF(A1103="","",MONTH(A1103))</f>
        <v/>
      </c>
      <c r="K1103" s="35">
        <f>IF(A1103="","",YEAR(A1103))</f>
        <v/>
      </c>
    </row>
    <row r="1104">
      <c r="A1104" s="39" t="n"/>
      <c r="B1104" s="32" t="n"/>
      <c r="C1104" s="31" t="n"/>
      <c r="D1104" s="31" t="n"/>
      <c r="E1104" s="31" t="n"/>
      <c r="F1104" s="31" t="n"/>
      <c r="G1104" s="36" t="n"/>
      <c r="H1104" s="32" t="n"/>
      <c r="I1104" s="32" t="n"/>
      <c r="J1104" s="35">
        <f>IF(A1104="","",MONTH(A1104))</f>
        <v/>
      </c>
      <c r="K1104" s="35">
        <f>IF(A1104="","",YEAR(A1104))</f>
        <v/>
      </c>
    </row>
    <row r="1105">
      <c r="A1105" s="39" t="n"/>
      <c r="B1105" s="32" t="n"/>
      <c r="C1105" s="31" t="n"/>
      <c r="D1105" s="31" t="n"/>
      <c r="E1105" s="31" t="n"/>
      <c r="F1105" s="31" t="n"/>
      <c r="G1105" s="36" t="n"/>
      <c r="H1105" s="32" t="n"/>
      <c r="I1105" s="32" t="n"/>
      <c r="J1105" s="35">
        <f>IF(A1105="","",MONTH(A1105))</f>
        <v/>
      </c>
      <c r="K1105" s="35">
        <f>IF(A1105="","",YEAR(A1105))</f>
        <v/>
      </c>
    </row>
    <row r="1106">
      <c r="A1106" s="39" t="n"/>
      <c r="B1106" s="32" t="n"/>
      <c r="C1106" s="31" t="n"/>
      <c r="D1106" s="31" t="n"/>
      <c r="E1106" s="31" t="n"/>
      <c r="F1106" s="31" t="n"/>
      <c r="G1106" s="36" t="n"/>
      <c r="H1106" s="32" t="n"/>
      <c r="I1106" s="32" t="n"/>
      <c r="J1106" s="35">
        <f>IF(A1106="","",MONTH(A1106))</f>
        <v/>
      </c>
      <c r="K1106" s="35">
        <f>IF(A1106="","",YEAR(A1106))</f>
        <v/>
      </c>
    </row>
    <row r="1107">
      <c r="A1107" s="39" t="n"/>
      <c r="B1107" s="32" t="n"/>
      <c r="C1107" s="31" t="n"/>
      <c r="D1107" s="31" t="n"/>
      <c r="E1107" s="31" t="n"/>
      <c r="F1107" s="31" t="n"/>
      <c r="G1107" s="36" t="n"/>
      <c r="H1107" s="32" t="n"/>
      <c r="I1107" s="32" t="n"/>
      <c r="J1107" s="35">
        <f>IF(A1107="","",MONTH(A1107))</f>
        <v/>
      </c>
      <c r="K1107" s="35">
        <f>IF(A1107="","",YEAR(A1107))</f>
        <v/>
      </c>
    </row>
    <row r="1108">
      <c r="A1108" s="39" t="n"/>
      <c r="B1108" s="32" t="n"/>
      <c r="C1108" s="31" t="n"/>
      <c r="D1108" s="31" t="n"/>
      <c r="E1108" s="31" t="n"/>
      <c r="F1108" s="31" t="n"/>
      <c r="G1108" s="36" t="n"/>
      <c r="H1108" s="32" t="n"/>
      <c r="I1108" s="32" t="n"/>
      <c r="J1108" s="35">
        <f>IF(A1108="","",MONTH(A1108))</f>
        <v/>
      </c>
      <c r="K1108" s="35">
        <f>IF(A1108="","",YEAR(A1108))</f>
        <v/>
      </c>
    </row>
    <row r="1109">
      <c r="A1109" s="39" t="n"/>
      <c r="B1109" s="32" t="n"/>
      <c r="C1109" s="31" t="n"/>
      <c r="D1109" s="31" t="n"/>
      <c r="E1109" s="31" t="n"/>
      <c r="F1109" s="31" t="n"/>
      <c r="G1109" s="36" t="n"/>
      <c r="H1109" s="32" t="n"/>
      <c r="I1109" s="32" t="n"/>
      <c r="J1109" s="35">
        <f>IF(A1109="","",MONTH(A1109))</f>
        <v/>
      </c>
      <c r="K1109" s="35">
        <f>IF(A1109="","",YEAR(A1109))</f>
        <v/>
      </c>
    </row>
    <row r="1110">
      <c r="A1110" s="39" t="n"/>
      <c r="B1110" s="32" t="n"/>
      <c r="C1110" s="31" t="n"/>
      <c r="D1110" s="31" t="n"/>
      <c r="E1110" s="31" t="n"/>
      <c r="F1110" s="31" t="n"/>
      <c r="G1110" s="36" t="n"/>
      <c r="H1110" s="32" t="n"/>
      <c r="I1110" s="32" t="n"/>
      <c r="J1110" s="35">
        <f>IF(A1110="","",MONTH(A1110))</f>
        <v/>
      </c>
      <c r="K1110" s="35">
        <f>IF(A1110="","",YEAR(A1110))</f>
        <v/>
      </c>
    </row>
    <row r="1111">
      <c r="A1111" s="39" t="n"/>
      <c r="B1111" s="32" t="n"/>
      <c r="C1111" s="31" t="n"/>
      <c r="D1111" s="31" t="n"/>
      <c r="E1111" s="31" t="n"/>
      <c r="F1111" s="31" t="n"/>
      <c r="G1111" s="36" t="n"/>
      <c r="H1111" s="32" t="n"/>
      <c r="I1111" s="32" t="n"/>
      <c r="J1111" s="35">
        <f>IF(A1111="","",MONTH(A1111))</f>
        <v/>
      </c>
      <c r="K1111" s="35">
        <f>IF(A1111="","",YEAR(A1111))</f>
        <v/>
      </c>
    </row>
    <row r="1112">
      <c r="A1112" s="39" t="n"/>
      <c r="B1112" s="32" t="n"/>
      <c r="C1112" s="31" t="n"/>
      <c r="D1112" s="31" t="n"/>
      <c r="E1112" s="31" t="n"/>
      <c r="F1112" s="31" t="n"/>
      <c r="G1112" s="36" t="n"/>
      <c r="H1112" s="32" t="n"/>
      <c r="I1112" s="32" t="n"/>
      <c r="J1112" s="35">
        <f>IF(A1112="","",MONTH(A1112))</f>
        <v/>
      </c>
      <c r="K1112" s="35">
        <f>IF(A1112="","",YEAR(A1112))</f>
        <v/>
      </c>
    </row>
    <row r="1113">
      <c r="A1113" s="39" t="n"/>
      <c r="B1113" s="32" t="n"/>
      <c r="C1113" s="31" t="n"/>
      <c r="D1113" s="31" t="n"/>
      <c r="E1113" s="31" t="n"/>
      <c r="F1113" s="31" t="n"/>
      <c r="G1113" s="36" t="n"/>
      <c r="H1113" s="32" t="n"/>
      <c r="I1113" s="32" t="n"/>
      <c r="J1113" s="35">
        <f>IF(A1113="","",MONTH(A1113))</f>
        <v/>
      </c>
      <c r="K1113" s="35">
        <f>IF(A1113="","",YEAR(A1113))</f>
        <v/>
      </c>
    </row>
    <row r="1114">
      <c r="A1114" s="39" t="n"/>
      <c r="B1114" s="32" t="n"/>
      <c r="C1114" s="31" t="n"/>
      <c r="D1114" s="31" t="n"/>
      <c r="E1114" s="31" t="n"/>
      <c r="F1114" s="31" t="n"/>
      <c r="G1114" s="36" t="n"/>
      <c r="H1114" s="32" t="n"/>
      <c r="I1114" s="32" t="n"/>
      <c r="J1114" s="35">
        <f>IF(A1114="","",MONTH(A1114))</f>
        <v/>
      </c>
      <c r="K1114" s="35">
        <f>IF(A1114="","",YEAR(A1114))</f>
        <v/>
      </c>
    </row>
    <row r="1115">
      <c r="A1115" s="39" t="n"/>
      <c r="B1115" s="32" t="n"/>
      <c r="C1115" s="31" t="n"/>
      <c r="D1115" s="31" t="n"/>
      <c r="E1115" s="31" t="n"/>
      <c r="F1115" s="31" t="n"/>
      <c r="G1115" s="36" t="n"/>
      <c r="H1115" s="32" t="n"/>
      <c r="I1115" s="32" t="n"/>
      <c r="J1115" s="35">
        <f>IF(A1115="","",MONTH(A1115))</f>
        <v/>
      </c>
      <c r="K1115" s="35">
        <f>IF(A1115="","",YEAR(A1115))</f>
        <v/>
      </c>
    </row>
    <row r="1116">
      <c r="A1116" s="39" t="n"/>
      <c r="B1116" s="32" t="n"/>
      <c r="C1116" s="31" t="n"/>
      <c r="D1116" s="31" t="n"/>
      <c r="E1116" s="31" t="n"/>
      <c r="F1116" s="31" t="n"/>
      <c r="G1116" s="36" t="n"/>
      <c r="H1116" s="32" t="n"/>
      <c r="I1116" s="32" t="n"/>
      <c r="J1116" s="35">
        <f>IF(A1116="","",MONTH(A1116))</f>
        <v/>
      </c>
      <c r="K1116" s="35">
        <f>IF(A1116="","",YEAR(A1116))</f>
        <v/>
      </c>
    </row>
    <row r="1117">
      <c r="A1117" s="39" t="n"/>
      <c r="B1117" s="32" t="n"/>
      <c r="C1117" s="31" t="n"/>
      <c r="D1117" s="31" t="n"/>
      <c r="E1117" s="31" t="n"/>
      <c r="F1117" s="31" t="n"/>
      <c r="G1117" s="36" t="n"/>
      <c r="H1117" s="32" t="n"/>
      <c r="I1117" s="32" t="n"/>
      <c r="J1117" s="35">
        <f>IF(A1117="","",MONTH(A1117))</f>
        <v/>
      </c>
      <c r="K1117" s="35">
        <f>IF(A1117="","",YEAR(A1117))</f>
        <v/>
      </c>
    </row>
    <row r="1118">
      <c r="A1118" s="39" t="n"/>
      <c r="B1118" s="32" t="n"/>
      <c r="C1118" s="31" t="n"/>
      <c r="D1118" s="31" t="n"/>
      <c r="E1118" s="31" t="n"/>
      <c r="F1118" s="31" t="n"/>
      <c r="G1118" s="36" t="n"/>
      <c r="H1118" s="32" t="n"/>
      <c r="I1118" s="32" t="n"/>
      <c r="J1118" s="35">
        <f>IF(A1118="","",MONTH(A1118))</f>
        <v/>
      </c>
      <c r="K1118" s="35">
        <f>IF(A1118="","",YEAR(A1118))</f>
        <v/>
      </c>
    </row>
    <row r="1119">
      <c r="A1119" s="39" t="n"/>
      <c r="B1119" s="32" t="n"/>
      <c r="C1119" s="31" t="n"/>
      <c r="D1119" s="31" t="n"/>
      <c r="E1119" s="31" t="n"/>
      <c r="F1119" s="31" t="n"/>
      <c r="G1119" s="36" t="n"/>
      <c r="H1119" s="32" t="n"/>
      <c r="I1119" s="32" t="n"/>
      <c r="J1119" s="35">
        <f>IF(A1119="","",MONTH(A1119))</f>
        <v/>
      </c>
      <c r="K1119" s="35">
        <f>IF(A1119="","",YEAR(A1119))</f>
        <v/>
      </c>
    </row>
    <row r="1120">
      <c r="A1120" s="39" t="n"/>
      <c r="B1120" s="32" t="n"/>
      <c r="C1120" s="31" t="n"/>
      <c r="D1120" s="31" t="n"/>
      <c r="E1120" s="31" t="n"/>
      <c r="F1120" s="31" t="n"/>
      <c r="G1120" s="36" t="n"/>
      <c r="H1120" s="32" t="n"/>
      <c r="I1120" s="32" t="n"/>
      <c r="J1120" s="35">
        <f>IF(A1120="","",MONTH(A1120))</f>
        <v/>
      </c>
      <c r="K1120" s="35">
        <f>IF(A1120="","",YEAR(A1120))</f>
        <v/>
      </c>
    </row>
    <row r="1121">
      <c r="A1121" s="39" t="n"/>
      <c r="B1121" s="32" t="n"/>
      <c r="C1121" s="31" t="n"/>
      <c r="D1121" s="31" t="n"/>
      <c r="E1121" s="31" t="n"/>
      <c r="F1121" s="31" t="n"/>
      <c r="G1121" s="36" t="n"/>
      <c r="H1121" s="32" t="n"/>
      <c r="I1121" s="32" t="n"/>
      <c r="J1121" s="35">
        <f>IF(A1121="","",MONTH(A1121))</f>
        <v/>
      </c>
      <c r="K1121" s="35">
        <f>IF(A1121="","",YEAR(A1121))</f>
        <v/>
      </c>
    </row>
    <row r="1122">
      <c r="A1122" s="39" t="n"/>
      <c r="B1122" s="32" t="n"/>
      <c r="C1122" s="31" t="n"/>
      <c r="D1122" s="31" t="n"/>
      <c r="E1122" s="31" t="n"/>
      <c r="F1122" s="31" t="n"/>
      <c r="G1122" s="36" t="n"/>
      <c r="H1122" s="32" t="n"/>
      <c r="I1122" s="32" t="n"/>
      <c r="J1122" s="35">
        <f>IF(A1122="","",MONTH(A1122))</f>
        <v/>
      </c>
      <c r="K1122" s="35">
        <f>IF(A1122="","",YEAR(A1122))</f>
        <v/>
      </c>
    </row>
    <row r="1123">
      <c r="A1123" s="39" t="n"/>
      <c r="B1123" s="32" t="n"/>
      <c r="C1123" s="31" t="n"/>
      <c r="D1123" s="31" t="n"/>
      <c r="E1123" s="31" t="n"/>
      <c r="F1123" s="31" t="n"/>
      <c r="G1123" s="36" t="n"/>
      <c r="H1123" s="32" t="n"/>
      <c r="I1123" s="32" t="n"/>
      <c r="J1123" s="35">
        <f>IF(A1123="","",MONTH(A1123))</f>
        <v/>
      </c>
      <c r="K1123" s="35">
        <f>IF(A1123="","",YEAR(A1123))</f>
        <v/>
      </c>
    </row>
    <row r="1124">
      <c r="A1124" s="39" t="n"/>
      <c r="B1124" s="32" t="n"/>
      <c r="C1124" s="31" t="n"/>
      <c r="D1124" s="31" t="n"/>
      <c r="E1124" s="31" t="n"/>
      <c r="F1124" s="31" t="n"/>
      <c r="G1124" s="36" t="n"/>
      <c r="H1124" s="32" t="n"/>
      <c r="I1124" s="32" t="n"/>
      <c r="J1124" s="35">
        <f>IF(A1124="","",MONTH(A1124))</f>
        <v/>
      </c>
      <c r="K1124" s="35">
        <f>IF(A1124="","",YEAR(A1124))</f>
        <v/>
      </c>
    </row>
    <row r="1125">
      <c r="A1125" s="39" t="n"/>
      <c r="B1125" s="32" t="n"/>
      <c r="C1125" s="31" t="n"/>
      <c r="D1125" s="31" t="n"/>
      <c r="E1125" s="31" t="n"/>
      <c r="F1125" s="31" t="n"/>
      <c r="G1125" s="36" t="n"/>
      <c r="H1125" s="32" t="n"/>
      <c r="I1125" s="32" t="n"/>
      <c r="J1125" s="35">
        <f>IF(A1125="","",MONTH(A1125))</f>
        <v/>
      </c>
      <c r="K1125" s="35">
        <f>IF(A1125="","",YEAR(A1125))</f>
        <v/>
      </c>
    </row>
    <row r="1126">
      <c r="A1126" s="39" t="n"/>
      <c r="B1126" s="32" t="n"/>
      <c r="C1126" s="31" t="n"/>
      <c r="D1126" s="31" t="n"/>
      <c r="E1126" s="31" t="n"/>
      <c r="F1126" s="31" t="n"/>
      <c r="G1126" s="36" t="n"/>
      <c r="H1126" s="32" t="n"/>
      <c r="I1126" s="32" t="n"/>
      <c r="J1126" s="35">
        <f>IF(A1126="","",MONTH(A1126))</f>
        <v/>
      </c>
      <c r="K1126" s="35">
        <f>IF(A1126="","",YEAR(A1126))</f>
        <v/>
      </c>
    </row>
    <row r="1127">
      <c r="A1127" s="39" t="n"/>
      <c r="B1127" s="32" t="n"/>
      <c r="C1127" s="31" t="n"/>
      <c r="D1127" s="31" t="n"/>
      <c r="E1127" s="31" t="n"/>
      <c r="F1127" s="31" t="n"/>
      <c r="G1127" s="36" t="n"/>
      <c r="H1127" s="32" t="n"/>
      <c r="I1127" s="32" t="n"/>
      <c r="J1127" s="35">
        <f>IF(A1127="","",MONTH(A1127))</f>
        <v/>
      </c>
      <c r="K1127" s="35">
        <f>IF(A1127="","",YEAR(A1127))</f>
        <v/>
      </c>
    </row>
    <row r="1128">
      <c r="A1128" s="39" t="n"/>
      <c r="B1128" s="32" t="n"/>
      <c r="C1128" s="31" t="n"/>
      <c r="D1128" s="31" t="n"/>
      <c r="E1128" s="31" t="n"/>
      <c r="F1128" s="31" t="n"/>
      <c r="G1128" s="36" t="n"/>
      <c r="H1128" s="32" t="n"/>
      <c r="I1128" s="32" t="n"/>
      <c r="J1128" s="35">
        <f>IF(A1128="","",MONTH(A1128))</f>
        <v/>
      </c>
      <c r="K1128" s="35">
        <f>IF(A1128="","",YEAR(A1128))</f>
        <v/>
      </c>
    </row>
    <row r="1129">
      <c r="A1129" s="39" t="n"/>
      <c r="B1129" s="32" t="n"/>
      <c r="C1129" s="31" t="n"/>
      <c r="D1129" s="31" t="n"/>
      <c r="E1129" s="31" t="n"/>
      <c r="F1129" s="31" t="n"/>
      <c r="G1129" s="36" t="n"/>
      <c r="H1129" s="32" t="n"/>
      <c r="I1129" s="32" t="n"/>
      <c r="J1129" s="35">
        <f>IF(A1129="","",MONTH(A1129))</f>
        <v/>
      </c>
      <c r="K1129" s="35">
        <f>IF(A1129="","",YEAR(A1129))</f>
        <v/>
      </c>
    </row>
    <row r="1130">
      <c r="A1130" s="39" t="n"/>
      <c r="B1130" s="32" t="n"/>
      <c r="C1130" s="31" t="n"/>
      <c r="D1130" s="31" t="n"/>
      <c r="E1130" s="31" t="n"/>
      <c r="F1130" s="31" t="n"/>
      <c r="G1130" s="36" t="n"/>
      <c r="H1130" s="32" t="n"/>
      <c r="I1130" s="32" t="n"/>
      <c r="J1130" s="35">
        <f>IF(A1130="","",MONTH(A1130))</f>
        <v/>
      </c>
      <c r="K1130" s="35">
        <f>IF(A1130="","",YEAR(A1130))</f>
        <v/>
      </c>
    </row>
    <row r="1131">
      <c r="A1131" s="39" t="n"/>
      <c r="B1131" s="32" t="n"/>
      <c r="C1131" s="31" t="n"/>
      <c r="D1131" s="31" t="n"/>
      <c r="E1131" s="31" t="n"/>
      <c r="F1131" s="31" t="n"/>
      <c r="G1131" s="36" t="n"/>
      <c r="H1131" s="32" t="n"/>
      <c r="I1131" s="32" t="n"/>
      <c r="J1131" s="35">
        <f>IF(A1131="","",MONTH(A1131))</f>
        <v/>
      </c>
      <c r="K1131" s="35">
        <f>IF(A1131="","",YEAR(A1131))</f>
        <v/>
      </c>
    </row>
    <row r="1132">
      <c r="A1132" s="39" t="n"/>
      <c r="B1132" s="32" t="n"/>
      <c r="C1132" s="31" t="n"/>
      <c r="D1132" s="31" t="n"/>
      <c r="E1132" s="31" t="n"/>
      <c r="F1132" s="31" t="n"/>
      <c r="G1132" s="36" t="n"/>
      <c r="H1132" s="32" t="n"/>
      <c r="I1132" s="32" t="n"/>
      <c r="J1132" s="35">
        <f>IF(A1132="","",MONTH(A1132))</f>
        <v/>
      </c>
      <c r="K1132" s="35">
        <f>IF(A1132="","",YEAR(A1132))</f>
        <v/>
      </c>
    </row>
    <row r="1133">
      <c r="A1133" s="39" t="n"/>
      <c r="B1133" s="32" t="n"/>
      <c r="C1133" s="31" t="n"/>
      <c r="D1133" s="31" t="n"/>
      <c r="E1133" s="31" t="n"/>
      <c r="F1133" s="31" t="n"/>
      <c r="G1133" s="36" t="n"/>
      <c r="H1133" s="32" t="n"/>
      <c r="I1133" s="32" t="n"/>
      <c r="J1133" s="35">
        <f>IF(A1133="","",MONTH(A1133))</f>
        <v/>
      </c>
      <c r="K1133" s="35">
        <f>IF(A1133="","",YEAR(A1133))</f>
        <v/>
      </c>
    </row>
    <row r="1134">
      <c r="A1134" s="39" t="n"/>
      <c r="B1134" s="32" t="n"/>
      <c r="C1134" s="31" t="n"/>
      <c r="D1134" s="31" t="n"/>
      <c r="E1134" s="31" t="n"/>
      <c r="F1134" s="31" t="n"/>
      <c r="G1134" s="36" t="n"/>
      <c r="H1134" s="32" t="n"/>
      <c r="I1134" s="32" t="n"/>
      <c r="J1134" s="35">
        <f>IF(A1134="","",MONTH(A1134))</f>
        <v/>
      </c>
      <c r="K1134" s="35">
        <f>IF(A1134="","",YEAR(A1134))</f>
        <v/>
      </c>
    </row>
    <row r="1135">
      <c r="A1135" s="39" t="n"/>
      <c r="B1135" s="32" t="n"/>
      <c r="C1135" s="31" t="n"/>
      <c r="D1135" s="31" t="n"/>
      <c r="E1135" s="31" t="n"/>
      <c r="F1135" s="31" t="n"/>
      <c r="G1135" s="36" t="n"/>
      <c r="H1135" s="32" t="n"/>
      <c r="I1135" s="32" t="n"/>
      <c r="J1135" s="35">
        <f>IF(A1135="","",MONTH(A1135))</f>
        <v/>
      </c>
      <c r="K1135" s="35">
        <f>IF(A1135="","",YEAR(A1135))</f>
        <v/>
      </c>
    </row>
    <row r="1136">
      <c r="A1136" s="39" t="n"/>
      <c r="B1136" s="32" t="n"/>
      <c r="C1136" s="31" t="n"/>
      <c r="D1136" s="31" t="n"/>
      <c r="E1136" s="31" t="n"/>
      <c r="F1136" s="31" t="n"/>
      <c r="G1136" s="36" t="n"/>
      <c r="H1136" s="32" t="n"/>
      <c r="I1136" s="32" t="n"/>
      <c r="J1136" s="35">
        <f>IF(A1136="","",MONTH(A1136))</f>
        <v/>
      </c>
      <c r="K1136" s="35">
        <f>IF(A1136="","",YEAR(A1136))</f>
        <v/>
      </c>
    </row>
    <row r="1137">
      <c r="A1137" s="39" t="n"/>
      <c r="B1137" s="32" t="n"/>
      <c r="C1137" s="31" t="n"/>
      <c r="D1137" s="31" t="n"/>
      <c r="E1137" s="31" t="n"/>
      <c r="F1137" s="31" t="n"/>
      <c r="G1137" s="36" t="n"/>
      <c r="H1137" s="32" t="n"/>
      <c r="I1137" s="32" t="n"/>
      <c r="J1137" s="35">
        <f>IF(A1137="","",MONTH(A1137))</f>
        <v/>
      </c>
      <c r="K1137" s="35">
        <f>IF(A1137="","",YEAR(A1137))</f>
        <v/>
      </c>
    </row>
    <row r="1138">
      <c r="A1138" s="39" t="n"/>
      <c r="B1138" s="32" t="n"/>
      <c r="C1138" s="31" t="n"/>
      <c r="D1138" s="31" t="n"/>
      <c r="E1138" s="31" t="n"/>
      <c r="F1138" s="31" t="n"/>
      <c r="G1138" s="36" t="n"/>
      <c r="H1138" s="32" t="n"/>
      <c r="I1138" s="32" t="n"/>
      <c r="J1138" s="35">
        <f>IF(A1138="","",MONTH(A1138))</f>
        <v/>
      </c>
      <c r="K1138" s="35">
        <f>IF(A1138="","",YEAR(A1138))</f>
        <v/>
      </c>
    </row>
    <row r="1139">
      <c r="A1139" s="39" t="n"/>
      <c r="B1139" s="32" t="n"/>
      <c r="C1139" s="31" t="n"/>
      <c r="D1139" s="31" t="n"/>
      <c r="E1139" s="31" t="n"/>
      <c r="F1139" s="31" t="n"/>
      <c r="G1139" s="36" t="n"/>
      <c r="H1139" s="32" t="n"/>
      <c r="I1139" s="32" t="n"/>
      <c r="J1139" s="35">
        <f>IF(A1139="","",MONTH(A1139))</f>
        <v/>
      </c>
      <c r="K1139" s="35">
        <f>IF(A1139="","",YEAR(A1139))</f>
        <v/>
      </c>
    </row>
    <row r="1140">
      <c r="A1140" s="39" t="n"/>
      <c r="B1140" s="32" t="n"/>
      <c r="C1140" s="31" t="n"/>
      <c r="D1140" s="31" t="n"/>
      <c r="E1140" s="31" t="n"/>
      <c r="F1140" s="31" t="n"/>
      <c r="G1140" s="36" t="n"/>
      <c r="H1140" s="32" t="n"/>
      <c r="I1140" s="32" t="n"/>
      <c r="J1140" s="35">
        <f>IF(A1140="","",MONTH(A1140))</f>
        <v/>
      </c>
      <c r="K1140" s="35">
        <f>IF(A1140="","",YEAR(A1140))</f>
        <v/>
      </c>
    </row>
    <row r="1141">
      <c r="A1141" s="39" t="n"/>
      <c r="B1141" s="32" t="n"/>
      <c r="C1141" s="31" t="n"/>
      <c r="D1141" s="31" t="n"/>
      <c r="E1141" s="31" t="n"/>
      <c r="F1141" s="31" t="n"/>
      <c r="G1141" s="36" t="n"/>
      <c r="H1141" s="32" t="n"/>
      <c r="I1141" s="32" t="n"/>
      <c r="J1141" s="35">
        <f>IF(A1141="","",MONTH(A1141))</f>
        <v/>
      </c>
      <c r="K1141" s="35">
        <f>IF(A1141="","",YEAR(A1141))</f>
        <v/>
      </c>
    </row>
    <row r="1142">
      <c r="A1142" s="39" t="n"/>
      <c r="B1142" s="32" t="n"/>
      <c r="C1142" s="31" t="n"/>
      <c r="D1142" s="31" t="n"/>
      <c r="E1142" s="31" t="n"/>
      <c r="F1142" s="31" t="n"/>
      <c r="G1142" s="36" t="n"/>
      <c r="H1142" s="32" t="n"/>
      <c r="I1142" s="32" t="n"/>
      <c r="J1142" s="35">
        <f>IF(A1142="","",MONTH(A1142))</f>
        <v/>
      </c>
      <c r="K1142" s="35">
        <f>IF(A1142="","",YEAR(A1142))</f>
        <v/>
      </c>
    </row>
    <row r="1143">
      <c r="A1143" s="39" t="n"/>
      <c r="B1143" s="32" t="n"/>
      <c r="C1143" s="31" t="n"/>
      <c r="D1143" s="31" t="n"/>
      <c r="E1143" s="31" t="n"/>
      <c r="F1143" s="31" t="n"/>
      <c r="G1143" s="36" t="n"/>
      <c r="H1143" s="32" t="n"/>
      <c r="I1143" s="32" t="n"/>
      <c r="J1143" s="35">
        <f>IF(A1143="","",MONTH(A1143))</f>
        <v/>
      </c>
      <c r="K1143" s="35">
        <f>IF(A1143="","",YEAR(A1143))</f>
        <v/>
      </c>
    </row>
    <row r="1144">
      <c r="A1144" s="39" t="n"/>
      <c r="B1144" s="32" t="n"/>
      <c r="C1144" s="31" t="n"/>
      <c r="D1144" s="31" t="n"/>
      <c r="E1144" s="31" t="n"/>
      <c r="F1144" s="31" t="n"/>
      <c r="G1144" s="36" t="n"/>
      <c r="H1144" s="32" t="n"/>
      <c r="I1144" s="32" t="n"/>
      <c r="J1144" s="35">
        <f>IF(A1144="","",MONTH(A1144))</f>
        <v/>
      </c>
      <c r="K1144" s="35">
        <f>IF(A1144="","",YEAR(A1144))</f>
        <v/>
      </c>
    </row>
    <row r="1145">
      <c r="A1145" s="39" t="n"/>
      <c r="B1145" s="32" t="n"/>
      <c r="C1145" s="31" t="n"/>
      <c r="D1145" s="31" t="n"/>
      <c r="E1145" s="31" t="n"/>
      <c r="F1145" s="31" t="n"/>
      <c r="G1145" s="36" t="n"/>
      <c r="H1145" s="32" t="n"/>
      <c r="I1145" s="32" t="n"/>
      <c r="J1145" s="35">
        <f>IF(A1145="","",MONTH(A1145))</f>
        <v/>
      </c>
      <c r="K1145" s="35">
        <f>IF(A1145="","",YEAR(A1145))</f>
        <v/>
      </c>
    </row>
    <row r="1146">
      <c r="A1146" s="39" t="n"/>
      <c r="B1146" s="32" t="n"/>
      <c r="C1146" s="31" t="n"/>
      <c r="D1146" s="31" t="n"/>
      <c r="E1146" s="31" t="n"/>
      <c r="F1146" s="31" t="n"/>
      <c r="G1146" s="36" t="n"/>
      <c r="H1146" s="32" t="n"/>
      <c r="I1146" s="32" t="n"/>
      <c r="J1146" s="35">
        <f>IF(A1146="","",MONTH(A1146))</f>
        <v/>
      </c>
      <c r="K1146" s="35">
        <f>IF(A1146="","",YEAR(A1146))</f>
        <v/>
      </c>
    </row>
    <row r="1147">
      <c r="A1147" s="39" t="n"/>
      <c r="B1147" s="32" t="n"/>
      <c r="C1147" s="31" t="n"/>
      <c r="D1147" s="31" t="n"/>
      <c r="E1147" s="31" t="n"/>
      <c r="F1147" s="31" t="n"/>
      <c r="G1147" s="36" t="n"/>
      <c r="H1147" s="32" t="n"/>
      <c r="I1147" s="32" t="n"/>
      <c r="J1147" s="35">
        <f>IF(A1147="","",MONTH(A1147))</f>
        <v/>
      </c>
      <c r="K1147" s="35">
        <f>IF(A1147="","",YEAR(A1147))</f>
        <v/>
      </c>
    </row>
    <row r="1148">
      <c r="A1148" s="39" t="n"/>
      <c r="B1148" s="32" t="n"/>
      <c r="C1148" s="31" t="n"/>
      <c r="D1148" s="31" t="n"/>
      <c r="E1148" s="31" t="n"/>
      <c r="F1148" s="31" t="n"/>
      <c r="G1148" s="36" t="n"/>
      <c r="H1148" s="32" t="n"/>
      <c r="I1148" s="32" t="n"/>
      <c r="J1148" s="35">
        <f>IF(A1148="","",MONTH(A1148))</f>
        <v/>
      </c>
      <c r="K1148" s="35">
        <f>IF(A1148="","",YEAR(A1148))</f>
        <v/>
      </c>
    </row>
    <row r="1149">
      <c r="A1149" s="39" t="n"/>
      <c r="B1149" s="32" t="n"/>
      <c r="C1149" s="31" t="n"/>
      <c r="D1149" s="31" t="n"/>
      <c r="E1149" s="31" t="n"/>
      <c r="F1149" s="31" t="n"/>
      <c r="G1149" s="36" t="n"/>
      <c r="H1149" s="32" t="n"/>
      <c r="I1149" s="32" t="n"/>
      <c r="J1149" s="35">
        <f>IF(A1149="","",MONTH(A1149))</f>
        <v/>
      </c>
      <c r="K1149" s="35">
        <f>IF(A1149="","",YEAR(A1149))</f>
        <v/>
      </c>
    </row>
    <row r="1150">
      <c r="A1150" s="39" t="n"/>
      <c r="B1150" s="32" t="n"/>
      <c r="C1150" s="31" t="n"/>
      <c r="D1150" s="31" t="n"/>
      <c r="E1150" s="31" t="n"/>
      <c r="F1150" s="31" t="n"/>
      <c r="G1150" s="36" t="n"/>
      <c r="H1150" s="32" t="n"/>
      <c r="I1150" s="32" t="n"/>
      <c r="J1150" s="35">
        <f>IF(A1150="","",MONTH(A1150))</f>
        <v/>
      </c>
      <c r="K1150" s="35">
        <f>IF(A1150="","",YEAR(A1150))</f>
        <v/>
      </c>
    </row>
    <row r="1151">
      <c r="A1151" s="39" t="n"/>
      <c r="B1151" s="32" t="n"/>
      <c r="C1151" s="31" t="n"/>
      <c r="D1151" s="31" t="n"/>
      <c r="E1151" s="31" t="n"/>
      <c r="F1151" s="31" t="n"/>
      <c r="G1151" s="36" t="n"/>
      <c r="H1151" s="32" t="n"/>
      <c r="I1151" s="32" t="n"/>
      <c r="J1151" s="35">
        <f>IF(A1151="","",MONTH(A1151))</f>
        <v/>
      </c>
      <c r="K1151" s="35">
        <f>IF(A1151="","",YEAR(A1151))</f>
        <v/>
      </c>
    </row>
    <row r="1152">
      <c r="A1152" s="39" t="n"/>
      <c r="B1152" s="32" t="n"/>
      <c r="C1152" s="31" t="n"/>
      <c r="D1152" s="31" t="n"/>
      <c r="E1152" s="31" t="n"/>
      <c r="F1152" s="31" t="n"/>
      <c r="G1152" s="36" t="n"/>
      <c r="H1152" s="32" t="n"/>
      <c r="I1152" s="32" t="n"/>
      <c r="J1152" s="35">
        <f>IF(A1152="","",MONTH(A1152))</f>
        <v/>
      </c>
      <c r="K1152" s="35">
        <f>IF(A1152="","",YEAR(A1152))</f>
        <v/>
      </c>
    </row>
    <row r="1153">
      <c r="A1153" s="39" t="n"/>
      <c r="B1153" s="32" t="n"/>
      <c r="C1153" s="31" t="n"/>
      <c r="D1153" s="31" t="n"/>
      <c r="E1153" s="31" t="n"/>
      <c r="F1153" s="31" t="n"/>
      <c r="G1153" s="36" t="n"/>
      <c r="H1153" s="32" t="n"/>
      <c r="I1153" s="32" t="n"/>
      <c r="J1153" s="35">
        <f>IF(A1153="","",MONTH(A1153))</f>
        <v/>
      </c>
      <c r="K1153" s="35">
        <f>IF(A1153="","",YEAR(A1153))</f>
        <v/>
      </c>
    </row>
    <row r="1154">
      <c r="A1154" s="39" t="n"/>
      <c r="B1154" s="32" t="n"/>
      <c r="C1154" s="31" t="n"/>
      <c r="D1154" s="31" t="n"/>
      <c r="E1154" s="31" t="n"/>
      <c r="F1154" s="31" t="n"/>
      <c r="G1154" s="36" t="n"/>
      <c r="H1154" s="32" t="n"/>
      <c r="I1154" s="32" t="n"/>
      <c r="J1154" s="35">
        <f>IF(A1154="","",MONTH(A1154))</f>
        <v/>
      </c>
      <c r="K1154" s="35">
        <f>IF(A1154="","",YEAR(A1154))</f>
        <v/>
      </c>
    </row>
    <row r="1155">
      <c r="A1155" s="39" t="n"/>
      <c r="B1155" s="32" t="n"/>
      <c r="C1155" s="31" t="n"/>
      <c r="D1155" s="31" t="n"/>
      <c r="E1155" s="31" t="n"/>
      <c r="F1155" s="31" t="n"/>
      <c r="G1155" s="36" t="n"/>
      <c r="H1155" s="32" t="n"/>
      <c r="I1155" s="32" t="n"/>
      <c r="J1155" s="35">
        <f>IF(A1155="","",MONTH(A1155))</f>
        <v/>
      </c>
      <c r="K1155" s="35">
        <f>IF(A1155="","",YEAR(A1155))</f>
        <v/>
      </c>
    </row>
    <row r="1156">
      <c r="A1156" s="39" t="n"/>
      <c r="B1156" s="32" t="n"/>
      <c r="C1156" s="31" t="n"/>
      <c r="D1156" s="31" t="n"/>
      <c r="E1156" s="31" t="n"/>
      <c r="F1156" s="31" t="n"/>
      <c r="G1156" s="36" t="n"/>
      <c r="H1156" s="32" t="n"/>
      <c r="I1156" s="32" t="n"/>
      <c r="J1156" s="35">
        <f>IF(A1156="","",MONTH(A1156))</f>
        <v/>
      </c>
      <c r="K1156" s="35">
        <f>IF(A1156="","",YEAR(A1156))</f>
        <v/>
      </c>
    </row>
    <row r="1157">
      <c r="A1157" s="39" t="n"/>
      <c r="B1157" s="32" t="n"/>
      <c r="C1157" s="31" t="n"/>
      <c r="D1157" s="31" t="n"/>
      <c r="E1157" s="31" t="n"/>
      <c r="F1157" s="31" t="n"/>
      <c r="G1157" s="36" t="n"/>
      <c r="H1157" s="32" t="n"/>
      <c r="I1157" s="32" t="n"/>
      <c r="J1157" s="35">
        <f>IF(A1157="","",MONTH(A1157))</f>
        <v/>
      </c>
      <c r="K1157" s="35">
        <f>IF(A1157="","",YEAR(A1157))</f>
        <v/>
      </c>
    </row>
    <row r="1158">
      <c r="A1158" s="39" t="n"/>
      <c r="B1158" s="32" t="n"/>
      <c r="C1158" s="31" t="n"/>
      <c r="D1158" s="31" t="n"/>
      <c r="E1158" s="31" t="n"/>
      <c r="F1158" s="31" t="n"/>
      <c r="G1158" s="36" t="n"/>
      <c r="H1158" s="32" t="n"/>
      <c r="I1158" s="32" t="n"/>
      <c r="J1158" s="35">
        <f>IF(A1158="","",MONTH(A1158))</f>
        <v/>
      </c>
      <c r="K1158" s="35">
        <f>IF(A1158="","",YEAR(A1158))</f>
        <v/>
      </c>
    </row>
    <row r="1159">
      <c r="A1159" s="39" t="n"/>
      <c r="B1159" s="32" t="n"/>
      <c r="C1159" s="31" t="n"/>
      <c r="D1159" s="31" t="n"/>
      <c r="E1159" s="31" t="n"/>
      <c r="F1159" s="31" t="n"/>
      <c r="G1159" s="36" t="n"/>
      <c r="H1159" s="32" t="n"/>
      <c r="I1159" s="32" t="n"/>
      <c r="J1159" s="35">
        <f>IF(A1159="","",MONTH(A1159))</f>
        <v/>
      </c>
      <c r="K1159" s="35">
        <f>IF(A1159="","",YEAR(A1159))</f>
        <v/>
      </c>
    </row>
    <row r="1160">
      <c r="A1160" s="39" t="n"/>
      <c r="B1160" s="32" t="n"/>
      <c r="C1160" s="31" t="n"/>
      <c r="D1160" s="31" t="n"/>
      <c r="E1160" s="31" t="n"/>
      <c r="F1160" s="31" t="n"/>
      <c r="G1160" s="36" t="n"/>
      <c r="H1160" s="32" t="n"/>
      <c r="I1160" s="32" t="n"/>
      <c r="J1160" s="35">
        <f>IF(A1160="","",MONTH(A1160))</f>
        <v/>
      </c>
      <c r="K1160" s="35">
        <f>IF(A1160="","",YEAR(A1160))</f>
        <v/>
      </c>
    </row>
    <row r="1161">
      <c r="A1161" s="39" t="n"/>
      <c r="B1161" s="32" t="n"/>
      <c r="C1161" s="31" t="n"/>
      <c r="D1161" s="31" t="n"/>
      <c r="E1161" s="31" t="n"/>
      <c r="F1161" s="31" t="n"/>
      <c r="G1161" s="36" t="n"/>
      <c r="H1161" s="32" t="n"/>
      <c r="I1161" s="32" t="n"/>
      <c r="J1161" s="35">
        <f>IF(A1161="","",MONTH(A1161))</f>
        <v/>
      </c>
      <c r="K1161" s="35">
        <f>IF(A1161="","",YEAR(A1161))</f>
        <v/>
      </c>
    </row>
    <row r="1162">
      <c r="A1162" s="39" t="n"/>
      <c r="B1162" s="32" t="n"/>
      <c r="C1162" s="31" t="n"/>
      <c r="D1162" s="31" t="n"/>
      <c r="E1162" s="31" t="n"/>
      <c r="F1162" s="31" t="n"/>
      <c r="G1162" s="36" t="n"/>
      <c r="H1162" s="32" t="n"/>
      <c r="I1162" s="32" t="n"/>
      <c r="J1162" s="35">
        <f>IF(A1162="","",MONTH(A1162))</f>
        <v/>
      </c>
      <c r="K1162" s="35">
        <f>IF(A1162="","",YEAR(A1162))</f>
        <v/>
      </c>
    </row>
    <row r="1163">
      <c r="A1163" s="39" t="n"/>
      <c r="B1163" s="32" t="n"/>
      <c r="C1163" s="31" t="n"/>
      <c r="D1163" s="31" t="n"/>
      <c r="E1163" s="31" t="n"/>
      <c r="F1163" s="31" t="n"/>
      <c r="G1163" s="36" t="n"/>
      <c r="H1163" s="32" t="n"/>
      <c r="I1163" s="32" t="n"/>
      <c r="J1163" s="35">
        <f>IF(A1163="","",MONTH(A1163))</f>
        <v/>
      </c>
      <c r="K1163" s="35">
        <f>IF(A1163="","",YEAR(A1163))</f>
        <v/>
      </c>
    </row>
    <row r="1164">
      <c r="A1164" s="39" t="n"/>
      <c r="B1164" s="32" t="n"/>
      <c r="C1164" s="31" t="n"/>
      <c r="D1164" s="31" t="n"/>
      <c r="E1164" s="31" t="n"/>
      <c r="F1164" s="31" t="n"/>
      <c r="G1164" s="36" t="n"/>
      <c r="H1164" s="32" t="n"/>
      <c r="I1164" s="32" t="n"/>
      <c r="J1164" s="35">
        <f>IF(A1164="","",MONTH(A1164))</f>
        <v/>
      </c>
      <c r="K1164" s="35">
        <f>IF(A1164="","",YEAR(A1164))</f>
        <v/>
      </c>
    </row>
    <row r="1165">
      <c r="A1165" s="39" t="n"/>
      <c r="B1165" s="32" t="n"/>
      <c r="C1165" s="31" t="n"/>
      <c r="D1165" s="31" t="n"/>
      <c r="E1165" s="31" t="n"/>
      <c r="F1165" s="31" t="n"/>
      <c r="G1165" s="36" t="n"/>
      <c r="H1165" s="32" t="n"/>
      <c r="I1165" s="32" t="n"/>
      <c r="J1165" s="35">
        <f>IF(A1165="","",MONTH(A1165))</f>
        <v/>
      </c>
      <c r="K1165" s="35">
        <f>IF(A1165="","",YEAR(A1165))</f>
        <v/>
      </c>
    </row>
    <row r="1166">
      <c r="A1166" s="39" t="n"/>
      <c r="B1166" s="32" t="n"/>
      <c r="C1166" s="31" t="n"/>
      <c r="D1166" s="31" t="n"/>
      <c r="E1166" s="31" t="n"/>
      <c r="F1166" s="31" t="n"/>
      <c r="G1166" s="36" t="n"/>
      <c r="H1166" s="32" t="n"/>
      <c r="I1166" s="32" t="n"/>
      <c r="J1166" s="35">
        <f>IF(A1166="","",MONTH(A1166))</f>
        <v/>
      </c>
      <c r="K1166" s="35">
        <f>IF(A1166="","",YEAR(A1166))</f>
        <v/>
      </c>
    </row>
    <row r="1167">
      <c r="A1167" s="39" t="n"/>
      <c r="B1167" s="32" t="n"/>
      <c r="C1167" s="31" t="n"/>
      <c r="D1167" s="31" t="n"/>
      <c r="E1167" s="31" t="n"/>
      <c r="F1167" s="31" t="n"/>
      <c r="G1167" s="36" t="n"/>
      <c r="H1167" s="32" t="n"/>
      <c r="I1167" s="32" t="n"/>
      <c r="J1167" s="35">
        <f>IF(A1167="","",MONTH(A1167))</f>
        <v/>
      </c>
      <c r="K1167" s="35">
        <f>IF(A1167="","",YEAR(A1167))</f>
        <v/>
      </c>
    </row>
    <row r="1168">
      <c r="A1168" s="39" t="n"/>
      <c r="B1168" s="32" t="n"/>
      <c r="C1168" s="31" t="n"/>
      <c r="D1168" s="31" t="n"/>
      <c r="E1168" s="31" t="n"/>
      <c r="F1168" s="31" t="n"/>
      <c r="G1168" s="36" t="n"/>
      <c r="H1168" s="32" t="n"/>
      <c r="I1168" s="32" t="n"/>
      <c r="J1168" s="35">
        <f>IF(A1168="","",MONTH(A1168))</f>
        <v/>
      </c>
      <c r="K1168" s="35">
        <f>IF(A1168="","",YEAR(A1168))</f>
        <v/>
      </c>
    </row>
    <row r="1169">
      <c r="A1169" s="39" t="n"/>
      <c r="B1169" s="32" t="n"/>
      <c r="C1169" s="31" t="n"/>
      <c r="D1169" s="31" t="n"/>
      <c r="E1169" s="31" t="n"/>
      <c r="F1169" s="31" t="n"/>
      <c r="G1169" s="36" t="n"/>
      <c r="H1169" s="32" t="n"/>
      <c r="I1169" s="32" t="n"/>
      <c r="J1169" s="35">
        <f>IF(A1169="","",MONTH(A1169))</f>
        <v/>
      </c>
      <c r="K1169" s="35">
        <f>IF(A1169="","",YEAR(A1169))</f>
        <v/>
      </c>
    </row>
    <row r="1170">
      <c r="A1170" s="39" t="n"/>
      <c r="B1170" s="32" t="n"/>
      <c r="C1170" s="31" t="n"/>
      <c r="D1170" s="31" t="n"/>
      <c r="E1170" s="31" t="n"/>
      <c r="F1170" s="31" t="n"/>
      <c r="G1170" s="36" t="n"/>
      <c r="H1170" s="32" t="n"/>
      <c r="I1170" s="32" t="n"/>
      <c r="J1170" s="35">
        <f>IF(A1170="","",MONTH(A1170))</f>
        <v/>
      </c>
      <c r="K1170" s="35">
        <f>IF(A1170="","",YEAR(A1170))</f>
        <v/>
      </c>
    </row>
    <row r="1171">
      <c r="A1171" s="39" t="n"/>
      <c r="B1171" s="32" t="n"/>
      <c r="C1171" s="31" t="n"/>
      <c r="D1171" s="31" t="n"/>
      <c r="E1171" s="31" t="n"/>
      <c r="F1171" s="31" t="n"/>
      <c r="G1171" s="36" t="n"/>
      <c r="H1171" s="32" t="n"/>
      <c r="I1171" s="32" t="n"/>
      <c r="J1171" s="35">
        <f>IF(A1171="","",MONTH(A1171))</f>
        <v/>
      </c>
      <c r="K1171" s="35">
        <f>IF(A1171="","",YEAR(A1171))</f>
        <v/>
      </c>
    </row>
    <row r="1172">
      <c r="A1172" s="39" t="n"/>
      <c r="B1172" s="32" t="n"/>
      <c r="C1172" s="31" t="n"/>
      <c r="D1172" s="31" t="n"/>
      <c r="E1172" s="31" t="n"/>
      <c r="F1172" s="31" t="n"/>
      <c r="G1172" s="36" t="n"/>
      <c r="H1172" s="32" t="n"/>
      <c r="I1172" s="32" t="n"/>
      <c r="J1172" s="35">
        <f>IF(A1172="","",MONTH(A1172))</f>
        <v/>
      </c>
      <c r="K1172" s="35">
        <f>IF(A1172="","",YEAR(A1172))</f>
        <v/>
      </c>
    </row>
    <row r="1173">
      <c r="A1173" s="39" t="n"/>
      <c r="B1173" s="32" t="n"/>
      <c r="C1173" s="31" t="n"/>
      <c r="D1173" s="31" t="n"/>
      <c r="E1173" s="31" t="n"/>
      <c r="F1173" s="31" t="n"/>
      <c r="G1173" s="36" t="n"/>
      <c r="H1173" s="32" t="n"/>
      <c r="I1173" s="32" t="n"/>
      <c r="J1173" s="35">
        <f>IF(A1173="","",MONTH(A1173))</f>
        <v/>
      </c>
      <c r="K1173" s="35">
        <f>IF(A1173="","",YEAR(A1173))</f>
        <v/>
      </c>
    </row>
    <row r="1174">
      <c r="A1174" s="39" t="n"/>
      <c r="B1174" s="32" t="n"/>
      <c r="C1174" s="31" t="n"/>
      <c r="D1174" s="31" t="n"/>
      <c r="E1174" s="31" t="n"/>
      <c r="F1174" s="31" t="n"/>
      <c r="G1174" s="36" t="n"/>
      <c r="H1174" s="32" t="n"/>
      <c r="I1174" s="32" t="n"/>
      <c r="J1174" s="35">
        <f>IF(A1174="","",MONTH(A1174))</f>
        <v/>
      </c>
      <c r="K1174" s="35">
        <f>IF(A1174="","",YEAR(A1174))</f>
        <v/>
      </c>
    </row>
    <row r="1175">
      <c r="A1175" s="39" t="n"/>
      <c r="B1175" s="32" t="n"/>
      <c r="C1175" s="31" t="n"/>
      <c r="D1175" s="31" t="n"/>
      <c r="E1175" s="31" t="n"/>
      <c r="F1175" s="31" t="n"/>
      <c r="G1175" s="36" t="n"/>
      <c r="H1175" s="32" t="n"/>
      <c r="I1175" s="32" t="n"/>
      <c r="J1175" s="35">
        <f>IF(A1175="","",MONTH(A1175))</f>
        <v/>
      </c>
      <c r="K1175" s="35">
        <f>IF(A1175="","",YEAR(A1175))</f>
        <v/>
      </c>
    </row>
    <row r="1176">
      <c r="A1176" s="39" t="n"/>
      <c r="B1176" s="32" t="n"/>
      <c r="C1176" s="31" t="n"/>
      <c r="D1176" s="31" t="n"/>
      <c r="E1176" s="31" t="n"/>
      <c r="F1176" s="31" t="n"/>
      <c r="G1176" s="36" t="n"/>
      <c r="H1176" s="32" t="n"/>
      <c r="I1176" s="32" t="n"/>
      <c r="J1176" s="35">
        <f>IF(A1176="","",MONTH(A1176))</f>
        <v/>
      </c>
      <c r="K1176" s="35">
        <f>IF(A1176="","",YEAR(A1176))</f>
        <v/>
      </c>
    </row>
    <row r="1177">
      <c r="A1177" s="39" t="n"/>
      <c r="B1177" s="32" t="n"/>
      <c r="C1177" s="31" t="n"/>
      <c r="D1177" s="31" t="n"/>
      <c r="E1177" s="31" t="n"/>
      <c r="F1177" s="31" t="n"/>
      <c r="G1177" s="36" t="n"/>
      <c r="H1177" s="32" t="n"/>
      <c r="I1177" s="32" t="n"/>
      <c r="J1177" s="35">
        <f>IF(A1177="","",MONTH(A1177))</f>
        <v/>
      </c>
      <c r="K1177" s="35">
        <f>IF(A1177="","",YEAR(A1177))</f>
        <v/>
      </c>
    </row>
    <row r="1178">
      <c r="A1178" s="39" t="n"/>
      <c r="B1178" s="32" t="n"/>
      <c r="C1178" s="31" t="n"/>
      <c r="D1178" s="31" t="n"/>
      <c r="E1178" s="31" t="n"/>
      <c r="F1178" s="31" t="n"/>
      <c r="G1178" s="36" t="n"/>
      <c r="H1178" s="32" t="n"/>
      <c r="I1178" s="32" t="n"/>
      <c r="J1178" s="35">
        <f>IF(A1178="","",MONTH(A1178))</f>
        <v/>
      </c>
      <c r="K1178" s="35">
        <f>IF(A1178="","",YEAR(A1178))</f>
        <v/>
      </c>
    </row>
    <row r="1179">
      <c r="A1179" s="39" t="n"/>
      <c r="B1179" s="32" t="n"/>
      <c r="C1179" s="31" t="n"/>
      <c r="D1179" s="31" t="n"/>
      <c r="E1179" s="31" t="n"/>
      <c r="F1179" s="31" t="n"/>
      <c r="G1179" s="36" t="n"/>
      <c r="H1179" s="32" t="n"/>
      <c r="I1179" s="32" t="n"/>
      <c r="J1179" s="35">
        <f>IF(A1179="","",MONTH(A1179))</f>
        <v/>
      </c>
      <c r="K1179" s="35">
        <f>IF(A1179="","",YEAR(A1179))</f>
        <v/>
      </c>
    </row>
    <row r="1180">
      <c r="A1180" s="39" t="n"/>
      <c r="B1180" s="32" t="n"/>
      <c r="C1180" s="31" t="n"/>
      <c r="D1180" s="31" t="n"/>
      <c r="E1180" s="31" t="n"/>
      <c r="F1180" s="31" t="n"/>
      <c r="G1180" s="36" t="n"/>
      <c r="H1180" s="32" t="n"/>
      <c r="I1180" s="32" t="n"/>
      <c r="J1180" s="35">
        <f>IF(A1180="","",MONTH(A1180))</f>
        <v/>
      </c>
      <c r="K1180" s="35">
        <f>IF(A1180="","",YEAR(A1180))</f>
        <v/>
      </c>
    </row>
    <row r="1181">
      <c r="A1181" s="39" t="n"/>
      <c r="B1181" s="32" t="n"/>
      <c r="C1181" s="31" t="n"/>
      <c r="D1181" s="31" t="n"/>
      <c r="E1181" s="31" t="n"/>
      <c r="F1181" s="31" t="n"/>
      <c r="G1181" s="36" t="n"/>
      <c r="H1181" s="32" t="n"/>
      <c r="I1181" s="32" t="n"/>
      <c r="J1181" s="35">
        <f>IF(A1181="","",MONTH(A1181))</f>
        <v/>
      </c>
      <c r="K1181" s="35">
        <f>IF(A1181="","",YEAR(A1181))</f>
        <v/>
      </c>
    </row>
    <row r="1182">
      <c r="A1182" s="39" t="n"/>
      <c r="B1182" s="32" t="n"/>
      <c r="C1182" s="31" t="n"/>
      <c r="D1182" s="31" t="n"/>
      <c r="E1182" s="31" t="n"/>
      <c r="F1182" s="31" t="n"/>
      <c r="G1182" s="36" t="n"/>
      <c r="H1182" s="32" t="n"/>
      <c r="I1182" s="32" t="n"/>
      <c r="J1182" s="35">
        <f>IF(A1182="","",MONTH(A1182))</f>
        <v/>
      </c>
      <c r="K1182" s="35">
        <f>IF(A1182="","",YEAR(A1182))</f>
        <v/>
      </c>
    </row>
    <row r="1183">
      <c r="A1183" s="39" t="n"/>
      <c r="B1183" s="32" t="n"/>
      <c r="C1183" s="31" t="n"/>
      <c r="D1183" s="31" t="n"/>
      <c r="E1183" s="31" t="n"/>
      <c r="F1183" s="31" t="n"/>
      <c r="G1183" s="36" t="n"/>
      <c r="H1183" s="32" t="n"/>
      <c r="I1183" s="32" t="n"/>
      <c r="J1183" s="35">
        <f>IF(A1183="","",MONTH(A1183))</f>
        <v/>
      </c>
      <c r="K1183" s="35">
        <f>IF(A1183="","",YEAR(A1183))</f>
        <v/>
      </c>
    </row>
    <row r="1184">
      <c r="A1184" s="39" t="n"/>
      <c r="B1184" s="32" t="n"/>
      <c r="C1184" s="31" t="n"/>
      <c r="D1184" s="31" t="n"/>
      <c r="E1184" s="31" t="n"/>
      <c r="F1184" s="31" t="n"/>
      <c r="G1184" s="36" t="n"/>
      <c r="H1184" s="32" t="n"/>
      <c r="I1184" s="32" t="n"/>
      <c r="J1184" s="35">
        <f>IF(A1184="","",MONTH(A1184))</f>
        <v/>
      </c>
      <c r="K1184" s="35">
        <f>IF(A1184="","",YEAR(A1184))</f>
        <v/>
      </c>
    </row>
    <row r="1185">
      <c r="A1185" s="39" t="n"/>
      <c r="B1185" s="32" t="n"/>
      <c r="C1185" s="31" t="n"/>
      <c r="D1185" s="31" t="n"/>
      <c r="E1185" s="31" t="n"/>
      <c r="F1185" s="31" t="n"/>
      <c r="G1185" s="36" t="n"/>
      <c r="H1185" s="32" t="n"/>
      <c r="I1185" s="32" t="n"/>
      <c r="J1185" s="35">
        <f>IF(A1185="","",MONTH(A1185))</f>
        <v/>
      </c>
      <c r="K1185" s="35">
        <f>IF(A1185="","",YEAR(A1185))</f>
        <v/>
      </c>
    </row>
    <row r="1186">
      <c r="A1186" s="39" t="n"/>
      <c r="B1186" s="32" t="n"/>
      <c r="C1186" s="31" t="n"/>
      <c r="D1186" s="31" t="n"/>
      <c r="E1186" s="31" t="n"/>
      <c r="F1186" s="31" t="n"/>
      <c r="G1186" s="36" t="n"/>
      <c r="H1186" s="32" t="n"/>
      <c r="I1186" s="32" t="n"/>
      <c r="J1186" s="35">
        <f>IF(A1186="","",MONTH(A1186))</f>
        <v/>
      </c>
      <c r="K1186" s="35">
        <f>IF(A1186="","",YEAR(A1186))</f>
        <v/>
      </c>
    </row>
    <row r="1187">
      <c r="A1187" s="39" t="n"/>
      <c r="B1187" s="32" t="n"/>
      <c r="C1187" s="31" t="n"/>
      <c r="D1187" s="31" t="n"/>
      <c r="E1187" s="31" t="n"/>
      <c r="F1187" s="31" t="n"/>
      <c r="G1187" s="36" t="n"/>
      <c r="H1187" s="32" t="n"/>
      <c r="I1187" s="32" t="n"/>
      <c r="J1187" s="35">
        <f>IF(A1187="","",MONTH(A1187))</f>
        <v/>
      </c>
      <c r="K1187" s="35">
        <f>IF(A1187="","",YEAR(A1187))</f>
        <v/>
      </c>
    </row>
    <row r="1188">
      <c r="A1188" s="39" t="n"/>
      <c r="B1188" s="32" t="n"/>
      <c r="C1188" s="31" t="n"/>
      <c r="D1188" s="31" t="n"/>
      <c r="E1188" s="31" t="n"/>
      <c r="F1188" s="31" t="n"/>
      <c r="G1188" s="36" t="n"/>
      <c r="H1188" s="32" t="n"/>
      <c r="I1188" s="32" t="n"/>
      <c r="J1188" s="35">
        <f>IF(A1188="","",MONTH(A1188))</f>
        <v/>
      </c>
      <c r="K1188" s="35">
        <f>IF(A1188="","",YEAR(A1188))</f>
        <v/>
      </c>
    </row>
    <row r="1189">
      <c r="A1189" s="39" t="n"/>
      <c r="B1189" s="32" t="n"/>
      <c r="C1189" s="31" t="n"/>
      <c r="D1189" s="31" t="n"/>
      <c r="E1189" s="31" t="n"/>
      <c r="F1189" s="31" t="n"/>
      <c r="G1189" s="36" t="n"/>
      <c r="H1189" s="32" t="n"/>
      <c r="I1189" s="32" t="n"/>
      <c r="J1189" s="35">
        <f>IF(A1189="","",MONTH(A1189))</f>
        <v/>
      </c>
      <c r="K1189" s="35">
        <f>IF(A1189="","",YEAR(A1189))</f>
        <v/>
      </c>
    </row>
    <row r="1190">
      <c r="A1190" s="39" t="n"/>
      <c r="B1190" s="32" t="n"/>
      <c r="C1190" s="31" t="n"/>
      <c r="D1190" s="31" t="n"/>
      <c r="E1190" s="31" t="n"/>
      <c r="F1190" s="31" t="n"/>
      <c r="G1190" s="36" t="n"/>
      <c r="H1190" s="32" t="n"/>
      <c r="I1190" s="32" t="n"/>
      <c r="J1190" s="35">
        <f>IF(A1190="","",MONTH(A1190))</f>
        <v/>
      </c>
      <c r="K1190" s="35">
        <f>IF(A1190="","",YEAR(A1190))</f>
        <v/>
      </c>
    </row>
    <row r="1191">
      <c r="A1191" s="39" t="n"/>
      <c r="B1191" s="32" t="n"/>
      <c r="C1191" s="31" t="n"/>
      <c r="D1191" s="31" t="n"/>
      <c r="E1191" s="31" t="n"/>
      <c r="F1191" s="31" t="n"/>
      <c r="G1191" s="36" t="n"/>
      <c r="H1191" s="32" t="n"/>
      <c r="I1191" s="32" t="n"/>
      <c r="J1191" s="35">
        <f>IF(A1191="","",MONTH(A1191))</f>
        <v/>
      </c>
      <c r="K1191" s="35">
        <f>IF(A1191="","",YEAR(A1191))</f>
        <v/>
      </c>
    </row>
    <row r="1192">
      <c r="A1192" s="39" t="n"/>
      <c r="B1192" s="32" t="n"/>
      <c r="C1192" s="31" t="n"/>
      <c r="D1192" s="31" t="n"/>
      <c r="E1192" s="31" t="n"/>
      <c r="F1192" s="31" t="n"/>
      <c r="G1192" s="36" t="n"/>
      <c r="H1192" s="32" t="n"/>
      <c r="I1192" s="32" t="n"/>
      <c r="J1192" s="35">
        <f>IF(A1192="","",MONTH(A1192))</f>
        <v/>
      </c>
      <c r="K1192" s="35">
        <f>IF(A1192="","",YEAR(A1192))</f>
        <v/>
      </c>
    </row>
    <row r="1193">
      <c r="A1193" s="39" t="n"/>
      <c r="B1193" s="32" t="n"/>
      <c r="C1193" s="31" t="n"/>
      <c r="D1193" s="31" t="n"/>
      <c r="E1193" s="31" t="n"/>
      <c r="F1193" s="31" t="n"/>
      <c r="G1193" s="36" t="n"/>
      <c r="H1193" s="32" t="n"/>
      <c r="I1193" s="32" t="n"/>
      <c r="J1193" s="35">
        <f>IF(A1193="","",MONTH(A1193))</f>
        <v/>
      </c>
      <c r="K1193" s="35">
        <f>IF(A1193="","",YEAR(A1193))</f>
        <v/>
      </c>
    </row>
    <row r="1194">
      <c r="A1194" s="39" t="n"/>
      <c r="B1194" s="32" t="n"/>
      <c r="C1194" s="31" t="n"/>
      <c r="D1194" s="31" t="n"/>
      <c r="E1194" s="31" t="n"/>
      <c r="F1194" s="31" t="n"/>
      <c r="G1194" s="36" t="n"/>
      <c r="H1194" s="32" t="n"/>
      <c r="I1194" s="32" t="n"/>
      <c r="J1194" s="35">
        <f>IF(A1194="","",MONTH(A1194))</f>
        <v/>
      </c>
      <c r="K1194" s="35">
        <f>IF(A1194="","",YEAR(A1194))</f>
        <v/>
      </c>
    </row>
    <row r="1195">
      <c r="A1195" s="39" t="n"/>
      <c r="B1195" s="32" t="n"/>
      <c r="C1195" s="31" t="n"/>
      <c r="D1195" s="31" t="n"/>
      <c r="E1195" s="31" t="n"/>
      <c r="F1195" s="31" t="n"/>
      <c r="G1195" s="36" t="n"/>
      <c r="H1195" s="32" t="n"/>
      <c r="I1195" s="32" t="n"/>
      <c r="J1195" s="35">
        <f>IF(A1195="","",MONTH(A1195))</f>
        <v/>
      </c>
      <c r="K1195" s="35">
        <f>IF(A1195="","",YEAR(A1195))</f>
        <v/>
      </c>
    </row>
    <row r="1196">
      <c r="A1196" s="39" t="n"/>
      <c r="B1196" s="32" t="n"/>
      <c r="C1196" s="31" t="n"/>
      <c r="D1196" s="31" t="n"/>
      <c r="E1196" s="31" t="n"/>
      <c r="F1196" s="31" t="n"/>
      <c r="G1196" s="36" t="n"/>
      <c r="H1196" s="32" t="n"/>
      <c r="I1196" s="32" t="n"/>
      <c r="J1196" s="35">
        <f>IF(A1196="","",MONTH(A1196))</f>
        <v/>
      </c>
      <c r="K1196" s="35">
        <f>IF(A1196="","",YEAR(A1196))</f>
        <v/>
      </c>
    </row>
    <row r="1197">
      <c r="A1197" s="39" t="n"/>
      <c r="B1197" s="32" t="n"/>
      <c r="C1197" s="31" t="n"/>
      <c r="D1197" s="31" t="n"/>
      <c r="E1197" s="31" t="n"/>
      <c r="F1197" s="31" t="n"/>
      <c r="G1197" s="36" t="n"/>
      <c r="H1197" s="32" t="n"/>
      <c r="I1197" s="32" t="n"/>
      <c r="J1197" s="35">
        <f>IF(A1197="","",MONTH(A1197))</f>
        <v/>
      </c>
      <c r="K1197" s="35">
        <f>IF(A1197="","",YEAR(A1197))</f>
        <v/>
      </c>
    </row>
    <row r="1198">
      <c r="A1198" s="39" t="n"/>
      <c r="B1198" s="32" t="n"/>
      <c r="C1198" s="31" t="n"/>
      <c r="D1198" s="31" t="n"/>
      <c r="E1198" s="31" t="n"/>
      <c r="F1198" s="31" t="n"/>
      <c r="G1198" s="36" t="n"/>
      <c r="H1198" s="32" t="n"/>
      <c r="I1198" s="32" t="n"/>
      <c r="J1198" s="35">
        <f>IF(A1198="","",MONTH(A1198))</f>
        <v/>
      </c>
      <c r="K1198" s="35">
        <f>IF(A1198="","",YEAR(A1198))</f>
        <v/>
      </c>
    </row>
    <row r="1199">
      <c r="A1199" s="39" t="n"/>
      <c r="B1199" s="32" t="n"/>
      <c r="C1199" s="31" t="n"/>
      <c r="D1199" s="31" t="n"/>
      <c r="E1199" s="31" t="n"/>
      <c r="F1199" s="31" t="n"/>
      <c r="G1199" s="36" t="n"/>
      <c r="H1199" s="32" t="n"/>
      <c r="I1199" s="32" t="n"/>
      <c r="J1199" s="35">
        <f>IF(A1199="","",MONTH(A1199))</f>
        <v/>
      </c>
      <c r="K1199" s="35">
        <f>IF(A1199="","",YEAR(A1199))</f>
        <v/>
      </c>
    </row>
    <row r="1200">
      <c r="A1200" s="39" t="n"/>
      <c r="B1200" s="32" t="n"/>
      <c r="C1200" s="31" t="n"/>
      <c r="D1200" s="31" t="n"/>
      <c r="E1200" s="31" t="n"/>
      <c r="F1200" s="31" t="n"/>
      <c r="G1200" s="36" t="n"/>
      <c r="H1200" s="32" t="n"/>
      <c r="I1200" s="32" t="n"/>
      <c r="J1200" s="35">
        <f>IF(A1200="","",MONTH(A1200))</f>
        <v/>
      </c>
      <c r="K1200" s="35">
        <f>IF(A1200="","",YEAR(A1200))</f>
        <v/>
      </c>
    </row>
    <row r="1201">
      <c r="A1201" s="39" t="n"/>
      <c r="B1201" s="32" t="n"/>
      <c r="C1201" s="31" t="n"/>
      <c r="D1201" s="31" t="n"/>
      <c r="E1201" s="31" t="n"/>
      <c r="F1201" s="31" t="n"/>
      <c r="G1201" s="36" t="n"/>
      <c r="H1201" s="32" t="n"/>
      <c r="I1201" s="32" t="n"/>
      <c r="J1201" s="35">
        <f>IF(A1201="","",MONTH(A1201))</f>
        <v/>
      </c>
      <c r="K1201" s="35">
        <f>IF(A1201="","",YEAR(A1201))</f>
        <v/>
      </c>
    </row>
    <row r="1202">
      <c r="A1202" s="39" t="n"/>
      <c r="B1202" s="32" t="n"/>
      <c r="C1202" s="31" t="n"/>
      <c r="D1202" s="31" t="n"/>
      <c r="E1202" s="31" t="n"/>
      <c r="F1202" s="31" t="n"/>
      <c r="G1202" s="36" t="n"/>
      <c r="H1202" s="32" t="n"/>
      <c r="I1202" s="32" t="n"/>
      <c r="J1202" s="35">
        <f>IF(A1202="","",MONTH(A1202))</f>
        <v/>
      </c>
      <c r="K1202" s="35">
        <f>IF(A1202="","",YEAR(A1202))</f>
        <v/>
      </c>
    </row>
    <row r="1203">
      <c r="A1203" s="39" t="n"/>
      <c r="B1203" s="32" t="n"/>
      <c r="C1203" s="31" t="n"/>
      <c r="D1203" s="31" t="n"/>
      <c r="E1203" s="31" t="n"/>
      <c r="F1203" s="31" t="n"/>
      <c r="G1203" s="36" t="n"/>
      <c r="H1203" s="32" t="n"/>
      <c r="I1203" s="32" t="n"/>
      <c r="J1203" s="35">
        <f>IF(A1203="","",MONTH(A1203))</f>
        <v/>
      </c>
      <c r="K1203" s="35">
        <f>IF(A1203="","",YEAR(A1203))</f>
        <v/>
      </c>
    </row>
    <row r="1204">
      <c r="A1204" s="39" t="n"/>
      <c r="B1204" s="32" t="n"/>
      <c r="C1204" s="31" t="n"/>
      <c r="D1204" s="31" t="n"/>
      <c r="E1204" s="31" t="n"/>
      <c r="F1204" s="31" t="n"/>
      <c r="G1204" s="36" t="n"/>
      <c r="H1204" s="32" t="n"/>
      <c r="I1204" s="32" t="n"/>
      <c r="J1204" s="35">
        <f>IF(A1204="","",MONTH(A1204))</f>
        <v/>
      </c>
      <c r="K1204" s="35">
        <f>IF(A1204="","",YEAR(A1204))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1204"/>
  <mergeCells count="2">
    <mergeCell ref="A2:K2"/>
    <mergeCell ref="A1:K1"/>
  </mergeCells>
  <conditionalFormatting sqref="A5:K1204">
    <cfRule type="expression" priority="1" dxfId="2">
      <formula>$B5="Entrada"</formula>
    </cfRule>
    <cfRule type="expression" priority="2" dxfId="3">
      <formula>AND($A5&lt;&gt;"",$I5="Não")</formula>
    </cfRule>
  </conditionalFormatting>
  <dataValidations count="7">
    <dataValidation sqref="B5:B1204" showDropDown="0" showInputMessage="0" showErrorMessage="1" allowBlank="1" type="list">
      <formula1>"Entrada,Saída"</formula1>
    </dataValidation>
    <dataValidation sqref="C5:C1204" showDropDown="0" showInputMessage="0" showErrorMessage="0" allowBlank="1" type="list">
      <formula1>=OFFSET(Config!$H$5,0,0,MAX(1,COUNTA(Config!$D$5:$D$16)+COUNTA(Config!$F$5:$F$20)),1)</formula1>
    </dataValidation>
    <dataValidation sqref="D5:D1204" showDropDown="0" showInputMessage="0" showErrorMessage="0" allowBlank="1" type="list">
      <formula1>=OFFSET(Config!$J$5,0,0,MAX(1,COUNTA(Config!$J$5:$J$34)),1)</formula1>
    </dataValidation>
    <dataValidation sqref="H5:H1204" showDropDown="0" showInputMessage="0" showErrorMessage="1" allowBlank="1" type="list">
      <formula1>"Pix,Dinheiro,Cartão de débito,Cartão de crédito,Transferência,Boleto"</formula1>
    </dataValidation>
    <dataValidation sqref="I5:I1204" showDropDown="0" showInputMessage="0" showErrorMessage="1" allowBlank="1" type="list">
      <formula1>"Sim,Não"</formula1>
    </dataValidation>
    <dataValidation sqref="A5:A1204" showDropDown="0" showInputMessage="0" showErrorMessage="0" allowBlank="1" type="date" operator="greaterThan">
      <formula1>1</formula1>
    </dataValidation>
    <dataValidation sqref="G5:G12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Caixa da clínica · Kit de Gestão para Médicos</dc:title>
  <dcterms:created xmlns:dcterms="http://purl.org/dc/terms/" xmlns:xsi="http://www.w3.org/2001/XMLSchema-instance" xsi:type="dcterms:W3CDTF">2026-09-14T21:29:09Z</dcterms:created>
  <dcterms:modified xmlns:dcterms="http://purl.org/dc/terms/" xmlns:xsi="http://www.w3.org/2001/XMLSchema-instance" xsi:type="dcterms:W3CDTF">2026-09-14T21:29:10Z</dcterms:modified>
</cp:coreProperties>
</file>