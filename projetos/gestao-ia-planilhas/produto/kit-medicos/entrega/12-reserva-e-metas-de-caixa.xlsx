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9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6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  <xf numFmtId="165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'Painel'!$D$10:$D$33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'Painel'!$J$10:$J$33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a clínica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de custo fixo (3 é um bom começo), o custo fixo dos últimos 3 meses com pró-labore (copie do Painel da planilha 09),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Toda sexta, 5 minutos: atualizar o valor atual das metas. No fechamento do mês: transferir o aporte para a conta da reserva e atualizar o saldo e o custo fixo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08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português: R$ 26.062 e 2,1 meses).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Clínica Vida Plena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3"/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84000</v>
      </c>
      <c r="B5" s="8" t="n"/>
      <c r="C5" s="16">
        <f>Config!$B$22</f>
        <v>14000</v>
      </c>
      <c r="D5" s="10" t="n"/>
      <c r="E5" s="17">
        <f>MAX(0,A5-C5)</f>
        <v>70000</v>
      </c>
      <c r="F5" s="12" t="n"/>
      <c r="G5" s="18">
        <f>IF(Config!$B$16=0,0,C5/Config!$B$16)</f>
        <v>0.5</v>
      </c>
      <c r="H5" s="14" t="n"/>
      <c r="I5" s="19" t="str">
        <f>IF(C5&gt;=A5,"Já atingida",IFERROR(INDEX(A10:A33,MATCH("Meta atingida",F10:F33,0)),"Depois de 24 meses"))</f>
        <v>Setembro/2028</v>
      </c>
      <c r="J5" s="8" t="n"/>
    </row>
    <row r="6"/>
    <row r="7">
      <c r="A7" s="20" t="inlineStr">
        <is>
          <t>Semáforo</t>
        </is>
      </c>
      <c r="B7" s="21" t="str">
        <f>IF(G5&lt;1,"Vermelho: menos de 1 mês de custo fixo guardado",IF(G5&lt;Config!$B$8,"Amarelo: abaixo da meta",IF(G5&lt;Config!$B$8+1,"Verde: meta atingida","Verde: acima da meta")))</f>
        <v>Vermelho: menos de 1 mês de custo fixo guardado</v>
      </c>
      <c r="G7" s="22" t="str">
        <f>"Contando o caixa livre (R$ "&amp;FIXED(Config!$B$21,0)&amp;"): "&amp;FIXED(IF(Config!$B$16=0,0,(C5+Config!$B$21)/Config!$B$16),1)&amp;" meses"</f>
        <v>Contando o caixa livre (R$ 26,254): 1.4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14000</v>
      </c>
      <c r="C10" s="28">
        <f>Config!$B$9</f>
        <v>3000</v>
      </c>
      <c r="D10" s="29">
        <f>B10+C10</f>
        <v>17000</v>
      </c>
      <c r="E10" s="30">
        <f>IF($A$5=0,"",D10/$A$5)</f>
        <v>0.202380952380952</v>
      </c>
      <c r="F10" s="31">
        <f>IF(D10&gt;=$A$5,IF(B10&lt;$A$5,"Meta atingida","Acima da meta"),"")</f>
        <v/>
      </c>
      <c r="G10" s="32" t="str">
        <f>IF(E10="","",REPT("█",ROUND(MIN(1,E10)*30,0)))</f>
        <v>██████</v>
      </c>
      <c r="H10" s="25" t="n"/>
      <c r="I10" s="26" t="n"/>
      <c r="J10" s="33">
        <f>$A$5</f>
        <v>84000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17000</v>
      </c>
      <c r="C11" s="28">
        <f>Config!$B$9</f>
        <v>3000</v>
      </c>
      <c r="D11" s="29">
        <f>B11+C11</f>
        <v>20000</v>
      </c>
      <c r="E11" s="30">
        <f>IF($A$5=0,"",D11/$A$5)</f>
        <v>0.238095238095238</v>
      </c>
      <c r="F11" s="31">
        <f>IF(D11&gt;=$A$5,IF(B11&lt;$A$5,"Meta atingida","Acima da meta"),"")</f>
        <v/>
      </c>
      <c r="G11" s="32" t="str">
        <f>IF(E11="","",REPT("█",ROUND(MIN(1,E11)*30,0)))</f>
        <v>███████</v>
      </c>
      <c r="H11" s="25" t="n"/>
      <c r="I11" s="26" t="n"/>
      <c r="J11" s="33">
        <f>$A$5</f>
        <v>84000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20000</v>
      </c>
      <c r="C12" s="28">
        <f>Config!$B$9</f>
        <v>3000</v>
      </c>
      <c r="D12" s="29">
        <f>B12+C12</f>
        <v>23000</v>
      </c>
      <c r="E12" s="30">
        <f>IF($A$5=0,"",D12/$A$5)</f>
        <v>0.273809523809524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</v>
      </c>
      <c r="H12" s="25" t="n"/>
      <c r="I12" s="26" t="n"/>
      <c r="J12" s="33">
        <f>$A$5</f>
        <v>84000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23000</v>
      </c>
      <c r="C13" s="28">
        <f>Config!$B$9</f>
        <v>3000</v>
      </c>
      <c r="D13" s="29">
        <f>B13+C13</f>
        <v>26000</v>
      </c>
      <c r="E13" s="30">
        <f>IF($A$5=0,"",D13/$A$5)</f>
        <v>0.30952380952381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█████████</v>
      </c>
      <c r="H13" s="25" t="n"/>
      <c r="I13" s="26" t="n"/>
      <c r="J13" s="33">
        <f>$A$5</f>
        <v>84000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26000</v>
      </c>
      <c r="C14" s="28">
        <f>Config!$B$9</f>
        <v>3000</v>
      </c>
      <c r="D14" s="29">
        <f>B14+C14</f>
        <v>29000</v>
      </c>
      <c r="E14" s="30">
        <f>IF($A$5=0,"",D14/$A$5)</f>
        <v>0.345238095238095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██████████</v>
      </c>
      <c r="H14" s="25" t="n"/>
      <c r="I14" s="26" t="n"/>
      <c r="J14" s="33">
        <f>$A$5</f>
        <v>84000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29000</v>
      </c>
      <c r="C15" s="28">
        <f>Config!$B$9</f>
        <v>3000</v>
      </c>
      <c r="D15" s="29">
        <f>B15+C15</f>
        <v>32000</v>
      </c>
      <c r="E15" s="30">
        <f>IF($A$5=0,"",D15/$A$5)</f>
        <v>0.380952380952381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███████████</v>
      </c>
      <c r="H15" s="25" t="n"/>
      <c r="I15" s="26" t="n"/>
      <c r="J15" s="33">
        <f>$A$5</f>
        <v>84000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32000</v>
      </c>
      <c r="C16" s="28">
        <f>Config!$B$9</f>
        <v>3000</v>
      </c>
      <c r="D16" s="29">
        <f>B16+C16</f>
        <v>35000</v>
      </c>
      <c r="E16" s="30">
        <f>IF($A$5=0,"",D16/$A$5)</f>
        <v>0.416666666666667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█████████████</v>
      </c>
      <c r="H16" s="25" t="n"/>
      <c r="I16" s="26" t="n"/>
      <c r="J16" s="33">
        <f>$A$5</f>
        <v>84000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35000</v>
      </c>
      <c r="C17" s="28">
        <f>Config!$B$9</f>
        <v>3000</v>
      </c>
      <c r="D17" s="29">
        <f>B17+C17</f>
        <v>38000</v>
      </c>
      <c r="E17" s="30">
        <f>IF($A$5=0,"",D17/$A$5)</f>
        <v>0.452380952380952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██████████████</v>
      </c>
      <c r="H17" s="25" t="n"/>
      <c r="I17" s="26" t="n"/>
      <c r="J17" s="33">
        <f>$A$5</f>
        <v>84000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38000</v>
      </c>
      <c r="C18" s="28">
        <f>Config!$B$9</f>
        <v>3000</v>
      </c>
      <c r="D18" s="29">
        <f>B18+C18</f>
        <v>41000</v>
      </c>
      <c r="E18" s="30">
        <f>IF($A$5=0,"",D18/$A$5)</f>
        <v>0.488095238095238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███████████████</v>
      </c>
      <c r="H18" s="25" t="n"/>
      <c r="I18" s="26" t="n"/>
      <c r="J18" s="33">
        <f>$A$5</f>
        <v>84000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41000</v>
      </c>
      <c r="C19" s="28">
        <f>Config!$B$9</f>
        <v>3000</v>
      </c>
      <c r="D19" s="29">
        <f>B19+C19</f>
        <v>44000</v>
      </c>
      <c r="E19" s="30">
        <f>IF($A$5=0,"",D19/$A$5)</f>
        <v>0.523809523809524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████████████████</v>
      </c>
      <c r="H19" s="25" t="n"/>
      <c r="I19" s="26" t="n"/>
      <c r="J19" s="33">
        <f>$A$5</f>
        <v>84000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44000</v>
      </c>
      <c r="C20" s="28">
        <f>Config!$B$9</f>
        <v>3000</v>
      </c>
      <c r="D20" s="29">
        <f>B20+C20</f>
        <v>47000</v>
      </c>
      <c r="E20" s="30">
        <f>IF($A$5=0,"",D20/$A$5)</f>
        <v>0.55952380952381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█████████████████</v>
      </c>
      <c r="H20" s="25" t="n"/>
      <c r="I20" s="26" t="n"/>
      <c r="J20" s="33">
        <f>$A$5</f>
        <v>84000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47000</v>
      </c>
      <c r="C21" s="28">
        <f>Config!$B$9</f>
        <v>3000</v>
      </c>
      <c r="D21" s="29">
        <f>B21+C21</f>
        <v>50000</v>
      </c>
      <c r="E21" s="30">
        <f>IF($A$5=0,"",D21/$A$5)</f>
        <v>0.595238095238095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██████████████████</v>
      </c>
      <c r="H21" s="25" t="n"/>
      <c r="I21" s="26" t="n"/>
      <c r="J21" s="33">
        <f>$A$5</f>
        <v>84000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50000</v>
      </c>
      <c r="C22" s="28">
        <f>Config!$B$9</f>
        <v>3000</v>
      </c>
      <c r="D22" s="29">
        <f>B22+C22</f>
        <v>53000</v>
      </c>
      <c r="E22" s="30">
        <f>IF($A$5=0,"",D22/$A$5)</f>
        <v>0.630952380952381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███████████████████</v>
      </c>
      <c r="H22" s="25" t="n"/>
      <c r="I22" s="26" t="n"/>
      <c r="J22" s="33">
        <f>$A$5</f>
        <v>84000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53000</v>
      </c>
      <c r="C23" s="28">
        <f>Config!$B$9</f>
        <v>3000</v>
      </c>
      <c r="D23" s="29">
        <f>B23+C23</f>
        <v>56000</v>
      </c>
      <c r="E23" s="30">
        <f>IF($A$5=0,"",D23/$A$5)</f>
        <v>0.666666666666667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████████████████████</v>
      </c>
      <c r="H23" s="25" t="n"/>
      <c r="I23" s="26" t="n"/>
      <c r="J23" s="33">
        <f>$A$5</f>
        <v>84000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56000</v>
      </c>
      <c r="C24" s="28">
        <f>Config!$B$9</f>
        <v>3000</v>
      </c>
      <c r="D24" s="29">
        <f>B24+C24</f>
        <v>59000</v>
      </c>
      <c r="E24" s="30">
        <f>IF($A$5=0,"",D24/$A$5)</f>
        <v>0.702380952380952</v>
      </c>
      <c r="F24" s="31">
        <f>IF(D24&gt;=$A$5,IF(B24&lt;$A$5,"Meta atingida","Acima da meta"),"")</f>
        <v/>
      </c>
      <c r="G24" s="32" t="str">
        <f>IF(E24="","",REPT("█",ROUND(MIN(1,E24)*30,0)))</f>
        <v>█████████████████████</v>
      </c>
      <c r="H24" s="25" t="n"/>
      <c r="I24" s="26" t="n"/>
      <c r="J24" s="33">
        <f>$A$5</f>
        <v>84000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59000</v>
      </c>
      <c r="C25" s="28">
        <f>Config!$B$9</f>
        <v>3000</v>
      </c>
      <c r="D25" s="29">
        <f>B25+C25</f>
        <v>62000</v>
      </c>
      <c r="E25" s="30">
        <f>IF($A$5=0,"",D25/$A$5)</f>
        <v>0.738095238095238</v>
      </c>
      <c r="F25" s="31">
        <f>IF(D25&gt;=$A$5,IF(B25&lt;$A$5,"Meta atingida","Acima da meta"),"")</f>
        <v/>
      </c>
      <c r="G25" s="32" t="str">
        <f>IF(E25="","",REPT("█",ROUND(MIN(1,E25)*30,0)))</f>
        <v>██████████████████████</v>
      </c>
      <c r="H25" s="25" t="n"/>
      <c r="I25" s="26" t="n"/>
      <c r="J25" s="33">
        <f>$A$5</f>
        <v>84000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62000</v>
      </c>
      <c r="C26" s="28">
        <f>Config!$B$9</f>
        <v>3000</v>
      </c>
      <c r="D26" s="29">
        <f>B26+C26</f>
        <v>65000</v>
      </c>
      <c r="E26" s="30">
        <f>IF($A$5=0,"",D26/$A$5)</f>
        <v>0.773809523809524</v>
      </c>
      <c r="F26" s="31">
        <f>IF(D26&gt;=$A$5,IF(B26&lt;$A$5,"Meta atingida","Acima da meta"),"")</f>
        <v/>
      </c>
      <c r="G26" s="32" t="str">
        <f>IF(E26="","",REPT("█",ROUND(MIN(1,E26)*30,0)))</f>
        <v>███████████████████████</v>
      </c>
      <c r="H26" s="25" t="n"/>
      <c r="I26" s="26" t="n"/>
      <c r="J26" s="33">
        <f>$A$5</f>
        <v>84000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65000</v>
      </c>
      <c r="C27" s="28">
        <f>Config!$B$9</f>
        <v>3000</v>
      </c>
      <c r="D27" s="29">
        <f>B27+C27</f>
        <v>68000</v>
      </c>
      <c r="E27" s="30">
        <f>IF($A$5=0,"",D27/$A$5)</f>
        <v>0.80952380952381</v>
      </c>
      <c r="F27" s="31">
        <f>IF(D27&gt;=$A$5,IF(B27&lt;$A$5,"Meta atingida","Acima da meta"),"")</f>
        <v/>
      </c>
      <c r="G27" s="32" t="str">
        <f>IF(E27="","",REPT("█",ROUND(MIN(1,E27)*30,0)))</f>
        <v>████████████████████████</v>
      </c>
      <c r="H27" s="25" t="n"/>
      <c r="I27" s="26" t="n"/>
      <c r="J27" s="33">
        <f>$A$5</f>
        <v>84000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68000</v>
      </c>
      <c r="C28" s="28">
        <f>Config!$B$9</f>
        <v>3000</v>
      </c>
      <c r="D28" s="29">
        <f>B28+C28</f>
        <v>71000</v>
      </c>
      <c r="E28" s="30">
        <f>IF($A$5=0,"",D28/$A$5)</f>
        <v>0.845238095238095</v>
      </c>
      <c r="F28" s="31">
        <f>IF(D28&gt;=$A$5,IF(B28&lt;$A$5,"Meta atingida","Acima da meta"),"")</f>
        <v/>
      </c>
      <c r="G28" s="32" t="str">
        <f>IF(E28="","",REPT("█",ROUND(MIN(1,E28)*30,0)))</f>
        <v>█████████████████████████</v>
      </c>
      <c r="H28" s="25" t="n"/>
      <c r="I28" s="26" t="n"/>
      <c r="J28" s="33">
        <f>$A$5</f>
        <v>84000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71000</v>
      </c>
      <c r="C29" s="28">
        <f>Config!$B$9</f>
        <v>3000</v>
      </c>
      <c r="D29" s="29">
        <f>B29+C29</f>
        <v>74000</v>
      </c>
      <c r="E29" s="30">
        <f>IF($A$5=0,"",D29/$A$5)</f>
        <v>0.880952380952381</v>
      </c>
      <c r="F29" s="31">
        <f>IF(D29&gt;=$A$5,IF(B29&lt;$A$5,"Meta atingida","Acima da meta"),"")</f>
        <v/>
      </c>
      <c r="G29" s="32" t="str">
        <f>IF(E29="","",REPT("█",ROUND(MIN(1,E29)*30,0)))</f>
        <v>██████████████████████████</v>
      </c>
      <c r="H29" s="25" t="n"/>
      <c r="I29" s="26" t="n"/>
      <c r="J29" s="33">
        <f>$A$5</f>
        <v>84000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74000</v>
      </c>
      <c r="C30" s="28">
        <f>Config!$B$9</f>
        <v>3000</v>
      </c>
      <c r="D30" s="29">
        <f>B30+C30</f>
        <v>77000</v>
      </c>
      <c r="E30" s="30">
        <f>IF($A$5=0,"",D30/$A$5)</f>
        <v>0.916666666666667</v>
      </c>
      <c r="F30" s="31">
        <f>IF(D30&gt;=$A$5,IF(B30&lt;$A$5,"Meta atingida","Acima da meta"),"")</f>
        <v/>
      </c>
      <c r="G30" s="32" t="str">
        <f>IF(E30="","",REPT("█",ROUND(MIN(1,E30)*30,0)))</f>
        <v>████████████████████████████</v>
      </c>
      <c r="H30" s="25" t="n"/>
      <c r="I30" s="26" t="n"/>
      <c r="J30" s="33">
        <f>$A$5</f>
        <v>84000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77000</v>
      </c>
      <c r="C31" s="28">
        <f>Config!$B$9</f>
        <v>3000</v>
      </c>
      <c r="D31" s="29">
        <f>B31+C31</f>
        <v>80000</v>
      </c>
      <c r="E31" s="30">
        <f>IF($A$5=0,"",D31/$A$5)</f>
        <v>0.952380952380952</v>
      </c>
      <c r="F31" s="31">
        <f>IF(D31&gt;=$A$5,IF(B31&lt;$A$5,"Meta atingida","Acima da meta"),"")</f>
        <v/>
      </c>
      <c r="G31" s="32" t="str">
        <f>IF(E31="","",REPT("█",ROUND(MIN(1,E31)*30,0)))</f>
        <v>█████████████████████████████</v>
      </c>
      <c r="H31" s="25" t="n"/>
      <c r="I31" s="26" t="n"/>
      <c r="J31" s="33">
        <f>$A$5</f>
        <v>84000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80000</v>
      </c>
      <c r="C32" s="28">
        <f>Config!$B$9</f>
        <v>3000</v>
      </c>
      <c r="D32" s="29">
        <f>B32+C32</f>
        <v>83000</v>
      </c>
      <c r="E32" s="30">
        <f>IF($A$5=0,"",D32/$A$5)</f>
        <v>0.988095238095238</v>
      </c>
      <c r="F32" s="31">
        <f>IF(D32&gt;=$A$5,IF(B32&lt;$A$5,"Meta atingida","Acima da meta"),"")</f>
        <v/>
      </c>
      <c r="G32" s="32" t="str">
        <f>IF(E32="","",REPT("█",ROUND(MIN(1,E32)*30,0)))</f>
        <v>██████████████████████████████</v>
      </c>
      <c r="H32" s="25" t="n"/>
      <c r="I32" s="26" t="n"/>
      <c r="J32" s="33">
        <f>$A$5</f>
        <v>84000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83000</v>
      </c>
      <c r="C33" s="28">
        <f>Config!$B$9</f>
        <v>3000</v>
      </c>
      <c r="D33" s="29">
        <f>B33+C33</f>
        <v>86000</v>
      </c>
      <c r="E33" s="30">
        <f>IF($A$5=0,"",D33/$A$5)</f>
        <v>1.02380952380952</v>
      </c>
      <c r="F33" s="31" t="str">
        <f>IF(D33&gt;=$A$5,IF(B33&lt;$A$5,"Meta atingida","Acima da meta"),"")</f>
        <v>Meta atingida</v>
      </c>
      <c r="G33" s="32" t="str">
        <f>IF(E33="","",REPT("█",ROUND(MIN(1,E33)*30,0)))</f>
        <v>██████████████████████████████</v>
      </c>
      <c r="H33" s="25" t="n"/>
      <c r="I33" s="26" t="n"/>
      <c r="J33" s="33">
        <f>$A$5</f>
        <v>84000</v>
      </c>
    </row>
    <row r="34">
      <c r="A34" s="34" t="inlineStr">
        <is>
          <t>Aporte igual todo mês, sem rendimento. Quando a reserva bater a meta, decida com o sócio o que fazer com o aporte: manter, reduzir ou virar distribuição.</t>
        </is>
      </c>
    </row>
    <row r="35">
      <c r="A35" s="23" t="inlineStr">
        <is>
          <t>Metas de caixa do trimestre</t>
        </is>
      </c>
    </row>
    <row r="36" ht="26" customHeight="1">
      <c r="A36" s="24" t="inlineStr">
        <is>
          <t>Meta</t>
        </is>
      </c>
      <c r="B36" s="24" t="inlineStr">
        <is>
          <t>Valor alvo</t>
        </is>
      </c>
      <c r="C36" s="24" t="inlineStr">
        <is>
          <t>Valor atual</t>
        </is>
      </c>
      <c r="D36" s="24" t="inlineStr">
        <is>
          <t>Progresso</t>
        </is>
      </c>
      <c r="E36" s="24" t="inlineStr">
        <is>
          <t>Barra</t>
        </is>
      </c>
      <c r="F36" s="24" t="inlineStr">
        <is>
          <t>Prazo</t>
        </is>
      </c>
      <c r="G36" s="24" t="inlineStr">
        <is>
          <t>Dias restantes</t>
        </is>
      </c>
      <c r="H36" s="24" t="inlineStr">
        <is>
          <t>Situação</t>
        </is>
      </c>
    </row>
    <row r="37" ht="30" customHeight="1">
      <c r="A37" s="35" t="str">
        <f>IF(Config!$A$26="","",Config!$A$26)</f>
        <v>Reserva com 1 mês de custo fixo</v>
      </c>
      <c r="B37" s="28">
        <f>IF(Config!$A$26="","",Config!$B$26)</f>
        <v>28000</v>
      </c>
      <c r="C37" s="28">
        <f>IF(Config!$A$26="","",Config!$C$26)</f>
        <v>14000</v>
      </c>
      <c r="D37" s="30">
        <f>IF(OR(Config!$A$26="",B37=0),"",MIN(1,C37/B37))</f>
        <v>0.5</v>
      </c>
      <c r="E37" s="32" t="str">
        <f>IF(D37="","",REPT("█",ROUND(D37*20,0)))</f>
        <v>██████████</v>
      </c>
      <c r="F37" s="36">
        <f>IF(OR(Config!$A$26="",Config!$D$26=""),"",Config!$D$26)</f>
        <v>46387.0</v>
      </c>
      <c r="G37" s="37">
        <f>IF(OR(Config!$A$26="",F37="",H37="Concluída"),"",F37-Config!$B$5)</f>
        <v>108</v>
      </c>
      <c r="H37" s="31" t="str">
        <f>IF(Config!$A$26="","",IF(AND(B37&gt;0,C37&gt;=B37),"Concluída",IF(AND(F37&lt;&gt;"",F37&lt;Config!$B$5),"Prazo vencido","Em andamento")))</f>
        <v>Em andamento</v>
      </c>
    </row>
    <row r="38" ht="30" customHeight="1">
      <c r="A38" s="35" t="str">
        <f>IF(Config!$A$27="","",Config!$A$27)</f>
        <v>Receber R$ 130.000 no trimestre</v>
      </c>
      <c r="B38" s="28">
        <f>IF(Config!$A$27="","",Config!$B$27)</f>
        <v>130000</v>
      </c>
      <c r="C38" s="28">
        <f>IF(Config!$A$27="","",Config!$C$27)</f>
        <v>125007</v>
      </c>
      <c r="D38" s="30">
        <f>IF(OR(Config!$A$27="",B38=0),"",MIN(1,C38/B38))</f>
        <v>0.961592307692308</v>
      </c>
      <c r="E38" s="32" t="str">
        <f>IF(D38="","",REPT("█",ROUND(D38*20,0)))</f>
        <v>███████████████████</v>
      </c>
      <c r="F38" s="36">
        <f>IF(OR(Config!$A$27="",Config!$D$27=""),"",Config!$D$27)</f>
        <v>46295.0</v>
      </c>
      <c r="G38" s="37">
        <f>IF(OR(Config!$A$27="",F38="",H38="Concluída"),"",F38-Config!$B$5)</f>
        <v>16</v>
      </c>
      <c r="H38" s="31" t="str">
        <f>IF(Config!$A$27="","",IF(AND(B38&gt;0,C38&gt;=B38),"Concluída",IF(AND(F38&lt;&gt;"",F38&lt;Config!$B$5),"Prazo vencido","Em andamento")))</f>
        <v>Em andamento</v>
      </c>
    </row>
    <row r="39" ht="30" customHeight="1">
      <c r="A39" s="35" t="str">
        <f>IF(Config!$A$28="","",Config!$A$28)</f>
        <v>Conta de provisão de impostos com o saldo da planilha 10</v>
      </c>
      <c r="B39" s="28">
        <f>IF(Config!$A$28="","",Config!$B$28)</f>
        <v>21937</v>
      </c>
      <c r="C39" s="28">
        <f>IF(Config!$A$28="","",Config!$C$28)</f>
        <v>17500</v>
      </c>
      <c r="D39" s="30">
        <f>IF(OR(Config!$A$28="",B39=0),"",MIN(1,C39/B39))</f>
        <v>0.797738979805808</v>
      </c>
      <c r="E39" s="32" t="str">
        <f>IF(D39="","",REPT("█",ROUND(D39*20,0)))</f>
        <v>████████████████</v>
      </c>
      <c r="F39" s="36">
        <f>IF(OR(Config!$A$28="",Config!$D$28=""),"",Config!$D$28)</f>
        <v>46295.0</v>
      </c>
      <c r="G39" s="37">
        <f>IF(OR(Config!$A$28="",F39="",H39="Concluída"),"",F39-Config!$B$5)</f>
        <v>16</v>
      </c>
      <c r="H39" s="31" t="str">
        <f>IF(Config!$A$28="","",IF(AND(B39&gt;0,C39&gt;=B39),"Concluída",IF(AND(F39&lt;&gt;"",F39&lt;Config!$B$5),"Prazo vencido","Em andamento")))</f>
        <v>Em andamento</v>
      </c>
    </row>
    <row r="40">
      <c r="A40" s="34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3">
    <mergeCell ref="B7:F7"/>
    <mergeCell ref="G10:I10"/>
    <mergeCell ref="G28:I28"/>
    <mergeCell ref="A8:J8"/>
    <mergeCell ref="G13:I13"/>
    <mergeCell ref="G19:I19"/>
    <mergeCell ref="C5:D5"/>
    <mergeCell ref="E5:F5"/>
    <mergeCell ref="G18:I18"/>
    <mergeCell ref="A35:J35"/>
    <mergeCell ref="G30:I30"/>
    <mergeCell ref="G15:I15"/>
    <mergeCell ref="G33:I33"/>
    <mergeCell ref="C4:D4"/>
    <mergeCell ref="G24:I24"/>
    <mergeCell ref="E4:F4"/>
    <mergeCell ref="G14:I14"/>
    <mergeCell ref="A40:J40"/>
    <mergeCell ref="A34:J34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G11:I11"/>
    <mergeCell ref="A4:B4"/>
    <mergeCell ref="G4:H4"/>
    <mergeCell ref="I4:J4"/>
    <mergeCell ref="G27:I27"/>
    <mergeCell ref="G23:I23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3">
    <cfRule type="expression" priority="4" dxfId="3">
      <formula>$F10="Meta atingida"</formula>
    </cfRule>
  </conditionalFormatting>
  <conditionalFormatting sqref="H37:H39">
    <cfRule type="expression" priority="5" dxfId="3">
      <formula>H37="Concluída"</formula>
    </cfRule>
    <cfRule type="expression" priority="6" dxfId="4">
      <formula>H37="Prazo vencido"</formula>
    </cfRule>
    <cfRule type="expression" priority="7" dxfId="5">
      <formula>H37="Em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da clínica.</t>
        </is>
      </c>
    </row>
    <row r="4">
      <c r="A4" s="20" t="inlineStr">
        <is>
          <t>Clínica</t>
        </is>
      </c>
      <c r="B4" s="38" t="inlineStr">
        <is>
          <t>Clínica Vida Plena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6">
        <f>TODAY()</f>
        <v>46279.0</v>
      </c>
      <c r="H5" s="39" t="inlineStr">
        <is>
          <t>Janeiro</t>
        </is>
      </c>
    </row>
    <row r="6">
      <c r="A6" s="20" t="inlineStr">
        <is>
          <t>Mês de início da projeção</t>
        </is>
      </c>
      <c r="B6" s="40" t="inlineStr">
        <is>
          <t>Outubro</t>
        </is>
      </c>
      <c r="H6" s="39" t="inlineStr">
        <is>
          <t>Fevereiro</t>
        </is>
      </c>
    </row>
    <row r="7">
      <c r="A7" s="20" t="inlineStr">
        <is>
          <t>Ano de início da projeção</t>
        </is>
      </c>
      <c r="B7" s="40" t="n">
        <v>2026</v>
      </c>
      <c r="H7" s="39" t="inlineStr">
        <is>
          <t>Março</t>
        </is>
      </c>
    </row>
    <row r="8">
      <c r="A8" s="20" t="inlineStr">
        <is>
          <t>Meta de reserva (meses de custo fixo)</t>
        </is>
      </c>
      <c r="B8" s="41" t="n">
        <v>3</v>
      </c>
      <c r="D8" s="22" t="inlineStr">
        <is>
          <t>Três meses de custo fixo é a meta usual para uma clínica pequena: convênio atrasa, agenda esvazia em janeiro e julho, equipamento quebra.</t>
        </is>
      </c>
      <c r="H8" s="39" t="inlineStr">
        <is>
          <t>Abril</t>
        </is>
      </c>
    </row>
    <row r="9">
      <c r="A9" s="20" t="inlineStr">
        <is>
          <t>Aporte mensal planejado para a reserva</t>
        </is>
      </c>
      <c r="B9" s="42" t="n">
        <v>3000</v>
      </c>
      <c r="H9" s="39" t="inlineStr">
        <is>
          <t>Maio</t>
        </is>
      </c>
    </row>
    <row r="10">
      <c r="H10" s="39" t="inlineStr">
        <is>
          <t>Junho</t>
        </is>
      </c>
    </row>
    <row r="11">
      <c r="A11" s="20" t="inlineStr">
        <is>
          <t>Custo fixo dos últimos 3 meses (com pró-labore fixo)</t>
        </is>
      </c>
      <c r="H11" s="39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do mês</t>
        </is>
      </c>
      <c r="H12" s="39" t="inlineStr">
        <is>
          <t>Agosto</t>
        </is>
      </c>
    </row>
    <row r="13">
      <c r="A13" s="40" t="inlineStr">
        <is>
          <t>Junho</t>
        </is>
      </c>
      <c r="B13" s="42" t="n">
        <v>28000</v>
      </c>
      <c r="D13" s="43" t="inlineStr">
        <is>
          <t>Copie de "Para onde foi o dinheiro" (Painel da planilha 09): aluguel, recepção, contador, sistema, energia, limpeza, marketing, anuidades e pró-labore fixo. Impostos, materiais, taxas de cartão e repasse ficam fora (variam com o movimento).</t>
        </is>
      </c>
      <c r="H13" s="39" t="inlineStr">
        <is>
          <t>Setembro</t>
        </is>
      </c>
    </row>
    <row r="14">
      <c r="A14" s="40" t="inlineStr">
        <is>
          <t>Julho</t>
        </is>
      </c>
      <c r="B14" s="42" t="n">
        <v>28000</v>
      </c>
      <c r="H14" s="39" t="inlineStr">
        <is>
          <t>Outubro</t>
        </is>
      </c>
    </row>
    <row r="15">
      <c r="A15" s="40" t="inlineStr">
        <is>
          <t>Agosto</t>
        </is>
      </c>
      <c r="B15" s="42" t="n">
        <v>28000</v>
      </c>
      <c r="H15" s="39" t="inlineStr">
        <is>
          <t>Novembro</t>
        </is>
      </c>
    </row>
    <row r="16">
      <c r="A16" s="20" t="inlineStr">
        <is>
          <t>Custo fixo médio</t>
        </is>
      </c>
      <c r="B16" s="44">
        <f>IFERROR(AVERAGE(B13:B15),0)</f>
        <v>28000</v>
      </c>
      <c r="H16" s="39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da clínica (conta corrente)</t>
        </is>
      </c>
      <c r="B19" s="42" t="n">
        <v>52251.29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2" t="n">
        <v>25997</v>
      </c>
    </row>
    <row r="21">
      <c r="A21" s="20" t="inlineStr">
        <is>
          <t>Caixa livre</t>
        </is>
      </c>
      <c r="B21" s="45">
        <f>B19-B20</f>
        <v>26254.29</v>
      </c>
    </row>
    <row r="22">
      <c r="A22" s="20" t="inlineStr">
        <is>
          <t>Reserva já guardada (conta separada)</t>
        </is>
      </c>
      <c r="B22" s="42" t="n">
        <v>14000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8" t="inlineStr">
        <is>
          <t>Reserva com 1 mês de custo fixo</t>
        </is>
      </c>
      <c r="B26" s="42" t="n">
        <v>28000</v>
      </c>
      <c r="C26" s="42" t="n">
        <v>14000</v>
      </c>
      <c r="D26" s="46" t="n">
        <v>46387</v>
      </c>
    </row>
    <row r="27">
      <c r="A27" s="38" t="inlineStr">
        <is>
          <t>Receber R$ 130.000 no trimestre</t>
        </is>
      </c>
      <c r="B27" s="42" t="n">
        <v>130000</v>
      </c>
      <c r="C27" s="42" t="n">
        <v>125007</v>
      </c>
      <c r="D27" s="46" t="n">
        <v>46295</v>
      </c>
    </row>
    <row r="28">
      <c r="A28" s="38" t="inlineStr">
        <is>
          <t>Conta de provisão de impostos com o saldo da planilha 10</t>
        </is>
      </c>
      <c r="B28" s="42" t="n">
        <v>21937</v>
      </c>
      <c r="C28" s="42" t="n">
        <v>17500</v>
      </c>
      <c r="D28" s="46" t="n">
        <v>46295</v>
      </c>
    </row>
    <row r="30">
      <c r="A30" s="22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D13:F15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Médicos</dc:title>
  <dcterms:created xmlns:dcterms="http://purl.org/dc/terms/" xmlns:xsi="http://www.w3.org/2001/XMLSchema-instance" xsi:type="dcterms:W3CDTF">2026-09-14T21:29:12Z</dcterms:created>
  <dcterms:modified xmlns:dcterms="http://purl.org/dc/terms/" xmlns:xsi="http://www.w3.org/2001/XMLSchema-instance" xsi:type="dcterms:W3CDTF">2026-09-14T21:29:12Z</dcterms:modified>
</cp:coreProperties>
</file>