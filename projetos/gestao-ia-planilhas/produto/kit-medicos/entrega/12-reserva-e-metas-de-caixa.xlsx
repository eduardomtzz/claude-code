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11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9" fillId="5" borderId="0" applyAlignment="1" pivotButton="0" quotePrefix="0" xfId="0">
      <alignment horizontal="center"/>
    </xf>
    <xf numFmtId="167" fontId="11" fillId="6" borderId="0" applyAlignment="1" pivotButton="0" quotePrefix="0" xfId="0">
      <alignment horizontal="center"/>
    </xf>
    <xf numFmtId="168" fontId="1" fillId="7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4" fillId="0" borderId="1" pivotButton="0" quotePrefix="0" xfId="0"/>
    <xf numFmtId="167" fontId="1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6" fontId="4" fillId="2" borderId="1" applyProtection="1" pivotButton="0" quotePrefix="0" xfId="0">
      <protection locked="0" hidden="0"/>
    </xf>
    <xf numFmtId="166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b val="1"/>
        <color rgb="007A1F1F"/>
        <sz val="11"/>
      </font>
      <fill>
        <patternFill patternType="solid">
          <fgColor rgb="00FBE4E4"/>
        </patternFill>
      </fill>
    </dxf>
    <dxf>
      <font>
        <name val="Arial"/>
        <b val="1"/>
        <color rgb="003B1F5E"/>
        <sz val="11"/>
      </font>
      <fill>
        <patternFill patternType="solid">
          <fgColor rgb="00FFF4CC"/>
        </patternFill>
      </fill>
    </dxf>
    <dxf>
      <font>
        <name val="Arial"/>
        <b val="1"/>
        <color rgb="00155E3C"/>
        <sz val="11"/>
      </font>
      <fill>
        <patternFill patternType="solid">
          <fgColor rgb="00DDF3E7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 projetada × meta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'Painel'!D9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'Painel'!$A$10:$A$39</f>
            </numRef>
          </cat>
          <val>
            <numRef>
              <f>'Painel'!$D$10:$D$39</f>
            </numRef>
          </val>
        </ser>
        <ser>
          <idx val="1"/>
          <order val="1"/>
          <tx>
            <strRef>
              <f>'Painel'!J9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'Painel'!$A$10:$A$39</f>
            </numRef>
          </cat>
          <val>
            <numRef>
              <f>'Painel'!$J$10:$J$39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Reserva de três meses e metas de caixa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a reserva que a clínica precisa (meses de custo fixo), mostra quanto já tem, quantos meses cobre hoje, quando chega à meta com o aporte planejado (mês a mês, com gráfico) e acompanha três metas de caixa do trimestre com barra de progresso.</t>
        </is>
      </c>
    </row>
    <row r="5" ht="46" customHeight="1">
      <c r="A5" s="3" t="inlineStr">
        <is>
          <t>Passo 1</t>
        </is>
      </c>
      <c r="B5" s="4" t="inlineStr">
        <is>
          <t>Em Config, digite a meta em meses (3 é um bom começo) e, para os últimos 3 meses, o custo fixo + pró-labore de cada um, copiado de "Para onde foi o dinheiro" no Painel da planilha 09 (as oito linhas de custo fixo mais a linha "Pró-labore dos sócios"). Depois o saldo em caixa, os compromissos ainda não pagos, o que já está guardado numa conta separada e o aporte mensal que cabe.</t>
        </is>
      </c>
    </row>
    <row r="6" ht="46" customHeight="1">
      <c r="A6" s="3" t="inlineStr">
        <is>
          <t>Passo 2</t>
        </is>
      </c>
      <c r="B6" s="4" t="inlineStr">
        <is>
          <t>Ainda em Config, escreva as três metas de caixa do trimestre: nome, valor alvo, valor atual e prazo. Metas que se medem em reais e crescem até o alvo.</t>
        </is>
      </c>
    </row>
    <row r="7" ht="46" customHeight="1">
      <c r="A7" s="3" t="inlineStr">
        <is>
          <t>Passo 3</t>
        </is>
      </c>
      <c r="B7" s="4" t="inlineStr">
        <is>
          <t>Em Painel: meta, reserva, falta, meses cobertos, semáforo e o mês em que a meta é atingida. A projeção mostra 24 meses; a linha verde é o mês da virada.</t>
        </is>
      </c>
    </row>
    <row r="8" ht="46" customHeight="1">
      <c r="A8" s="3" t="inlineStr">
        <is>
          <t>Rotina</t>
        </is>
      </c>
      <c r="B8" s="4" t="inlineStr">
        <is>
          <t>É uma planilha MENSAL, não entra nos 30 minutos semanais da planilha 03: no fechamento de cada mês, 10 minutos para transferir o aporte para a conta da reserva, atualizar o saldo, o custo fixo + pró-labore e o valor atual das três metas em Config.</t>
        </is>
      </c>
    </row>
    <row r="9" ht="46" customHeight="1">
      <c r="A9" s="3" t="inlineStr">
        <is>
          <t>Com a IA</t>
        </is>
      </c>
      <c r="B9" s="4" t="inlineStr">
        <is>
          <t>Copie o Painel e use o prompt "Caixa 08 · Plano para a reserva de três meses" da biblioteca do kit para decidir aporte e metas do próximo trimestre com o sócio.</t>
        </is>
      </c>
    </row>
    <row r="10" ht="46" customHeight="1">
      <c r="A10" s="3" t="inlineStr">
        <is>
          <t>Números em texto</t>
        </is>
      </c>
      <c r="B10" s="4" t="inlineStr">
        <is>
          <t>As frases do Painel montam os valores com TEXTO e FIXED, então os separadores seguem o idioma do Excel: milhar com ponto e decimal com vírgula em português. Os números vêm sempre das células; nenhum valor de exemplo está escrito dentro do texto.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5" customWidth="1" min="4" max="4"/>
    <col width="11" customWidth="1" min="5" max="5"/>
    <col width="15" customWidth="1" min="6" max="6"/>
    <col width="13" customWidth="1" min="7" max="7"/>
    <col width="10" customWidth="1" min="8" max="8"/>
    <col width="10" customWidth="1" min="9" max="9"/>
    <col width="12" customWidth="1" min="10" max="10"/>
  </cols>
  <sheetData>
    <row r="1" ht="28" customHeight="1">
      <c r="A1" s="5" t="str">
        <f>Config!B4&amp;" · Reserva e metas de caixa · "&amp;TEXT(DAY(Config!B5),"00")&amp;"/"&amp;TEXT(MONTH(Config!B5),"00")&amp;"/"&amp;YEAR(Config!B5)</f>
        <v>Clínica Vida Plena (exemplo fictício) · Reserva e metas de caixa · 14/09/2026</v>
      </c>
    </row>
    <row r="2">
      <c r="A2" s="6" t="inlineStr">
        <is>
          <t>Nada para digitar aqui. Meta, custo fixo, saldo e aporte vêm de Config.</t>
        </is>
      </c>
    </row>
    <row r="3"/>
    <row r="4">
      <c r="A4" s="7" t="inlineStr">
        <is>
          <t>Meta de reserva</t>
        </is>
      </c>
      <c r="B4" s="8" t="n"/>
      <c r="C4" s="9" t="inlineStr">
        <is>
          <t>Reserva hoje</t>
        </is>
      </c>
      <c r="D4" s="10" t="n"/>
      <c r="E4" s="11" t="inlineStr">
        <is>
          <t>Falta guardar</t>
        </is>
      </c>
      <c r="F4" s="12" t="n"/>
      <c r="G4" s="13" t="inlineStr">
        <is>
          <t>Meses de custo fixo + pró-labore cobertos</t>
        </is>
      </c>
      <c r="H4" s="14" t="n"/>
      <c r="I4" s="7" t="inlineStr">
        <is>
          <t>Meta prevista para</t>
        </is>
      </c>
      <c r="J4" s="8" t="n"/>
    </row>
    <row r="5" ht="30" customHeight="1">
      <c r="A5" s="15">
        <f>Config!$B$8*Config!$B$16</f>
        <v>91909</v>
      </c>
      <c r="B5" s="8" t="n"/>
      <c r="C5" s="16">
        <f>Config!$B$22</f>
        <v>14000</v>
      </c>
      <c r="D5" s="10" t="n"/>
      <c r="E5" s="17">
        <f>MAX(0,A5-C5)</f>
        <v>77909</v>
      </c>
      <c r="F5" s="12" t="n"/>
      <c r="G5" s="18">
        <f>IF(Config!$B$16=0,0,C5/Config!$B$16)</f>
        <v>0.456973745770273</v>
      </c>
      <c r="H5" s="14" t="n"/>
      <c r="I5" s="19" t="str">
        <f>IF(C5&gt;=A5,"Já atingida",IFERROR(INDEX(A10:A39,MATCH("Meta atingida",F10:F39,0)),"Depois de 24 meses"))</f>
        <v>Novembro/2028</v>
      </c>
      <c r="J5" s="8" t="n"/>
    </row>
    <row r="6"/>
    <row r="7">
      <c r="A7" s="20" t="inlineStr">
        <is>
          <t>Semáforo</t>
        </is>
      </c>
      <c r="B7" s="21" t="str">
        <f>IF(G5&lt;1,"Vermelho: menos de 1 mês de custo fixo + pró-labore guardado",IF(G5&lt;Config!$B$8,"Amarelo: abaixo da meta",IF(G5&lt;Config!$B$8+1,"Verde: meta atingida","Verde: acima da meta")))</f>
        <v>Vermelho: menos de 1 mês de custo fixo + pró-labore guardado</v>
      </c>
      <c r="G7" s="22" t="str">
        <f>"Contando o caixa livre (R$ "&amp;FIXED(Config!$B$21,0)&amp;"): "&amp;FIXED(IF(Config!$B$16=0,0,(C5+Config!$B$21)/Config!$B$16),1)&amp;" meses"</f>
        <v>Contando o caixa livre (R$ 12.003): 0,8 meses</v>
      </c>
    </row>
    <row r="8">
      <c r="A8" s="23" t="inlineStr">
        <is>
          <t>Projeção da reserva, mês a mês</t>
        </is>
      </c>
    </row>
    <row r="9" ht="26" customHeight="1">
      <c r="A9" s="24" t="inlineStr">
        <is>
          <t>Mês</t>
        </is>
      </c>
      <c r="B9" s="24" t="inlineStr">
        <is>
          <t>Saldo no início</t>
        </is>
      </c>
      <c r="C9" s="24" t="inlineStr">
        <is>
          <t>Aporte</t>
        </is>
      </c>
      <c r="D9" s="24" t="inlineStr">
        <is>
          <t>Saldo no fim</t>
        </is>
      </c>
      <c r="E9" s="24" t="inlineStr">
        <is>
          <t>% da meta</t>
        </is>
      </c>
      <c r="F9" s="24" t="inlineStr">
        <is>
          <t>Atingiu?</t>
        </is>
      </c>
      <c r="G9" s="24" t="inlineStr">
        <is>
          <t>Barra</t>
        </is>
      </c>
      <c r="H9" s="25" t="n"/>
      <c r="I9" s="26" t="n"/>
    </row>
    <row r="10">
      <c r="A10" s="27" t="str">
        <f>INDEX(Config!$H$5:$H$16,MOD(MATCH(Config!$B$6,Config!$H$5:$H$16,0)+0-1,12)+1)&amp;"/"&amp;(Config!$B$7+INT((MATCH(Config!$B$6,Config!$H$5:$H$16,0)+0-1)/12))</f>
        <v>Outubro/2026</v>
      </c>
      <c r="B10" s="28">
        <f>Config!$B$22</f>
        <v>14000</v>
      </c>
      <c r="C10" s="28">
        <f>Config!$B$9</f>
        <v>3000</v>
      </c>
      <c r="D10" s="29">
        <f>B10+C10</f>
        <v>17000</v>
      </c>
      <c r="E10" s="30">
        <f>IF($A$5=0,"",D10/$A$5)</f>
        <v>0.184965563764158</v>
      </c>
      <c r="F10" s="31">
        <f>IF(D10&gt;=$A$5,IF(B10&lt;$A$5,"Meta atingida","Acima da meta"),"")</f>
        <v/>
      </c>
      <c r="G10" s="32" t="str">
        <f>IF(E10="","",REPT("█",ROUND(MIN(1,E10)*30,0)))</f>
        <v>██████</v>
      </c>
      <c r="H10" s="25" t="n"/>
      <c r="I10" s="26" t="n"/>
      <c r="J10" s="33">
        <f>$A$5</f>
        <v>91909</v>
      </c>
    </row>
    <row r="11">
      <c r="A11" s="27" t="str">
        <f>INDEX(Config!$H$5:$H$16,MOD(MATCH(Config!$B$6,Config!$H$5:$H$16,0)+1-1,12)+1)&amp;"/"&amp;(Config!$B$7+INT((MATCH(Config!$B$6,Config!$H$5:$H$16,0)+1-1)/12))</f>
        <v>Novembro/2026</v>
      </c>
      <c r="B11" s="28">
        <f>D10</f>
        <v>17000</v>
      </c>
      <c r="C11" s="28">
        <f>Config!$B$9</f>
        <v>3000</v>
      </c>
      <c r="D11" s="29">
        <f>B11+C11</f>
        <v>20000</v>
      </c>
      <c r="E11" s="30">
        <f>IF($A$5=0,"",D11/$A$5)</f>
        <v>0.217606545604892</v>
      </c>
      <c r="F11" s="31">
        <f>IF(D11&gt;=$A$5,IF(B11&lt;$A$5,"Meta atingida","Acima da meta"),"")</f>
        <v/>
      </c>
      <c r="G11" s="32" t="str">
        <f>IF(E11="","",REPT("█",ROUND(MIN(1,E11)*30,0)))</f>
        <v>███████</v>
      </c>
      <c r="H11" s="25" t="n"/>
      <c r="I11" s="26" t="n"/>
      <c r="J11" s="33">
        <f>$A$5</f>
        <v>91909</v>
      </c>
    </row>
    <row r="12">
      <c r="A12" s="27" t="str">
        <f>INDEX(Config!$H$5:$H$16,MOD(MATCH(Config!$B$6,Config!$H$5:$H$16,0)+2-1,12)+1)&amp;"/"&amp;(Config!$B$7+INT((MATCH(Config!$B$6,Config!$H$5:$H$16,0)+2-1)/12))</f>
        <v>Dezembro/2026</v>
      </c>
      <c r="B12" s="28">
        <f>D11</f>
        <v>20000</v>
      </c>
      <c r="C12" s="28">
        <f>Config!$B$9</f>
        <v>3000</v>
      </c>
      <c r="D12" s="29">
        <f>B12+C12</f>
        <v>23000</v>
      </c>
      <c r="E12" s="30">
        <f>IF($A$5=0,"",D12/$A$5)</f>
        <v>0.250247527445626</v>
      </c>
      <c r="F12" s="31">
        <f>IF(D12&gt;=$A$5,IF(B12&lt;$A$5,"Meta atingida","Acima da meta"),"")</f>
        <v/>
      </c>
      <c r="G12" s="32" t="str">
        <f>IF(E12="","",REPT("█",ROUND(MIN(1,E12)*30,0)))</f>
        <v>████████</v>
      </c>
      <c r="H12" s="25" t="n"/>
      <c r="I12" s="26" t="n"/>
      <c r="J12" s="33">
        <f>$A$5</f>
        <v>91909</v>
      </c>
    </row>
    <row r="13">
      <c r="A13" s="27" t="str">
        <f>INDEX(Config!$H$5:$H$16,MOD(MATCH(Config!$B$6,Config!$H$5:$H$16,0)+3-1,12)+1)&amp;"/"&amp;(Config!$B$7+INT((MATCH(Config!$B$6,Config!$H$5:$H$16,0)+3-1)/12))</f>
        <v>Janeiro/2027</v>
      </c>
      <c r="B13" s="28">
        <f>D12</f>
        <v>23000</v>
      </c>
      <c r="C13" s="28">
        <f>Config!$B$9</f>
        <v>3000</v>
      </c>
      <c r="D13" s="29">
        <f>B13+C13</f>
        <v>26000</v>
      </c>
      <c r="E13" s="30">
        <f>IF($A$5=0,"",D13/$A$5)</f>
        <v>0.282888509286359</v>
      </c>
      <c r="F13" s="31">
        <f>IF(D13&gt;=$A$5,IF(B13&lt;$A$5,"Meta atingida","Acima da meta"),"")</f>
        <v/>
      </c>
      <c r="G13" s="32" t="str">
        <f>IF(E13="","",REPT("█",ROUND(MIN(1,E13)*30,0)))</f>
        <v>████████</v>
      </c>
      <c r="H13" s="25" t="n"/>
      <c r="I13" s="26" t="n"/>
      <c r="J13" s="33">
        <f>$A$5</f>
        <v>91909</v>
      </c>
    </row>
    <row r="14">
      <c r="A14" s="27" t="str">
        <f>INDEX(Config!$H$5:$H$16,MOD(MATCH(Config!$B$6,Config!$H$5:$H$16,0)+4-1,12)+1)&amp;"/"&amp;(Config!$B$7+INT((MATCH(Config!$B$6,Config!$H$5:$H$16,0)+4-1)/12))</f>
        <v>Fevereiro/2027</v>
      </c>
      <c r="B14" s="28">
        <f>D13</f>
        <v>26000</v>
      </c>
      <c r="C14" s="28">
        <f>Config!$B$9</f>
        <v>3000</v>
      </c>
      <c r="D14" s="29">
        <f>B14+C14</f>
        <v>29000</v>
      </c>
      <c r="E14" s="30">
        <f>IF($A$5=0,"",D14/$A$5)</f>
        <v>0.315529491127093</v>
      </c>
      <c r="F14" s="31">
        <f>IF(D14&gt;=$A$5,IF(B14&lt;$A$5,"Meta atingida","Acima da meta"),"")</f>
        <v/>
      </c>
      <c r="G14" s="32" t="str">
        <f>IF(E14="","",REPT("█",ROUND(MIN(1,E14)*30,0)))</f>
        <v>█████████</v>
      </c>
      <c r="H14" s="25" t="n"/>
      <c r="I14" s="26" t="n"/>
      <c r="J14" s="33">
        <f>$A$5</f>
        <v>91909</v>
      </c>
    </row>
    <row r="15">
      <c r="A15" s="27" t="str">
        <f>INDEX(Config!$H$5:$H$16,MOD(MATCH(Config!$B$6,Config!$H$5:$H$16,0)+5-1,12)+1)&amp;"/"&amp;(Config!$B$7+INT((MATCH(Config!$B$6,Config!$H$5:$H$16,0)+5-1)/12))</f>
        <v>Março/2027</v>
      </c>
      <c r="B15" s="28">
        <f>D14</f>
        <v>29000</v>
      </c>
      <c r="C15" s="28">
        <f>Config!$B$9</f>
        <v>3000</v>
      </c>
      <c r="D15" s="29">
        <f>B15+C15</f>
        <v>32000</v>
      </c>
      <c r="E15" s="30">
        <f>IF($A$5=0,"",D15/$A$5)</f>
        <v>0.348170472967827</v>
      </c>
      <c r="F15" s="31">
        <f>IF(D15&gt;=$A$5,IF(B15&lt;$A$5,"Meta atingida","Acima da meta"),"")</f>
        <v/>
      </c>
      <c r="G15" s="32" t="str">
        <f>IF(E15="","",REPT("█",ROUND(MIN(1,E15)*30,0)))</f>
        <v>██████████</v>
      </c>
      <c r="H15" s="25" t="n"/>
      <c r="I15" s="26" t="n"/>
      <c r="J15" s="33">
        <f>$A$5</f>
        <v>91909</v>
      </c>
    </row>
    <row r="16">
      <c r="A16" s="27" t="str">
        <f>INDEX(Config!$H$5:$H$16,MOD(MATCH(Config!$B$6,Config!$H$5:$H$16,0)+6-1,12)+1)&amp;"/"&amp;(Config!$B$7+INT((MATCH(Config!$B$6,Config!$H$5:$H$16,0)+6-1)/12))</f>
        <v>Abril/2027</v>
      </c>
      <c r="B16" s="28">
        <f>D15</f>
        <v>32000</v>
      </c>
      <c r="C16" s="28">
        <f>Config!$B$9</f>
        <v>3000</v>
      </c>
      <c r="D16" s="29">
        <f>B16+C16</f>
        <v>35000</v>
      </c>
      <c r="E16" s="30">
        <f>IF($A$5=0,"",D16/$A$5)</f>
        <v>0.380811454808561</v>
      </c>
      <c r="F16" s="31">
        <f>IF(D16&gt;=$A$5,IF(B16&lt;$A$5,"Meta atingida","Acima da meta"),"")</f>
        <v/>
      </c>
      <c r="G16" s="32" t="str">
        <f>IF(E16="","",REPT("█",ROUND(MIN(1,E16)*30,0)))</f>
        <v>███████████</v>
      </c>
      <c r="H16" s="25" t="n"/>
      <c r="I16" s="26" t="n"/>
      <c r="J16" s="33">
        <f>$A$5</f>
        <v>91909</v>
      </c>
    </row>
    <row r="17">
      <c r="A17" s="27" t="str">
        <f>INDEX(Config!$H$5:$H$16,MOD(MATCH(Config!$B$6,Config!$H$5:$H$16,0)+7-1,12)+1)&amp;"/"&amp;(Config!$B$7+INT((MATCH(Config!$B$6,Config!$H$5:$H$16,0)+7-1)/12))</f>
        <v>Maio/2027</v>
      </c>
      <c r="B17" s="28">
        <f>D16</f>
        <v>35000</v>
      </c>
      <c r="C17" s="28">
        <f>Config!$B$9</f>
        <v>3000</v>
      </c>
      <c r="D17" s="29">
        <f>B17+C17</f>
        <v>38000</v>
      </c>
      <c r="E17" s="30">
        <f>IF($A$5=0,"",D17/$A$5)</f>
        <v>0.413452436649294</v>
      </c>
      <c r="F17" s="31">
        <f>IF(D17&gt;=$A$5,IF(B17&lt;$A$5,"Meta atingida","Acima da meta"),"")</f>
        <v/>
      </c>
      <c r="G17" s="32" t="str">
        <f>IF(E17="","",REPT("█",ROUND(MIN(1,E17)*30,0)))</f>
        <v>████████████</v>
      </c>
      <c r="H17" s="25" t="n"/>
      <c r="I17" s="26" t="n"/>
      <c r="J17" s="33">
        <f>$A$5</f>
        <v>91909</v>
      </c>
    </row>
    <row r="18">
      <c r="A18" s="27" t="str">
        <f>INDEX(Config!$H$5:$H$16,MOD(MATCH(Config!$B$6,Config!$H$5:$H$16,0)+8-1,12)+1)&amp;"/"&amp;(Config!$B$7+INT((MATCH(Config!$B$6,Config!$H$5:$H$16,0)+8-1)/12))</f>
        <v>Junho/2027</v>
      </c>
      <c r="B18" s="28">
        <f>D17</f>
        <v>38000</v>
      </c>
      <c r="C18" s="28">
        <f>Config!$B$9</f>
        <v>3000</v>
      </c>
      <c r="D18" s="29">
        <f>B18+C18</f>
        <v>41000</v>
      </c>
      <c r="E18" s="30">
        <f>IF($A$5=0,"",D18/$A$5)</f>
        <v>0.446093418490028</v>
      </c>
      <c r="F18" s="31">
        <f>IF(D18&gt;=$A$5,IF(B18&lt;$A$5,"Meta atingida","Acima da meta"),"")</f>
        <v/>
      </c>
      <c r="G18" s="32" t="str">
        <f>IF(E18="","",REPT("█",ROUND(MIN(1,E18)*30,0)))</f>
        <v>█████████████</v>
      </c>
      <c r="H18" s="25" t="n"/>
      <c r="I18" s="26" t="n"/>
      <c r="J18" s="33">
        <f>$A$5</f>
        <v>91909</v>
      </c>
    </row>
    <row r="19">
      <c r="A19" s="27" t="str">
        <f>INDEX(Config!$H$5:$H$16,MOD(MATCH(Config!$B$6,Config!$H$5:$H$16,0)+9-1,12)+1)&amp;"/"&amp;(Config!$B$7+INT((MATCH(Config!$B$6,Config!$H$5:$H$16,0)+9-1)/12))</f>
        <v>Julho/2027</v>
      </c>
      <c r="B19" s="28">
        <f>D18</f>
        <v>41000</v>
      </c>
      <c r="C19" s="28">
        <f>Config!$B$9</f>
        <v>3000</v>
      </c>
      <c r="D19" s="29">
        <f>B19+C19</f>
        <v>44000</v>
      </c>
      <c r="E19" s="30">
        <f>IF($A$5=0,"",D19/$A$5)</f>
        <v>0.478734400330762</v>
      </c>
      <c r="F19" s="31">
        <f>IF(D19&gt;=$A$5,IF(B19&lt;$A$5,"Meta atingida","Acima da meta"),"")</f>
        <v/>
      </c>
      <c r="G19" s="32" t="str">
        <f>IF(E19="","",REPT("█",ROUND(MIN(1,E19)*30,0)))</f>
        <v>██████████████</v>
      </c>
      <c r="H19" s="25" t="n"/>
      <c r="I19" s="26" t="n"/>
      <c r="J19" s="33">
        <f>$A$5</f>
        <v>91909</v>
      </c>
    </row>
    <row r="20">
      <c r="A20" s="27" t="str">
        <f>INDEX(Config!$H$5:$H$16,MOD(MATCH(Config!$B$6,Config!$H$5:$H$16,0)+10-1,12)+1)&amp;"/"&amp;(Config!$B$7+INT((MATCH(Config!$B$6,Config!$H$5:$H$16,0)+10-1)/12))</f>
        <v>Agosto/2027</v>
      </c>
      <c r="B20" s="28">
        <f>D19</f>
        <v>44000</v>
      </c>
      <c r="C20" s="28">
        <f>Config!$B$9</f>
        <v>3000</v>
      </c>
      <c r="D20" s="29">
        <f>B20+C20</f>
        <v>47000</v>
      </c>
      <c r="E20" s="30">
        <f>IF($A$5=0,"",D20/$A$5)</f>
        <v>0.511375382171496</v>
      </c>
      <c r="F20" s="31">
        <f>IF(D20&gt;=$A$5,IF(B20&lt;$A$5,"Meta atingida","Acima da meta"),"")</f>
        <v/>
      </c>
      <c r="G20" s="32" t="str">
        <f>IF(E20="","",REPT("█",ROUND(MIN(1,E20)*30,0)))</f>
        <v>███████████████</v>
      </c>
      <c r="H20" s="25" t="n"/>
      <c r="I20" s="26" t="n"/>
      <c r="J20" s="33">
        <f>$A$5</f>
        <v>91909</v>
      </c>
    </row>
    <row r="21">
      <c r="A21" s="27" t="str">
        <f>INDEX(Config!$H$5:$H$16,MOD(MATCH(Config!$B$6,Config!$H$5:$H$16,0)+11-1,12)+1)&amp;"/"&amp;(Config!$B$7+INT((MATCH(Config!$B$6,Config!$H$5:$H$16,0)+11-1)/12))</f>
        <v>Setembro/2027</v>
      </c>
      <c r="B21" s="28">
        <f>D20</f>
        <v>47000</v>
      </c>
      <c r="C21" s="28">
        <f>Config!$B$9</f>
        <v>3000</v>
      </c>
      <c r="D21" s="29">
        <f>B21+C21</f>
        <v>50000</v>
      </c>
      <c r="E21" s="30">
        <f>IF($A$5=0,"",D21/$A$5)</f>
        <v>0.54401636401223</v>
      </c>
      <c r="F21" s="31">
        <f>IF(D21&gt;=$A$5,IF(B21&lt;$A$5,"Meta atingida","Acima da meta"),"")</f>
        <v/>
      </c>
      <c r="G21" s="32" t="str">
        <f>IF(E21="","",REPT("█",ROUND(MIN(1,E21)*30,0)))</f>
        <v>████████████████</v>
      </c>
      <c r="H21" s="25" t="n"/>
      <c r="I21" s="26" t="n"/>
      <c r="J21" s="33">
        <f>$A$5</f>
        <v>91909</v>
      </c>
    </row>
    <row r="22">
      <c r="A22" s="27" t="str">
        <f>INDEX(Config!$H$5:$H$16,MOD(MATCH(Config!$B$6,Config!$H$5:$H$16,0)+12-1,12)+1)&amp;"/"&amp;(Config!$B$7+INT((MATCH(Config!$B$6,Config!$H$5:$H$16,0)+12-1)/12))</f>
        <v>Outubro/2027</v>
      </c>
      <c r="B22" s="28">
        <f>D21</f>
        <v>50000</v>
      </c>
      <c r="C22" s="28">
        <f>Config!$B$9</f>
        <v>3000</v>
      </c>
      <c r="D22" s="29">
        <f>B22+C22</f>
        <v>53000</v>
      </c>
      <c r="E22" s="30">
        <f>IF($A$5=0,"",D22/$A$5)</f>
        <v>0.576657345852963</v>
      </c>
      <c r="F22" s="31">
        <f>IF(D22&gt;=$A$5,IF(B22&lt;$A$5,"Meta atingida","Acima da meta"),"")</f>
        <v/>
      </c>
      <c r="G22" s="32" t="str">
        <f>IF(E22="","",REPT("█",ROUND(MIN(1,E22)*30,0)))</f>
        <v>█████████████████</v>
      </c>
      <c r="H22" s="25" t="n"/>
      <c r="I22" s="26" t="n"/>
      <c r="J22" s="33">
        <f>$A$5</f>
        <v>91909</v>
      </c>
    </row>
    <row r="23">
      <c r="A23" s="27" t="str">
        <f>INDEX(Config!$H$5:$H$16,MOD(MATCH(Config!$B$6,Config!$H$5:$H$16,0)+13-1,12)+1)&amp;"/"&amp;(Config!$B$7+INT((MATCH(Config!$B$6,Config!$H$5:$H$16,0)+13-1)/12))</f>
        <v>Novembro/2027</v>
      </c>
      <c r="B23" s="28">
        <f>D22</f>
        <v>53000</v>
      </c>
      <c r="C23" s="28">
        <f>Config!$B$9</f>
        <v>3000</v>
      </c>
      <c r="D23" s="29">
        <f>B23+C23</f>
        <v>56000</v>
      </c>
      <c r="E23" s="30">
        <f>IF($A$5=0,"",D23/$A$5)</f>
        <v>0.609298327693697</v>
      </c>
      <c r="F23" s="31">
        <f>IF(D23&gt;=$A$5,IF(B23&lt;$A$5,"Meta atingida","Acima da meta"),"")</f>
        <v/>
      </c>
      <c r="G23" s="32" t="str">
        <f>IF(E23="","",REPT("█",ROUND(MIN(1,E23)*30,0)))</f>
        <v>██████████████████</v>
      </c>
      <c r="H23" s="25" t="n"/>
      <c r="I23" s="26" t="n"/>
      <c r="J23" s="33">
        <f>$A$5</f>
        <v>91909</v>
      </c>
    </row>
    <row r="24">
      <c r="A24" s="27" t="str">
        <f>INDEX(Config!$H$5:$H$16,MOD(MATCH(Config!$B$6,Config!$H$5:$H$16,0)+14-1,12)+1)&amp;"/"&amp;(Config!$B$7+INT((MATCH(Config!$B$6,Config!$H$5:$H$16,0)+14-1)/12))</f>
        <v>Dezembro/2027</v>
      </c>
      <c r="B24" s="28">
        <f>D23</f>
        <v>56000</v>
      </c>
      <c r="C24" s="28">
        <f>Config!$B$9</f>
        <v>3000</v>
      </c>
      <c r="D24" s="29">
        <f>B24+C24</f>
        <v>59000</v>
      </c>
      <c r="E24" s="30">
        <f>IF($A$5=0,"",D24/$A$5)</f>
        <v>0.641939309534431</v>
      </c>
      <c r="F24" s="31">
        <f>IF(D24&gt;=$A$5,IF(B24&lt;$A$5,"Meta atingida","Acima da meta"),"")</f>
        <v/>
      </c>
      <c r="G24" s="32" t="str">
        <f>IF(E24="","",REPT("█",ROUND(MIN(1,E24)*30,0)))</f>
        <v>███████████████████</v>
      </c>
      <c r="H24" s="25" t="n"/>
      <c r="I24" s="26" t="n"/>
      <c r="J24" s="33">
        <f>$A$5</f>
        <v>91909</v>
      </c>
    </row>
    <row r="25">
      <c r="A25" s="27" t="str">
        <f>INDEX(Config!$H$5:$H$16,MOD(MATCH(Config!$B$6,Config!$H$5:$H$16,0)+15-1,12)+1)&amp;"/"&amp;(Config!$B$7+INT((MATCH(Config!$B$6,Config!$H$5:$H$16,0)+15-1)/12))</f>
        <v>Janeiro/2028</v>
      </c>
      <c r="B25" s="28">
        <f>D24</f>
        <v>59000</v>
      </c>
      <c r="C25" s="28">
        <f>Config!$B$9</f>
        <v>3000</v>
      </c>
      <c r="D25" s="29">
        <f>B25+C25</f>
        <v>62000</v>
      </c>
      <c r="E25" s="30">
        <f>IF($A$5=0,"",D25/$A$5)</f>
        <v>0.674580291375165</v>
      </c>
      <c r="F25" s="31">
        <f>IF(D25&gt;=$A$5,IF(B25&lt;$A$5,"Meta atingida","Acima da meta"),"")</f>
        <v/>
      </c>
      <c r="G25" s="32" t="str">
        <f>IF(E25="","",REPT("█",ROUND(MIN(1,E25)*30,0)))</f>
        <v>████████████████████</v>
      </c>
      <c r="H25" s="25" t="n"/>
      <c r="I25" s="26" t="n"/>
      <c r="J25" s="33">
        <f>$A$5</f>
        <v>91909</v>
      </c>
    </row>
    <row r="26">
      <c r="A26" s="27" t="str">
        <f>INDEX(Config!$H$5:$H$16,MOD(MATCH(Config!$B$6,Config!$H$5:$H$16,0)+16-1,12)+1)&amp;"/"&amp;(Config!$B$7+INT((MATCH(Config!$B$6,Config!$H$5:$H$16,0)+16-1)/12))</f>
        <v>Fevereiro/2028</v>
      </c>
      <c r="B26" s="28">
        <f>D25</f>
        <v>62000</v>
      </c>
      <c r="C26" s="28">
        <f>Config!$B$9</f>
        <v>3000</v>
      </c>
      <c r="D26" s="29">
        <f>B26+C26</f>
        <v>65000</v>
      </c>
      <c r="E26" s="30">
        <f>IF($A$5=0,"",D26/$A$5)</f>
        <v>0.707221273215898</v>
      </c>
      <c r="F26" s="31">
        <f>IF(D26&gt;=$A$5,IF(B26&lt;$A$5,"Meta atingida","Acima da meta"),"")</f>
        <v/>
      </c>
      <c r="G26" s="32" t="str">
        <f>IF(E26="","",REPT("█",ROUND(MIN(1,E26)*30,0)))</f>
        <v>█████████████████████</v>
      </c>
      <c r="H26" s="25" t="n"/>
      <c r="I26" s="26" t="n"/>
      <c r="J26" s="33">
        <f>$A$5</f>
        <v>91909</v>
      </c>
    </row>
    <row r="27">
      <c r="A27" s="27" t="str">
        <f>INDEX(Config!$H$5:$H$16,MOD(MATCH(Config!$B$6,Config!$H$5:$H$16,0)+17-1,12)+1)&amp;"/"&amp;(Config!$B$7+INT((MATCH(Config!$B$6,Config!$H$5:$H$16,0)+17-1)/12))</f>
        <v>Março/2028</v>
      </c>
      <c r="B27" s="28">
        <f>D26</f>
        <v>65000</v>
      </c>
      <c r="C27" s="28">
        <f>Config!$B$9</f>
        <v>3000</v>
      </c>
      <c r="D27" s="29">
        <f>B27+C27</f>
        <v>68000</v>
      </c>
      <c r="E27" s="30">
        <f>IF($A$5=0,"",D27/$A$5)</f>
        <v>0.739862255056632</v>
      </c>
      <c r="F27" s="31">
        <f>IF(D27&gt;=$A$5,IF(B27&lt;$A$5,"Meta atingida","Acima da meta"),"")</f>
        <v/>
      </c>
      <c r="G27" s="32" t="str">
        <f>IF(E27="","",REPT("█",ROUND(MIN(1,E27)*30,0)))</f>
        <v>██████████████████████</v>
      </c>
      <c r="H27" s="25" t="n"/>
      <c r="I27" s="26" t="n"/>
      <c r="J27" s="33">
        <f>$A$5</f>
        <v>91909</v>
      </c>
    </row>
    <row r="28">
      <c r="A28" s="27" t="str">
        <f>INDEX(Config!$H$5:$H$16,MOD(MATCH(Config!$B$6,Config!$H$5:$H$16,0)+18-1,12)+1)&amp;"/"&amp;(Config!$B$7+INT((MATCH(Config!$B$6,Config!$H$5:$H$16,0)+18-1)/12))</f>
        <v>Abril/2028</v>
      </c>
      <c r="B28" s="28">
        <f>D27</f>
        <v>68000</v>
      </c>
      <c r="C28" s="28">
        <f>Config!$B$9</f>
        <v>3000</v>
      </c>
      <c r="D28" s="29">
        <f>B28+C28</f>
        <v>71000</v>
      </c>
      <c r="E28" s="30">
        <f>IF($A$5=0,"",D28/$A$5)</f>
        <v>0.772503236897366</v>
      </c>
      <c r="F28" s="31">
        <f>IF(D28&gt;=$A$5,IF(B28&lt;$A$5,"Meta atingida","Acima da meta"),"")</f>
        <v/>
      </c>
      <c r="G28" s="32" t="str">
        <f>IF(E28="","",REPT("█",ROUND(MIN(1,E28)*30,0)))</f>
        <v>███████████████████████</v>
      </c>
      <c r="H28" s="25" t="n"/>
      <c r="I28" s="26" t="n"/>
      <c r="J28" s="33">
        <f>$A$5</f>
        <v>91909</v>
      </c>
    </row>
    <row r="29">
      <c r="A29" s="27" t="str">
        <f>INDEX(Config!$H$5:$H$16,MOD(MATCH(Config!$B$6,Config!$H$5:$H$16,0)+19-1,12)+1)&amp;"/"&amp;(Config!$B$7+INT((MATCH(Config!$B$6,Config!$H$5:$H$16,0)+19-1)/12))</f>
        <v>Maio/2028</v>
      </c>
      <c r="B29" s="28">
        <f>D28</f>
        <v>71000</v>
      </c>
      <c r="C29" s="28">
        <f>Config!$B$9</f>
        <v>3000</v>
      </c>
      <c r="D29" s="29">
        <f>B29+C29</f>
        <v>74000</v>
      </c>
      <c r="E29" s="30">
        <f>IF($A$5=0,"",D29/$A$5)</f>
        <v>0.8051442187381</v>
      </c>
      <c r="F29" s="31">
        <f>IF(D29&gt;=$A$5,IF(B29&lt;$A$5,"Meta atingida","Acima da meta"),"")</f>
        <v/>
      </c>
      <c r="G29" s="32" t="str">
        <f>IF(E29="","",REPT("█",ROUND(MIN(1,E29)*30,0)))</f>
        <v>████████████████████████</v>
      </c>
      <c r="H29" s="25" t="n"/>
      <c r="I29" s="26" t="n"/>
      <c r="J29" s="33">
        <f>$A$5</f>
        <v>91909</v>
      </c>
    </row>
    <row r="30">
      <c r="A30" s="27" t="str">
        <f>INDEX(Config!$H$5:$H$16,MOD(MATCH(Config!$B$6,Config!$H$5:$H$16,0)+20-1,12)+1)&amp;"/"&amp;(Config!$B$7+INT((MATCH(Config!$B$6,Config!$H$5:$H$16,0)+20-1)/12))</f>
        <v>Junho/2028</v>
      </c>
      <c r="B30" s="28">
        <f>D29</f>
        <v>74000</v>
      </c>
      <c r="C30" s="28">
        <f>Config!$B$9</f>
        <v>3000</v>
      </c>
      <c r="D30" s="29">
        <f>B30+C30</f>
        <v>77000</v>
      </c>
      <c r="E30" s="30">
        <f>IF($A$5=0,"",D30/$A$5)</f>
        <v>0.837785200578833</v>
      </c>
      <c r="F30" s="31">
        <f>IF(D30&gt;=$A$5,IF(B30&lt;$A$5,"Meta atingida","Acima da meta"),"")</f>
        <v/>
      </c>
      <c r="G30" s="32" t="str">
        <f>IF(E30="","",REPT("█",ROUND(MIN(1,E30)*30,0)))</f>
        <v>█████████████████████████</v>
      </c>
      <c r="H30" s="25" t="n"/>
      <c r="I30" s="26" t="n"/>
      <c r="J30" s="33">
        <f>$A$5</f>
        <v>91909</v>
      </c>
    </row>
    <row r="31">
      <c r="A31" s="27" t="str">
        <f>INDEX(Config!$H$5:$H$16,MOD(MATCH(Config!$B$6,Config!$H$5:$H$16,0)+21-1,12)+1)&amp;"/"&amp;(Config!$B$7+INT((MATCH(Config!$B$6,Config!$H$5:$H$16,0)+21-1)/12))</f>
        <v>Julho/2028</v>
      </c>
      <c r="B31" s="28">
        <f>D30</f>
        <v>77000</v>
      </c>
      <c r="C31" s="28">
        <f>Config!$B$9</f>
        <v>3000</v>
      </c>
      <c r="D31" s="29">
        <f>B31+C31</f>
        <v>80000</v>
      </c>
      <c r="E31" s="30">
        <f>IF($A$5=0,"",D31/$A$5)</f>
        <v>0.870426182419567</v>
      </c>
      <c r="F31" s="31">
        <f>IF(D31&gt;=$A$5,IF(B31&lt;$A$5,"Meta atingida","Acima da meta"),"")</f>
        <v/>
      </c>
      <c r="G31" s="32" t="str">
        <f>IF(E31="","",REPT("█",ROUND(MIN(1,E31)*30,0)))</f>
        <v>██████████████████████████</v>
      </c>
      <c r="H31" s="25" t="n"/>
      <c r="I31" s="26" t="n"/>
      <c r="J31" s="33">
        <f>$A$5</f>
        <v>91909</v>
      </c>
    </row>
    <row r="32">
      <c r="A32" s="27" t="str">
        <f>INDEX(Config!$H$5:$H$16,MOD(MATCH(Config!$B$6,Config!$H$5:$H$16,0)+22-1,12)+1)&amp;"/"&amp;(Config!$B$7+INT((MATCH(Config!$B$6,Config!$H$5:$H$16,0)+22-1)/12))</f>
        <v>Agosto/2028</v>
      </c>
      <c r="B32" s="28">
        <f>D31</f>
        <v>80000</v>
      </c>
      <c r="C32" s="28">
        <f>Config!$B$9</f>
        <v>3000</v>
      </c>
      <c r="D32" s="29">
        <f>B32+C32</f>
        <v>83000</v>
      </c>
      <c r="E32" s="30">
        <f>IF($A$5=0,"",D32/$A$5)</f>
        <v>0.903067164260301</v>
      </c>
      <c r="F32" s="31">
        <f>IF(D32&gt;=$A$5,IF(B32&lt;$A$5,"Meta atingida","Acima da meta"),"")</f>
        <v/>
      </c>
      <c r="G32" s="32" t="str">
        <f>IF(E32="","",REPT("█",ROUND(MIN(1,E32)*30,0)))</f>
        <v>███████████████████████████</v>
      </c>
      <c r="H32" s="25" t="n"/>
      <c r="I32" s="26" t="n"/>
      <c r="J32" s="33">
        <f>$A$5</f>
        <v>91909</v>
      </c>
    </row>
    <row r="33">
      <c r="A33" s="27" t="str">
        <f>INDEX(Config!$H$5:$H$16,MOD(MATCH(Config!$B$6,Config!$H$5:$H$16,0)+23-1,12)+1)&amp;"/"&amp;(Config!$B$7+INT((MATCH(Config!$B$6,Config!$H$5:$H$16,0)+23-1)/12))</f>
        <v>Setembro/2028</v>
      </c>
      <c r="B33" s="28">
        <f>D32</f>
        <v>83000</v>
      </c>
      <c r="C33" s="28">
        <f>Config!$B$9</f>
        <v>3000</v>
      </c>
      <c r="D33" s="29">
        <f>B33+C33</f>
        <v>86000</v>
      </c>
      <c r="E33" s="30">
        <f>IF($A$5=0,"",D33/$A$5)</f>
        <v>0.935708146101035</v>
      </c>
      <c r="F33" s="31">
        <f>IF(D33&gt;=$A$5,IF(B33&lt;$A$5,"Meta atingida","Acima da meta"),"")</f>
        <v/>
      </c>
      <c r="G33" s="32" t="str">
        <f>IF(E33="","",REPT("█",ROUND(MIN(1,E33)*30,0)))</f>
        <v>████████████████████████████</v>
      </c>
      <c r="H33" s="25" t="n"/>
      <c r="I33" s="26" t="n"/>
      <c r="J33" s="33">
        <f>$A$5</f>
        <v>91909</v>
      </c>
    </row>
    <row r="34">
      <c r="A34" s="27" t="str">
        <f>INDEX(Config!$H$5:$H$16,MOD(MATCH(Config!$B$6,Config!$H$5:$H$16,0)+24-1,12)+1)&amp;"/"&amp;(Config!$B$7+INT((MATCH(Config!$B$6,Config!$H$5:$H$16,0)+24-1)/12))</f>
        <v>Outubro/2028</v>
      </c>
      <c r="B34" s="28">
        <f>D33</f>
        <v>86000</v>
      </c>
      <c r="C34" s="28">
        <f>Config!$B$9</f>
        <v>3000</v>
      </c>
      <c r="D34" s="29">
        <f>B34+C34</f>
        <v>89000</v>
      </c>
      <c r="E34" s="30">
        <f>IF($A$5=0,"",D34/$A$5)</f>
        <v>0.968349127941769</v>
      </c>
      <c r="F34" s="31">
        <f>IF(D34&gt;=$A$5,IF(B34&lt;$A$5,"Meta atingida","Acima da meta"),"")</f>
        <v/>
      </c>
      <c r="G34" s="32" t="str">
        <f>IF(E34="","",REPT("█",ROUND(MIN(1,E34)*30,0)))</f>
        <v>█████████████████████████████</v>
      </c>
      <c r="H34" s="25" t="n"/>
      <c r="I34" s="26" t="n"/>
      <c r="J34" s="33">
        <f>$A$5</f>
        <v>91909</v>
      </c>
    </row>
    <row r="35">
      <c r="A35" s="27" t="str">
        <f>INDEX(Config!$H$5:$H$16,MOD(MATCH(Config!$B$6,Config!$H$5:$H$16,0)+25-1,12)+1)&amp;"/"&amp;(Config!$B$7+INT((MATCH(Config!$B$6,Config!$H$5:$H$16,0)+25-1)/12))</f>
        <v>Novembro/2028</v>
      </c>
      <c r="B35" s="28">
        <f>D34</f>
        <v>89000</v>
      </c>
      <c r="C35" s="28">
        <f>Config!$B$9</f>
        <v>3000</v>
      </c>
      <c r="D35" s="29">
        <f>B35+C35</f>
        <v>92000</v>
      </c>
      <c r="E35" s="30">
        <f>IF($A$5=0,"",D35/$A$5)</f>
        <v>1.0009901097825</v>
      </c>
      <c r="F35" s="31" t="str">
        <f>IF(D35&gt;=$A$5,IF(B35&lt;$A$5,"Meta atingida","Acima da meta"),"")</f>
        <v>Meta atingida</v>
      </c>
      <c r="G35" s="32" t="str">
        <f>IF(E35="","",REPT("█",ROUND(MIN(1,E35)*30,0)))</f>
        <v>██████████████████████████████</v>
      </c>
      <c r="H35" s="25" t="n"/>
      <c r="I35" s="26" t="n"/>
      <c r="J35" s="33">
        <f>$A$5</f>
        <v>91909</v>
      </c>
    </row>
    <row r="36">
      <c r="A36" s="27" t="str">
        <f>INDEX(Config!$H$5:$H$16,MOD(MATCH(Config!$B$6,Config!$H$5:$H$16,0)+26-1,12)+1)&amp;"/"&amp;(Config!$B$7+INT((MATCH(Config!$B$6,Config!$H$5:$H$16,0)+26-1)/12))</f>
        <v>Dezembro/2028</v>
      </c>
      <c r="B36" s="28">
        <f>D35</f>
        <v>92000</v>
      </c>
      <c r="C36" s="28">
        <f>Config!$B$9</f>
        <v>3000</v>
      </c>
      <c r="D36" s="29">
        <f>B36+C36</f>
        <v>95000</v>
      </c>
      <c r="E36" s="30">
        <f>IF($A$5=0,"",D36/$A$5)</f>
        <v>1.03363109162324</v>
      </c>
      <c r="F36" s="31" t="str">
        <f>IF(D36&gt;=$A$5,IF(B36&lt;$A$5,"Meta atingida","Acima da meta"),"")</f>
        <v>Acima da meta</v>
      </c>
      <c r="G36" s="32" t="str">
        <f>IF(E36="","",REPT("█",ROUND(MIN(1,E36)*30,0)))</f>
        <v>██████████████████████████████</v>
      </c>
      <c r="H36" s="25" t="n"/>
      <c r="I36" s="26" t="n"/>
      <c r="J36" s="33">
        <f>$A$5</f>
        <v>91909</v>
      </c>
    </row>
    <row r="37">
      <c r="A37" s="27" t="str">
        <f>INDEX(Config!$H$5:$H$16,MOD(MATCH(Config!$B$6,Config!$H$5:$H$16,0)+27-1,12)+1)&amp;"/"&amp;(Config!$B$7+INT((MATCH(Config!$B$6,Config!$H$5:$H$16,0)+27-1)/12))</f>
        <v>Janeiro/2029</v>
      </c>
      <c r="B37" s="28">
        <f>D36</f>
        <v>95000</v>
      </c>
      <c r="C37" s="28">
        <f>Config!$B$9</f>
        <v>3000</v>
      </c>
      <c r="D37" s="29">
        <f>B37+C37</f>
        <v>98000</v>
      </c>
      <c r="E37" s="30">
        <f>IF($A$5=0,"",D37/$A$5)</f>
        <v>1.06627207346397</v>
      </c>
      <c r="F37" s="31" t="str">
        <f>IF(D37&gt;=$A$5,IF(B37&lt;$A$5,"Meta atingida","Acima da meta"),"")</f>
        <v>Acima da meta</v>
      </c>
      <c r="G37" s="32" t="str">
        <f>IF(E37="","",REPT("█",ROUND(MIN(1,E37)*30,0)))</f>
        <v>██████████████████████████████</v>
      </c>
      <c r="H37" s="25" t="n"/>
      <c r="I37" s="26" t="n"/>
      <c r="J37" s="33">
        <f>$A$5</f>
        <v>91909</v>
      </c>
    </row>
    <row r="38">
      <c r="A38" s="27" t="str">
        <f>INDEX(Config!$H$5:$H$16,MOD(MATCH(Config!$B$6,Config!$H$5:$H$16,0)+28-1,12)+1)&amp;"/"&amp;(Config!$B$7+INT((MATCH(Config!$B$6,Config!$H$5:$H$16,0)+28-1)/12))</f>
        <v>Fevereiro/2029</v>
      </c>
      <c r="B38" s="28">
        <f>D37</f>
        <v>98000</v>
      </c>
      <c r="C38" s="28">
        <f>Config!$B$9</f>
        <v>3000</v>
      </c>
      <c r="D38" s="29">
        <f>B38+C38</f>
        <v>101000</v>
      </c>
      <c r="E38" s="30">
        <f>IF($A$5=0,"",D38/$A$5)</f>
        <v>1.0989130553047</v>
      </c>
      <c r="F38" s="31" t="str">
        <f>IF(D38&gt;=$A$5,IF(B38&lt;$A$5,"Meta atingida","Acima da meta"),"")</f>
        <v>Acima da meta</v>
      </c>
      <c r="G38" s="32" t="str">
        <f>IF(E38="","",REPT("█",ROUND(MIN(1,E38)*30,0)))</f>
        <v>██████████████████████████████</v>
      </c>
      <c r="H38" s="25" t="n"/>
      <c r="I38" s="26" t="n"/>
      <c r="J38" s="33">
        <f>$A$5</f>
        <v>91909</v>
      </c>
    </row>
    <row r="39">
      <c r="A39" s="27" t="str">
        <f>INDEX(Config!$H$5:$H$16,MOD(MATCH(Config!$B$6,Config!$H$5:$H$16,0)+29-1,12)+1)&amp;"/"&amp;(Config!$B$7+INT((MATCH(Config!$B$6,Config!$H$5:$H$16,0)+29-1)/12))</f>
        <v>Março/2029</v>
      </c>
      <c r="B39" s="28">
        <f>D38</f>
        <v>101000</v>
      </c>
      <c r="C39" s="28">
        <f>Config!$B$9</f>
        <v>3000</v>
      </c>
      <c r="D39" s="29">
        <f>B39+C39</f>
        <v>104000</v>
      </c>
      <c r="E39" s="30">
        <f>IF($A$5=0,"",D39/$A$5)</f>
        <v>1.13155403714544</v>
      </c>
      <c r="F39" s="31" t="str">
        <f>IF(D39&gt;=$A$5,IF(B39&lt;$A$5,"Meta atingida","Acima da meta"),"")</f>
        <v>Acima da meta</v>
      </c>
      <c r="G39" s="32" t="str">
        <f>IF(E39="","",REPT("█",ROUND(MIN(1,E39)*30,0)))</f>
        <v>██████████████████████████████</v>
      </c>
      <c r="H39" s="25" t="n"/>
      <c r="I39" s="26" t="n"/>
      <c r="J39" s="33">
        <f>$A$5</f>
        <v>91909</v>
      </c>
    </row>
    <row r="40">
      <c r="A40" s="34" t="inlineStr">
        <is>
          <t>Aporte igual todo mês, sem rendimento. Quando a reserva bater a meta, decida com o sócio o que fazer com o aporte: manter, reduzir ou virar distribuição.</t>
        </is>
      </c>
    </row>
    <row r="41">
      <c r="A41" s="23" t="inlineStr">
        <is>
          <t>Metas de caixa do trimestre</t>
        </is>
      </c>
    </row>
    <row r="42" ht="26" customHeight="1">
      <c r="A42" s="24" t="inlineStr">
        <is>
          <t>Meta</t>
        </is>
      </c>
      <c r="B42" s="24" t="inlineStr">
        <is>
          <t>Valor alvo</t>
        </is>
      </c>
      <c r="C42" s="24" t="inlineStr">
        <is>
          <t>Valor atual</t>
        </is>
      </c>
      <c r="D42" s="24" t="inlineStr">
        <is>
          <t>Progresso</t>
        </is>
      </c>
      <c r="E42" s="24" t="inlineStr">
        <is>
          <t>Barra</t>
        </is>
      </c>
      <c r="F42" s="24" t="inlineStr">
        <is>
          <t>Prazo</t>
        </is>
      </c>
      <c r="G42" s="24" t="inlineStr">
        <is>
          <t>Dias restantes</t>
        </is>
      </c>
      <c r="H42" s="24" t="inlineStr">
        <is>
          <t>Situação</t>
        </is>
      </c>
    </row>
    <row r="43" ht="30" customHeight="1">
      <c r="A43" s="35" t="str">
        <f>IF(Config!$A$26="","",Config!$A$26)</f>
        <v>Reserva com 1 mês de custo fixo + pró-labore</v>
      </c>
      <c r="B43" s="28">
        <f>IF(Config!$A$26="","",Config!$B$26)</f>
        <v>28000</v>
      </c>
      <c r="C43" s="28">
        <f>IF(Config!$A$26="","",Config!$C$26)</f>
        <v>14000</v>
      </c>
      <c r="D43" s="30">
        <f>IF(OR(Config!$A$26="",B43=0),"",MIN(1,C43/B43))</f>
        <v>0.5</v>
      </c>
      <c r="E43" s="32" t="str">
        <f>IF(D43="","",REPT("█",ROUND(D43*20,0)))</f>
        <v>██████████</v>
      </c>
      <c r="F43" s="36">
        <f>IF(OR(Config!$A$26="",Config!$D$26=""),"",Config!$D$26)</f>
        <v>46387.0</v>
      </c>
      <c r="G43" s="37">
        <f>IF(OR(Config!$A$26="",F43="",H43="Concluída"),"",F43-Config!$B$5)</f>
        <v>108</v>
      </c>
      <c r="H43" s="31" t="str">
        <f>IF(Config!$A$26="","",IF(AND(B43&gt;0,C43&gt;=B43),"Concluída",IF(AND(F43&lt;&gt;"",F43&lt;Config!$B$5),"Prazo vencido","Em andamento")))</f>
        <v>Em andamento</v>
      </c>
    </row>
    <row r="44" ht="30" customHeight="1">
      <c r="A44" s="35" t="str">
        <f>IF(Config!$A$27="","",Config!$A$27)</f>
        <v>Receber R$ 130.000 no trimestre</v>
      </c>
      <c r="B44" s="28">
        <f>IF(Config!$A$27="","",Config!$B$27)</f>
        <v>130000</v>
      </c>
      <c r="C44" s="28">
        <f>IF(Config!$A$27="","",Config!$C$27)</f>
        <v>121022</v>
      </c>
      <c r="D44" s="30">
        <f>IF(OR(Config!$A$27="",B44=0),"",MIN(1,C44/B44))</f>
        <v>0.930938461538462</v>
      </c>
      <c r="E44" s="32" t="str">
        <f>IF(D44="","",REPT("█",ROUND(D44*20,0)))</f>
        <v>███████████████████</v>
      </c>
      <c r="F44" s="36">
        <f>IF(OR(Config!$A$27="",Config!$D$27=""),"",Config!$D$27)</f>
        <v>46295.0</v>
      </c>
      <c r="G44" s="37">
        <f>IF(OR(Config!$A$27="",F44="",H44="Concluída"),"",F44-Config!$B$5)</f>
        <v>16</v>
      </c>
      <c r="H44" s="31" t="str">
        <f>IF(Config!$A$27="","",IF(AND(B44&gt;0,C44&gt;=B44),"Concluída",IF(AND(F44&lt;&gt;"",F44&lt;Config!$B$5),"Prazo vencido","Em andamento")))</f>
        <v>Em andamento</v>
      </c>
    </row>
    <row r="45" ht="30" customHeight="1">
      <c r="A45" s="35" t="str">
        <f>IF(Config!$A$28="","",Config!$A$28)</f>
        <v>Conta de provisão de impostos com o saldo de agosto (planilha 10)</v>
      </c>
      <c r="B45" s="28">
        <f>IF(Config!$A$28="","",Config!$B$28)</f>
        <v>18209</v>
      </c>
      <c r="C45" s="28">
        <f>IF(Config!$A$28="","",Config!$C$28)</f>
        <v>17500</v>
      </c>
      <c r="D45" s="30">
        <f>IF(OR(Config!$A$28="",B45=0),"",MIN(1,C45/B45))</f>
        <v>0.961063210500302</v>
      </c>
      <c r="E45" s="32" t="str">
        <f>IF(D45="","",REPT("█",ROUND(D45*20,0)))</f>
        <v>███████████████████</v>
      </c>
      <c r="F45" s="36">
        <f>IF(OR(Config!$A$28="",Config!$D$28=""),"",Config!$D$28)</f>
        <v>46295.0</v>
      </c>
      <c r="G45" s="37">
        <f>IF(OR(Config!$A$28="",F45="",H45="Concluída"),"",F45-Config!$B$5)</f>
        <v>16</v>
      </c>
      <c r="H45" s="31" t="str">
        <f>IF(Config!$A$28="","",IF(AND(B45&gt;0,C45&gt;=B45),"Concluída",IF(AND(F45&lt;&gt;"",F45&lt;Config!$B$5),"Prazo vencido","Em andamento")))</f>
        <v>Em andamento</v>
      </c>
    </row>
    <row r="46">
      <c r="A46" s="34" t="inlineStr">
        <is>
          <t>Atualize o valor atual das metas em Config toda sexta. Prazo vencido não é fracasso: é sinal para renegociar a meta ou o aporte com o sócio.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9">
    <mergeCell ref="G38:I38"/>
    <mergeCell ref="B7:F7"/>
    <mergeCell ref="G10:I10"/>
    <mergeCell ref="G28:I28"/>
    <mergeCell ref="A8:J8"/>
    <mergeCell ref="G13:I13"/>
    <mergeCell ref="G19:I19"/>
    <mergeCell ref="G37:I37"/>
    <mergeCell ref="C5:D5"/>
    <mergeCell ref="E5:F5"/>
    <mergeCell ref="G18:I18"/>
    <mergeCell ref="G34:I34"/>
    <mergeCell ref="G30:I30"/>
    <mergeCell ref="G15:I15"/>
    <mergeCell ref="G33:I33"/>
    <mergeCell ref="C4:D4"/>
    <mergeCell ref="G24:I24"/>
    <mergeCell ref="E4:F4"/>
    <mergeCell ref="G14:I14"/>
    <mergeCell ref="A40:J40"/>
    <mergeCell ref="G35:I35"/>
    <mergeCell ref="G20:I20"/>
    <mergeCell ref="G26:I26"/>
    <mergeCell ref="G29:I29"/>
    <mergeCell ref="G25:I25"/>
    <mergeCell ref="A1:J1"/>
    <mergeCell ref="G16:I16"/>
    <mergeCell ref="G32:I32"/>
    <mergeCell ref="G22:I22"/>
    <mergeCell ref="G31:I31"/>
    <mergeCell ref="A5:B5"/>
    <mergeCell ref="G5:H5"/>
    <mergeCell ref="G9:I9"/>
    <mergeCell ref="I5:J5"/>
    <mergeCell ref="G7:J7"/>
    <mergeCell ref="G12:I12"/>
    <mergeCell ref="G21:I21"/>
    <mergeCell ref="A41:J41"/>
    <mergeCell ref="G11:I11"/>
    <mergeCell ref="A4:B4"/>
    <mergeCell ref="G4:H4"/>
    <mergeCell ref="A46:J46"/>
    <mergeCell ref="I4:J4"/>
    <mergeCell ref="G36:I36"/>
    <mergeCell ref="G27:I27"/>
    <mergeCell ref="G23:I23"/>
    <mergeCell ref="G39:I39"/>
    <mergeCell ref="G17:I17"/>
    <mergeCell ref="A2:J2"/>
  </mergeCells>
  <conditionalFormatting sqref="B7">
    <cfRule type="expression" priority="1" dxfId="0">
      <formula>LEFT(B7,8)="Vermelho"</formula>
    </cfRule>
    <cfRule type="expression" priority="2" dxfId="1">
      <formula>LEFT(B7,7)="Amarelo"</formula>
    </cfRule>
    <cfRule type="expression" priority="3" dxfId="2">
      <formula>LEFT(B7,5)="Verde"</formula>
    </cfRule>
  </conditionalFormatting>
  <conditionalFormatting sqref="A10:F39">
    <cfRule type="expression" priority="4" dxfId="3">
      <formula>$F10="Meta atingida"</formula>
    </cfRule>
  </conditionalFormatting>
  <conditionalFormatting sqref="H43:H45">
    <cfRule type="expression" priority="5" dxfId="3">
      <formula>H43="Concluída"</formula>
    </cfRule>
    <cfRule type="expression" priority="6" dxfId="4">
      <formula>H43="Prazo vencido"</formula>
    </cfRule>
    <cfRule type="expression" priority="7" dxfId="5">
      <formula>H43="Em andamento"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" customWidth="1" min="3" max="3"/>
    <col width="30" customWidth="1" min="4" max="4"/>
    <col width="12" customWidth="1" min="5" max="5"/>
    <col width="12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 fixo, saldo e reserva vêm do Painel da planilha 09; o resto é decisão da clínica.</t>
        </is>
      </c>
    </row>
    <row r="4">
      <c r="A4" s="20" t="inlineStr">
        <is>
          <t>Clínica</t>
        </is>
      </c>
      <c r="B4" s="38" t="inlineStr">
        <is>
          <t>Clínica Vida Plena (exemplo fictício)</t>
        </is>
      </c>
      <c r="H4" s="20" t="inlineStr">
        <is>
          <t>Meses</t>
        </is>
      </c>
    </row>
    <row r="5">
      <c r="A5" s="20" t="inlineStr">
        <is>
          <t>Data de referência</t>
        </is>
      </c>
      <c r="B5" s="36" t="n">
        <v>46279</v>
      </c>
      <c r="H5" s="39" t="inlineStr">
        <is>
          <t>Janeiro</t>
        </is>
      </c>
    </row>
    <row r="6">
      <c r="A6" s="20" t="inlineStr">
        <is>
          <t>Mês de início da projeção</t>
        </is>
      </c>
      <c r="B6" s="40" t="inlineStr">
        <is>
          <t>Outubro</t>
        </is>
      </c>
      <c r="H6" s="39" t="inlineStr">
        <is>
          <t>Fevereiro</t>
        </is>
      </c>
    </row>
    <row r="7">
      <c r="A7" s="20" t="inlineStr">
        <is>
          <t>Ano de início da projeção</t>
        </is>
      </c>
      <c r="B7" s="40" t="n">
        <v>2026</v>
      </c>
      <c r="H7" s="39" t="inlineStr">
        <is>
          <t>Março</t>
        </is>
      </c>
    </row>
    <row r="8" ht="30" customHeight="1">
      <c r="A8" s="20" t="inlineStr">
        <is>
          <t>Meta de reserva (meses de custo fixo + pró-labore)</t>
        </is>
      </c>
      <c r="B8" s="41" t="n">
        <v>3</v>
      </c>
      <c r="D8" s="42" t="inlineStr">
        <is>
          <t>Três meses do que a clínica paga todo mês mesmo parada — custo fixo MAIS o pró-labore dos sócios — é a meta usual para uma clínica pequena: convênio atrasa, agenda esvazia em janeiro e julho, equipamento quebra. Atenção ao nome: "custo fixo" nas planilhas 05, 09 e 18 é só a estrutura (R$ 10.000 no exemplo); aqui é custo fixo + pró-labore (R$ 28.000 num mês sem retirada extra).</t>
        </is>
      </c>
      <c r="H8" s="39" t="inlineStr">
        <is>
          <t>Abril</t>
        </is>
      </c>
    </row>
    <row r="9">
      <c r="A9" s="20" t="inlineStr">
        <is>
          <t>Aporte mensal planejado para a reserva</t>
        </is>
      </c>
      <c r="B9" s="43" t="n">
        <v>3000</v>
      </c>
      <c r="H9" s="39" t="inlineStr">
        <is>
          <t>Maio</t>
        </is>
      </c>
    </row>
    <row r="10">
      <c r="H10" s="39" t="inlineStr">
        <is>
          <t>Junho</t>
        </is>
      </c>
    </row>
    <row r="11">
      <c r="A11" s="20" t="inlineStr">
        <is>
          <t>Custo fixo + pró-labore dos últimos 3 meses (o que sai todo mês, mesmo com a agenda vazia)</t>
        </is>
      </c>
      <c r="H11" s="39" t="inlineStr">
        <is>
          <t>Julho</t>
        </is>
      </c>
    </row>
    <row r="12" ht="26" customHeight="1">
      <c r="A12" s="24" t="inlineStr">
        <is>
          <t>Mês</t>
        </is>
      </c>
      <c r="B12" s="24" t="inlineStr">
        <is>
          <t>Custo fixo + pró-labore do mês</t>
        </is>
      </c>
      <c r="H12" s="39" t="inlineStr">
        <is>
          <t>Agosto</t>
        </is>
      </c>
    </row>
    <row r="13">
      <c r="A13" s="40" t="inlineStr">
        <is>
          <t>Junho</t>
        </is>
      </c>
      <c r="B13" s="43" t="n">
        <v>29500</v>
      </c>
      <c r="D13" s="42" t="str">
        <f>"Copie de “Para onde foi o dinheiro” (Painel da planilha 09), somando as oito linhas de custo fixo (aluguel, recepção, contador, sistema, energia, limpeza, marketing, anuidades) com a linha “Pró-labore dos sócios” inteira, como ela aparece lá. Impostos, materiais, taxas de cartão e repasse ficam fora (variam com o movimento). No exemplo, "&amp;"R$ "&amp;FIXED($B$13,0)&amp;" em "&amp;$A$13&amp;" e "&amp;"R$ "&amp;FIXED($B$14,0)&amp;" em "&amp;$A$14&amp;" vêm acima dos "&amp;"R$ "&amp;FIXED($B$15,0)&amp;" de "&amp;$A$15&amp;": a linha de pró-labore da 09 traz também a retirada extra de 19/06 e a distribuição de lucro paga em 10/07, então a média fica um pouco acima do mês normal e a meta de reserva sai mais conservadora. Se preferir dimensionar pelo mês normal, use os três meses sem retirada extra."</f>
        <v>Copie de “Para onde foi o dinheiro” (Painel da planilha 09), somando as oito linhas de custo fixo (aluguel, recepção, contador, sistema, energia, limpeza, marketing, anuidades) com a linha “Pró-labore dos sócios” inteira, como ela aparece lá. Impostos, materiais, taxas de cartão e repasse ficam fora (variam com o movimento). No exemplo, R$ 29.500 em Junho e R$ 34.409 em Julho vêm acima dos R$ 28.000 de Agosto: a linha de pró-labore da 09 traz também a retirada extra de 19/06 e a distribuição de lucro paga em 10/07, então a média fica um pouco acima do mês normal e a meta de reserva sai mais conservadora. Se preferir dimensionar pelo mês normal, use os três meses sem retirada extra.</v>
      </c>
      <c r="H13" s="39" t="inlineStr">
        <is>
          <t>Setembro</t>
        </is>
      </c>
    </row>
    <row r="14">
      <c r="A14" s="40" t="inlineStr">
        <is>
          <t>Julho</t>
        </is>
      </c>
      <c r="B14" s="43" t="n">
        <v>34409</v>
      </c>
      <c r="H14" s="39" t="inlineStr">
        <is>
          <t>Outubro</t>
        </is>
      </c>
    </row>
    <row r="15">
      <c r="A15" s="40" t="inlineStr">
        <is>
          <t>Agosto</t>
        </is>
      </c>
      <c r="B15" s="43" t="n">
        <v>28000</v>
      </c>
      <c r="H15" s="39" t="inlineStr">
        <is>
          <t>Novembro</t>
        </is>
      </c>
    </row>
    <row r="16">
      <c r="A16" s="20" t="inlineStr">
        <is>
          <t>Custo fixo + pró-labore médio</t>
        </is>
      </c>
      <c r="B16" s="44">
        <f>IFERROR(AVERAGE(B13:B15),0)</f>
        <v>30636.3333333333</v>
      </c>
      <c r="H16" s="39" t="inlineStr">
        <is>
          <t>Dezembro</t>
        </is>
      </c>
    </row>
    <row r="18">
      <c r="A18" s="20" t="inlineStr">
        <is>
          <t>Situação hoje</t>
        </is>
      </c>
    </row>
    <row r="19">
      <c r="A19" s="20" t="inlineStr">
        <is>
          <t>Saldo em caixa da clínica (conta corrente)</t>
        </is>
      </c>
      <c r="B19" s="43" t="n">
        <v>38605.81</v>
      </c>
      <c r="D19" s="22" t="inlineStr">
        <is>
          <t>Saldo acumulado (setembro) e A pagar do Painel da planilha 09, em 14/09/2026.</t>
        </is>
      </c>
    </row>
    <row r="20">
      <c r="A20" s="20" t="inlineStr">
        <is>
          <t>Compromissos já lançados e ainda não pagos</t>
        </is>
      </c>
      <c r="B20" s="43" t="n">
        <v>26603</v>
      </c>
    </row>
    <row r="21">
      <c r="A21" s="20" t="inlineStr">
        <is>
          <t>Caixa livre</t>
        </is>
      </c>
      <c r="B21" s="45">
        <f>B19-B20</f>
        <v>12002.81</v>
      </c>
    </row>
    <row r="22">
      <c r="A22" s="20" t="inlineStr">
        <is>
          <t>Reserva já guardada (conta separada)</t>
        </is>
      </c>
      <c r="B22" s="43" t="n">
        <v>14000</v>
      </c>
      <c r="D22" s="22" t="inlineStr">
        <is>
          <t>O que já está numa conta separada só para a reserva. Se ainda não separou, deixe 0.</t>
        </is>
      </c>
    </row>
    <row r="24">
      <c r="A24" s="20" t="inlineStr">
        <is>
          <t>Metas de caixa do trimestre (3)</t>
        </is>
      </c>
    </row>
    <row r="25" ht="26" customHeight="1">
      <c r="A25" s="24" t="inlineStr">
        <is>
          <t>Meta</t>
        </is>
      </c>
      <c r="B25" s="24" t="inlineStr">
        <is>
          <t>Valor alvo</t>
        </is>
      </c>
      <c r="C25" s="24" t="inlineStr">
        <is>
          <t>Valor atual</t>
        </is>
      </c>
      <c r="D25" s="24" t="inlineStr">
        <is>
          <t>Prazo</t>
        </is>
      </c>
    </row>
    <row r="26">
      <c r="A26" s="38" t="inlineStr">
        <is>
          <t>Reserva com 1 mês de custo fixo + pró-labore</t>
        </is>
      </c>
      <c r="B26" s="43" t="n">
        <v>28000</v>
      </c>
      <c r="C26" s="43" t="n">
        <v>14000</v>
      </c>
      <c r="D26" s="46" t="n">
        <v>46387</v>
      </c>
    </row>
    <row r="27">
      <c r="A27" s="38" t="inlineStr">
        <is>
          <t>Receber R$ 130.000 no trimestre</t>
        </is>
      </c>
      <c r="B27" s="43" t="n">
        <v>130000</v>
      </c>
      <c r="C27" s="43" t="n">
        <v>121022</v>
      </c>
      <c r="D27" s="46" t="n">
        <v>46295</v>
      </c>
    </row>
    <row r="28">
      <c r="A28" s="38" t="inlineStr">
        <is>
          <t>Conta de provisão de impostos com o saldo de agosto (planilha 10)</t>
        </is>
      </c>
      <c r="B28" s="43" t="n">
        <v>18209</v>
      </c>
      <c r="C28" s="43" t="n">
        <v>17500</v>
      </c>
      <c r="D28" s="46" t="n">
        <v>46295</v>
      </c>
    </row>
    <row r="30">
      <c r="A30" s="22" t="n"/>
    </row>
    <row r="31">
      <c r="A31" t="inlineStr">
        <is>
          <t>Metas que se medem em reais e crescem até o alvo (reserva, recebimentos, provisão separada). Atualize o valor atual toda sexta. No exemplo os prazos são datas fixas (fim do trimestre e do ano).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D8:F9"/>
    <mergeCell ref="D13:F16"/>
    <mergeCell ref="A2:H2"/>
    <mergeCell ref="A1:H1"/>
  </mergeCells>
  <dataValidations count="2">
    <dataValidation sqref="B6" showDropDown="0" showInputMessage="0" showErrorMessage="1" allowBlank="1" type="list">
      <formula1>=Config!$H$5:$H$16</formula1>
    </dataValidation>
    <dataValidation sqref="D26:D28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Reserva de três meses e metas de caixa · Kit de Gestão para Médicos</dc:title>
  <dcterms:created xmlns:dcterms="http://purl.org/dc/terms/" xmlns:xsi="http://www.w3.org/2001/XMLSchema-instance" xsi:type="dcterms:W3CDTF">2026-09-18T16:29:34Z</dcterms:created>
  <dcterms:modified xmlns:dcterms="http://purl.org/dc/terms/" xmlns:xsi="http://www.w3.org/2001/XMLSchema-instance" xsi:type="dcterms:W3CDTF">2026-09-18T16:29:34Z</dcterms:modified>
</cp:coreProperties>
</file>