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Entradas e 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 #,##0.00;[Red]-&quot;R$&quot; #,##0.00"/>
    <numFmt numFmtId="166" formatCode="&quot;R$&quot; #,##0;[Red]-&quot;R$&quot; #,##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6" fontId="8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5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3EEFB"/>
        </patternFill>
      </fill>
    </dxf>
    <dxf>
      <font>
        <name val="Arial"/>
        <b val="1"/>
        <color rgb="00C8402E"/>
        <sz val="10"/>
      </font>
    </dxf>
    <dxf>
      <font>
        <name val="Arial"/>
        <b val="1"/>
        <color rgb="007A1F1F"/>
        <sz val="13"/>
      </font>
      <fill>
        <patternFill patternType="solid">
          <fgColor rgb="00FBE4E4"/>
        </patternFill>
      </fill>
    </dxf>
    <dxf>
      <font>
        <name val="Arial"/>
        <b val="1"/>
        <color rgb="00155E3C"/>
        <sz val="13"/>
      </font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provisionado × compromisso do mês seguinte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'Painel'!J8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'Painel'!$J$9:$J$20</f>
            </numRef>
          </val>
        </ser>
        <ser>
          <idx val="1"/>
          <order val="1"/>
          <tx>
            <strRef>
              <f>'Painel'!K8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'Painel'!$K$9:$K$20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Provisão de impostos, 13º e férias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Separa, todo mês, o dinheiro do imposto sobre o que entrou, do 13º e das férias da equipe. Mostra quanto deveria estar guardado, quanto já foi usado e avisa quando o que está separado não cobre o compromisso do mês seguinte.</t>
        </is>
      </c>
    </row>
    <row r="5" ht="46" customHeight="1">
      <c r="A5" s="3" t="inlineStr">
        <is>
          <t>Passo 1</t>
        </is>
      </c>
      <c r="B5" s="4" t="inlineStr">
        <is>
          <t>Em Config, digite a alíquota efetiva que a clínica combinou com o contador (a planilha não afirma qual é a sua), o adicional de férias, os encargos, os meses de pagamento do 13º e das férias e a equipe com Sim / Não em cada provisão.</t>
        </is>
      </c>
    </row>
    <row r="6" ht="46" customHeight="1">
      <c r="A6" s="3" t="inlineStr">
        <is>
          <t>Passo 2</t>
        </is>
      </c>
      <c r="B6" s="4" t="inlineStr">
        <is>
          <t>Em Entradas e pagamentos, uma linha por mês: o total que entrou (copie de Entrou no mês do Painel da planilha 09, sem Outras entradas) e o que foi pago de impostos, 13º e férias. Meses não fechados ficam em branco.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A tabela mostra o ano inteiro; a linha do mês fica destacada. Alerta em vermelho = separar mais dinheiro antes do próximo compromisso.</t>
        </is>
      </c>
    </row>
    <row r="8" ht="46" customHeight="1">
      <c r="A8" s="3" t="inlineStr">
        <is>
          <t>Rotina</t>
        </is>
      </c>
      <c r="B8" s="4" t="inlineStr">
        <is>
          <t>No fechamento de cada mês (dia 5): lançar as entradas do mês anterior, transferir o valor de A separar no mês para a conta de provisão e conferir se o extrato dessa conta bate com Saldo provisionado.</t>
        </is>
      </c>
    </row>
    <row r="9" ht="46" customHeight="1">
      <c r="A9" s="3" t="inlineStr">
        <is>
          <t>Com o contador</t>
        </is>
      </c>
      <c r="B9" s="4" t="inlineStr">
        <is>
          <t>Leve esta aba para a reunião mensal: alíquota, provisões e o que foi pago. PJ médica: pergunte sobre o enquadramento (Simples anexo III ou V, fator r, presumido) e ajuste Config sempre que a orientação mudar.</t>
        </is>
      </c>
    </row>
    <row r="10" ht="46" customHeight="1">
      <c r="A10" s="3" t="inlineStr">
        <is>
          <t>Com a IA</t>
        </is>
      </c>
      <c r="B10" s="4" t="inlineStr">
        <is>
          <t>Copie a tabela do Painel e use o prompt "Caixa 04 · Preparar a reunião mensal com o contador" ou "Caixa 05 · Perguntas sobre provisão de impostos, 13º e férias" da biblioteca do kit para montar a pauta e as perguntas.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4" customWidth="1" min="10" max="10"/>
    <col width="15" customWidth="1" min="11" max="11"/>
    <col width="14" customWidth="1" min="12" max="12"/>
    <col width="13" customWidth="1" min="13" max="13"/>
  </cols>
  <sheetData>
    <row r="1" ht="28" customHeight="1">
      <c r="A1" s="5" t="str">
        <f>Config!B4&amp;" · Provisão de impostos, 13º e férias · "&amp;Config!B6&amp;" de "&amp;Config!B5</f>
        <v>Clínica Vida Plena (exemplo fictício) · Provisão de impostos, 13º e férias · Setembro de 2026</v>
      </c>
    </row>
    <row r="2">
      <c r="A2" s="6" t="inlineStr">
        <is>
          <t>Nada para digitar aqui. Alíquota e equipe vêm de Config; entradas e pagamentos, da aba ao lado.</t>
        </is>
      </c>
    </row>
    <row r="3"/>
    <row r="4">
      <c r="A4" s="7" t="inlineStr">
        <is>
          <t>Entradas do mês</t>
        </is>
      </c>
      <c r="B4" s="8" t="n"/>
      <c r="C4" s="9" t="inlineStr">
        <is>
          <t>A separar no mês</t>
        </is>
      </c>
      <c r="D4" s="10" t="n"/>
      <c r="E4" s="11" t="inlineStr">
        <is>
          <t>Saldo provisionado ao fim do mês</t>
        </is>
      </c>
      <c r="F4" s="12" t="n"/>
      <c r="G4" s="13" t="inlineStr">
        <is>
          <t>Compromisso do mês seguinte</t>
        </is>
      </c>
      <c r="H4" s="14" t="n"/>
      <c r="I4" s="11" t="inlineStr">
        <is>
          <t>Quanto falta separar</t>
        </is>
      </c>
      <c r="J4" s="12" t="n"/>
      <c r="K4" s="11" t="inlineStr">
        <is>
          <t>Situação</t>
        </is>
      </c>
      <c r="L4" s="12" t="n"/>
      <c r="M4" s="12" t="n"/>
    </row>
    <row r="5" ht="30" customHeight="1">
      <c r="A5" s="15">
        <f>INDEX(B9:B20,Config!$B$7)</f>
        <v>20710</v>
      </c>
      <c r="B5" s="8" t="n"/>
      <c r="C5" s="16">
        <f>INDEX(F9:F20,Config!$B$7)</f>
        <v>4240.1</v>
      </c>
      <c r="D5" s="10" t="n"/>
      <c r="E5" s="17">
        <f>INDEX(J9:J20,Config!$B$7)</f>
        <v>22448.67</v>
      </c>
      <c r="F5" s="12" t="n"/>
      <c r="G5" s="18">
        <f>INDEX(K9:K20,Config!$B$7)</f>
        <v>2278.1</v>
      </c>
      <c r="H5" s="14" t="n"/>
      <c r="I5" s="17">
        <f>INDEX(M9:M20,Config!$B$7)</f>
        <v>0</v>
      </c>
      <c r="J5" s="12" t="n"/>
      <c r="K5" s="19" t="str">
        <f>IF(E5&lt;G5,"Atenção: falta separar","Coberto")</f>
        <v>Coberto</v>
      </c>
      <c r="L5" s="12" t="n"/>
      <c r="M5" s="12" t="n"/>
    </row>
    <row r="6"/>
    <row r="7">
      <c r="A7" s="20" t="inlineStr">
        <is>
          <t>O ano, mês a mês</t>
        </is>
      </c>
    </row>
    <row r="8" ht="40" customHeight="1">
      <c r="A8" s="21" t="inlineStr">
        <is>
          <t>Mês</t>
        </is>
      </c>
      <c r="B8" s="21" t="inlineStr">
        <is>
          <t>Entradas</t>
        </is>
      </c>
      <c r="C8" s="21" t="inlineStr">
        <is>
          <t>Provisão de impostos</t>
        </is>
      </c>
      <c r="D8" s="21" t="inlineStr">
        <is>
          <t>Provisão de 13º</t>
        </is>
      </c>
      <c r="E8" s="21" t="inlineStr">
        <is>
          <t>Provisão de férias</t>
        </is>
      </c>
      <c r="F8" s="21" t="inlineStr">
        <is>
          <t>Total a separar no mês</t>
        </is>
      </c>
      <c r="G8" s="21" t="inlineStr">
        <is>
          <t>Usado no mês</t>
        </is>
      </c>
      <c r="H8" s="21" t="inlineStr">
        <is>
          <t>Separado (acumulado)</t>
        </is>
      </c>
      <c r="I8" s="21" t="inlineStr">
        <is>
          <t>Usado (acumulado)</t>
        </is>
      </c>
      <c r="J8" s="21" t="inlineStr">
        <is>
          <t>Saldo provisionado</t>
        </is>
      </c>
      <c r="K8" s="21" t="inlineStr">
        <is>
          <t>Compromisso do mês seguinte</t>
        </is>
      </c>
      <c r="L8" s="21" t="inlineStr">
        <is>
          <t>Alerta</t>
        </is>
      </c>
      <c r="M8" s="21" t="inlineStr">
        <is>
          <t>Quanto falta</t>
        </is>
      </c>
    </row>
    <row r="9">
      <c r="A9" s="22" t="inlineStr">
        <is>
          <t>Janeiro</t>
        </is>
      </c>
      <c r="B9" s="23">
        <f>'Entradas e pagamentos'!B5</f>
        <v>25310</v>
      </c>
      <c r="C9" s="23">
        <f>B9*Config!$B$8</f>
        <v>2784.1</v>
      </c>
      <c r="D9" s="23">
        <f>Config!$E$24</f>
        <v>1698</v>
      </c>
      <c r="E9" s="23">
        <f>Config!$F$24</f>
        <v>264</v>
      </c>
      <c r="F9" s="24">
        <f>SUM(C9:E9)</f>
        <v>4746.1</v>
      </c>
      <c r="G9" s="23">
        <f>'Entradas e pagamentos'!F5</f>
        <v>3630</v>
      </c>
      <c r="H9" s="23">
        <f>SUM($F$9:F9)</f>
        <v>4746.1</v>
      </c>
      <c r="I9" s="23">
        <f>SUM($G$9:G9)</f>
        <v>3630</v>
      </c>
      <c r="J9" s="24">
        <f>H9-I9</f>
        <v>1116.1</v>
      </c>
      <c r="K9" s="23">
        <f>C9+IF(MOD(1,12)+1=MATCH(Config!$B$11,Config!$H$5:$H$16,0),Config!$E$25,0)+IF(MOD(1,12)+1=MATCH(Config!$B$12,Config!$H$5:$H$16,0),Config!$F$25,0)</f>
        <v>2784.1</v>
      </c>
      <c r="L9" s="25" t="str">
        <f>IF(J9&lt;K9,"Falta separar","Coberto")</f>
        <v>Falta separar</v>
      </c>
      <c r="M9" s="23">
        <f>MAX(0,K9-J9)</f>
        <v>1668</v>
      </c>
    </row>
    <row r="10">
      <c r="A10" s="22" t="inlineStr">
        <is>
          <t>Fevereiro</t>
        </is>
      </c>
      <c r="B10" s="23">
        <f>'Entradas e pagamentos'!B6</f>
        <v>25650</v>
      </c>
      <c r="C10" s="23">
        <f>B10*Config!$B$8</f>
        <v>2821.5</v>
      </c>
      <c r="D10" s="23">
        <f>Config!$E$24</f>
        <v>1698</v>
      </c>
      <c r="E10" s="23">
        <f>Config!$F$24</f>
        <v>264</v>
      </c>
      <c r="F10" s="24">
        <f>SUM(C10:E10)</f>
        <v>4783.5</v>
      </c>
      <c r="G10" s="23">
        <f>'Entradas e pagamentos'!F6</f>
        <v>2784</v>
      </c>
      <c r="H10" s="23">
        <f>SUM($F$9:F10)</f>
        <v>9529.6</v>
      </c>
      <c r="I10" s="23">
        <f>SUM($G$9:G10)</f>
        <v>6414</v>
      </c>
      <c r="J10" s="24">
        <f>H10-I10</f>
        <v>3115.6</v>
      </c>
      <c r="K10" s="23">
        <f>C10+IF(MOD(2,12)+1=MATCH(Config!$B$11,Config!$H$5:$H$16,0),Config!$E$25,0)+IF(MOD(2,12)+1=MATCH(Config!$B$12,Config!$H$5:$H$16,0),Config!$F$25,0)</f>
        <v>2821.5</v>
      </c>
      <c r="L10" s="25" t="str">
        <f>IF(J10&lt;K10,"Falta separar","Coberto")</f>
        <v>Coberto</v>
      </c>
      <c r="M10" s="23">
        <f>MAX(0,K10-J10)</f>
        <v>0</v>
      </c>
    </row>
    <row r="11">
      <c r="A11" s="22" t="inlineStr">
        <is>
          <t>Março</t>
        </is>
      </c>
      <c r="B11" s="23">
        <f>'Entradas e pagamentos'!B7</f>
        <v>40540</v>
      </c>
      <c r="C11" s="23">
        <f>B11*Config!$B$8</f>
        <v>4459.4</v>
      </c>
      <c r="D11" s="23">
        <f>Config!$E$24</f>
        <v>1698</v>
      </c>
      <c r="E11" s="23">
        <f>Config!$F$24</f>
        <v>264</v>
      </c>
      <c r="F11" s="24">
        <f>SUM(C11:E11)</f>
        <v>6421.4</v>
      </c>
      <c r="G11" s="23">
        <f>'Entradas e pagamentos'!F7</f>
        <v>2822</v>
      </c>
      <c r="H11" s="23">
        <f>SUM($F$9:F11)</f>
        <v>15951</v>
      </c>
      <c r="I11" s="23">
        <f>SUM($G$9:G11)</f>
        <v>9236</v>
      </c>
      <c r="J11" s="24">
        <f>H11-I11</f>
        <v>6715</v>
      </c>
      <c r="K11" s="23">
        <f>C11+IF(MOD(3,12)+1=MATCH(Config!$B$11,Config!$H$5:$H$16,0),Config!$E$25,0)+IF(MOD(3,12)+1=MATCH(Config!$B$12,Config!$H$5:$H$16,0),Config!$F$25,0)</f>
        <v>4459.4</v>
      </c>
      <c r="L11" s="25" t="str">
        <f>IF(J11&lt;K11,"Falta separar","Coberto")</f>
        <v>Coberto</v>
      </c>
      <c r="M11" s="23">
        <f>MAX(0,K11-J11)</f>
        <v>0</v>
      </c>
    </row>
    <row r="12">
      <c r="A12" s="22" t="inlineStr">
        <is>
          <t>Abril</t>
        </is>
      </c>
      <c r="B12" s="23">
        <f>'Entradas e pagamentos'!B8</f>
        <v>40155</v>
      </c>
      <c r="C12" s="23">
        <f>B12*Config!$B$8</f>
        <v>4417.05</v>
      </c>
      <c r="D12" s="23">
        <f>Config!$E$24</f>
        <v>1698</v>
      </c>
      <c r="E12" s="23">
        <f>Config!$F$24</f>
        <v>264</v>
      </c>
      <c r="F12" s="24">
        <f>SUM(C12:E12)</f>
        <v>6379.05</v>
      </c>
      <c r="G12" s="23">
        <f>'Entradas e pagamentos'!F8</f>
        <v>4459</v>
      </c>
      <c r="H12" s="23">
        <f>SUM($F$9:F12)</f>
        <v>22330.05</v>
      </c>
      <c r="I12" s="23">
        <f>SUM($G$9:G12)</f>
        <v>13695</v>
      </c>
      <c r="J12" s="24">
        <f>H12-I12</f>
        <v>8635.05</v>
      </c>
      <c r="K12" s="23">
        <f>C12+IF(MOD(4,12)+1=MATCH(Config!$B$11,Config!$H$5:$H$16,0),Config!$E$25,0)+IF(MOD(4,12)+1=MATCH(Config!$B$12,Config!$H$5:$H$16,0),Config!$F$25,0)</f>
        <v>4417.05</v>
      </c>
      <c r="L12" s="25" t="str">
        <f>IF(J12&lt;K12,"Falta separar","Coberto")</f>
        <v>Coberto</v>
      </c>
      <c r="M12" s="23">
        <f>MAX(0,K12-J12)</f>
        <v>0</v>
      </c>
    </row>
    <row r="13">
      <c r="A13" s="22" t="inlineStr">
        <is>
          <t>Maio</t>
        </is>
      </c>
      <c r="B13" s="23">
        <f>'Entradas e pagamentos'!B9</f>
        <v>45380</v>
      </c>
      <c r="C13" s="23">
        <f>B13*Config!$B$8</f>
        <v>4991.8</v>
      </c>
      <c r="D13" s="23">
        <f>Config!$E$24</f>
        <v>1698</v>
      </c>
      <c r="E13" s="23">
        <f>Config!$F$24</f>
        <v>264</v>
      </c>
      <c r="F13" s="24">
        <f>SUM(C13:E13)</f>
        <v>6953.8</v>
      </c>
      <c r="G13" s="23">
        <f>'Entradas e pagamentos'!F9</f>
        <v>4417</v>
      </c>
      <c r="H13" s="23">
        <f>SUM($F$9:F13)</f>
        <v>29283.85</v>
      </c>
      <c r="I13" s="23">
        <f>SUM($G$9:G13)</f>
        <v>18112</v>
      </c>
      <c r="J13" s="24">
        <f>H13-I13</f>
        <v>11171.85</v>
      </c>
      <c r="K13" s="23">
        <f>C13+IF(MOD(5,12)+1=MATCH(Config!$B$11,Config!$H$5:$H$16,0),Config!$E$25,0)+IF(MOD(5,12)+1=MATCH(Config!$B$12,Config!$H$5:$H$16,0),Config!$F$25,0)</f>
        <v>4991.8</v>
      </c>
      <c r="L13" s="25" t="str">
        <f>IF(J13&lt;K13,"Falta separar","Coberto")</f>
        <v>Coberto</v>
      </c>
      <c r="M13" s="23">
        <f>MAX(0,K13-J13)</f>
        <v>0</v>
      </c>
    </row>
    <row r="14">
      <c r="A14" s="22" t="inlineStr">
        <is>
          <t>Junho</t>
        </is>
      </c>
      <c r="B14" s="23">
        <f>'Entradas e pagamentos'!B10</f>
        <v>47240</v>
      </c>
      <c r="C14" s="23">
        <f>B14*Config!$B$8</f>
        <v>5196.4</v>
      </c>
      <c r="D14" s="23">
        <f>Config!$E$24</f>
        <v>1698</v>
      </c>
      <c r="E14" s="23">
        <f>Config!$F$24</f>
        <v>264</v>
      </c>
      <c r="F14" s="24">
        <f>SUM(C14:E14)</f>
        <v>7158.4</v>
      </c>
      <c r="G14" s="23">
        <f>'Entradas e pagamentos'!F10</f>
        <v>4992</v>
      </c>
      <c r="H14" s="23">
        <f>SUM($F$9:F14)</f>
        <v>36442.25</v>
      </c>
      <c r="I14" s="23">
        <f>SUM($G$9:G14)</f>
        <v>23104</v>
      </c>
      <c r="J14" s="24">
        <f>H14-I14</f>
        <v>13338.25</v>
      </c>
      <c r="K14" s="23">
        <f>C14+IF(MOD(6,12)+1=MATCH(Config!$B$11,Config!$H$5:$H$16,0),Config!$E$25,0)+IF(MOD(6,12)+1=MATCH(Config!$B$12,Config!$H$5:$H$16,0),Config!$F$25,0)</f>
        <v>5196.4</v>
      </c>
      <c r="L14" s="25" t="str">
        <f>IF(J14&lt;K14,"Falta separar","Coberto")</f>
        <v>Coberto</v>
      </c>
      <c r="M14" s="23">
        <f>MAX(0,K14-J14)</f>
        <v>0</v>
      </c>
    </row>
    <row r="15">
      <c r="A15" s="22" t="inlineStr">
        <is>
          <t>Julho</t>
        </is>
      </c>
      <c r="B15" s="23">
        <f>'Entradas e pagamentos'!B11</f>
        <v>44471</v>
      </c>
      <c r="C15" s="23">
        <f>B15*Config!$B$8</f>
        <v>4891.81</v>
      </c>
      <c r="D15" s="23">
        <f>Config!$E$24</f>
        <v>1698</v>
      </c>
      <c r="E15" s="23">
        <f>Config!$F$24</f>
        <v>264</v>
      </c>
      <c r="F15" s="24">
        <f>SUM(C15:E15)</f>
        <v>6853.81</v>
      </c>
      <c r="G15" s="23">
        <f>'Entradas e pagamentos'!F11</f>
        <v>5196</v>
      </c>
      <c r="H15" s="23">
        <f>SUM($F$9:F15)</f>
        <v>43296.06</v>
      </c>
      <c r="I15" s="23">
        <f>SUM($G$9:G15)</f>
        <v>28300</v>
      </c>
      <c r="J15" s="24">
        <f>H15-I15</f>
        <v>14996.06</v>
      </c>
      <c r="K15" s="23">
        <f>C15+IF(MOD(7,12)+1=MATCH(Config!$B$11,Config!$H$5:$H$16,0),Config!$E$25,0)+IF(MOD(7,12)+1=MATCH(Config!$B$12,Config!$H$5:$H$16,0),Config!$F$25,0)</f>
        <v>4891.81</v>
      </c>
      <c r="L15" s="25" t="str">
        <f>IF(J15&lt;K15,"Falta separar","Coberto")</f>
        <v>Coberto</v>
      </c>
      <c r="M15" s="23">
        <f>MAX(0,K15-J15)</f>
        <v>0</v>
      </c>
    </row>
    <row r="16">
      <c r="A16" s="22" t="inlineStr">
        <is>
          <t>Agosto</t>
        </is>
      </c>
      <c r="B16" s="23">
        <f>'Entradas e pagamentos'!B12</f>
        <v>55841</v>
      </c>
      <c r="C16" s="23">
        <f>B16*Config!$B$8</f>
        <v>6142.51</v>
      </c>
      <c r="D16" s="23">
        <f>Config!$E$24</f>
        <v>1698</v>
      </c>
      <c r="E16" s="23">
        <f>Config!$F$24</f>
        <v>264</v>
      </c>
      <c r="F16" s="24">
        <f>SUM(C16:E16)</f>
        <v>8104.51</v>
      </c>
      <c r="G16" s="23">
        <f>'Entradas e pagamentos'!F12</f>
        <v>4892</v>
      </c>
      <c r="H16" s="23">
        <f>SUM($F$9:F16)</f>
        <v>51400.57</v>
      </c>
      <c r="I16" s="23">
        <f>SUM($G$9:G16)</f>
        <v>33192</v>
      </c>
      <c r="J16" s="24">
        <f>H16-I16</f>
        <v>18208.57</v>
      </c>
      <c r="K16" s="23">
        <f>C16+IF(MOD(8,12)+1=MATCH(Config!$B$11,Config!$H$5:$H$16,0),Config!$E$25,0)+IF(MOD(8,12)+1=MATCH(Config!$B$12,Config!$H$5:$H$16,0),Config!$F$25,0)</f>
        <v>6142.51</v>
      </c>
      <c r="L16" s="25" t="str">
        <f>IF(J16&lt;K16,"Falta separar","Coberto")</f>
        <v>Coberto</v>
      </c>
      <c r="M16" s="23">
        <f>MAX(0,K16-J16)</f>
        <v>0</v>
      </c>
    </row>
    <row r="17">
      <c r="A17" s="22" t="inlineStr">
        <is>
          <t>Setembro</t>
        </is>
      </c>
      <c r="B17" s="23">
        <f>'Entradas e pagamentos'!B13</f>
        <v>20710</v>
      </c>
      <c r="C17" s="23">
        <f>B17*Config!$B$8</f>
        <v>2278.1</v>
      </c>
      <c r="D17" s="23">
        <f>Config!$E$24</f>
        <v>1698</v>
      </c>
      <c r="E17" s="23">
        <f>Config!$F$24</f>
        <v>264</v>
      </c>
      <c r="F17" s="24">
        <f>SUM(C17:E17)</f>
        <v>4240.1</v>
      </c>
      <c r="G17" s="23">
        <f>'Entradas e pagamentos'!F13</f>
        <v>0</v>
      </c>
      <c r="H17" s="23">
        <f>SUM($F$9:F17)</f>
        <v>55640.67</v>
      </c>
      <c r="I17" s="23">
        <f>SUM($G$9:G17)</f>
        <v>33192</v>
      </c>
      <c r="J17" s="24">
        <f>H17-I17</f>
        <v>22448.67</v>
      </c>
      <c r="K17" s="23">
        <f>C17+IF(MOD(9,12)+1=MATCH(Config!$B$11,Config!$H$5:$H$16,0),Config!$E$25,0)+IF(MOD(9,12)+1=MATCH(Config!$B$12,Config!$H$5:$H$16,0),Config!$F$25,0)</f>
        <v>2278.1</v>
      </c>
      <c r="L17" s="25" t="str">
        <f>IF(J17&lt;K17,"Falta separar","Coberto")</f>
        <v>Coberto</v>
      </c>
      <c r="M17" s="23">
        <f>MAX(0,K17-J17)</f>
        <v>0</v>
      </c>
    </row>
    <row r="18">
      <c r="A18" s="22" t="inlineStr">
        <is>
          <t>Outubro</t>
        </is>
      </c>
      <c r="B18" s="23">
        <f>'Entradas e pagamentos'!B14</f>
        <v>0</v>
      </c>
      <c r="C18" s="23">
        <f>B18*Config!$B$8</f>
        <v>0</v>
      </c>
      <c r="D18" s="23">
        <f>Config!$E$24</f>
        <v>1698</v>
      </c>
      <c r="E18" s="23">
        <f>Config!$F$24</f>
        <v>264</v>
      </c>
      <c r="F18" s="24">
        <f>SUM(C18:E18)</f>
        <v>1962</v>
      </c>
      <c r="G18" s="23">
        <f>'Entradas e pagamentos'!F14</f>
        <v>0</v>
      </c>
      <c r="H18" s="23">
        <f>SUM($F$9:F18)</f>
        <v>57602.67</v>
      </c>
      <c r="I18" s="23">
        <f>SUM($G$9:G18)</f>
        <v>33192</v>
      </c>
      <c r="J18" s="24">
        <f>H18-I18</f>
        <v>24410.67</v>
      </c>
      <c r="K18" s="23">
        <f>C18+IF(MOD(10,12)+1=MATCH(Config!$B$11,Config!$H$5:$H$16,0),Config!$E$25,0)+IF(MOD(10,12)+1=MATCH(Config!$B$12,Config!$H$5:$H$16,0),Config!$F$25,0)</f>
        <v>0</v>
      </c>
      <c r="L18" s="25" t="str">
        <f>IF(J18&lt;K18,"Falta separar","Coberto")</f>
        <v>Coberto</v>
      </c>
      <c r="M18" s="23">
        <f>MAX(0,K18-J18)</f>
        <v>0</v>
      </c>
    </row>
    <row r="19">
      <c r="A19" s="22" t="inlineStr">
        <is>
          <t>Novembro</t>
        </is>
      </c>
      <c r="B19" s="23">
        <f>'Entradas e pagamentos'!B15</f>
        <v>0</v>
      </c>
      <c r="C19" s="23">
        <f>B19*Config!$B$8</f>
        <v>0</v>
      </c>
      <c r="D19" s="23">
        <f>Config!$E$24</f>
        <v>1698</v>
      </c>
      <c r="E19" s="23">
        <f>Config!$F$24</f>
        <v>264</v>
      </c>
      <c r="F19" s="24">
        <f>SUM(C19:E19)</f>
        <v>1962</v>
      </c>
      <c r="G19" s="23">
        <f>'Entradas e pagamentos'!F15</f>
        <v>0</v>
      </c>
      <c r="H19" s="23">
        <f>SUM($F$9:F19)</f>
        <v>59564.67</v>
      </c>
      <c r="I19" s="23">
        <f>SUM($G$9:G19)</f>
        <v>33192</v>
      </c>
      <c r="J19" s="24">
        <f>H19-I19</f>
        <v>26372.67</v>
      </c>
      <c r="K19" s="23">
        <f>C19+IF(MOD(11,12)+1=MATCH(Config!$B$11,Config!$H$5:$H$16,0),Config!$E$25,0)+IF(MOD(11,12)+1=MATCH(Config!$B$12,Config!$H$5:$H$16,0),Config!$F$25,0)</f>
        <v>20376</v>
      </c>
      <c r="L19" s="25" t="str">
        <f>IF(J19&lt;K19,"Falta separar","Coberto")</f>
        <v>Coberto</v>
      </c>
      <c r="M19" s="23">
        <f>MAX(0,K19-J19)</f>
        <v>0</v>
      </c>
    </row>
    <row r="20">
      <c r="A20" s="22" t="inlineStr">
        <is>
          <t>Dezembro</t>
        </is>
      </c>
      <c r="B20" s="23">
        <f>'Entradas e pagamentos'!B16</f>
        <v>0</v>
      </c>
      <c r="C20" s="23">
        <f>B20*Config!$B$8</f>
        <v>0</v>
      </c>
      <c r="D20" s="23">
        <f>Config!$E$24</f>
        <v>1698</v>
      </c>
      <c r="E20" s="23">
        <f>Config!$F$24</f>
        <v>264</v>
      </c>
      <c r="F20" s="24">
        <f>SUM(C20:E20)</f>
        <v>1962</v>
      </c>
      <c r="G20" s="23">
        <f>'Entradas e pagamentos'!F16</f>
        <v>0</v>
      </c>
      <c r="H20" s="23">
        <f>SUM($F$9:F20)</f>
        <v>61526.67</v>
      </c>
      <c r="I20" s="23">
        <f>SUM($G$9:G20)</f>
        <v>33192</v>
      </c>
      <c r="J20" s="24">
        <f>H20-I20</f>
        <v>28334.67</v>
      </c>
      <c r="K20" s="23">
        <f>C20+IF(MOD(12,12)+1=MATCH(Config!$B$11,Config!$H$5:$H$16,0),Config!$E$25,0)+IF(MOD(12,12)+1=MATCH(Config!$B$12,Config!$H$5:$H$16,0),Config!$F$25,0)</f>
        <v>3168</v>
      </c>
      <c r="L20" s="25" t="str">
        <f>IF(J20&lt;K20,"Falta separar","Coberto")</f>
        <v>Coberto</v>
      </c>
      <c r="M20" s="23">
        <f>MAX(0,K20-J20)</f>
        <v>0</v>
      </c>
    </row>
    <row r="21"/>
    <row r="22" ht="30" customHeight="1">
      <c r="A22" s="26" t="inlineStr">
        <is>
          <t>Como ler: Provisão de impostos = entradas do mês × alíquota efetiva de Config. Compromisso do mês seguinte = imposto sobre as entradas deste mês (pago no mês que vem) + 13º e férias inteiros nos meses escolhidos em Config.</t>
        </is>
      </c>
    </row>
    <row r="23" ht="30" customHeight="1">
      <c r="A23" s="26" t="inlineStr">
        <is>
          <t>Saldo provisionado é o que deveria estar numa conta separada da conta corrente da clínica. Compare com o extrato dessa conta todo fechamento de mês. Meses futuros mostram só 13º e férias até você lançar as entradas.</t>
        </is>
      </c>
    </row>
    <row r="24">
      <c r="A24" s="26" t="inlineStr">
        <is>
          <t>Confirme alíquotas, encargos e regras de 13º e férias com o contador. Esta planilha separa dinheiro; ela não calcula nem substitui a apuração de imposto.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">
    <mergeCell ref="A4:B4"/>
    <mergeCell ref="G4:H4"/>
    <mergeCell ref="E4:F4"/>
    <mergeCell ref="A23:J23"/>
    <mergeCell ref="I4:J4"/>
    <mergeCell ref="A1:M1"/>
    <mergeCell ref="A22:J22"/>
    <mergeCell ref="K4:M4"/>
    <mergeCell ref="K5:M5"/>
    <mergeCell ref="C5:D5"/>
    <mergeCell ref="A5:B5"/>
    <mergeCell ref="G5:H5"/>
    <mergeCell ref="E5:F5"/>
    <mergeCell ref="I5:J5"/>
    <mergeCell ref="A7:J7"/>
    <mergeCell ref="A24:J24"/>
    <mergeCell ref="A2:M2"/>
    <mergeCell ref="C4:D4"/>
  </mergeCells>
  <conditionalFormatting sqref="L9:L20">
    <cfRule type="expression" priority="1" dxfId="0">
      <formula>L9="Falta separar"</formula>
    </cfRule>
    <cfRule type="expression" priority="2" dxfId="1">
      <formula>L9="Coberto"</formula>
    </cfRule>
  </conditionalFormatting>
  <conditionalFormatting sqref="A9:M20">
    <cfRule type="expression" priority="3" dxfId="2">
      <formula>ROW()-9+1=INDIRECT("Config!$B$7")</formula>
    </cfRule>
  </conditionalFormatting>
  <conditionalFormatting sqref="J9:J20">
    <cfRule type="expression" priority="4" dxfId="3">
      <formula>J9&lt;0</formula>
    </cfRule>
  </conditionalFormatting>
  <conditionalFormatting sqref="K5">
    <cfRule type="expression" priority="5" dxfId="4">
      <formula>LEFT(K5,7)="Atenção"</formula>
    </cfRule>
    <cfRule type="expression" priority="6" dxfId="5">
      <formula>K5="Coberto"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2" customWidth="1" min="4" max="4"/>
    <col width="16" customWidth="1" min="5" max="5"/>
    <col width="16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Alíquotas e regras são as que a clínica combinou com o contador.</t>
        </is>
      </c>
    </row>
    <row r="4">
      <c r="A4" s="27" t="inlineStr">
        <is>
          <t>Clínica</t>
        </is>
      </c>
      <c r="B4" s="28" t="inlineStr">
        <is>
          <t>Clínica Vida Plena (exemplo fictício)</t>
        </is>
      </c>
      <c r="H4" s="27" t="inlineStr">
        <is>
          <t>Meses</t>
        </is>
      </c>
    </row>
    <row r="5">
      <c r="A5" s="27" t="inlineStr">
        <is>
          <t>Ano</t>
        </is>
      </c>
      <c r="B5" s="29" t="n">
        <v>2026</v>
      </c>
      <c r="H5" s="30" t="inlineStr">
        <is>
          <t>Janeiro</t>
        </is>
      </c>
    </row>
    <row r="6">
      <c r="A6" s="27" t="inlineStr">
        <is>
          <t>Mês do painel</t>
        </is>
      </c>
      <c r="B6" s="29" t="inlineStr">
        <is>
          <t>Setembro</t>
        </is>
      </c>
      <c r="H6" s="30" t="inlineStr">
        <is>
          <t>Fevereiro</t>
        </is>
      </c>
    </row>
    <row r="7">
      <c r="A7" s="27" t="inlineStr">
        <is>
          <t>Número do mês</t>
        </is>
      </c>
      <c r="B7" s="25">
        <f>MATCH(B6,$H$5:$H$16,0)</f>
        <v>9</v>
      </c>
      <c r="H7" s="30" t="inlineStr">
        <is>
          <t>Março</t>
        </is>
      </c>
    </row>
    <row r="8" ht="70" customHeight="1">
      <c r="A8" s="27" t="inlineStr">
        <is>
          <t>Alíquota efetiva de impostos sobre as entradas</t>
        </is>
      </c>
      <c r="B8" s="31" t="n">
        <v>0.11</v>
      </c>
      <c r="D8" s="32" t="inlineStr">
        <is>
          <t>Percentual que a clínica separa de cada real recebido, combinado com o contador. PJ médica no Simples (anexo III ou V, conforme o fator r) ou no lucro presumido tem alíquotas efetivas diferentes; esta planilha não afirma qual é a sua. No exemplo, 11 % (a mesma das planilhas 05 a 09 e 18).</t>
        </is>
      </c>
      <c r="H8" s="30" t="inlineStr">
        <is>
          <t>Abril</t>
        </is>
      </c>
    </row>
    <row r="9">
      <c r="A9" s="27" t="inlineStr">
        <is>
          <t>Adicional sobre férias</t>
        </is>
      </c>
      <c r="B9" s="31" t="n">
        <v>0.3333333333333333</v>
      </c>
      <c r="D9" s="32" t="inlineStr">
        <is>
          <t>Padrão usual: um terço. Confirme com o contador.</t>
        </is>
      </c>
      <c r="H9" s="30" t="inlineStr">
        <is>
          <t>Maio</t>
        </is>
      </c>
    </row>
    <row r="10" ht="44" customHeight="1">
      <c r="A10" s="27" t="inlineStr">
        <is>
          <t>Encargos sobre 13º e férias</t>
        </is>
      </c>
      <c r="B10" s="31" t="n">
        <v>0.08</v>
      </c>
      <c r="D10" s="32" t="inlineStr">
        <is>
          <t>Encargos sobre a folha (FGTS; INSS patronal se houver). No exemplo, 8 % (FGTS) sobre o 13º e as férias da recepcionista. O contador informa o percentual certo.</t>
        </is>
      </c>
      <c r="H10" s="30" t="inlineStr">
        <is>
          <t>Junho</t>
        </is>
      </c>
    </row>
    <row r="11">
      <c r="A11" s="27" t="inlineStr">
        <is>
          <t>Mês em que o 13º é pago</t>
        </is>
      </c>
      <c r="B11" s="29" t="inlineStr">
        <is>
          <t>Dezembro</t>
        </is>
      </c>
      <c r="D11" s="32" t="inlineStr">
        <is>
          <t>Se o 13º é pago em duas parcelas, escolha Novembro para se antecipar.</t>
        </is>
      </c>
      <c r="H11" s="30" t="inlineStr">
        <is>
          <t>Julho</t>
        </is>
      </c>
    </row>
    <row r="12">
      <c r="A12" s="27" t="inlineStr">
        <is>
          <t>Mês previsto de férias da equipe</t>
        </is>
      </c>
      <c r="B12" s="29" t="inlineStr">
        <is>
          <t>Janeiro</t>
        </is>
      </c>
      <c r="H12" s="30" t="inlineStr">
        <is>
          <t>Agosto</t>
        </is>
      </c>
    </row>
    <row r="13">
      <c r="H13" s="30" t="inlineStr">
        <is>
          <t>Setembro</t>
        </is>
      </c>
    </row>
    <row r="14">
      <c r="A14" s="27" t="inlineStr">
        <is>
          <t>Equipe: 13º e férias a provisionar (até 8 pessoas)</t>
        </is>
      </c>
      <c r="H14" s="30" t="inlineStr">
        <is>
          <t>Outubro</t>
        </is>
      </c>
    </row>
    <row r="15" ht="26" customHeight="1">
      <c r="A15" s="21" t="inlineStr">
        <is>
          <t>Pessoa</t>
        </is>
      </c>
      <c r="B15" s="21" t="inlineStr">
        <is>
          <t>Custo mensal</t>
        </is>
      </c>
      <c r="C15" s="21" t="inlineStr">
        <is>
          <t>Provisionar 13º?</t>
        </is>
      </c>
      <c r="D15" s="21" t="inlineStr">
        <is>
          <t>Provisionar férias?</t>
        </is>
      </c>
      <c r="E15" s="21" t="inlineStr">
        <is>
          <t>13º por mês</t>
        </is>
      </c>
      <c r="F15" s="21" t="inlineStr">
        <is>
          <t>Férias por mês</t>
        </is>
      </c>
      <c r="H15" s="30" t="inlineStr">
        <is>
          <t>Novembro</t>
        </is>
      </c>
    </row>
    <row r="16">
      <c r="A16" s="28" t="inlineStr">
        <is>
          <t>Dra. Carolina Mendes</t>
        </is>
      </c>
      <c r="B16" s="33" t="n">
        <v>9000</v>
      </c>
      <c r="C16" s="29" t="inlineStr">
        <is>
          <t>Sim</t>
        </is>
      </c>
      <c r="D16" s="29" t="inlineStr">
        <is>
          <t>Não</t>
        </is>
      </c>
      <c r="E16" s="34">
        <f>IF(OR(A16="",C16&lt;&gt;"Sim"),0,B16/12*(1+IF(D16="Sim",$B$10,0)))</f>
        <v>750</v>
      </c>
      <c r="F16" s="34">
        <f>IF(OR(A16="",D16&lt;&gt;"Sim"),0,B16*(1+$B$9)/12*(1+$B$10))</f>
        <v>0</v>
      </c>
      <c r="H16" s="30" t="inlineStr">
        <is>
          <t>Dezembro</t>
        </is>
      </c>
    </row>
    <row r="17">
      <c r="A17" s="28" t="inlineStr">
        <is>
          <t>Dr. Paulo Andrade</t>
        </is>
      </c>
      <c r="B17" s="33" t="n">
        <v>9000</v>
      </c>
      <c r="C17" s="29" t="inlineStr">
        <is>
          <t>Sim</t>
        </is>
      </c>
      <c r="D17" s="29" t="inlineStr">
        <is>
          <t>Não</t>
        </is>
      </c>
      <c r="E17" s="34">
        <f>IF(OR(A17="",C17&lt;&gt;"Sim"),0,B17/12*(1+IF(D17="Sim",$B$10,0)))</f>
        <v>750</v>
      </c>
      <c r="F17" s="34">
        <f>IF(OR(A17="",D17&lt;&gt;"Sim"),0,B17*(1+$B$9)/12*(1+$B$10))</f>
        <v>0</v>
      </c>
    </row>
    <row r="18">
      <c r="A18" s="28" t="inlineStr">
        <is>
          <t>Bruna Carvalho</t>
        </is>
      </c>
      <c r="B18" s="33" t="n">
        <v>2200</v>
      </c>
      <c r="C18" s="29" t="inlineStr">
        <is>
          <t>Sim</t>
        </is>
      </c>
      <c r="D18" s="29" t="inlineStr">
        <is>
          <t>Sim</t>
        </is>
      </c>
      <c r="E18" s="34">
        <f>IF(OR(A18="",C18&lt;&gt;"Sim"),0,B18/12*(1+IF(D18="Sim",$B$10,0)))</f>
        <v>198</v>
      </c>
      <c r="F18" s="34">
        <f>IF(OR(A18="",D18&lt;&gt;"Sim"),0,B18*(1+$B$9)/12*(1+$B$10))</f>
        <v>264</v>
      </c>
    </row>
    <row r="19">
      <c r="A19" s="28" t="n"/>
      <c r="B19" s="33" t="n"/>
      <c r="C19" s="29" t="n"/>
      <c r="D19" s="29" t="n"/>
      <c r="E19" s="34">
        <f>IF(OR(A19="",C19&lt;&gt;"Sim"),0,B19/12*(1+IF(D19="Sim",$B$10,0)))</f>
        <v>0</v>
      </c>
      <c r="F19" s="34">
        <f>IF(OR(A19="",D19&lt;&gt;"Sim"),0,B19*(1+$B$9)/12*(1+$B$10))</f>
        <v>0</v>
      </c>
    </row>
    <row r="20">
      <c r="A20" s="28" t="n"/>
      <c r="B20" s="33" t="n"/>
      <c r="C20" s="29" t="n"/>
      <c r="D20" s="29" t="n"/>
      <c r="E20" s="34">
        <f>IF(OR(A20="",C20&lt;&gt;"Sim"),0,B20/12*(1+IF(D20="Sim",$B$10,0)))</f>
        <v>0</v>
      </c>
      <c r="F20" s="34">
        <f>IF(OR(A20="",D20&lt;&gt;"Sim"),0,B20*(1+$B$9)/12*(1+$B$10))</f>
        <v>0</v>
      </c>
    </row>
    <row r="21">
      <c r="A21" s="28" t="n"/>
      <c r="B21" s="33" t="n"/>
      <c r="C21" s="29" t="n"/>
      <c r="D21" s="29" t="n"/>
      <c r="E21" s="34">
        <f>IF(OR(A21="",C21&lt;&gt;"Sim"),0,B21/12*(1+IF(D21="Sim",$B$10,0)))</f>
        <v>0</v>
      </c>
      <c r="F21" s="34">
        <f>IF(OR(A21="",D21&lt;&gt;"Sim"),0,B21*(1+$B$9)/12*(1+$B$10))</f>
        <v>0</v>
      </c>
    </row>
    <row r="22">
      <c r="A22" s="28" t="n"/>
      <c r="B22" s="33" t="n"/>
      <c r="C22" s="29" t="n"/>
      <c r="D22" s="29" t="n"/>
      <c r="E22" s="34">
        <f>IF(OR(A22="",C22&lt;&gt;"Sim"),0,B22/12*(1+IF(D22="Sim",$B$10,0)))</f>
        <v>0</v>
      </c>
      <c r="F22" s="34">
        <f>IF(OR(A22="",D22&lt;&gt;"Sim"),0,B22*(1+$B$9)/12*(1+$B$10))</f>
        <v>0</v>
      </c>
    </row>
    <row r="23">
      <c r="A23" s="28" t="n"/>
      <c r="B23" s="33" t="n"/>
      <c r="C23" s="29" t="n"/>
      <c r="D23" s="29" t="n"/>
      <c r="E23" s="34">
        <f>IF(OR(A23="",C23&lt;&gt;"Sim"),0,B23/12*(1+IF(D23="Sim",$B$10,0)))</f>
        <v>0</v>
      </c>
      <c r="F23" s="34">
        <f>IF(OR(A23="",D23&lt;&gt;"Sim"),0,B23*(1+$B$9)/12*(1+$B$10))</f>
        <v>0</v>
      </c>
    </row>
    <row r="24">
      <c r="A24" s="35" t="inlineStr">
        <is>
          <t>Total por mês</t>
        </is>
      </c>
      <c r="E24" s="36">
        <f>SUM(E16:E23)</f>
        <v>1698</v>
      </c>
      <c r="F24" s="36">
        <f>SUM(F16:F23)</f>
        <v>264</v>
      </c>
    </row>
    <row r="25">
      <c r="A25" s="35" t="inlineStr">
        <is>
          <t>Total no ano (12 meses)</t>
        </is>
      </c>
      <c r="E25" s="36">
        <f>E24*12</f>
        <v>20376</v>
      </c>
      <c r="F25" s="36">
        <f>F24*12</f>
        <v>3168</v>
      </c>
    </row>
    <row r="27">
      <c r="A27" s="37" t="inlineStr">
        <is>
          <t>Sócios: marque Sim no 13º se quiserem guardar uma retirada extra de dezembro (decisão da clínica, não obrigação); os encargos não se aplicam ao pró-labore aqui. Recepcionista CLT: 13º e férias obrigatórios, com encargos.</t>
        </is>
      </c>
    </row>
    <row r="28">
      <c r="A28" s="37" t="inlineStr">
        <is>
          <t>Médica parceira por repasse não entra: o repasse é pago por produção (planilha 11). O que é obrigatório provisionar para cada vínculo depende do contrato e da legislação: confirme com o contador.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D11:F11"/>
    <mergeCell ref="A2:H2"/>
    <mergeCell ref="D9:F9"/>
    <mergeCell ref="A1:H1"/>
    <mergeCell ref="D8:F8"/>
    <mergeCell ref="D10:F10"/>
  </mergeCells>
  <dataValidations count="4">
    <dataValidation sqref="B6" showDropDown="0" showInputMessage="0" showErrorMessage="1" allowBlank="1" type="list">
      <formula1>=Config!$H$5:$H$16</formula1>
    </dataValidation>
    <dataValidation sqref="B11" showDropDown="0" showInputMessage="0" showErrorMessage="1" allowBlank="1" type="list">
      <formula1>=Config!$H$5:$H$16</formula1>
    </dataValidation>
    <dataValidation sqref="B12" showDropDown="0" showInputMessage="0" showErrorMessage="1" allowBlank="1" type="list">
      <formula1>=Config!$H$5:$H$16</formula1>
    </dataValidation>
    <dataValidation sqref="C16:D23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28" customHeight="1">
      <c r="A1" s="5" t="inlineStr">
        <is>
          <t>Entradas e pagamentos do ano</t>
        </is>
      </c>
    </row>
    <row r="2">
      <c r="A2" s="6" t="inlineStr">
        <is>
          <t>Amarelo: o que entrou no caixa em cada mês (Entrou no mês do Painel da planilha 09, sem a categoria Outras entradas) e o que foi efetivamente pago de impostos, 13º e férias.</t>
        </is>
      </c>
    </row>
    <row r="4" ht="26" customHeight="1">
      <c r="A4" s="21" t="inlineStr">
        <is>
          <t>Mês</t>
        </is>
      </c>
      <c r="B4" s="21" t="inlineStr">
        <is>
          <t>Entradas recebidas</t>
        </is>
      </c>
      <c r="C4" s="21" t="inlineStr">
        <is>
          <t>Impostos pagos</t>
        </is>
      </c>
      <c r="D4" s="21" t="inlineStr">
        <is>
          <t>13º pago</t>
        </is>
      </c>
      <c r="E4" s="21" t="inlineStr">
        <is>
          <t>Férias pagas</t>
        </is>
      </c>
      <c r="F4" s="21" t="inlineStr">
        <is>
          <t>Total usado no mês</t>
        </is>
      </c>
    </row>
    <row r="5">
      <c r="A5" s="22" t="inlineStr">
        <is>
          <t>Janeiro</t>
        </is>
      </c>
      <c r="B5" s="33" t="n">
        <v>25310</v>
      </c>
      <c r="C5" s="33" t="n">
        <v>3630</v>
      </c>
      <c r="D5" s="33" t="n"/>
      <c r="E5" s="33" t="n"/>
      <c r="F5" s="34">
        <f>SUM(C5:E5)</f>
        <v>3630</v>
      </c>
    </row>
    <row r="6">
      <c r="A6" s="22" t="inlineStr">
        <is>
          <t>Fevereiro</t>
        </is>
      </c>
      <c r="B6" s="33" t="n">
        <v>25650</v>
      </c>
      <c r="C6" s="33" t="n">
        <v>2784</v>
      </c>
      <c r="D6" s="33" t="n"/>
      <c r="E6" s="33" t="n"/>
      <c r="F6" s="34">
        <f>SUM(C6:E6)</f>
        <v>2784</v>
      </c>
    </row>
    <row r="7">
      <c r="A7" s="22" t="inlineStr">
        <is>
          <t>Março</t>
        </is>
      </c>
      <c r="B7" s="33" t="n">
        <v>40540</v>
      </c>
      <c r="C7" s="33" t="n">
        <v>2822</v>
      </c>
      <c r="D7" s="33" t="n"/>
      <c r="E7" s="33" t="n"/>
      <c r="F7" s="34">
        <f>SUM(C7:E7)</f>
        <v>2822</v>
      </c>
    </row>
    <row r="8">
      <c r="A8" s="22" t="inlineStr">
        <is>
          <t>Abril</t>
        </is>
      </c>
      <c r="B8" s="33" t="n">
        <v>40155</v>
      </c>
      <c r="C8" s="33" t="n">
        <v>4459</v>
      </c>
      <c r="D8" s="33" t="n"/>
      <c r="E8" s="33" t="n"/>
      <c r="F8" s="34">
        <f>SUM(C8:E8)</f>
        <v>4459</v>
      </c>
    </row>
    <row r="9">
      <c r="A9" s="22" t="inlineStr">
        <is>
          <t>Maio</t>
        </is>
      </c>
      <c r="B9" s="33" t="n">
        <v>45380</v>
      </c>
      <c r="C9" s="33" t="n">
        <v>4417</v>
      </c>
      <c r="D9" s="33" t="n"/>
      <c r="E9" s="33" t="n"/>
      <c r="F9" s="34">
        <f>SUM(C9:E9)</f>
        <v>4417</v>
      </c>
    </row>
    <row r="10">
      <c r="A10" s="22" t="inlineStr">
        <is>
          <t>Junho</t>
        </is>
      </c>
      <c r="B10" s="33" t="n">
        <v>47240</v>
      </c>
      <c r="C10" s="33" t="n">
        <v>4992</v>
      </c>
      <c r="D10" s="33" t="n"/>
      <c r="E10" s="33" t="n"/>
      <c r="F10" s="34">
        <f>SUM(C10:E10)</f>
        <v>4992</v>
      </c>
    </row>
    <row r="11">
      <c r="A11" s="22" t="inlineStr">
        <is>
          <t>Julho</t>
        </is>
      </c>
      <c r="B11" s="33" t="n">
        <v>44471</v>
      </c>
      <c r="C11" s="33" t="n">
        <v>5196</v>
      </c>
      <c r="D11" s="33" t="n"/>
      <c r="E11" s="33" t="n"/>
      <c r="F11" s="34">
        <f>SUM(C11:E11)</f>
        <v>5196</v>
      </c>
    </row>
    <row r="12">
      <c r="A12" s="22" t="inlineStr">
        <is>
          <t>Agosto</t>
        </is>
      </c>
      <c r="B12" s="33" t="n">
        <v>55841</v>
      </c>
      <c r="C12" s="33" t="n">
        <v>4892</v>
      </c>
      <c r="D12" s="33" t="n"/>
      <c r="E12" s="33" t="n"/>
      <c r="F12" s="34">
        <f>SUM(C12:E12)</f>
        <v>4892</v>
      </c>
    </row>
    <row r="13">
      <c r="A13" s="22" t="inlineStr">
        <is>
          <t>Setembro</t>
        </is>
      </c>
      <c r="B13" s="33" t="n">
        <v>20710</v>
      </c>
      <c r="C13" s="33" t="n"/>
      <c r="D13" s="33" t="n"/>
      <c r="E13" s="33" t="n"/>
      <c r="F13" s="34">
        <f>SUM(C13:E13)</f>
        <v>0</v>
      </c>
    </row>
    <row r="14">
      <c r="A14" s="22" t="inlineStr">
        <is>
          <t>Outubro</t>
        </is>
      </c>
      <c r="B14" s="33" t="n"/>
      <c r="C14" s="33" t="n"/>
      <c r="D14" s="33" t="n"/>
      <c r="E14" s="33" t="n"/>
      <c r="F14" s="34">
        <f>SUM(C14:E14)</f>
        <v>0</v>
      </c>
    </row>
    <row r="15">
      <c r="A15" s="22" t="inlineStr">
        <is>
          <t>Novembro</t>
        </is>
      </c>
      <c r="B15" s="33" t="n"/>
      <c r="C15" s="33" t="n"/>
      <c r="D15" s="33" t="n"/>
      <c r="E15" s="33" t="n"/>
      <c r="F15" s="34">
        <f>SUM(C15:E15)</f>
        <v>0</v>
      </c>
    </row>
    <row r="16">
      <c r="A16" s="22" t="inlineStr">
        <is>
          <t>Dezembro</t>
        </is>
      </c>
      <c r="B16" s="33" t="n"/>
      <c r="C16" s="33" t="n"/>
      <c r="D16" s="33" t="n"/>
      <c r="E16" s="33" t="n"/>
      <c r="F16" s="34">
        <f>SUM(C16:E16)</f>
        <v>0</v>
      </c>
    </row>
    <row r="17">
      <c r="A17" s="35" t="inlineStr">
        <is>
          <t>Total</t>
        </is>
      </c>
      <c r="B17" s="36">
        <f>SUM(B5:B16)</f>
        <v>345297</v>
      </c>
      <c r="C17" s="36">
        <f>SUM(C5:C16)</f>
        <v>33192</v>
      </c>
      <c r="D17" s="36">
        <f>SUM(D5:D16)</f>
        <v>0</v>
      </c>
      <c r="E17" s="36">
        <f>SUM(E5:E16)</f>
        <v>0</v>
      </c>
      <c r="F17" s="36">
        <f>SUM(F5:F16)</f>
        <v>33192</v>
      </c>
    </row>
    <row r="19">
      <c r="A19" s="37" t="inlineStr">
        <is>
          <t>Deixe em branco os meses que ainda não fecharam. Impostos pagos: o valor das guias quitadas no mês (no exemplo, a guia de setembro ainda não foi paga: ver planilha 09). Setembro mostra o que entrou até 11/09.</t>
        </is>
      </c>
    </row>
    <row r="20">
      <c r="A20" s="37" t="inlineStr">
        <is>
          <t>Entradas recebidas = Entrou no mês (Painel da 09) menos "Outras entradas" (no exemplo, a devolução de despesa pessoal de abril, R$ 620, que não é receita e não paga imposto).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Provisão de impostos, 13º e férias · Kit de Gestão para Médicos</dc:title>
  <dcterms:created xmlns:dcterms="http://purl.org/dc/terms/" xmlns:xsi="http://www.w3.org/2001/XMLSchema-instance" xsi:type="dcterms:W3CDTF">2026-09-18T16:29:32Z</dcterms:created>
  <dcterms:modified xmlns:dcterms="http://purl.org/dc/terms/" xmlns:xsi="http://www.w3.org/2001/XMLSchema-instance" xsi:type="dcterms:W3CDTF">2026-09-18T16:29:32Z</dcterms:modified>
</cp:coreProperties>
</file>