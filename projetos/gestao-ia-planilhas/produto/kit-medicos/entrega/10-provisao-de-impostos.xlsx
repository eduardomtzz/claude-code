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a clínica combinou com o contador (a planilha não afirma qual é a sua), o adicional de férias, os encargos,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PJ médica: pergunte sobre o enquadramento (Simples anexo III ou V, fator r, presumido) e ajuste Config sempre que a orientação mudar.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Clínica Vida Plena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3"/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20710</v>
      </c>
      <c r="B5" s="8" t="n"/>
      <c r="C5" s="16">
        <f>INDEX(F9:F20,Config!$B$7)</f>
        <v>4240.1</v>
      </c>
      <c r="D5" s="10" t="n"/>
      <c r="E5" s="17">
        <f>INDEX(J9:J20,Config!$B$7)</f>
        <v>22448.67</v>
      </c>
      <c r="F5" s="12" t="n"/>
      <c r="G5" s="18">
        <f>INDEX(K9:K20,Config!$B$7)</f>
        <v>2278.1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6"/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25310</v>
      </c>
      <c r="C9" s="23">
        <f>B9*Config!$B$8</f>
        <v>2784.1</v>
      </c>
      <c r="D9" s="23">
        <f>Config!$E$24</f>
        <v>1698</v>
      </c>
      <c r="E9" s="23">
        <f>Config!$F$24</f>
        <v>264</v>
      </c>
      <c r="F9" s="24">
        <f>SUM(C9:E9)</f>
        <v>4746.1</v>
      </c>
      <c r="G9" s="23">
        <f>'Entradas e pagamentos'!F5</f>
        <v>3630</v>
      </c>
      <c r="H9" s="23">
        <f>SUM($F$9:F9)</f>
        <v>4746.1</v>
      </c>
      <c r="I9" s="23">
        <f>SUM($G$9:G9)</f>
        <v>3630</v>
      </c>
      <c r="J9" s="24">
        <f>H9-I9</f>
        <v>1116.1</v>
      </c>
      <c r="K9" s="23">
        <f>C9+IF(MOD(1,12)+1=MATCH(Config!$B$11,Config!$H$5:$H$16,0),Config!$E$25,0)+IF(MOD(1,12)+1=MATCH(Config!$B$12,Config!$H$5:$H$16,0),Config!$F$25,0)</f>
        <v>2784.1</v>
      </c>
      <c r="L9" s="25" t="str">
        <f>IF(J9&lt;K9,"Falta separar","Coberto")</f>
        <v>Falta separar</v>
      </c>
      <c r="M9" s="23">
        <f>MAX(0,K9-J9)</f>
        <v>1668</v>
      </c>
    </row>
    <row r="10">
      <c r="A10" s="22" t="inlineStr">
        <is>
          <t>Fevereiro</t>
        </is>
      </c>
      <c r="B10" s="23">
        <f>'Entradas e pagamentos'!B6</f>
        <v>25650</v>
      </c>
      <c r="C10" s="23">
        <f>B10*Config!$B$8</f>
        <v>2821.5</v>
      </c>
      <c r="D10" s="23">
        <f>Config!$E$24</f>
        <v>1698</v>
      </c>
      <c r="E10" s="23">
        <f>Config!$F$24</f>
        <v>264</v>
      </c>
      <c r="F10" s="24">
        <f>SUM(C10:E10)</f>
        <v>4783.5</v>
      </c>
      <c r="G10" s="23">
        <f>'Entradas e pagamentos'!F6</f>
        <v>2784</v>
      </c>
      <c r="H10" s="23">
        <f>SUM($F$9:F10)</f>
        <v>9529.6</v>
      </c>
      <c r="I10" s="23">
        <f>SUM($G$9:G10)</f>
        <v>6414</v>
      </c>
      <c r="J10" s="24">
        <f>H10-I10</f>
        <v>3115.6</v>
      </c>
      <c r="K10" s="23">
        <f>C10+IF(MOD(2,12)+1=MATCH(Config!$B$11,Config!$H$5:$H$16,0),Config!$E$25,0)+IF(MOD(2,12)+1=MATCH(Config!$B$12,Config!$H$5:$H$16,0),Config!$F$25,0)</f>
        <v>2821.5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40540</v>
      </c>
      <c r="C11" s="23">
        <f>B11*Config!$B$8</f>
        <v>4459.4</v>
      </c>
      <c r="D11" s="23">
        <f>Config!$E$24</f>
        <v>1698</v>
      </c>
      <c r="E11" s="23">
        <f>Config!$F$24</f>
        <v>264</v>
      </c>
      <c r="F11" s="24">
        <f>SUM(C11:E11)</f>
        <v>6421.4</v>
      </c>
      <c r="G11" s="23">
        <f>'Entradas e pagamentos'!F7</f>
        <v>2822</v>
      </c>
      <c r="H11" s="23">
        <f>SUM($F$9:F11)</f>
        <v>15951</v>
      </c>
      <c r="I11" s="23">
        <f>SUM($G$9:G11)</f>
        <v>9236</v>
      </c>
      <c r="J11" s="24">
        <f>H11-I11</f>
        <v>6715</v>
      </c>
      <c r="K11" s="23">
        <f>C11+IF(MOD(3,12)+1=MATCH(Config!$B$11,Config!$H$5:$H$16,0),Config!$E$25,0)+IF(MOD(3,12)+1=MATCH(Config!$B$12,Config!$H$5:$H$16,0),Config!$F$25,0)</f>
        <v>4459.4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40155</v>
      </c>
      <c r="C12" s="23">
        <f>B12*Config!$B$8</f>
        <v>4417.05</v>
      </c>
      <c r="D12" s="23">
        <f>Config!$E$24</f>
        <v>1698</v>
      </c>
      <c r="E12" s="23">
        <f>Config!$F$24</f>
        <v>264</v>
      </c>
      <c r="F12" s="24">
        <f>SUM(C12:E12)</f>
        <v>6379.05</v>
      </c>
      <c r="G12" s="23">
        <f>'Entradas e pagamentos'!F8</f>
        <v>4459</v>
      </c>
      <c r="H12" s="23">
        <f>SUM($F$9:F12)</f>
        <v>22330.05</v>
      </c>
      <c r="I12" s="23">
        <f>SUM($G$9:G12)</f>
        <v>13695</v>
      </c>
      <c r="J12" s="24">
        <f>H12-I12</f>
        <v>8635.05</v>
      </c>
      <c r="K12" s="23">
        <f>C12+IF(MOD(4,12)+1=MATCH(Config!$B$11,Config!$H$5:$H$16,0),Config!$E$25,0)+IF(MOD(4,12)+1=MATCH(Config!$B$12,Config!$H$5:$H$16,0),Config!$F$25,0)</f>
        <v>4417.05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45380</v>
      </c>
      <c r="C13" s="23">
        <f>B13*Config!$B$8</f>
        <v>4991.8</v>
      </c>
      <c r="D13" s="23">
        <f>Config!$E$24</f>
        <v>1698</v>
      </c>
      <c r="E13" s="23">
        <f>Config!$F$24</f>
        <v>264</v>
      </c>
      <c r="F13" s="24">
        <f>SUM(C13:E13)</f>
        <v>6953.8</v>
      </c>
      <c r="G13" s="23">
        <f>'Entradas e pagamentos'!F9</f>
        <v>4417</v>
      </c>
      <c r="H13" s="23">
        <f>SUM($F$9:F13)</f>
        <v>29283.85</v>
      </c>
      <c r="I13" s="23">
        <f>SUM($G$9:G13)</f>
        <v>18112</v>
      </c>
      <c r="J13" s="24">
        <f>H13-I13</f>
        <v>11171.85</v>
      </c>
      <c r="K13" s="23">
        <f>C13+IF(MOD(5,12)+1=MATCH(Config!$B$11,Config!$H$5:$H$16,0),Config!$E$25,0)+IF(MOD(5,12)+1=MATCH(Config!$B$12,Config!$H$5:$H$16,0),Config!$F$25,0)</f>
        <v>4991.8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47240</v>
      </c>
      <c r="C14" s="23">
        <f>B14*Config!$B$8</f>
        <v>5196.4</v>
      </c>
      <c r="D14" s="23">
        <f>Config!$E$24</f>
        <v>1698</v>
      </c>
      <c r="E14" s="23">
        <f>Config!$F$24</f>
        <v>264</v>
      </c>
      <c r="F14" s="24">
        <f>SUM(C14:E14)</f>
        <v>7158.4</v>
      </c>
      <c r="G14" s="23">
        <f>'Entradas e pagamentos'!F10</f>
        <v>4992</v>
      </c>
      <c r="H14" s="23">
        <f>SUM($F$9:F14)</f>
        <v>36442.25</v>
      </c>
      <c r="I14" s="23">
        <f>SUM($G$9:G14)</f>
        <v>23104</v>
      </c>
      <c r="J14" s="24">
        <f>H14-I14</f>
        <v>13338.25</v>
      </c>
      <c r="K14" s="23">
        <f>C14+IF(MOD(6,12)+1=MATCH(Config!$B$11,Config!$H$5:$H$16,0),Config!$E$25,0)+IF(MOD(6,12)+1=MATCH(Config!$B$12,Config!$H$5:$H$16,0),Config!$F$25,0)</f>
        <v>5196.4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44471</v>
      </c>
      <c r="C15" s="23">
        <f>B15*Config!$B$8</f>
        <v>4891.81</v>
      </c>
      <c r="D15" s="23">
        <f>Config!$E$24</f>
        <v>1698</v>
      </c>
      <c r="E15" s="23">
        <f>Config!$F$24</f>
        <v>264</v>
      </c>
      <c r="F15" s="24">
        <f>SUM(C15:E15)</f>
        <v>6853.81</v>
      </c>
      <c r="G15" s="23">
        <f>'Entradas e pagamentos'!F11</f>
        <v>5196</v>
      </c>
      <c r="H15" s="23">
        <f>SUM($F$9:F15)</f>
        <v>43296.06</v>
      </c>
      <c r="I15" s="23">
        <f>SUM($G$9:G15)</f>
        <v>28300</v>
      </c>
      <c r="J15" s="24">
        <f>H15-I15</f>
        <v>14996.06</v>
      </c>
      <c r="K15" s="23">
        <f>C15+IF(MOD(7,12)+1=MATCH(Config!$B$11,Config!$H$5:$H$16,0),Config!$E$25,0)+IF(MOD(7,12)+1=MATCH(Config!$B$12,Config!$H$5:$H$16,0),Config!$F$25,0)</f>
        <v>4891.81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55841</v>
      </c>
      <c r="C16" s="23">
        <f>B16*Config!$B$8</f>
        <v>6142.51</v>
      </c>
      <c r="D16" s="23">
        <f>Config!$E$24</f>
        <v>1698</v>
      </c>
      <c r="E16" s="23">
        <f>Config!$F$24</f>
        <v>264</v>
      </c>
      <c r="F16" s="24">
        <f>SUM(C16:E16)</f>
        <v>8104.51</v>
      </c>
      <c r="G16" s="23">
        <f>'Entradas e pagamentos'!F12</f>
        <v>4892</v>
      </c>
      <c r="H16" s="23">
        <f>SUM($F$9:F16)</f>
        <v>51400.57</v>
      </c>
      <c r="I16" s="23">
        <f>SUM($G$9:G16)</f>
        <v>33192</v>
      </c>
      <c r="J16" s="24">
        <f>H16-I16</f>
        <v>18208.57</v>
      </c>
      <c r="K16" s="23">
        <f>C16+IF(MOD(8,12)+1=MATCH(Config!$B$11,Config!$H$5:$H$16,0),Config!$E$25,0)+IF(MOD(8,12)+1=MATCH(Config!$B$12,Config!$H$5:$H$16,0),Config!$F$25,0)</f>
        <v>6142.51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20710</v>
      </c>
      <c r="C17" s="23">
        <f>B17*Config!$B$8</f>
        <v>2278.1</v>
      </c>
      <c r="D17" s="23">
        <f>Config!$E$24</f>
        <v>1698</v>
      </c>
      <c r="E17" s="23">
        <f>Config!$F$24</f>
        <v>264</v>
      </c>
      <c r="F17" s="24">
        <f>SUM(C17:E17)</f>
        <v>4240.1</v>
      </c>
      <c r="G17" s="23">
        <f>'Entradas e pagamentos'!F13</f>
        <v>0</v>
      </c>
      <c r="H17" s="23">
        <f>SUM($F$9:F17)</f>
        <v>55640.67</v>
      </c>
      <c r="I17" s="23">
        <f>SUM($G$9:G17)</f>
        <v>33192</v>
      </c>
      <c r="J17" s="24">
        <f>H17-I17</f>
        <v>22448.67</v>
      </c>
      <c r="K17" s="23">
        <f>C17+IF(MOD(9,12)+1=MATCH(Config!$B$11,Config!$H$5:$H$16,0),Config!$E$25,0)+IF(MOD(9,12)+1=MATCH(Config!$B$12,Config!$H$5:$H$16,0),Config!$F$25,0)</f>
        <v>2278.1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1698</v>
      </c>
      <c r="E18" s="23">
        <f>Config!$F$24</f>
        <v>264</v>
      </c>
      <c r="F18" s="24">
        <f>SUM(C18:E18)</f>
        <v>1962</v>
      </c>
      <c r="G18" s="23">
        <f>'Entradas e pagamentos'!F14</f>
        <v>0</v>
      </c>
      <c r="H18" s="23">
        <f>SUM($F$9:F18)</f>
        <v>57602.67</v>
      </c>
      <c r="I18" s="23">
        <f>SUM($G$9:G18)</f>
        <v>33192</v>
      </c>
      <c r="J18" s="24">
        <f>H18-I18</f>
        <v>24410.67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1698</v>
      </c>
      <c r="E19" s="23">
        <f>Config!$F$24</f>
        <v>264</v>
      </c>
      <c r="F19" s="24">
        <f>SUM(C19:E19)</f>
        <v>1962</v>
      </c>
      <c r="G19" s="23">
        <f>'Entradas e pagamentos'!F15</f>
        <v>0</v>
      </c>
      <c r="H19" s="23">
        <f>SUM($F$9:F19)</f>
        <v>59564.67</v>
      </c>
      <c r="I19" s="23">
        <f>SUM($G$9:G19)</f>
        <v>33192</v>
      </c>
      <c r="J19" s="24">
        <f>H19-I19</f>
        <v>26372.67</v>
      </c>
      <c r="K19" s="23">
        <f>C19+IF(MOD(11,12)+1=MATCH(Config!$B$11,Config!$H$5:$H$16,0),Config!$E$25,0)+IF(MOD(11,12)+1=MATCH(Config!$B$12,Config!$H$5:$H$16,0),Config!$F$25,0)</f>
        <v>20376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1698</v>
      </c>
      <c r="E20" s="23">
        <f>Config!$F$24</f>
        <v>264</v>
      </c>
      <c r="F20" s="24">
        <f>SUM(C20:E20)</f>
        <v>1962</v>
      </c>
      <c r="G20" s="23">
        <f>'Entradas e pagamentos'!F16</f>
        <v>0</v>
      </c>
      <c r="H20" s="23">
        <f>SUM($F$9:F20)</f>
        <v>61526.67</v>
      </c>
      <c r="I20" s="23">
        <f>SUM($G$9:G20)</f>
        <v>33192</v>
      </c>
      <c r="J20" s="24">
        <f>H20-I20</f>
        <v>28334.67</v>
      </c>
      <c r="K20" s="23">
        <f>C20+IF(MOD(12,12)+1=MATCH(Config!$B$11,Config!$H$5:$H$16,0),Config!$E$25,0)+IF(MOD(12,12)+1=MATCH(Config!$B$12,Config!$H$5:$H$16,0),Config!$F$25,0)</f>
        <v>3168</v>
      </c>
      <c r="L20" s="25" t="str">
        <f>IF(J20&lt;K20,"Falta separar","Coberto")</f>
        <v>Coberto</v>
      </c>
      <c r="M20" s="23">
        <f>MAX(0,K20-J20)</f>
        <v>0</v>
      </c>
    </row>
    <row r="21"/>
    <row r="22" ht="30" customHeight="1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 ht="30" customHeight="1">
      <c r="A23" s="26" t="inlineStr">
        <is>
          <t>Saldo provisionado é o que deveria estar numa conta separada da conta corrente da clínica.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A23:J23"/>
    <mergeCell ref="I4:J4"/>
    <mergeCell ref="A1:M1"/>
    <mergeCell ref="A22:J22"/>
    <mergeCell ref="K4:M4"/>
    <mergeCell ref="K5:M5"/>
    <mergeCell ref="C5:D5"/>
    <mergeCell ref="A5:B5"/>
    <mergeCell ref="G5:H5"/>
    <mergeCell ref="E5:F5"/>
    <mergeCell ref="I5:J5"/>
    <mergeCell ref="A7:J7"/>
    <mergeCell ref="A24:J24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ROW()-9+1=INDIRECT("Config!$B$7")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2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a clínica combinou com o contador.</t>
        </is>
      </c>
    </row>
    <row r="4">
      <c r="A4" s="27" t="inlineStr">
        <is>
          <t>Clínica</t>
        </is>
      </c>
      <c r="B4" s="28" t="inlineStr">
        <is>
          <t>Clínica Vida Plena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70" customHeight="1">
      <c r="A8" s="27" t="inlineStr">
        <is>
          <t>Alíquota efetiva de impostos sobre as entradas</t>
        </is>
      </c>
      <c r="B8" s="31" t="n">
        <v>0.11</v>
      </c>
      <c r="D8" s="32" t="inlineStr">
        <is>
          <t>Percentual que a clínica separa de cada real recebido, combinado com o contador. PJ médica no Simples (anexo III ou V, conforme o fator r) ou no lucro presumido tem alíquotas efetivas diferentes; esta planilha não afirma qual é a sua. No exemplo, 11 % (a mesma das planilhas 05 a 09 e 18).</t>
        </is>
      </c>
      <c r="H8" s="30" t="inlineStr">
        <is>
          <t>Abril</t>
        </is>
      </c>
    </row>
    <row r="9">
      <c r="A9" s="27" t="inlineStr">
        <is>
          <t>Adicional sobre férias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 ht="44" customHeight="1">
      <c r="A10" s="27" t="inlineStr">
        <is>
          <t>Encargos sobre 13º e férias</t>
        </is>
      </c>
      <c r="B10" s="31" t="n">
        <v>0.08</v>
      </c>
      <c r="D10" s="32" t="inlineStr">
        <is>
          <t>Encargos sobre a folha (FGTS; INSS patronal se houver). No exemplo, 8 % (FGTS) sobre o 13º e as férias da recepcionista. O contador informa o percentual certo.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da equipe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Dra. Carolina Mendes</t>
        </is>
      </c>
      <c r="B16" s="33" t="n">
        <v>9000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IF(OR(A16="",C16&lt;&gt;"Sim"),0,B16/12*(1+IF(D16="Sim",$B$10,0)))</f>
        <v>750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Dr. Paulo Andrade</t>
        </is>
      </c>
      <c r="B17" s="33" t="n">
        <v>9000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IF(OR(A17="",C17&lt;&gt;"Sim"),0,B17/12*(1+IF(D17="Sim",$B$10,0)))</f>
        <v>750</v>
      </c>
      <c r="F17" s="34">
        <f>IF(OR(A17="",D17&lt;&gt;"Sim"),0,B17*(1+$B$9)/12*(1+$B$10))</f>
        <v>0</v>
      </c>
    </row>
    <row r="18">
      <c r="A18" s="28" t="inlineStr">
        <is>
          <t>Bruna Carvalho</t>
        </is>
      </c>
      <c r="B18" s="33" t="n">
        <v>2200</v>
      </c>
      <c r="C18" s="29" t="inlineStr">
        <is>
          <t>Sim</t>
        </is>
      </c>
      <c r="D18" s="29" t="inlineStr">
        <is>
          <t>Sim</t>
        </is>
      </c>
      <c r="E18" s="34">
        <f>IF(OR(A18="",C18&lt;&gt;"Sim"),0,B18/12*(1+IF(D18="Sim",$B$10,0)))</f>
        <v>198</v>
      </c>
      <c r="F18" s="34">
        <f>IF(OR(A18="",D18&lt;&gt;"Sim"),0,B18*(1+$B$9)/12*(1+$B$10))</f>
        <v>264</v>
      </c>
    </row>
    <row r="19">
      <c r="A19" s="28" t="n"/>
      <c r="B19" s="33" t="n"/>
      <c r="C19" s="29" t="n"/>
      <c r="D19" s="29" t="n"/>
      <c r="E19" s="34">
        <f>IF(OR(A19="",C19&lt;&gt;"Sim"),0,B19/12*(1+IF(D19="Sim",$B$10,0)))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IF(OR(A20="",C20&lt;&gt;"Sim"),0,B20/12*(1+IF(D20="Sim",$B$10,0)))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IF(OR(A21="",C21&lt;&gt;"Sim"),0,B21/12*(1+IF(D21="Sim",$B$10,0)))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IF(OR(A22="",C22&lt;&gt;"Sim"),0,B22/12*(1+IF(D22="Sim",$B$10,0)))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IF(OR(A23="",C23&lt;&gt;"Sim"),0,B23/12*(1+IF(D23="Sim",$B$10,0)))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1698</v>
      </c>
      <c r="F24" s="36">
        <f>SUM(F16:F23)</f>
        <v>264</v>
      </c>
    </row>
    <row r="25">
      <c r="A25" s="35" t="inlineStr">
        <is>
          <t>Total no ano (12 meses)</t>
        </is>
      </c>
      <c r="E25" s="36">
        <f>E24*12</f>
        <v>20376</v>
      </c>
      <c r="F25" s="36">
        <f>F24*12</f>
        <v>3168</v>
      </c>
    </row>
    <row r="27">
      <c r="A27" s="37" t="inlineStr">
        <is>
          <t>Sócios: marque Sim no 13º se quiserem guardar uma retirada extra de dezembro (decisão da clínica, não obrigação); os encargos não se aplicam ao pró-labore aqui. Recepcionista CLT: 13º e férias obrigatórios, com encargos.</t>
        </is>
      </c>
    </row>
    <row r="28">
      <c r="A28" s="37" t="inlineStr">
        <is>
          <t>Médica parceira por repasse não entra: o repasse é pago por produção (planilha 11). O que é obrigatório provisionar para cada vínculo depende do contrato e da legislação: confirme com o contador.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pagas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25310</v>
      </c>
      <c r="C5" s="33" t="n">
        <v>3630</v>
      </c>
      <c r="D5" s="33" t="n"/>
      <c r="E5" s="33" t="n"/>
      <c r="F5" s="34">
        <f>SUM(C5:E5)</f>
        <v>3630</v>
      </c>
    </row>
    <row r="6">
      <c r="A6" s="22" t="inlineStr">
        <is>
          <t>Fevereiro</t>
        </is>
      </c>
      <c r="B6" s="33" t="n">
        <v>25650</v>
      </c>
      <c r="C6" s="33" t="n">
        <v>2784</v>
      </c>
      <c r="D6" s="33" t="n"/>
      <c r="E6" s="33" t="n"/>
      <c r="F6" s="34">
        <f>SUM(C6:E6)</f>
        <v>2784</v>
      </c>
    </row>
    <row r="7">
      <c r="A7" s="22" t="inlineStr">
        <is>
          <t>Março</t>
        </is>
      </c>
      <c r="B7" s="33" t="n">
        <v>40540</v>
      </c>
      <c r="C7" s="33" t="n">
        <v>2822</v>
      </c>
      <c r="D7" s="33" t="n"/>
      <c r="E7" s="33" t="n"/>
      <c r="F7" s="34">
        <f>SUM(C7:E7)</f>
        <v>2822</v>
      </c>
    </row>
    <row r="8">
      <c r="A8" s="22" t="inlineStr">
        <is>
          <t>Abril</t>
        </is>
      </c>
      <c r="B8" s="33" t="n">
        <v>40155</v>
      </c>
      <c r="C8" s="33" t="n">
        <v>4459</v>
      </c>
      <c r="D8" s="33" t="n"/>
      <c r="E8" s="33" t="n"/>
      <c r="F8" s="34">
        <f>SUM(C8:E8)</f>
        <v>4459</v>
      </c>
    </row>
    <row r="9">
      <c r="A9" s="22" t="inlineStr">
        <is>
          <t>Maio</t>
        </is>
      </c>
      <c r="B9" s="33" t="n">
        <v>45380</v>
      </c>
      <c r="C9" s="33" t="n">
        <v>4417</v>
      </c>
      <c r="D9" s="33" t="n"/>
      <c r="E9" s="33" t="n"/>
      <c r="F9" s="34">
        <f>SUM(C9:E9)</f>
        <v>4417</v>
      </c>
    </row>
    <row r="10">
      <c r="A10" s="22" t="inlineStr">
        <is>
          <t>Junho</t>
        </is>
      </c>
      <c r="B10" s="33" t="n">
        <v>47240</v>
      </c>
      <c r="C10" s="33" t="n">
        <v>4992</v>
      </c>
      <c r="D10" s="33" t="n"/>
      <c r="E10" s="33" t="n"/>
      <c r="F10" s="34">
        <f>SUM(C10:E10)</f>
        <v>4992</v>
      </c>
    </row>
    <row r="11">
      <c r="A11" s="22" t="inlineStr">
        <is>
          <t>Julho</t>
        </is>
      </c>
      <c r="B11" s="33" t="n">
        <v>44471</v>
      </c>
      <c r="C11" s="33" t="n">
        <v>5196</v>
      </c>
      <c r="D11" s="33" t="n"/>
      <c r="E11" s="33" t="n"/>
      <c r="F11" s="34">
        <f>SUM(C11:E11)</f>
        <v>5196</v>
      </c>
    </row>
    <row r="12">
      <c r="A12" s="22" t="inlineStr">
        <is>
          <t>Agosto</t>
        </is>
      </c>
      <c r="B12" s="33" t="n">
        <v>55841</v>
      </c>
      <c r="C12" s="33" t="n">
        <v>4892</v>
      </c>
      <c r="D12" s="33" t="n"/>
      <c r="E12" s="33" t="n"/>
      <c r="F12" s="34">
        <f>SUM(C12:E12)</f>
        <v>4892</v>
      </c>
    </row>
    <row r="13">
      <c r="A13" s="22" t="inlineStr">
        <is>
          <t>Setembro</t>
        </is>
      </c>
      <c r="B13" s="33" t="n">
        <v>20710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345297</v>
      </c>
      <c r="C17" s="36">
        <f>SUM(C5:C16)</f>
        <v>33192</v>
      </c>
      <c r="D17" s="36">
        <f>SUM(D5:D16)</f>
        <v>0</v>
      </c>
      <c r="E17" s="36">
        <f>SUM(E5:E16)</f>
        <v>0</v>
      </c>
      <c r="F17" s="36">
        <f>SUM(F5:F16)</f>
        <v>33192</v>
      </c>
    </row>
    <row r="19">
      <c r="A19" s="37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37" t="inlineStr">
        <is>
          <t>Entradas recebidas = Entrou no mês (Painel da 09) menos "Outras entradas" (no exemplo, a devolução de despesa pessoal de abril, R$ 620,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Médicos</dc:title>
  <dcterms:created xmlns:dcterms="http://purl.org/dc/terms/" xmlns:xsi="http://www.w3.org/2001/XMLSchema-instance" xsi:type="dcterms:W3CDTF">2026-09-19T15:22:38Z</dcterms:created>
  <dcterms:modified xmlns:dcterms="http://purl.org/dc/terms/" xmlns:xsi="http://www.w3.org/2001/XMLSchema-instance" xsi:type="dcterms:W3CDTF">2026-09-19T15:22:38Z</dcterms:modified>
</cp:coreProperties>
</file>