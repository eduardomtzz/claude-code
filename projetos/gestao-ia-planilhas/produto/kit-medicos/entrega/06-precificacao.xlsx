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recificação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0.0"/>
    <numFmt numFmtId="168" formatCode="&quot;R$&quot; #,##0;[Red]-&quot;R$&quot; #,##0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8" fontId="4" fillId="2" borderId="1" applyAlignment="1" applyProtection="1" pivotButton="0" quotePrefix="0" xfId="0">
      <alignment horizontal="center"/>
      <protection locked="0" hidden="0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49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6" fillId="0" borderId="1" pivotButton="0" quotePrefix="0" xfId="0"/>
    <xf numFmtId="166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left"/>
    </xf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 mínimo × alvo × particular praticado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'Precificação'!G4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'Precificação'!$G$5:$G$11</f>
            </numRef>
          </val>
        </ser>
        <ser>
          <idx val="1"/>
          <order val="1"/>
          <tx>
            <strRef>
              <f>'Precificação'!H4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'Precificação'!$H$5:$H$11</f>
            </numRef>
          </val>
        </ser>
        <ser>
          <idx val="2"/>
          <order val="2"/>
          <tx>
            <strRef>
              <f>'Precificação'!I4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prstDash val="solid"/>
            </a:ln>
          </spPr>
          <cat>
            <numRef>
              <f>'Precificação'!$A$5:$A$11</f>
            </numRef>
          </cat>
          <val>
            <numRef>
              <f>'Precificação'!$I$5:$I$11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20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Precificação de consulta e procedimento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o custo cheio de cada consulta e procedimento (tempo × custo-hora + material, com o tempo de retorno embutido nas consultas), o preço mínimo (margem mínima) e o preço alvo (margem alvo), e mostra a margem do preço particular praticado e de cada tabela de convênio.</t>
        </is>
      </c>
    </row>
    <row r="5" ht="46" customHeight="1">
      <c r="A5" s="3" t="inlineStr">
        <is>
          <t>Passo 1</t>
        </is>
      </c>
      <c r="B5" s="4" t="inlineStr">
        <is>
          <t>Em Config, copie o custo-hora da planilha 05, a alíquota de impostos e as margens mínima e alvo. Ajuste a média de retornos por consulta e a duração do retorno. Liste até 4 convênios.</t>
        </is>
      </c>
    </row>
    <row r="6" ht="46" customHeight="1">
      <c r="A6" s="3" t="inlineStr">
        <is>
          <t>Passo 2</t>
        </is>
      </c>
      <c r="B6" s="4" t="inlineStr">
        <is>
          <t>Em Precificação, uma linha por procedimento: minutos, se gera retorno, material por atendimento, o preço particular que você pratica hoje e a tabela de cada convênio. Copie os valores da planilha 08 · Tabela de preços: ela é a fonte única da tabela no kit (a 07 e a Config da 01 também copiam de lá).</t>
        </is>
      </c>
    </row>
    <row r="7" ht="46" customHeight="1">
      <c r="A7" s="3" t="inlineStr">
        <is>
          <t>Passo 3</t>
        </is>
      </c>
      <c r="B7" s="4" t="inlineStr">
        <is>
          <t>Leia a Situação e as margens: vermelho não cobre o custo cheio; amarelo cobre o custo mas não a margem mínima; verde está na faixa. Use o bloco "Simular" para testar um procedimento ou um preço novo antes de mudar a tabela.</t>
        </is>
      </c>
    </row>
    <row r="8" ht="46" customHeight="1">
      <c r="A8" s="3" t="inlineStr">
        <is>
          <t>Rotina</t>
        </is>
      </c>
      <c r="B8" s="4" t="inlineStr">
        <is>
          <t>Revise quando o custo-hora mudar (05) ou uma vez por semestre. Decidiu mudar um preço? Atualize na ordem: 08 (tabela de preços, a fonte) → 06 (esta) → 07 (simulador) → 01 (Config da agenda). Assim os quatro arquivos continuam com o mesmo número.</t>
        </is>
      </c>
    </row>
    <row r="9" ht="46" customHeight="1">
      <c r="A9" s="3" t="inlineStr">
        <is>
          <t>Convênio abaixo do custo</t>
        </is>
      </c>
      <c r="B9" s="4" t="inlineStr">
        <is>
          <t>Não decida só por esta tela: com horários vazios, uma tabela baixa ainda pode contribuir; com agenda cheia, toma o lugar de um particular. A planilha 07 faz essa conta com prazo de pagamento e glosa.</t>
        </is>
      </c>
    </row>
    <row r="10" ht="46" customHeight="1">
      <c r="A10" s="3" t="inlineStr">
        <is>
          <t>Com a IA</t>
        </is>
      </c>
      <c r="B10" s="4" t="inlineStr">
        <is>
          <t>Copie a tabela Precificação (sem os nomes dos convênios, se preferir) e use o prompt "Preço 02 · Revisar a tabela de preços pela margem" da biblioteca do kit. A IA ajuda a explicar o número ao sócio; o preço é decisão da clínica.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0" customWidth="1" min="10" max="10"/>
    <col width="18" customWidth="1" min="11" max="11"/>
    <col width="11" customWidth="1" min="12" max="12"/>
    <col width="9" customWidth="1" min="13" max="13"/>
    <col width="11" customWidth="1" min="14" max="14"/>
    <col width="9" customWidth="1" min="15" max="15"/>
    <col width="11" customWidth="1" min="16" max="16"/>
    <col width="9" customWidth="1" min="17" max="17"/>
    <col width="11" customWidth="1" min="18" max="18"/>
    <col width="9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28" customHeight="1">
      <c r="A1" s="5" t="str">
        <f>Config!$B$4&amp;" · Precificação de consulta e procedimento · "&amp;Config!$B$5</f>
        <v>Clínica Vida Plena (exemplo fictício) · Precificação de consulta e procedimento · Setembro de 2026</v>
      </c>
    </row>
    <row r="2">
      <c r="A2" s="6" t="inlineStr">
        <is>
          <t>Amarelo: procedimento, minutos, se gera retorno, material, preço particular praticado e tabelas de convênio. O resto é calculado: custo cheio, preço mínimo, preço alvo e margem por pagador.</t>
        </is>
      </c>
    </row>
    <row r="3"/>
    <row r="4" ht="40" customHeight="1">
      <c r="A4" s="7" t="inlineStr">
        <is>
          <t>Procedimento</t>
        </is>
      </c>
      <c r="B4" s="7" t="inlineStr">
        <is>
          <t>Minutos</t>
        </is>
      </c>
      <c r="C4" s="7" t="inlineStr">
        <is>
          <t>Gera retorno?</t>
        </is>
      </c>
      <c r="D4" s="7" t="inlineStr">
        <is>
          <t>Material (R$)</t>
        </is>
      </c>
      <c r="E4" s="7" t="inlineStr">
        <is>
          <t>Tempo com retorno (min)</t>
        </is>
      </c>
      <c r="F4" s="7" t="inlineStr">
        <is>
          <t>Custo cheio (R$)</t>
        </is>
      </c>
      <c r="G4" s="7" t="inlineStr">
        <is>
          <t>Preço mínimo (R$)</t>
        </is>
      </c>
      <c r="H4" s="7" t="inlineStr">
        <is>
          <t>Preço alvo (R$)</t>
        </is>
      </c>
      <c r="I4" s="7" t="inlineStr">
        <is>
          <t>Particular praticado (R$)</t>
        </is>
      </c>
      <c r="J4" s="7" t="inlineStr">
        <is>
          <t>Margem no particular</t>
        </is>
      </c>
      <c r="K4" s="7" t="inlineStr">
        <is>
          <t>Situação</t>
        </is>
      </c>
      <c r="L4" s="7" t="str">
        <f>IF(Config!$B$15="","",Config!$B$15)</f>
        <v>Saúde Total</v>
      </c>
      <c r="M4" s="7" t="str">
        <f>IF(Config!$B$15="","","Margem")</f>
        <v>Margem</v>
      </c>
      <c r="N4" s="7" t="str">
        <f>IF(Config!$B$16="","",Config!$B$16)</f>
        <v>MediPlan</v>
      </c>
      <c r="O4" s="7" t="str">
        <f>IF(Config!$B$16="","","Margem")</f>
        <v>Margem</v>
      </c>
      <c r="P4" s="7" t="str">
        <f>IF(Config!$B$17="","",Config!$B$17)</f>
        <v>Vida Care</v>
      </c>
      <c r="Q4" s="7" t="str">
        <f>IF(Config!$B$17="","","Margem")</f>
        <v>Margem</v>
      </c>
      <c r="R4" s="7">
        <f>IF(Config!$B$18="","",Config!$B$18)</f>
        <v/>
      </c>
      <c r="S4" s="7">
        <f>IF(Config!$B$18="","","Margem")</f>
        <v/>
      </c>
    </row>
    <row r="5">
      <c r="A5" s="8" t="inlineStr">
        <is>
          <t>Consulta</t>
        </is>
      </c>
      <c r="B5" s="9" t="n">
        <v>30</v>
      </c>
      <c r="C5" s="10" t="inlineStr">
        <is>
          <t>Sim</t>
        </is>
      </c>
      <c r="D5" s="11" t="n">
        <v>4</v>
      </c>
      <c r="E5" s="12">
        <f>IF(A5="","",B5+IF(C5="Sim",Config!$B$11*Config!$B$12,0))</f>
        <v>38</v>
      </c>
      <c r="F5" s="13">
        <f>IF(A5="","",E5/60*Config!$B$7+D5)</f>
        <v>130.666666666667</v>
      </c>
      <c r="G5" s="14">
        <f>IF(A5="","",IFERROR(F5/(1-Config!$B$8-Config!$B$9),""))</f>
        <v>221.468926553672</v>
      </c>
      <c r="H5" s="13">
        <f>IF(A5="","",IFERROR(F5/(1-Config!$B$8-Config!$B$10),""))</f>
        <v>296.969696969697</v>
      </c>
      <c r="I5" s="15" t="n">
        <v>380</v>
      </c>
      <c r="J5" s="16">
        <f>IF(OR(A5="",I5="",I5=0),"",(I5*(1-Config!$B$8)-F5)/I5)</f>
        <v>0.546140350877193</v>
      </c>
      <c r="K5" s="17" t="str">
        <f>IF(OR(A5="",I5=""),"",IF(I5=0,"Sem cobrança",IF(I5&lt;G5,"Abaixo do mínimo",IF(I5&lt;H5,"Entre mínimo e alvo","No alvo ou acima"))))</f>
        <v>No alvo ou acima</v>
      </c>
      <c r="L5" s="15" t="n">
        <v>120</v>
      </c>
      <c r="M5" s="16">
        <f>IF(OR(A5="",L5="",L5=0),"",(L5*(1-Config!$B$8)-F5)/L5)</f>
        <v>-0.198888888888889</v>
      </c>
      <c r="N5" s="15" t="n">
        <v>100</v>
      </c>
      <c r="O5" s="16">
        <f>IF(OR(A5="",N5="",N5=0),"",(N5*(1-Config!$B$8)-F5)/N5)</f>
        <v>-0.416666666666667</v>
      </c>
      <c r="P5" s="15" t="n">
        <v>90</v>
      </c>
      <c r="Q5" s="16">
        <f>IF(OR(A5="",P5="",P5=0),"",(P5*(1-Config!$B$8)-F5)/P5)</f>
        <v>-0.561851851851852</v>
      </c>
      <c r="R5" s="15" t="n"/>
      <c r="S5" s="16">
        <f>IF(OR(A5="",R5="",R5=0),"",(R5*(1-Config!$B$8)-F5)/R5)</f>
        <v/>
      </c>
      <c r="T5" s="18">
        <f>IF(AND(ISNUMBER(M5),M5&lt;0),M5*L5,0)</f>
        <v>-23.8666666666667</v>
      </c>
      <c r="U5" s="18">
        <f>IF(AND(ISNUMBER(O5),O5&lt;0),O5*N5,0)</f>
        <v>-41.6666666666667</v>
      </c>
      <c r="V5" s="18">
        <f>IF(AND(ISNUMBER(Q5),Q5&lt;0),Q5*P5,0)</f>
        <v>-50.5666666666667</v>
      </c>
      <c r="W5" s="18">
        <f>IF(AND(ISNUMBER(S5),S5&lt;0),S5*R5,0)</f>
        <v>0</v>
      </c>
    </row>
    <row r="6">
      <c r="A6" s="8" t="inlineStr">
        <is>
          <t>Retorno</t>
        </is>
      </c>
      <c r="B6" s="9" t="n">
        <v>20</v>
      </c>
      <c r="C6" s="10" t="inlineStr">
        <is>
          <t>Não</t>
        </is>
      </c>
      <c r="D6" s="11" t="n">
        <v>2</v>
      </c>
      <c r="E6" s="12">
        <f>IF(A6="","",B6+IF(C6="Sim",Config!$B$11*Config!$B$12,0))</f>
        <v>20</v>
      </c>
      <c r="F6" s="13">
        <f>IF(A6="","",E6/60*Config!$B$7+D6)</f>
        <v>68.6666666666667</v>
      </c>
      <c r="G6" s="14">
        <f>IF(A6="","",IFERROR(F6/(1-Config!$B$8-Config!$B$9),""))</f>
        <v>116.38418079096</v>
      </c>
      <c r="H6" s="13">
        <f>IF(A6="","",IFERROR(F6/(1-Config!$B$8-Config!$B$10),""))</f>
        <v>156.060606060606</v>
      </c>
      <c r="I6" s="15" t="n">
        <v>0</v>
      </c>
      <c r="J6" s="16">
        <f>IF(OR(A6="",I6="",I6=0),"",(I6*(1-Config!$B$8)-F6)/I6)</f>
        <v/>
      </c>
      <c r="K6" s="17" t="str">
        <f>IF(OR(A6="",I6=""),"",IF(I6=0,"Sem cobrança",IF(I6&lt;G6,"Abaixo do mínimo",IF(I6&lt;H6,"Entre mínimo e alvo","No alvo ou acima"))))</f>
        <v>Sem cobrança</v>
      </c>
      <c r="L6" s="15" t="n">
        <v>0</v>
      </c>
      <c r="M6" s="16">
        <f>IF(OR(A6="",L6="",L6=0),"",(L6*(1-Config!$B$8)-F6)/L6)</f>
        <v/>
      </c>
      <c r="N6" s="15" t="n">
        <v>0</v>
      </c>
      <c r="O6" s="16">
        <f>IF(OR(A6="",N6="",N6=0),"",(N6*(1-Config!$B$8)-F6)/N6)</f>
        <v/>
      </c>
      <c r="P6" s="15" t="n">
        <v>0</v>
      </c>
      <c r="Q6" s="16">
        <f>IF(OR(A6="",P6="",P6=0),"",(P6*(1-Config!$B$8)-F6)/P6)</f>
        <v/>
      </c>
      <c r="R6" s="15" t="n"/>
      <c r="S6" s="16">
        <f>IF(OR(A6="",R6="",R6=0),"",(R6*(1-Config!$B$8)-F6)/R6)</f>
        <v/>
      </c>
      <c r="T6" s="18">
        <f>IF(AND(ISNUMBER(M6),M6&lt;0),M6*L6,0)</f>
        <v>0</v>
      </c>
      <c r="U6" s="18">
        <f>IF(AND(ISNUMBER(O6),O6&lt;0),O6*N6,0)</f>
        <v>0</v>
      </c>
      <c r="V6" s="18">
        <f>IF(AND(ISNUMBER(Q6),Q6&lt;0),Q6*P6,0)</f>
        <v>0</v>
      </c>
      <c r="W6" s="18">
        <f>IF(AND(ISNUMBER(S6),S6&lt;0),S6*R6,0)</f>
        <v>0</v>
      </c>
    </row>
    <row r="7">
      <c r="A7" s="8" t="inlineStr">
        <is>
          <t>ECG</t>
        </is>
      </c>
      <c r="B7" s="9" t="n">
        <v>20</v>
      </c>
      <c r="C7" s="10" t="inlineStr">
        <is>
          <t>Não</t>
        </is>
      </c>
      <c r="D7" s="11" t="n">
        <v>8</v>
      </c>
      <c r="E7" s="12">
        <f>IF(A7="","",B7+IF(C7="Sim",Config!$B$11*Config!$B$12,0))</f>
        <v>20</v>
      </c>
      <c r="F7" s="13">
        <f>IF(A7="","",E7/60*Config!$B$7+D7)</f>
        <v>74.6666666666667</v>
      </c>
      <c r="G7" s="14">
        <f>IF(A7="","",IFERROR(F7/(1-Config!$B$8-Config!$B$9),""))</f>
        <v>126.553672316384</v>
      </c>
      <c r="H7" s="13">
        <f>IF(A7="","",IFERROR(F7/(1-Config!$B$8-Config!$B$10),""))</f>
        <v>169.69696969697</v>
      </c>
      <c r="I7" s="15" t="n">
        <v>130</v>
      </c>
      <c r="J7" s="16">
        <f>IF(OR(A7="",I7="",I7=0),"",(I7*(1-Config!$B$8)-F7)/I7)</f>
        <v>0.315641025641026</v>
      </c>
      <c r="K7" s="17" t="str">
        <f>IF(OR(A7="",I7=""),"",IF(I7=0,"Sem cobrança",IF(I7&lt;G7,"Abaixo do mínimo",IF(I7&lt;H7,"Entre mínimo e alvo","No alvo ou acima"))))</f>
        <v>Entre mínimo e alvo</v>
      </c>
      <c r="L7" s="15" t="n">
        <v>40</v>
      </c>
      <c r="M7" s="16">
        <f>IF(OR(A7="",L7="",L7=0),"",(L7*(1-Config!$B$8)-F7)/L7)</f>
        <v>-0.976666666666666</v>
      </c>
      <c r="N7" s="15" t="n">
        <v>35</v>
      </c>
      <c r="O7" s="16">
        <f>IF(OR(A7="",N7="",N7=0),"",(N7*(1-Config!$B$8)-F7)/N7)</f>
        <v>-1.24333333333333</v>
      </c>
      <c r="P7" s="15" t="n">
        <v>32</v>
      </c>
      <c r="Q7" s="16">
        <f>IF(OR(A7="",P7="",P7=0),"",(P7*(1-Config!$B$8)-F7)/P7)</f>
        <v>-1.44333333333333</v>
      </c>
      <c r="R7" s="15" t="n"/>
      <c r="S7" s="16">
        <f>IF(OR(A7="",R7="",R7=0),"",(R7*(1-Config!$B$8)-F7)/R7)</f>
        <v/>
      </c>
      <c r="T7" s="18">
        <f>IF(AND(ISNUMBER(M7),M7&lt;0),M7*L7,0)</f>
        <v>-39.0666666666667</v>
      </c>
      <c r="U7" s="18">
        <f>IF(AND(ISNUMBER(O7),O7&lt;0),O7*N7,0)</f>
        <v>-43.5166666666667</v>
      </c>
      <c r="V7" s="18">
        <f>IF(AND(ISNUMBER(Q7),Q7&lt;0),Q7*P7,0)</f>
        <v>-46.1866666666667</v>
      </c>
      <c r="W7" s="18">
        <f>IF(AND(ISNUMBER(S7),S7&lt;0),S7*R7,0)</f>
        <v>0</v>
      </c>
    </row>
    <row r="8">
      <c r="A8" s="8" t="inlineStr">
        <is>
          <t>MAPA</t>
        </is>
      </c>
      <c r="B8" s="9" t="n">
        <v>20</v>
      </c>
      <c r="C8" s="10" t="inlineStr">
        <is>
          <t>Não</t>
        </is>
      </c>
      <c r="D8" s="11" t="n">
        <v>15</v>
      </c>
      <c r="E8" s="12">
        <f>IF(A8="","",B8+IF(C8="Sim",Config!$B$11*Config!$B$12,0))</f>
        <v>20</v>
      </c>
      <c r="F8" s="13">
        <f>IF(A8="","",E8/60*Config!$B$7+D8)</f>
        <v>81.6666666666667</v>
      </c>
      <c r="G8" s="14">
        <f>IF(A8="","",IFERROR(F8/(1-Config!$B$8-Config!$B$9),""))</f>
        <v>138.418079096045</v>
      </c>
      <c r="H8" s="13">
        <f>IF(A8="","",IFERROR(F8/(1-Config!$B$8-Config!$B$10),""))</f>
        <v>185.606060606061</v>
      </c>
      <c r="I8" s="15" t="n">
        <v>300</v>
      </c>
      <c r="J8" s="16">
        <f>IF(OR(A8="",I8="",I8=0),"",(I8*(1-Config!$B$8)-F8)/I8)</f>
        <v>0.617777777777778</v>
      </c>
      <c r="K8" s="17" t="str">
        <f>IF(OR(A8="",I8=""),"",IF(I8=0,"Sem cobrança",IF(I8&lt;G8,"Abaixo do mínimo",IF(I8&lt;H8,"Entre mínimo e alvo","No alvo ou acima"))))</f>
        <v>No alvo ou acima</v>
      </c>
      <c r="L8" s="15" t="n">
        <v>95</v>
      </c>
      <c r="M8" s="16">
        <f>IF(OR(A8="",L8="",L8=0),"",(L8*(1-Config!$B$8)-F8)/L8)</f>
        <v>0.0303508771929825</v>
      </c>
      <c r="N8" s="15" t="n">
        <v>85</v>
      </c>
      <c r="O8" s="16">
        <f>IF(OR(A8="",N8="",N8=0),"",(N8*(1-Config!$B$8)-F8)/N8)</f>
        <v>-0.07078431372549</v>
      </c>
      <c r="P8" s="15" t="n">
        <v>75</v>
      </c>
      <c r="Q8" s="16">
        <f>IF(OR(A8="",P8="",P8=0),"",(P8*(1-Config!$B$8)-F8)/P8)</f>
        <v>-0.198888888888889</v>
      </c>
      <c r="R8" s="15" t="n"/>
      <c r="S8" s="16">
        <f>IF(OR(A8="",R8="",R8=0),"",(R8*(1-Config!$B$8)-F8)/R8)</f>
        <v/>
      </c>
      <c r="T8" s="18">
        <f>IF(AND(ISNUMBER(M8),M8&lt;0),M8*L8,0)</f>
        <v>0</v>
      </c>
      <c r="U8" s="18">
        <f>IF(AND(ISNUMBER(O8),O8&lt;0),O8*N8,0)</f>
        <v>-6.01666666666665</v>
      </c>
      <c r="V8" s="18">
        <f>IF(AND(ISNUMBER(Q8),Q8&lt;0),Q8*P8,0)</f>
        <v>-14.9166666666667</v>
      </c>
      <c r="W8" s="18">
        <f>IF(AND(ISNUMBER(S8),S8&lt;0),S8*R8,0)</f>
        <v>0</v>
      </c>
    </row>
    <row r="9">
      <c r="A9" s="8" t="inlineStr">
        <is>
          <t>Holter</t>
        </is>
      </c>
      <c r="B9" s="9" t="n">
        <v>20</v>
      </c>
      <c r="C9" s="10" t="inlineStr">
        <is>
          <t>Não</t>
        </is>
      </c>
      <c r="D9" s="11" t="n">
        <v>18</v>
      </c>
      <c r="E9" s="12">
        <f>IF(A9="","",B9+IF(C9="Sim",Config!$B$11*Config!$B$12,0))</f>
        <v>20</v>
      </c>
      <c r="F9" s="13">
        <f>IF(A9="","",E9/60*Config!$B$7+D9)</f>
        <v>84.6666666666667</v>
      </c>
      <c r="G9" s="14">
        <f>IF(A9="","",IFERROR(F9/(1-Config!$B$8-Config!$B$9),""))</f>
        <v>143.502824858757</v>
      </c>
      <c r="H9" s="13">
        <f>IF(A9="","",IFERROR(F9/(1-Config!$B$8-Config!$B$10),""))</f>
        <v>192.424242424242</v>
      </c>
      <c r="I9" s="15" t="n">
        <v>350</v>
      </c>
      <c r="J9" s="16">
        <f>IF(OR(A9="",I9="",I9=0),"",(I9*(1-Config!$B$8)-F9)/I9)</f>
        <v>0.648095238095238</v>
      </c>
      <c r="K9" s="17" t="str">
        <f>IF(OR(A9="",I9=""),"",IF(I9=0,"Sem cobrança",IF(I9&lt;G9,"Abaixo do mínimo",IF(I9&lt;H9,"Entre mínimo e alvo","No alvo ou acima"))))</f>
        <v>No alvo ou acima</v>
      </c>
      <c r="L9" s="15" t="n">
        <v>105</v>
      </c>
      <c r="M9" s="16">
        <f>IF(OR(A9="",L9="",L9=0),"",(L9*(1-Config!$B$8)-F9)/L9)</f>
        <v>0.0836507936507938</v>
      </c>
      <c r="N9" s="15" t="n">
        <v>95</v>
      </c>
      <c r="O9" s="16">
        <f>IF(OR(A9="",N9="",N9=0),"",(N9*(1-Config!$B$8)-F9)/N9)</f>
        <v>-0.00122807017543853</v>
      </c>
      <c r="P9" s="15" t="n">
        <v>85</v>
      </c>
      <c r="Q9" s="16">
        <f>IF(OR(A9="",P9="",P9=0),"",(P9*(1-Config!$B$8)-F9)/P9)</f>
        <v>-0.106078431372549</v>
      </c>
      <c r="R9" s="15" t="n"/>
      <c r="S9" s="16">
        <f>IF(OR(A9="",R9="",R9=0),"",(R9*(1-Config!$B$8)-F9)/R9)</f>
        <v/>
      </c>
      <c r="T9" s="18">
        <f>IF(AND(ISNUMBER(M9),M9&lt;0),M9*L9,0)</f>
        <v>0</v>
      </c>
      <c r="U9" s="18">
        <f>IF(AND(ISNUMBER(O9),O9&lt;0),O9*N9,0)</f>
        <v>-0.11666666666666</v>
      </c>
      <c r="V9" s="18">
        <f>IF(AND(ISNUMBER(Q9),Q9&lt;0),Q9*P9,0)</f>
        <v>-9.01666666666665</v>
      </c>
      <c r="W9" s="18">
        <f>IF(AND(ISNUMBER(S9),S9&lt;0),S9*R9,0)</f>
        <v>0</v>
      </c>
    </row>
    <row r="10">
      <c r="A10" s="8" t="inlineStr">
        <is>
          <t>Teste ergométrico</t>
        </is>
      </c>
      <c r="B10" s="9" t="n">
        <v>40</v>
      </c>
      <c r="C10" s="10" t="inlineStr">
        <is>
          <t>Não</t>
        </is>
      </c>
      <c r="D10" s="11" t="n">
        <v>25</v>
      </c>
      <c r="E10" s="12">
        <f>IF(A10="","",B10+IF(C10="Sim",Config!$B$11*Config!$B$12,0))</f>
        <v>40</v>
      </c>
      <c r="F10" s="13">
        <f>IF(A10="","",E10/60*Config!$B$7+D10)</f>
        <v>158.333333333333</v>
      </c>
      <c r="G10" s="14">
        <f>IF(A10="","",IFERROR(F10/(1-Config!$B$8-Config!$B$9),""))</f>
        <v>268.361581920904</v>
      </c>
      <c r="H10" s="13">
        <f>IF(A10="","",IFERROR(F10/(1-Config!$B$8-Config!$B$10),""))</f>
        <v>359.848484848485</v>
      </c>
      <c r="I10" s="15" t="n">
        <v>450</v>
      </c>
      <c r="J10" s="16">
        <f>IF(OR(A10="",I10="",I10=0),"",(I10*(1-Config!$B$8)-F10)/I10)</f>
        <v>0.538148148148148</v>
      </c>
      <c r="K10" s="17" t="str">
        <f>IF(OR(A10="",I10=""),"",IF(I10=0,"Sem cobrança",IF(I10&lt;G10,"Abaixo do mínimo",IF(I10&lt;H10,"Entre mínimo e alvo","No alvo ou acima"))))</f>
        <v>No alvo ou acima</v>
      </c>
      <c r="L10" s="15" t="n">
        <v>140</v>
      </c>
      <c r="M10" s="16">
        <f>IF(OR(A10="",L10="",L10=0),"",(L10*(1-Config!$B$8)-F10)/L10)</f>
        <v>-0.240952380952381</v>
      </c>
      <c r="N10" s="15" t="n">
        <v>125</v>
      </c>
      <c r="O10" s="16">
        <f>IF(OR(A10="",N10="",N10=0),"",(N10*(1-Config!$B$8)-F10)/N10)</f>
        <v>-0.376666666666667</v>
      </c>
      <c r="P10" s="15" t="n">
        <v>110</v>
      </c>
      <c r="Q10" s="16">
        <f>IF(OR(A10="",P10="",P10=0),"",(P10*(1-Config!$B$8)-F10)/P10)</f>
        <v>-0.549393939393939</v>
      </c>
      <c r="R10" s="15" t="n"/>
      <c r="S10" s="16">
        <f>IF(OR(A10="",R10="",R10=0),"",(R10*(1-Config!$B$8)-F10)/R10)</f>
        <v/>
      </c>
      <c r="T10" s="18">
        <f>IF(AND(ISNUMBER(M10),M10&lt;0),M10*L10,0)</f>
        <v>-33.7333333333333</v>
      </c>
      <c r="U10" s="18">
        <f>IF(AND(ISNUMBER(O10),O10&lt;0),O10*N10,0)</f>
        <v>-47.0833333333333</v>
      </c>
      <c r="V10" s="18">
        <f>IF(AND(ISNUMBER(Q10),Q10&lt;0),Q10*P10,0)</f>
        <v>-60.4333333333333</v>
      </c>
      <c r="W10" s="18">
        <f>IF(AND(ISNUMBER(S10),S10&lt;0),S10*R10,0)</f>
        <v>0</v>
      </c>
    </row>
    <row r="11">
      <c r="A11" s="8" t="inlineStr">
        <is>
          <t>Avaliação endócrina</t>
        </is>
      </c>
      <c r="B11" s="9" t="n">
        <v>40</v>
      </c>
      <c r="C11" s="10" t="inlineStr">
        <is>
          <t>Sim</t>
        </is>
      </c>
      <c r="D11" s="11" t="n">
        <v>4</v>
      </c>
      <c r="E11" s="12">
        <f>IF(A11="","",B11+IF(C11="Sim",Config!$B$11*Config!$B$12,0))</f>
        <v>48</v>
      </c>
      <c r="F11" s="13">
        <f>IF(A11="","",E11/60*Config!$B$7+D11)</f>
        <v>164</v>
      </c>
      <c r="G11" s="14">
        <f>IF(A11="","",IFERROR(F11/(1-Config!$B$8-Config!$B$9),""))</f>
        <v>277.966101694915</v>
      </c>
      <c r="H11" s="13">
        <f>IF(A11="","",IFERROR(F11/(1-Config!$B$8-Config!$B$10),""))</f>
        <v>372.727272727273</v>
      </c>
      <c r="I11" s="15" t="n">
        <v>400</v>
      </c>
      <c r="J11" s="16">
        <f>IF(OR(A11="",I11="",I11=0),"",(I11*(1-Config!$B$8)-F11)/I11)</f>
        <v>0.48</v>
      </c>
      <c r="K11" s="17" t="str">
        <f>IF(OR(A11="",I11=""),"",IF(I11=0,"Sem cobrança",IF(I11&lt;G11,"Abaixo do mínimo",IF(I11&lt;H11,"Entre mínimo e alvo","No alvo ou acima"))))</f>
        <v>No alvo ou acima</v>
      </c>
      <c r="L11" s="15" t="n">
        <v>130</v>
      </c>
      <c r="M11" s="16">
        <f>IF(OR(A11="",L11="",L11=0),"",(L11*(1-Config!$B$8)-F11)/L11)</f>
        <v>-0.371538461538462</v>
      </c>
      <c r="N11" s="15" t="n"/>
      <c r="O11" s="16">
        <f>IF(OR(A11="",N11="",N11=0),"",(N11*(1-Config!$B$8)-F11)/N11)</f>
        <v/>
      </c>
      <c r="P11" s="15" t="n"/>
      <c r="Q11" s="16">
        <f>IF(OR(A11="",P11="",P11=0),"",(P11*(1-Config!$B$8)-F11)/P11)</f>
        <v/>
      </c>
      <c r="R11" s="15" t="n"/>
      <c r="S11" s="16">
        <f>IF(OR(A11="",R11="",R11=0),"",(R11*(1-Config!$B$8)-F11)/R11)</f>
        <v/>
      </c>
      <c r="T11" s="18">
        <f>IF(AND(ISNUMBER(M11),M11&lt;0),M11*L11,0)</f>
        <v>-48.3</v>
      </c>
      <c r="U11" s="18">
        <f>IF(AND(ISNUMBER(O11),O11&lt;0),O11*N11,0)</f>
        <v>0</v>
      </c>
      <c r="V11" s="18">
        <f>IF(AND(ISNUMBER(Q11),Q11&lt;0),Q11*P11,0)</f>
        <v>0</v>
      </c>
      <c r="W11" s="18">
        <f>IF(AND(ISNUMBER(S11),S11&lt;0),S11*R11,0)</f>
        <v>0</v>
      </c>
    </row>
    <row r="12">
      <c r="A12" s="8" t="n"/>
      <c r="B12" s="9" t="n"/>
      <c r="C12" s="10" t="n"/>
      <c r="D12" s="11" t="n"/>
      <c r="E12" s="12">
        <f>IF(A12="","",B12+IF(C12="Sim",Config!$B$11*Config!$B$12,0))</f>
        <v/>
      </c>
      <c r="F12" s="13">
        <f>IF(A12="","",E12/60*Config!$B$7+D12)</f>
        <v/>
      </c>
      <c r="G12" s="14">
        <f>IF(A12="","",IFERROR(F12/(1-Config!$B$8-Config!$B$9),""))</f>
        <v/>
      </c>
      <c r="H12" s="13">
        <f>IF(A12="","",IFERROR(F12/(1-Config!$B$8-Config!$B$10),""))</f>
        <v/>
      </c>
      <c r="I12" s="15" t="n"/>
      <c r="J12" s="16">
        <f>IF(OR(A12="",I12="",I12=0),"",(I12*(1-Config!$B$8)-F12)/I12)</f>
        <v/>
      </c>
      <c r="K12" s="17">
        <f>IF(OR(A12="",I12=""),"",IF(I12=0,"Sem cobrança",IF(I12&lt;G12,"Abaixo do mínimo",IF(I12&lt;H12,"Entre mínimo e alvo","No alvo ou acima"))))</f>
        <v/>
      </c>
      <c r="L12" s="15" t="n"/>
      <c r="M12" s="16">
        <f>IF(OR(A12="",L12="",L12=0),"",(L12*(1-Config!$B$8)-F12)/L12)</f>
        <v/>
      </c>
      <c r="N12" s="15" t="n"/>
      <c r="O12" s="16">
        <f>IF(OR(A12="",N12="",N12=0),"",(N12*(1-Config!$B$8)-F12)/N12)</f>
        <v/>
      </c>
      <c r="P12" s="15" t="n"/>
      <c r="Q12" s="16">
        <f>IF(OR(A12="",P12="",P12=0),"",(P12*(1-Config!$B$8)-F12)/P12)</f>
        <v/>
      </c>
      <c r="R12" s="15" t="n"/>
      <c r="S12" s="16">
        <f>IF(OR(A12="",R12="",R12=0),"",(R12*(1-Config!$B$8)-F12)/R12)</f>
        <v/>
      </c>
      <c r="T12" s="18">
        <f>IF(AND(ISNUMBER(M12),M12&lt;0),M12*L12,0)</f>
        <v>0</v>
      </c>
      <c r="U12" s="18">
        <f>IF(AND(ISNUMBER(O12),O12&lt;0),O12*N12,0)</f>
        <v>0</v>
      </c>
      <c r="V12" s="18">
        <f>IF(AND(ISNUMBER(Q12),Q12&lt;0),Q12*P12,0)</f>
        <v>0</v>
      </c>
      <c r="W12" s="18">
        <f>IF(AND(ISNUMBER(S12),S12&lt;0),S12*R12,0)</f>
        <v>0</v>
      </c>
    </row>
    <row r="13">
      <c r="A13" s="8" t="n"/>
      <c r="B13" s="9" t="n"/>
      <c r="C13" s="10" t="n"/>
      <c r="D13" s="11" t="n"/>
      <c r="E13" s="12">
        <f>IF(A13="","",B13+IF(C13="Sim",Config!$B$11*Config!$B$12,0))</f>
        <v/>
      </c>
      <c r="F13" s="13">
        <f>IF(A13="","",E13/60*Config!$B$7+D13)</f>
        <v/>
      </c>
      <c r="G13" s="14">
        <f>IF(A13="","",IFERROR(F13/(1-Config!$B$8-Config!$B$9),""))</f>
        <v/>
      </c>
      <c r="H13" s="13">
        <f>IF(A13="","",IFERROR(F13/(1-Config!$B$8-Config!$B$10),""))</f>
        <v/>
      </c>
      <c r="I13" s="15" t="n"/>
      <c r="J13" s="16">
        <f>IF(OR(A13="",I13="",I13=0),"",(I13*(1-Config!$B$8)-F13)/I13)</f>
        <v/>
      </c>
      <c r="K13" s="17">
        <f>IF(OR(A13="",I13=""),"",IF(I13=0,"Sem cobrança",IF(I13&lt;G13,"Abaixo do mínimo",IF(I13&lt;H13,"Entre mínimo e alvo","No alvo ou acima"))))</f>
        <v/>
      </c>
      <c r="L13" s="15" t="n"/>
      <c r="M13" s="16">
        <f>IF(OR(A13="",L13="",L13=0),"",(L13*(1-Config!$B$8)-F13)/L13)</f>
        <v/>
      </c>
      <c r="N13" s="15" t="n"/>
      <c r="O13" s="16">
        <f>IF(OR(A13="",N13="",N13=0),"",(N13*(1-Config!$B$8)-F13)/N13)</f>
        <v/>
      </c>
      <c r="P13" s="15" t="n"/>
      <c r="Q13" s="16">
        <f>IF(OR(A13="",P13="",P13=0),"",(P13*(1-Config!$B$8)-F13)/P13)</f>
        <v/>
      </c>
      <c r="R13" s="15" t="n"/>
      <c r="S13" s="16">
        <f>IF(OR(A13="",R13="",R13=0),"",(R13*(1-Config!$B$8)-F13)/R13)</f>
        <v/>
      </c>
      <c r="T13" s="18">
        <f>IF(AND(ISNUMBER(M13),M13&lt;0),M13*L13,0)</f>
        <v>0</v>
      </c>
      <c r="U13" s="18">
        <f>IF(AND(ISNUMBER(O13),O13&lt;0),O13*N13,0)</f>
        <v>0</v>
      </c>
      <c r="V13" s="18">
        <f>IF(AND(ISNUMBER(Q13),Q13&lt;0),Q13*P13,0)</f>
        <v>0</v>
      </c>
      <c r="W13" s="18">
        <f>IF(AND(ISNUMBER(S13),S13&lt;0),S13*R13,0)</f>
        <v>0</v>
      </c>
    </row>
    <row r="14">
      <c r="A14" s="8" t="n"/>
      <c r="B14" s="9" t="n"/>
      <c r="C14" s="10" t="n"/>
      <c r="D14" s="11" t="n"/>
      <c r="E14" s="12">
        <f>IF(A14="","",B14+IF(C14="Sim",Config!$B$11*Config!$B$12,0))</f>
        <v/>
      </c>
      <c r="F14" s="13">
        <f>IF(A14="","",E14/60*Config!$B$7+D14)</f>
        <v/>
      </c>
      <c r="G14" s="14">
        <f>IF(A14="","",IFERROR(F14/(1-Config!$B$8-Config!$B$9),""))</f>
        <v/>
      </c>
      <c r="H14" s="13">
        <f>IF(A14="","",IFERROR(F14/(1-Config!$B$8-Config!$B$10),""))</f>
        <v/>
      </c>
      <c r="I14" s="15" t="n"/>
      <c r="J14" s="16">
        <f>IF(OR(A14="",I14="",I14=0),"",(I14*(1-Config!$B$8)-F14)/I14)</f>
        <v/>
      </c>
      <c r="K14" s="17">
        <f>IF(OR(A14="",I14=""),"",IF(I14=0,"Sem cobrança",IF(I14&lt;G14,"Abaixo do mínimo",IF(I14&lt;H14,"Entre mínimo e alvo","No alvo ou acima"))))</f>
        <v/>
      </c>
      <c r="L14" s="15" t="n"/>
      <c r="M14" s="16">
        <f>IF(OR(A14="",L14="",L14=0),"",(L14*(1-Config!$B$8)-F14)/L14)</f>
        <v/>
      </c>
      <c r="N14" s="15" t="n"/>
      <c r="O14" s="16">
        <f>IF(OR(A14="",N14="",N14=0),"",(N14*(1-Config!$B$8)-F14)/N14)</f>
        <v/>
      </c>
      <c r="P14" s="15" t="n"/>
      <c r="Q14" s="16">
        <f>IF(OR(A14="",P14="",P14=0),"",(P14*(1-Config!$B$8)-F14)/P14)</f>
        <v/>
      </c>
      <c r="R14" s="15" t="n"/>
      <c r="S14" s="16">
        <f>IF(OR(A14="",R14="",R14=0),"",(R14*(1-Config!$B$8)-F14)/R14)</f>
        <v/>
      </c>
      <c r="T14" s="18">
        <f>IF(AND(ISNUMBER(M14),M14&lt;0),M14*L14,0)</f>
        <v>0</v>
      </c>
      <c r="U14" s="18">
        <f>IF(AND(ISNUMBER(O14),O14&lt;0),O14*N14,0)</f>
        <v>0</v>
      </c>
      <c r="V14" s="18">
        <f>IF(AND(ISNUMBER(Q14),Q14&lt;0),Q14*P14,0)</f>
        <v>0</v>
      </c>
      <c r="W14" s="18">
        <f>IF(AND(ISNUMBER(S14),S14&lt;0),S14*R14,0)</f>
        <v>0</v>
      </c>
    </row>
    <row r="15">
      <c r="A15" s="8" t="n"/>
      <c r="B15" s="9" t="n"/>
      <c r="C15" s="10" t="n"/>
      <c r="D15" s="11" t="n"/>
      <c r="E15" s="12">
        <f>IF(A15="","",B15+IF(C15="Sim",Config!$B$11*Config!$B$12,0))</f>
        <v/>
      </c>
      <c r="F15" s="13">
        <f>IF(A15="","",E15/60*Config!$B$7+D15)</f>
        <v/>
      </c>
      <c r="G15" s="14">
        <f>IF(A15="","",IFERROR(F15/(1-Config!$B$8-Config!$B$9),""))</f>
        <v/>
      </c>
      <c r="H15" s="13">
        <f>IF(A15="","",IFERROR(F15/(1-Config!$B$8-Config!$B$10),""))</f>
        <v/>
      </c>
      <c r="I15" s="15" t="n"/>
      <c r="J15" s="16">
        <f>IF(OR(A15="",I15="",I15=0),"",(I15*(1-Config!$B$8)-F15)/I15)</f>
        <v/>
      </c>
      <c r="K15" s="17">
        <f>IF(OR(A15="",I15=""),"",IF(I15=0,"Sem cobrança",IF(I15&lt;G15,"Abaixo do mínimo",IF(I15&lt;H15,"Entre mínimo e alvo","No alvo ou acima"))))</f>
        <v/>
      </c>
      <c r="L15" s="15" t="n"/>
      <c r="M15" s="16">
        <f>IF(OR(A15="",L15="",L15=0),"",(L15*(1-Config!$B$8)-F15)/L15)</f>
        <v/>
      </c>
      <c r="N15" s="15" t="n"/>
      <c r="O15" s="16">
        <f>IF(OR(A15="",N15="",N15=0),"",(N15*(1-Config!$B$8)-F15)/N15)</f>
        <v/>
      </c>
      <c r="P15" s="15" t="n"/>
      <c r="Q15" s="16">
        <f>IF(OR(A15="",P15="",P15=0),"",(P15*(1-Config!$B$8)-F15)/P15)</f>
        <v/>
      </c>
      <c r="R15" s="15" t="n"/>
      <c r="S15" s="16">
        <f>IF(OR(A15="",R15="",R15=0),"",(R15*(1-Config!$B$8)-F15)/R15)</f>
        <v/>
      </c>
      <c r="T15" s="18">
        <f>IF(AND(ISNUMBER(M15),M15&lt;0),M15*L15,0)</f>
        <v>0</v>
      </c>
      <c r="U15" s="18">
        <f>IF(AND(ISNUMBER(O15),O15&lt;0),O15*N15,0)</f>
        <v>0</v>
      </c>
      <c r="V15" s="18">
        <f>IF(AND(ISNUMBER(Q15),Q15&lt;0),Q15*P15,0)</f>
        <v>0</v>
      </c>
      <c r="W15" s="18">
        <f>IF(AND(ISNUMBER(S15),S15&lt;0),S15*R15,0)</f>
        <v>0</v>
      </c>
    </row>
    <row r="16">
      <c r="A16" s="8" t="n"/>
      <c r="B16" s="9" t="n"/>
      <c r="C16" s="10" t="n"/>
      <c r="D16" s="11" t="n"/>
      <c r="E16" s="12">
        <f>IF(A16="","",B16+IF(C16="Sim",Config!$B$11*Config!$B$12,0))</f>
        <v/>
      </c>
      <c r="F16" s="13">
        <f>IF(A16="","",E16/60*Config!$B$7+D16)</f>
        <v/>
      </c>
      <c r="G16" s="14">
        <f>IF(A16="","",IFERROR(F16/(1-Config!$B$8-Config!$B$9),""))</f>
        <v/>
      </c>
      <c r="H16" s="13">
        <f>IF(A16="","",IFERROR(F16/(1-Config!$B$8-Config!$B$10),""))</f>
        <v/>
      </c>
      <c r="I16" s="15" t="n"/>
      <c r="J16" s="16">
        <f>IF(OR(A16="",I16="",I16=0),"",(I16*(1-Config!$B$8)-F16)/I16)</f>
        <v/>
      </c>
      <c r="K16" s="17">
        <f>IF(OR(A16="",I16=""),"",IF(I16=0,"Sem cobrança",IF(I16&lt;G16,"Abaixo do mínimo",IF(I16&lt;H16,"Entre mínimo e alvo","No alvo ou acima"))))</f>
        <v/>
      </c>
      <c r="L16" s="15" t="n"/>
      <c r="M16" s="16">
        <f>IF(OR(A16="",L16="",L16=0),"",(L16*(1-Config!$B$8)-F16)/L16)</f>
        <v/>
      </c>
      <c r="N16" s="15" t="n"/>
      <c r="O16" s="16">
        <f>IF(OR(A16="",N16="",N16=0),"",(N16*(1-Config!$B$8)-F16)/N16)</f>
        <v/>
      </c>
      <c r="P16" s="15" t="n"/>
      <c r="Q16" s="16">
        <f>IF(OR(A16="",P16="",P16=0),"",(P16*(1-Config!$B$8)-F16)/P16)</f>
        <v/>
      </c>
      <c r="R16" s="15" t="n"/>
      <c r="S16" s="16">
        <f>IF(OR(A16="",R16="",R16=0),"",(R16*(1-Config!$B$8)-F16)/R16)</f>
        <v/>
      </c>
      <c r="T16" s="18">
        <f>IF(AND(ISNUMBER(M16),M16&lt;0),M16*L16,0)</f>
        <v>0</v>
      </c>
      <c r="U16" s="18">
        <f>IF(AND(ISNUMBER(O16),O16&lt;0),O16*N16,0)</f>
        <v>0</v>
      </c>
      <c r="V16" s="18">
        <f>IF(AND(ISNUMBER(Q16),Q16&lt;0),Q16*P16,0)</f>
        <v>0</v>
      </c>
      <c r="W16" s="18">
        <f>IF(AND(ISNUMBER(S16),S16&lt;0),S16*R16,0)</f>
        <v>0</v>
      </c>
    </row>
    <row r="17"/>
    <row r="18" ht="32" customHeight="1">
      <c r="A18" s="19" t="inlineStr">
        <is>
          <t>Custo cheio = tempo (com retorno embutido) ÷ 60 × custo-hora + material. Preço mínimo = custo ÷ (1 − impostos − margem mínima); preço alvo, com a margem alvo. Margem = (preço × (1 − impostos) − custo) ÷ preço. Vermelho: não cobre o custo cheio. Amarelo: cobre o custo, mas fica abaixo da margem mínima. Verde: margem mínima ou mais.</t>
        </is>
      </c>
    </row>
    <row r="19" ht="32" customHeight="1">
      <c r="A19" s="19" t="inlineStr">
        <is>
          <t>Retorno tem preço zero de propósito: o tempo dele já está no custo da consulta. Tabela de convênio abaixo do custo cheio não é automaticamente "não aceitar": com agenda vazia, o que importa é a contribuição (planilha 07).</t>
        </is>
      </c>
    </row>
    <row r="20"/>
    <row r="21">
      <c r="A21" s="20" t="inlineStr">
        <is>
          <t>Resumo</t>
        </is>
      </c>
    </row>
    <row r="22">
      <c r="A22" s="21" t="inlineStr">
        <is>
          <t>Custo da hora de atendimento (planilha 05)</t>
        </is>
      </c>
      <c r="B22" s="22" t="n"/>
      <c r="C22" s="22" t="n"/>
      <c r="D22" s="23" t="n"/>
      <c r="E22" s="14">
        <f>Config!$B$7</f>
        <v>200</v>
      </c>
    </row>
    <row r="23">
      <c r="A23" s="21" t="inlineStr">
        <is>
          <t>Hora mínima a cobrar (custo-hora ÷ (1 − impostos − margem mínima))</t>
        </is>
      </c>
      <c r="B23" s="22" t="n"/>
      <c r="C23" s="22" t="n"/>
      <c r="D23" s="23" t="n"/>
      <c r="E23" s="14">
        <f>IFERROR(Config!$B$7/(1-Config!$B$8-Config!$B$9),"")</f>
        <v>338.983050847458</v>
      </c>
    </row>
    <row r="24">
      <c r="A24" s="21" t="inlineStr">
        <is>
          <t>Procedimentos com particular abaixo do mínimo</t>
        </is>
      </c>
      <c r="B24" s="22" t="n"/>
      <c r="C24" s="22" t="n"/>
      <c r="D24" s="23" t="n"/>
      <c r="E24" s="24" t="str">
        <f>COUNTIF($K$5:$K$16,"Abaixo do mínimo")&amp;" de "&amp;COUNTA($A$5:$A$16)</f>
        <v>0 de 7</v>
      </c>
    </row>
    <row r="25">
      <c r="A25" s="21" t="inlineStr">
        <is>
          <t>Tabelas de convênio abaixo do custo cheio + imposto</t>
        </is>
      </c>
      <c r="B25" s="22" t="n"/>
      <c r="C25" s="22" t="n"/>
      <c r="D25" s="23" t="n"/>
      <c r="E25" s="25">
        <f>COUNTIF($T$5:$W$16,"&lt;0")</f>
        <v>14</v>
      </c>
    </row>
    <row r="26">
      <c r="A26" s="21" t="inlineStr">
        <is>
          <t>Maior prejuízo por atendimento em convênio (R$)</t>
        </is>
      </c>
      <c r="B26" s="22" t="n"/>
      <c r="C26" s="22" t="n"/>
      <c r="D26" s="23" t="n"/>
      <c r="E26" s="14">
        <f>-MIN($T$5:$W$16)</f>
        <v>60.4333333333333</v>
      </c>
    </row>
    <row r="27" ht="28" customHeight="1">
      <c r="A27" s="19" t="inlineStr">
        <is>
          <t>"Abaixo do custo cheio + imposto" conta as células de Margem negativas: a tabela do convênio, depois dos impostos, não paga o custo cheio do atendimento. É a mesma conta e o mesmo número do KPI "Tabelas de convênio abaixo do custo cheio + imposto" da planilha 08. "Maior prejuízo" = margem negativa × tabela do convênio: a célula mais vermelha da tabela, em reais por atendimento (colunas auxiliares T a W, ocultas).</t>
        </is>
      </c>
    </row>
    <row r="28"/>
    <row r="29">
      <c r="A29" s="20" t="inlineStr">
        <is>
          <t>Simular um procedimento ou um preço novo</t>
        </is>
      </c>
    </row>
    <row r="30">
      <c r="A30" s="26" t="inlineStr">
        <is>
          <t>Nome</t>
        </is>
      </c>
      <c r="B30" s="8" t="inlineStr">
        <is>
          <t>Consulta particular estendida (45 min)</t>
        </is>
      </c>
    </row>
    <row r="31">
      <c r="A31" s="26" t="inlineStr">
        <is>
          <t>Minutos</t>
        </is>
      </c>
      <c r="B31" s="9" t="n">
        <v>45</v>
      </c>
    </row>
    <row r="32">
      <c r="A32" s="26" t="inlineStr">
        <is>
          <t>Gera retorno? (Sim/Não)</t>
        </is>
      </c>
      <c r="B32" s="8" t="inlineStr">
        <is>
          <t>Sim</t>
        </is>
      </c>
    </row>
    <row r="33">
      <c r="A33" s="26" t="inlineStr">
        <is>
          <t>Material (R$)</t>
        </is>
      </c>
      <c r="B33" s="11" t="n">
        <v>4</v>
      </c>
    </row>
    <row r="34">
      <c r="A34" s="26" t="inlineStr">
        <is>
          <t>Preço pretendido (R$)</t>
        </is>
      </c>
      <c r="B34" s="15" t="n">
        <v>480</v>
      </c>
    </row>
    <row r="35">
      <c r="A35" s="21" t="inlineStr">
        <is>
          <t>Tempo com retorno (min)</t>
        </is>
      </c>
      <c r="B35" s="12">
        <f>B31+IF(B32="Sim",Config!$B$11*Config!$B$12,0)</f>
        <v>53</v>
      </c>
    </row>
    <row r="36">
      <c r="A36" s="21" t="inlineStr">
        <is>
          <t>Custo cheio (R$)</t>
        </is>
      </c>
      <c r="B36" s="27">
        <f>B35/60*Config!$B$7+B33</f>
        <v>180.666666666667</v>
      </c>
    </row>
    <row r="37">
      <c r="A37" s="21" t="inlineStr">
        <is>
          <t>Preço mínimo (R$)</t>
        </is>
      </c>
      <c r="B37" s="14">
        <f>IFERROR(B36/(1-Config!$B$8-Config!$B$9),"")</f>
        <v>306.214689265537</v>
      </c>
    </row>
    <row r="38">
      <c r="A38" s="21" t="inlineStr">
        <is>
          <t>Preço alvo (R$)</t>
        </is>
      </c>
      <c r="B38" s="27">
        <f>IFERROR(B36/(1-Config!$B$8-Config!$B$10),"")</f>
        <v>410.606060606061</v>
      </c>
    </row>
    <row r="39">
      <c r="A39" s="21" t="inlineStr">
        <is>
          <t>Margem no preço pretendido</t>
        </is>
      </c>
      <c r="B39" s="16">
        <f>IF(B34=0,"",(B34*(1-Config!$B$8)-B36)/B34)</f>
        <v>0.513611111111111</v>
      </c>
    </row>
    <row r="40">
      <c r="A40" s="21" t="inlineStr">
        <is>
          <t>Leitura</t>
        </is>
      </c>
      <c r="B40" s="28" t="str">
        <f>IF(B34=0,"",IF(B34&lt;B37,"Abaixo do mínimo: cobre parte do custo, não a margem",IF(B34&lt;B38,"Entre o mínimo e o alvo","No alvo ou acima")))</f>
        <v>No alvo ou acima</v>
      </c>
      <c r="C40" s="22" t="n"/>
      <c r="D40" s="22" t="n"/>
      <c r="E40" s="22" t="n"/>
      <c r="F4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3">
    <mergeCell ref="A23:D23"/>
    <mergeCell ref="A19:S19"/>
    <mergeCell ref="A22:D22"/>
    <mergeCell ref="A2:R2"/>
    <mergeCell ref="A26:D26"/>
    <mergeCell ref="A21:J21"/>
    <mergeCell ref="A18:S18"/>
    <mergeCell ref="A27:S27"/>
    <mergeCell ref="A29:J29"/>
    <mergeCell ref="A25:D25"/>
    <mergeCell ref="A1:R1"/>
    <mergeCell ref="A24:D24"/>
    <mergeCell ref="B40:F40"/>
  </mergeCells>
  <conditionalFormatting sqref="K5:K16">
    <cfRule type="expression" priority="1" dxfId="0">
      <formula>K5="Abaixo do mínimo"</formula>
    </cfRule>
    <cfRule type="expression" priority="2" dxfId="1">
      <formula>K5="Entre mínimo e alvo"</formula>
    </cfRule>
    <cfRule type="expression" priority="3" dxfId="2">
      <formula>K5="No alvo ou acima"</formula>
    </cfRule>
  </conditionalFormatting>
  <conditionalFormatting sqref="J5:J16">
    <cfRule type="expression" priority="4" dxfId="0">
      <formula>AND(ISNUMBER(J5),J5&lt;0)</formula>
    </cfRule>
    <cfRule type="expression" priority="5" dxfId="1">
      <formula>AND(ISNUMBER(J5),J5&gt;=0,J5&lt;INDIRECT("Config!$B$9"))</formula>
    </cfRule>
    <cfRule type="expression" priority="6" dxfId="2">
      <formula>AND(ISNUMBER(J5),J5&gt;=INDIRECT("Config!$B$9"))</formula>
    </cfRule>
  </conditionalFormatting>
  <conditionalFormatting sqref="M5:M16">
    <cfRule type="expression" priority="7" dxfId="0">
      <formula>AND(ISNUMBER(M5),M5&lt;0)</formula>
    </cfRule>
    <cfRule type="expression" priority="8" dxfId="1">
      <formula>AND(ISNUMBER(M5),M5&gt;=0,M5&lt;INDIRECT("Config!$B$9"))</formula>
    </cfRule>
    <cfRule type="expression" priority="9" dxfId="2">
      <formula>AND(ISNUMBER(M5),M5&gt;=INDIRECT("Config!$B$9"))</formula>
    </cfRule>
  </conditionalFormatting>
  <conditionalFormatting sqref="O5:O16">
    <cfRule type="expression" priority="10" dxfId="0">
      <formula>AND(ISNUMBER(O5),O5&lt;0)</formula>
    </cfRule>
    <cfRule type="expression" priority="11" dxfId="1">
      <formula>AND(ISNUMBER(O5),O5&gt;=0,O5&lt;INDIRECT("Config!$B$9"))</formula>
    </cfRule>
    <cfRule type="expression" priority="12" dxfId="2">
      <formula>AND(ISNUMBER(O5),O5&gt;=INDIRECT("Config!$B$9"))</formula>
    </cfRule>
  </conditionalFormatting>
  <conditionalFormatting sqref="Q5:Q16">
    <cfRule type="expression" priority="13" dxfId="0">
      <formula>AND(ISNUMBER(Q5),Q5&lt;0)</formula>
    </cfRule>
    <cfRule type="expression" priority="14" dxfId="1">
      <formula>AND(ISNUMBER(Q5),Q5&gt;=0,Q5&lt;INDIRECT("Config!$B$9"))</formula>
    </cfRule>
    <cfRule type="expression" priority="15" dxfId="2">
      <formula>AND(ISNUMBER(Q5),Q5&gt;=INDIRECT("Config!$B$9"))</formula>
    </cfRule>
  </conditionalFormatting>
  <conditionalFormatting sqref="S5:S16">
    <cfRule type="expression" priority="16" dxfId="0">
      <formula>AND(ISNUMBER(S5),S5&lt;0)</formula>
    </cfRule>
    <cfRule type="expression" priority="17" dxfId="1">
      <formula>AND(ISNUMBER(S5),S5&gt;=0,S5&lt;INDIRECT("Config!$B$9"))</formula>
    </cfRule>
    <cfRule type="expression" priority="18" dxfId="2">
      <formula>AND(ISNUMBER(S5),S5&gt;=INDIRECT("Config!$B$9"))</formula>
    </cfRule>
  </conditionalFormatting>
  <dataValidations count="2">
    <dataValidation sqref="C5:C16" showDropDown="0" showInputMessage="0" showErrorMessage="1" allowBlank="1" type="list">
      <formula1>"Sim,Não"</formula1>
    </dataValidation>
    <dataValidation sqref="B32" showDropDown="0" showInputMessage="0" showErrorMessage="1" allowBlank="1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impostos e margens valem para todos os procedimentos.</t>
        </is>
      </c>
    </row>
    <row r="4">
      <c r="A4" s="29" t="inlineStr">
        <is>
          <t>Nome da clínica</t>
        </is>
      </c>
      <c r="B4" s="8" t="inlineStr">
        <is>
          <t>Clínica Vida Plena (exemplo fictício)</t>
        </is>
      </c>
    </row>
    <row r="5">
      <c r="A5" s="29" t="inlineStr">
        <is>
          <t>Mês de referência</t>
        </is>
      </c>
      <c r="B5" s="8" t="inlineStr">
        <is>
          <t>Setembro de 2026</t>
        </is>
      </c>
    </row>
    <row r="6">
      <c r="A6" s="29" t="inlineStr">
        <is>
          <t>Data de referência</t>
        </is>
      </c>
      <c r="B6" s="30" t="n">
        <v>46279</v>
      </c>
    </row>
    <row r="7">
      <c r="A7" s="29" t="inlineStr">
        <is>
          <t>Custo da hora de atendimento (R$)</t>
        </is>
      </c>
      <c r="B7" s="11" t="n">
        <v>200</v>
      </c>
      <c r="C7" s="31" t="inlineStr">
        <is>
          <t>Copie do Painel da planilha 05 ("Custo da hora de atendimento"). No exemplo, R$ 200,00 (R$ 28.000 ÷ 140 h).</t>
        </is>
      </c>
    </row>
    <row r="8">
      <c r="A8" s="29" t="inlineStr">
        <is>
          <t>Impostos sobre o que entra (%)</t>
        </is>
      </c>
      <c r="B8" s="32" t="n">
        <v>0.11</v>
      </c>
      <c r="C8" s="31" t="inlineStr">
        <is>
          <t>A mesma alíquota efetiva da planilha 05 (exemplo: 11 %; confira com o contador). Só imposto: a taxa da maquininha não entra aqui (ela está na 16 e no resultado 18).</t>
        </is>
      </c>
    </row>
    <row r="9">
      <c r="A9" s="29" t="inlineStr">
        <is>
          <t>Margem mínima sobre o preço (%)</t>
        </is>
      </c>
      <c r="B9" s="32" t="n">
        <v>0.3</v>
      </c>
      <c r="C9" s="31" t="inlineStr">
        <is>
          <t>Abaixo disso o procedimento não vale a pena. É o piso da faixa (a mesma margem da 05).</t>
        </is>
      </c>
    </row>
    <row r="10">
      <c r="A10" s="29" t="inlineStr">
        <is>
          <t>Margem alvo sobre o preço (%)</t>
        </is>
      </c>
      <c r="B10" s="32" t="n">
        <v>0.45</v>
      </c>
      <c r="C10" s="31" t="inlineStr">
        <is>
          <t>A margem que a clínica quer de verdade. É o teto da faixa.</t>
        </is>
      </c>
    </row>
    <row r="11">
      <c r="A11" s="29" t="inlineStr">
        <is>
          <t>Retornos por consulta (média)</t>
        </is>
      </c>
      <c r="B11" s="33" t="n">
        <v>0.4</v>
      </c>
      <c r="C11" s="31" t="inlineStr">
        <is>
          <t>Consulta que costuma gerar retorno sem cobrança: em média, quantos retornos por consulta. O tempo do retorno entra no custo da consulta.</t>
        </is>
      </c>
    </row>
    <row r="12">
      <c r="A12" s="29" t="inlineStr">
        <is>
          <t>Duração do retorno (minutos)</t>
        </is>
      </c>
      <c r="B12" s="9" t="n">
        <v>20</v>
      </c>
      <c r="C12" s="31" t="inlineStr">
        <is>
          <t>Minutos de um retorno (planilha 01, Config).</t>
        </is>
      </c>
    </row>
    <row r="14">
      <c r="A14" s="29" t="inlineStr">
        <is>
          <t>Convênios (até 4, na ordem das colunas da aba Precificação)</t>
        </is>
      </c>
    </row>
    <row r="15">
      <c r="A15" s="34" t="inlineStr">
        <is>
          <t>Nomes</t>
        </is>
      </c>
      <c r="B15" s="8" t="inlineStr">
        <is>
          <t>Saúde Total</t>
        </is>
      </c>
      <c r="C15" s="31" t="inlineStr">
        <is>
          <t>Preencha de cima para baixo, sem pular linha. As tabelas de cada convênio ficam na aba Precificação.</t>
        </is>
      </c>
    </row>
    <row r="16">
      <c r="B16" s="8" t="inlineStr">
        <is>
          <t>MediPlan</t>
        </is>
      </c>
    </row>
    <row r="17">
      <c r="B17" s="8" t="inlineStr">
        <is>
          <t>Vida Care</t>
        </is>
      </c>
    </row>
    <row r="18">
      <c r="B18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Precificação de consulta e procedimento · Kit de Gestão para Médicos</dc:title>
  <dcterms:created xmlns:dcterms="http://purl.org/dc/terms/" xmlns:xsi="http://www.w3.org/2001/XMLSchema-instance" xsi:type="dcterms:W3CDTF">2026-09-18T15:07:13Z</dcterms:created>
  <dcterms:modified xmlns:dcterms="http://purl.org/dc/terms/" xmlns:xsi="http://www.w3.org/2001/XMLSchema-instance" xsi:type="dcterms:W3CDTF">2026-09-18T15:07:13Z</dcterms:modified>
</cp:coreProperties>
</file>