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IF(A5="","",IF(NOT(IF(ISNUMBER(B5),AND(B5&gt;=0),FALSE)),"faltam os minutos",IF(AND(C5&lt;&gt;"Sim",C5&lt;&gt;"Não"),"falta: gera retorno?",IF(AND(C5="Sim",NOT(AND(IF(ISNUMBER(Config!$B$11),AND(Config!$B$11&gt;=0),FALSE),IF(ISNUMBER(Config!$B$12),AND(Config!$B$12&gt;=0),FALSE)))),"falta o retorno em Config",B5+IF(C5="Sim",Config!$B$11*Config!$B$12,0)))))</f>
        <v>38</v>
      </c>
      <c r="F5" s="13">
        <f>IF(A5="","",IF(NOT(ISNUMBER(E5)),E5,IF(NOT(ISNUMBER(Config!$B$7)),"falta o custo-hora em Config",IF(NOT(IF(ISNUMBER(D5),AND(D5&gt;=0),FALSE)),"falta o material",E5/60*Config!$B$7+D5))))</f>
        <v>130.666666666667</v>
      </c>
      <c r="G5" s="14">
        <f>IF(A5="","",IF(NOT(ISNUMBER(F5)),F5,IF((Config!$B$13&lt;&gt;"Sim"),"margens inválidas (Config)",F5/(1-Config!$B$8-Config!$B$9))))</f>
        <v>221.468926553672</v>
      </c>
      <c r="H5" s="13">
        <f>IF(A5="","",IF(NOT(ISNUMBER(F5)),F5,IF((Config!$B$13&lt;&gt;"Sim"),"margens inválidas (Config)",F5/(1-Config!$B$8-Config!$B$10))))</f>
        <v>296.969696969697</v>
      </c>
      <c r="I5" s="15" t="n">
        <v>380</v>
      </c>
      <c r="J5" s="16">
        <f>IF(OR(A5="",I5="",NOT(IF(ISNUMBER(I5),AND(I5&gt;=0),FALSE)),N(I5)=0,NOT(ISNUMBER(F5)),(Config!$B$13&lt;&gt;"Sim")),"",(I5*(1-Config!$B$8)-F5)/I5)</f>
        <v>0.546140350877193</v>
      </c>
      <c r="K5" s="17" t="str">
        <f>IF(OR(A5="",I5=""),"",IF(NOT(IF(ISNUMBER(I5),AND(I5&gt;=0),FALSE)),"Preço inválido",IF(NOT(ISNUMBER(F5)),IF(ISNUMBER(Config!$B$7),"Faltam dados da linha","Falta o custo-hora"),IF(OR(NOT(ISNUMBER(G5)),NOT(ISNUMBER(H5))),"Margens inválidas",IF(I5=0,"Sem cobrança",IF(I5&lt;G5,"Abaixo do mínimo",IF(I5&lt;H5,"Entre mínimo e alvo","No alvo ou acima")))))))</f>
        <v>No alvo ou acima</v>
      </c>
      <c r="L5" s="15" t="n">
        <v>120</v>
      </c>
      <c r="M5" s="16">
        <f>IF(OR(A5="",L5="",NOT(IF(ISNUMBER(L5),AND(L5&gt;=0),FALSE)),N(L5)=0,NOT(ISNUMBER(F5)),(Config!$B$13&lt;&gt;"Sim")),"",(L5*(1-Config!$B$8)-F5)/L5)</f>
        <v>-0.198888888888889</v>
      </c>
      <c r="N5" s="15" t="n">
        <v>100</v>
      </c>
      <c r="O5" s="16">
        <f>IF(OR(A5="",N5="",NOT(IF(ISNUMBER(N5),AND(N5&gt;=0),FALSE)),N(N5)=0,NOT(ISNUMBER(F5)),(Config!$B$13&lt;&gt;"Sim")),"",(N5*(1-Config!$B$8)-F5)/N5)</f>
        <v>-0.416666666666667</v>
      </c>
      <c r="P5" s="15" t="n">
        <v>90</v>
      </c>
      <c r="Q5" s="16">
        <f>IF(OR(A5="",P5="",NOT(IF(ISNUMBER(P5),AND(P5&gt;=0),FALSE)),N(P5)=0,NOT(ISNUMBER(F5)),(Config!$B$13&lt;&gt;"Sim")),"",(P5*(1-Config!$B$8)-F5)/P5)</f>
        <v>-0.561851851851852</v>
      </c>
      <c r="R5" s="15" t="n"/>
      <c r="S5" s="16">
        <f>IF(OR(A5="",R5="",NOT(IF(ISNUMBER(R5),AND(R5&gt;=0),FALSE)),N(R5)=0,NOT(ISNUMBER(F5)),(Config!$B$13&lt;&gt;"Sim")),"",(R5*(1-Config!$B$8)-F5)/R5)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IF(A6="","",IF(NOT(IF(ISNUMBER(B6),AND(B6&gt;=0),FALSE)),"faltam os minutos",IF(AND(C6&lt;&gt;"Sim",C6&lt;&gt;"Não"),"falta: gera retorno?",IF(AND(C6="Sim",NOT(AND(IF(ISNUMBER(Config!$B$11),AND(Config!$B$11&gt;=0),FALSE),IF(ISNUMBER(Config!$B$12),AND(Config!$B$12&gt;=0),FALSE)))),"falta o retorno em Config",B6+IF(C6="Sim",Config!$B$11*Config!$B$12,0)))))</f>
        <v>20</v>
      </c>
      <c r="F6" s="13">
        <f>IF(A6="","",IF(NOT(ISNUMBER(E6)),E6,IF(NOT(ISNUMBER(Config!$B$7)),"falta o custo-hora em Config",IF(NOT(IF(ISNUMBER(D6),AND(D6&gt;=0),FALSE)),"falta o material",E6/60*Config!$B$7+D6))))</f>
        <v>68.6666666666667</v>
      </c>
      <c r="G6" s="14">
        <f>IF(A6="","",IF(NOT(ISNUMBER(F6)),F6,IF((Config!$B$13&lt;&gt;"Sim"),"margens inválidas (Config)",F6/(1-Config!$B$8-Config!$B$9))))</f>
        <v>116.38418079096</v>
      </c>
      <c r="H6" s="13">
        <f>IF(A6="","",IF(NOT(ISNUMBER(F6)),F6,IF((Config!$B$13&lt;&gt;"Sim"),"margens inválidas (Config)",F6/(1-Config!$B$8-Config!$B$10))))</f>
        <v>156.060606060606</v>
      </c>
      <c r="I6" s="15" t="n">
        <v>0</v>
      </c>
      <c r="J6" s="16">
        <f>IF(OR(A6="",I6="",NOT(IF(ISNUMBER(I6),AND(I6&gt;=0),FALSE)),N(I6)=0,NOT(ISNUMBER(F6)),(Config!$B$13&lt;&gt;"Sim")),"",(I6*(1-Config!$B$8)-F6)/I6)</f>
        <v/>
      </c>
      <c r="K6" s="17" t="str">
        <f>IF(OR(A6="",I6=""),"",IF(NOT(IF(ISNUMBER(I6),AND(I6&gt;=0),FALSE)),"Preço inválido",IF(NOT(ISNUMBER(F6)),IF(ISNUMBER(Config!$B$7),"Faltam dados da linha","Falta o custo-hora"),IF(OR(NOT(ISNUMBER(G6)),NOT(ISNUMBER(H6))),"Margens inválidas",IF(I6=0,"Sem cobrança",IF(I6&lt;G6,"Abaixo do mínimo",IF(I6&lt;H6,"Entre mínimo e alvo","No alvo ou acima")))))))</f>
        <v>Sem cobrança</v>
      </c>
      <c r="L6" s="15" t="n">
        <v>0</v>
      </c>
      <c r="M6" s="16">
        <f>IF(OR(A6="",L6="",NOT(IF(ISNUMBER(L6),AND(L6&gt;=0),FALSE)),N(L6)=0,NOT(ISNUMBER(F6)),(Config!$B$13&lt;&gt;"Sim")),"",(L6*(1-Config!$B$8)-F6)/L6)</f>
        <v/>
      </c>
      <c r="N6" s="15" t="n">
        <v>0</v>
      </c>
      <c r="O6" s="16">
        <f>IF(OR(A6="",N6="",NOT(IF(ISNUMBER(N6),AND(N6&gt;=0),FALSE)),N(N6)=0,NOT(ISNUMBER(F6)),(Config!$B$13&lt;&gt;"Sim")),"",(N6*(1-Config!$B$8)-F6)/N6)</f>
        <v/>
      </c>
      <c r="P6" s="15" t="n">
        <v>0</v>
      </c>
      <c r="Q6" s="16">
        <f>IF(OR(A6="",P6="",NOT(IF(ISNUMBER(P6),AND(P6&gt;=0),FALSE)),N(P6)=0,NOT(ISNUMBER(F6)),(Config!$B$13&lt;&gt;"Sim")),"",(P6*(1-Config!$B$8)-F6)/P6)</f>
        <v/>
      </c>
      <c r="R6" s="15" t="n"/>
      <c r="S6" s="16">
        <f>IF(OR(A6="",R6="",NOT(IF(ISNUMBER(R6),AND(R6&gt;=0),FALSE)),N(R6)=0,NOT(ISNUMBER(F6)),(Config!$B$13&lt;&gt;"Sim")),"",(R6*(1-Config!$B$8)-F6)/R6)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IF(A7="","",IF(NOT(IF(ISNUMBER(B7),AND(B7&gt;=0),FALSE)),"faltam os minutos",IF(AND(C7&lt;&gt;"Sim",C7&lt;&gt;"Não"),"falta: gera retorno?",IF(AND(C7="Sim",NOT(AND(IF(ISNUMBER(Config!$B$11),AND(Config!$B$11&gt;=0),FALSE),IF(ISNUMBER(Config!$B$12),AND(Config!$B$12&gt;=0),FALSE)))),"falta o retorno em Config",B7+IF(C7="Sim",Config!$B$11*Config!$B$12,0)))))</f>
        <v>20</v>
      </c>
      <c r="F7" s="13">
        <f>IF(A7="","",IF(NOT(ISNUMBER(E7)),E7,IF(NOT(ISNUMBER(Config!$B$7)),"falta o custo-hora em Config",IF(NOT(IF(ISNUMBER(D7),AND(D7&gt;=0),FALSE)),"falta o material",E7/60*Config!$B$7+D7))))</f>
        <v>74.6666666666667</v>
      </c>
      <c r="G7" s="14">
        <f>IF(A7="","",IF(NOT(ISNUMBER(F7)),F7,IF((Config!$B$13&lt;&gt;"Sim"),"margens inválidas (Config)",F7/(1-Config!$B$8-Config!$B$9))))</f>
        <v>126.553672316384</v>
      </c>
      <c r="H7" s="13">
        <f>IF(A7="","",IF(NOT(ISNUMBER(F7)),F7,IF((Config!$B$13&lt;&gt;"Sim"),"margens inválidas (Config)",F7/(1-Config!$B$8-Config!$B$10))))</f>
        <v>169.69696969697</v>
      </c>
      <c r="I7" s="15" t="n">
        <v>130</v>
      </c>
      <c r="J7" s="16">
        <f>IF(OR(A7="",I7="",NOT(IF(ISNUMBER(I7),AND(I7&gt;=0),FALSE)),N(I7)=0,NOT(ISNUMBER(F7)),(Config!$B$13&lt;&gt;"Sim")),"",(I7*(1-Config!$B$8)-F7)/I7)</f>
        <v>0.315641025641026</v>
      </c>
      <c r="K7" s="17" t="str">
        <f>IF(OR(A7="",I7=""),"",IF(NOT(IF(ISNUMBER(I7),AND(I7&gt;=0),FALSE)),"Preço inválido",IF(NOT(ISNUMBER(F7)),IF(ISNUMBER(Config!$B$7),"Faltam dados da linha","Falta o custo-hora"),IF(OR(NOT(ISNUMBER(G7)),NOT(ISNUMBER(H7))),"Margens inválidas",IF(I7=0,"Sem cobrança",IF(I7&lt;G7,"Abaixo do mínimo",IF(I7&lt;H7,"Entre mínimo e alvo","No alvo ou acima")))))))</f>
        <v>Entre mínimo e alvo</v>
      </c>
      <c r="L7" s="15" t="n">
        <v>40</v>
      </c>
      <c r="M7" s="16">
        <f>IF(OR(A7="",L7="",NOT(IF(ISNUMBER(L7),AND(L7&gt;=0),FALSE)),N(L7)=0,NOT(ISNUMBER(F7)),(Config!$B$13&lt;&gt;"Sim")),"",(L7*(1-Config!$B$8)-F7)/L7)</f>
        <v>-0.976666666666666</v>
      </c>
      <c r="N7" s="15" t="n">
        <v>35</v>
      </c>
      <c r="O7" s="16">
        <f>IF(OR(A7="",N7="",NOT(IF(ISNUMBER(N7),AND(N7&gt;=0),FALSE)),N(N7)=0,NOT(ISNUMBER(F7)),(Config!$B$13&lt;&gt;"Sim")),"",(N7*(1-Config!$B$8)-F7)/N7)</f>
        <v>-1.24333333333333</v>
      </c>
      <c r="P7" s="15" t="n">
        <v>32</v>
      </c>
      <c r="Q7" s="16">
        <f>IF(OR(A7="",P7="",NOT(IF(ISNUMBER(P7),AND(P7&gt;=0),FALSE)),N(P7)=0,NOT(ISNUMBER(F7)),(Config!$B$13&lt;&gt;"Sim")),"",(P7*(1-Config!$B$8)-F7)/P7)</f>
        <v>-1.44333333333333</v>
      </c>
      <c r="R7" s="15" t="n"/>
      <c r="S7" s="16">
        <f>IF(OR(A7="",R7="",NOT(IF(ISNUMBER(R7),AND(R7&gt;=0),FALSE)),N(R7)=0,NOT(ISNUMBER(F7)),(Config!$B$13&lt;&gt;"Sim")),"",(R7*(1-Config!$B$8)-F7)/R7)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20</v>
      </c>
      <c r="F8" s="13">
        <f>IF(A8="","",IF(NOT(ISNUMBER(E8)),E8,IF(NOT(ISNUMBER(Config!$B$7)),"falta o custo-hora em Config",IF(NOT(IF(ISNUMBER(D8),AND(D8&gt;=0),FALSE)),"falta o material",E8/60*Config!$B$7+D8))))</f>
        <v>81.6666666666667</v>
      </c>
      <c r="G8" s="14">
        <f>IF(A8="","",IF(NOT(ISNUMBER(F8)),F8,IF((Config!$B$13&lt;&gt;"Sim"),"margens inválidas (Config)",F8/(1-Config!$B$8-Config!$B$9))))</f>
        <v>138.418079096045</v>
      </c>
      <c r="H8" s="13">
        <f>IF(A8="","",IF(NOT(ISNUMBER(F8)),F8,IF((Config!$B$13&lt;&gt;"Sim"),"margens inválidas (Config)",F8/(1-Config!$B$8-Config!$B$10))))</f>
        <v>185.606060606061</v>
      </c>
      <c r="I8" s="15" t="n">
        <v>300</v>
      </c>
      <c r="J8" s="16">
        <f>IF(OR(A8="",I8="",NOT(IF(ISNUMBER(I8),AND(I8&gt;=0),FALSE)),N(I8)=0,NOT(ISNUMBER(F8)),(Config!$B$13&lt;&gt;"Sim")),"",(I8*(1-Config!$B$8)-F8)/I8)</f>
        <v>0.617777777777778</v>
      </c>
      <c r="K8" s="17" t="str">
        <f>IF(OR(A8="",I8=""),"",IF(NOT(IF(ISNUMBER(I8),AND(I8&gt;=0),FALSE)),"Preço inválido",IF(NOT(ISNUMBER(F8)),IF(ISNUMBER(Config!$B$7),"Faltam dados da linha","Falta o custo-hora"),IF(OR(NOT(ISNUMBER(G8)),NOT(ISNUMBER(H8))),"Margens inválidas",IF(I8=0,"Sem cobrança",IF(I8&lt;G8,"Abaixo do mínimo",IF(I8&lt;H8,"Entre mínimo e alvo","No alvo ou acima")))))))</f>
        <v>No alvo ou acima</v>
      </c>
      <c r="L8" s="15" t="n">
        <v>95</v>
      </c>
      <c r="M8" s="16">
        <f>IF(OR(A8="",L8="",NOT(IF(ISNUMBER(L8),AND(L8&gt;=0),FALSE)),N(L8)=0,NOT(ISNUMBER(F8)),(Config!$B$13&lt;&gt;"Sim")),"",(L8*(1-Config!$B$8)-F8)/L8)</f>
        <v>0.0303508771929825</v>
      </c>
      <c r="N8" s="15" t="n">
        <v>85</v>
      </c>
      <c r="O8" s="16">
        <f>IF(OR(A8="",N8="",NOT(IF(ISNUMBER(N8),AND(N8&gt;=0),FALSE)),N(N8)=0,NOT(ISNUMBER(F8)),(Config!$B$13&lt;&gt;"Sim")),"",(N8*(1-Config!$B$8)-F8)/N8)</f>
        <v>-0.07078431372549</v>
      </c>
      <c r="P8" s="15" t="n">
        <v>75</v>
      </c>
      <c r="Q8" s="16">
        <f>IF(OR(A8="",P8="",NOT(IF(ISNUMBER(P8),AND(P8&gt;=0),FALSE)),N(P8)=0,NOT(ISNUMBER(F8)),(Config!$B$13&lt;&gt;"Sim")),"",(P8*(1-Config!$B$8)-F8)/P8)</f>
        <v>-0.198888888888889</v>
      </c>
      <c r="R8" s="15" t="n"/>
      <c r="S8" s="16">
        <f>IF(OR(A8="",R8="",NOT(IF(ISNUMBER(R8),AND(R8&gt;=0),FALSE)),N(R8)=0,NOT(ISNUMBER(F8)),(Config!$B$13&lt;&gt;"Sim")),"",(R8*(1-Config!$B$8)-F8)/R8)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F9" s="13">
        <f>IF(A9="","",IF(NOT(ISNUMBER(E9)),E9,IF(NOT(ISNUMBER(Config!$B$7)),"falta o custo-hora em Config",IF(NOT(IF(ISNUMBER(D9),AND(D9&gt;=0),FALSE)),"falta o material",E9/60*Config!$B$7+D9))))</f>
        <v>84.6666666666667</v>
      </c>
      <c r="G9" s="14">
        <f>IF(A9="","",IF(NOT(ISNUMBER(F9)),F9,IF((Config!$B$13&lt;&gt;"Sim"),"margens inválidas (Config)",F9/(1-Config!$B$8-Config!$B$9))))</f>
        <v>143.502824858757</v>
      </c>
      <c r="H9" s="13">
        <f>IF(A9="","",IF(NOT(ISNUMBER(F9)),F9,IF((Config!$B$13&lt;&gt;"Sim"),"margens inválidas (Config)",F9/(1-Config!$B$8-Config!$B$10))))</f>
        <v>192.424242424242</v>
      </c>
      <c r="I9" s="15" t="n">
        <v>350</v>
      </c>
      <c r="J9" s="16">
        <f>IF(OR(A9="",I9="",NOT(IF(ISNUMBER(I9),AND(I9&gt;=0),FALSE)),N(I9)=0,NOT(ISNUMBER(F9)),(Config!$B$13&lt;&gt;"Sim")),"",(I9*(1-Config!$B$8)-F9)/I9)</f>
        <v>0.648095238095238</v>
      </c>
      <c r="K9" s="17" t="str">
        <f>IF(OR(A9="",I9=""),"",IF(NOT(IF(ISNUMBER(I9),AND(I9&gt;=0),FALSE)),"Preço inválido",IF(NOT(ISNUMBER(F9)),IF(ISNUMBER(Config!$B$7),"Faltam dados da linha","Falta o custo-hora"),IF(OR(NOT(ISNUMBER(G9)),NOT(ISNUMBER(H9))),"Margens inválidas",IF(I9=0,"Sem cobrança",IF(I9&lt;G9,"Abaixo do mínimo",IF(I9&lt;H9,"Entre mínimo e alvo","No alvo ou acima")))))))</f>
        <v>No alvo ou acima</v>
      </c>
      <c r="L9" s="15" t="n">
        <v>105</v>
      </c>
      <c r="M9" s="16">
        <f>IF(OR(A9="",L9="",NOT(IF(ISNUMBER(L9),AND(L9&gt;=0),FALSE)),N(L9)=0,NOT(ISNUMBER(F9)),(Config!$B$13&lt;&gt;"Sim")),"",(L9*(1-Config!$B$8)-F9)/L9)</f>
        <v>0.0836507936507938</v>
      </c>
      <c r="N9" s="15" t="n">
        <v>95</v>
      </c>
      <c r="O9" s="16">
        <f>IF(OR(A9="",N9="",NOT(IF(ISNUMBER(N9),AND(N9&gt;=0),FALSE)),N(N9)=0,NOT(ISNUMBER(F9)),(Config!$B$13&lt;&gt;"Sim")),"",(N9*(1-Config!$B$8)-F9)/N9)</f>
        <v>-0.00122807017543853</v>
      </c>
      <c r="P9" s="15" t="n">
        <v>85</v>
      </c>
      <c r="Q9" s="16">
        <f>IF(OR(A9="",P9="",NOT(IF(ISNUMBER(P9),AND(P9&gt;=0),FALSE)),N(P9)=0,NOT(ISNUMBER(F9)),(Config!$B$13&lt;&gt;"Sim")),"",(P9*(1-Config!$B$8)-F9)/P9)</f>
        <v>-0.106078431372549</v>
      </c>
      <c r="R9" s="15" t="n"/>
      <c r="S9" s="16">
        <f>IF(OR(A9="",R9="",NOT(IF(ISNUMBER(R9),AND(R9&gt;=0),FALSE)),N(R9)=0,NOT(ISNUMBER(F9)),(Config!$B$13&lt;&gt;"Sim")),"",(R9*(1-Config!$B$8)-F9)/R9)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40</v>
      </c>
      <c r="F10" s="13">
        <f>IF(A10="","",IF(NOT(ISNUMBER(E10)),E10,IF(NOT(ISNUMBER(Config!$B$7)),"falta o custo-hora em Config",IF(NOT(IF(ISNUMBER(D10),AND(D10&gt;=0),FALSE)),"falta o material",E10/60*Config!$B$7+D10))))</f>
        <v>158.333333333333</v>
      </c>
      <c r="G10" s="14">
        <f>IF(A10="","",IF(NOT(ISNUMBER(F10)),F10,IF((Config!$B$13&lt;&gt;"Sim"),"margens inválidas (Config)",F10/(1-Config!$B$8-Config!$B$9))))</f>
        <v>268.361581920904</v>
      </c>
      <c r="H10" s="13">
        <f>IF(A10="","",IF(NOT(ISNUMBER(F10)),F10,IF((Config!$B$13&lt;&gt;"Sim"),"margens inválidas (Config)",F10/(1-Config!$B$8-Config!$B$10))))</f>
        <v>359.848484848485</v>
      </c>
      <c r="I10" s="15" t="n">
        <v>450</v>
      </c>
      <c r="J10" s="16">
        <f>IF(OR(A10="",I10="",NOT(IF(ISNUMBER(I10),AND(I10&gt;=0),FALSE)),N(I10)=0,NOT(ISNUMBER(F10)),(Config!$B$13&lt;&gt;"Sim")),"",(I10*(1-Config!$B$8)-F10)/I10)</f>
        <v>0.538148148148148</v>
      </c>
      <c r="K10" s="17" t="str">
        <f>IF(OR(A10="",I10=""),"",IF(NOT(IF(ISNUMBER(I10),AND(I10&gt;=0),FALSE)),"Preço inválido",IF(NOT(ISNUMBER(F10)),IF(ISNUMBER(Config!$B$7),"Faltam dados da linha","Falta o custo-hora"),IF(OR(NOT(ISNUMBER(G10)),NOT(ISNUMBER(H10))),"Margens inválidas",IF(I10=0,"Sem cobrança",IF(I10&lt;G10,"Abaixo do mínimo",IF(I10&lt;H10,"Entre mínimo e alvo","No alvo ou acima")))))))</f>
        <v>No alvo ou acima</v>
      </c>
      <c r="L10" s="15" t="n">
        <v>140</v>
      </c>
      <c r="M10" s="16">
        <f>IF(OR(A10="",L10="",NOT(IF(ISNUMBER(L10),AND(L10&gt;=0),FALSE)),N(L10)=0,NOT(ISNUMBER(F10)),(Config!$B$13&lt;&gt;"Sim")),"",(L10*(1-Config!$B$8)-F10)/L10)</f>
        <v>-0.240952380952381</v>
      </c>
      <c r="N10" s="15" t="n">
        <v>125</v>
      </c>
      <c r="O10" s="16">
        <f>IF(OR(A10="",N10="",NOT(IF(ISNUMBER(N10),AND(N10&gt;=0),FALSE)),N(N10)=0,NOT(ISNUMBER(F10)),(Config!$B$13&lt;&gt;"Sim")),"",(N10*(1-Config!$B$8)-F10)/N10)</f>
        <v>-0.376666666666667</v>
      </c>
      <c r="P10" s="15" t="n">
        <v>110</v>
      </c>
      <c r="Q10" s="16">
        <f>IF(OR(A10="",P10="",NOT(IF(ISNUMBER(P10),AND(P10&gt;=0),FALSE)),N(P10)=0,NOT(ISNUMBER(F10)),(Config!$B$13&lt;&gt;"Sim")),"",(P10*(1-Config!$B$8)-F10)/P10)</f>
        <v>-0.549393939393939</v>
      </c>
      <c r="R10" s="15" t="n"/>
      <c r="S10" s="16">
        <f>IF(OR(A10="",R10="",NOT(IF(ISNUMBER(R10),AND(R10&gt;=0),FALSE)),N(R10)=0,NOT(ISNUMBER(F10)),(Config!$B$13&lt;&gt;"Sim")),"",(R10*(1-Config!$B$8)-F10)/R10)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48</v>
      </c>
      <c r="F11" s="13">
        <f>IF(A11="","",IF(NOT(ISNUMBER(E11)),E11,IF(NOT(ISNUMBER(Config!$B$7)),"falta o custo-hora em Config",IF(NOT(IF(ISNUMBER(D11),AND(D11&gt;=0),FALSE)),"falta o material",E11/60*Config!$B$7+D11))))</f>
        <v>164</v>
      </c>
      <c r="G11" s="14">
        <f>IF(A11="","",IF(NOT(ISNUMBER(F11)),F11,IF((Config!$B$13&lt;&gt;"Sim"),"margens inválidas (Config)",F11/(1-Config!$B$8-Config!$B$9))))</f>
        <v>277.966101694915</v>
      </c>
      <c r="H11" s="13">
        <f>IF(A11="","",IF(NOT(ISNUMBER(F11)),F11,IF((Config!$B$13&lt;&gt;"Sim"),"margens inválidas (Config)",F11/(1-Config!$B$8-Config!$B$10))))</f>
        <v>372.727272727273</v>
      </c>
      <c r="I11" s="15" t="n">
        <v>400</v>
      </c>
      <c r="J11" s="16">
        <f>IF(OR(A11="",I11="",NOT(IF(ISNUMBER(I11),AND(I11&gt;=0),FALSE)),N(I11)=0,NOT(ISNUMBER(F11)),(Config!$B$13&lt;&gt;"Sim")),"",(I11*(1-Config!$B$8)-F11)/I11)</f>
        <v>0.48</v>
      </c>
      <c r="K11" s="17" t="str">
        <f>IF(OR(A11="",I11=""),"",IF(NOT(IF(ISNUMBER(I11),AND(I11&gt;=0),FALSE)),"Preço inválido",IF(NOT(ISNUMBER(F11)),IF(ISNUMBER(Config!$B$7),"Faltam dados da linha","Falta o custo-hora"),IF(OR(NOT(ISNUMBER(G11)),NOT(ISNUMBER(H11))),"Margens inválidas",IF(I11=0,"Sem cobrança",IF(I11&lt;G11,"Abaixo do mínimo",IF(I11&lt;H11,"Entre mínimo e alvo","No alvo ou acima")))))))</f>
        <v>No alvo ou acima</v>
      </c>
      <c r="L11" s="15" t="n">
        <v>130</v>
      </c>
      <c r="M11" s="16">
        <f>IF(OR(A11="",L11="",NOT(IF(ISNUMBER(L11),AND(L11&gt;=0),FALSE)),N(L11)=0,NOT(ISNUMBER(F11)),(Config!$B$13&lt;&gt;"Sim")),"",(L11*(1-Config!$B$8)-F11)/L11)</f>
        <v>-0.371538461538462</v>
      </c>
      <c r="N11" s="15" t="n"/>
      <c r="O11" s="16">
        <f>IF(OR(A11="",N11="",NOT(IF(ISNUMBER(N11),AND(N11&gt;=0),FALSE)),N(N11)=0,NOT(ISNUMBER(F11)),(Config!$B$13&lt;&gt;"Sim")),"",(N11*(1-Config!$B$8)-F11)/N11)</f>
        <v/>
      </c>
      <c r="P11" s="15" t="n"/>
      <c r="Q11" s="16">
        <f>IF(OR(A11="",P11="",NOT(IF(ISNUMBER(P11),AND(P11&gt;=0),FALSE)),N(P11)=0,NOT(ISNUMBER(F11)),(Config!$B$13&lt;&gt;"Sim")),"",(P11*(1-Config!$B$8)-F11)/P11)</f>
        <v/>
      </c>
      <c r="R11" s="15" t="n"/>
      <c r="S11" s="16">
        <f>IF(OR(A11="",R11="",NOT(IF(ISNUMBER(R11),AND(R11&gt;=0),FALSE)),N(R11)=0,NOT(ISNUMBER(F11)),(Config!$B$13&lt;&gt;"Sim")),"",(R11*(1-Config!$B$8)-F11)/R11)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/>
      </c>
      <c r="F12" s="13">
        <f>IF(A12="","",IF(NOT(ISNUMBER(E12)),E12,IF(NOT(ISNUMBER(Config!$B$7)),"falta o custo-hora em Config",IF(NOT(IF(ISNUMBER(D12),AND(D12&gt;=0),FALSE)),"falta o material",E12/60*Config!$B$7+D12))))</f>
        <v/>
      </c>
      <c r="G12" s="14">
        <f>IF(A12="","",IF(NOT(ISNUMBER(F12)),F12,IF((Config!$B$13&lt;&gt;"Sim"),"margens inválidas (Config)",F12/(1-Config!$B$8-Config!$B$9))))</f>
        <v/>
      </c>
      <c r="H12" s="13">
        <f>IF(A12="","",IF(NOT(ISNUMBER(F12)),F12,IF((Config!$B$13&lt;&gt;"Sim"),"margens inválidas (Config)",F12/(1-Config!$B$8-Config!$B$10))))</f>
        <v/>
      </c>
      <c r="I12" s="15" t="n"/>
      <c r="J12" s="16">
        <f>IF(OR(A12="",I12="",NOT(IF(ISNUMBER(I12),AND(I12&gt;=0),FALSE)),N(I12)=0,NOT(ISNUMBER(F12)),(Config!$B$13&lt;&gt;"Sim")),"",(I12*(1-Config!$B$8)-F12)/I12)</f>
        <v/>
      </c>
      <c r="K12" s="17">
        <f>IF(OR(A12="",I12=""),"",IF(NOT(IF(ISNUMBER(I12),AND(I12&gt;=0),FALSE)),"Preço inválido",IF(NOT(ISNUMBER(F12)),IF(ISNUMBER(Config!$B$7),"Faltam dados da linha","Falta o custo-hora"),IF(OR(NOT(ISNUMBER(G12)),NOT(ISNUMBER(H12))),"Margens inválidas",IF(I12=0,"Sem cobrança",IF(I12&lt;G12,"Abaixo do mínimo",IF(I12&lt;H12,"Entre mínimo e alvo","No alvo ou acima")))))))</f>
        <v/>
      </c>
      <c r="L12" s="15" t="n"/>
      <c r="M12" s="16">
        <f>IF(OR(A12="",L12="",NOT(IF(ISNUMBER(L12),AND(L12&gt;=0),FALSE)),N(L12)=0,NOT(ISNUMBER(F12)),(Config!$B$13&lt;&gt;"Sim")),"",(L12*(1-Config!$B$8)-F12)/L12)</f>
        <v/>
      </c>
      <c r="N12" s="15" t="n"/>
      <c r="O12" s="16">
        <f>IF(OR(A12="",N12="",NOT(IF(ISNUMBER(N12),AND(N12&gt;=0),FALSE)),N(N12)=0,NOT(ISNUMBER(F12)),(Config!$B$13&lt;&gt;"Sim")),"",(N12*(1-Config!$B$8)-F12)/N12)</f>
        <v/>
      </c>
      <c r="P12" s="15" t="n"/>
      <c r="Q12" s="16">
        <f>IF(OR(A12="",P12="",NOT(IF(ISNUMBER(P12),AND(P12&gt;=0),FALSE)),N(P12)=0,NOT(ISNUMBER(F12)),(Config!$B$13&lt;&gt;"Sim")),"",(P12*(1-Config!$B$8)-F12)/P12)</f>
        <v/>
      </c>
      <c r="R12" s="15" t="n"/>
      <c r="S12" s="16">
        <f>IF(OR(A12="",R12="",NOT(IF(ISNUMBER(R12),AND(R12&gt;=0),FALSE)),N(R12)=0,NOT(ISNUMBER(F12)),(Config!$B$13&lt;&gt;"Sim")),"",(R12*(1-Config!$B$8)-F12)/R12)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/>
      </c>
      <c r="F13" s="13">
        <f>IF(A13="","",IF(NOT(ISNUMBER(E13)),E13,IF(NOT(ISNUMBER(Config!$B$7)),"falta o custo-hora em Config",IF(NOT(IF(ISNUMBER(D13),AND(D13&gt;=0),FALSE)),"falta o material",E13/60*Config!$B$7+D13))))</f>
        <v/>
      </c>
      <c r="G13" s="14">
        <f>IF(A13="","",IF(NOT(ISNUMBER(F13)),F13,IF((Config!$B$13&lt;&gt;"Sim"),"margens inválidas (Config)",F13/(1-Config!$B$8-Config!$B$9))))</f>
        <v/>
      </c>
      <c r="H13" s="13">
        <f>IF(A13="","",IF(NOT(ISNUMBER(F13)),F13,IF((Config!$B$13&lt;&gt;"Sim"),"margens inválidas (Config)",F13/(1-Config!$B$8-Config!$B$10))))</f>
        <v/>
      </c>
      <c r="I13" s="15" t="n"/>
      <c r="J13" s="16">
        <f>IF(OR(A13="",I13="",NOT(IF(ISNUMBER(I13),AND(I13&gt;=0),FALSE)),N(I13)=0,NOT(ISNUMBER(F13)),(Config!$B$13&lt;&gt;"Sim")),"",(I13*(1-Config!$B$8)-F13)/I13)</f>
        <v/>
      </c>
      <c r="K13" s="17">
        <f>IF(OR(A13="",I13=""),"",IF(NOT(IF(ISNUMBER(I13),AND(I13&gt;=0),FALSE)),"Preço inválido",IF(NOT(ISNUMBER(F13)),IF(ISNUMBER(Config!$B$7),"Faltam dados da linha","Falta o custo-hora"),IF(OR(NOT(ISNUMBER(G13)),NOT(ISNUMBER(H13))),"Margens inválidas",IF(I13=0,"Sem cobrança",IF(I13&lt;G13,"Abaixo do mínimo",IF(I13&lt;H13,"Entre mínimo e alvo","No alvo ou acima")))))))</f>
        <v/>
      </c>
      <c r="L13" s="15" t="n"/>
      <c r="M13" s="16">
        <f>IF(OR(A13="",L13="",NOT(IF(ISNUMBER(L13),AND(L13&gt;=0),FALSE)),N(L13)=0,NOT(ISNUMBER(F13)),(Config!$B$13&lt;&gt;"Sim")),"",(L13*(1-Config!$B$8)-F13)/L13)</f>
        <v/>
      </c>
      <c r="N13" s="15" t="n"/>
      <c r="O13" s="16">
        <f>IF(OR(A13="",N13="",NOT(IF(ISNUMBER(N13),AND(N13&gt;=0),FALSE)),N(N13)=0,NOT(ISNUMBER(F13)),(Config!$B$13&lt;&gt;"Sim")),"",(N13*(1-Config!$B$8)-F13)/N13)</f>
        <v/>
      </c>
      <c r="P13" s="15" t="n"/>
      <c r="Q13" s="16">
        <f>IF(OR(A13="",P13="",NOT(IF(ISNUMBER(P13),AND(P13&gt;=0),FALSE)),N(P13)=0,NOT(ISNUMBER(F13)),(Config!$B$13&lt;&gt;"Sim")),"",(P13*(1-Config!$B$8)-F13)/P13)</f>
        <v/>
      </c>
      <c r="R13" s="15" t="n"/>
      <c r="S13" s="16">
        <f>IF(OR(A13="",R13="",NOT(IF(ISNUMBER(R13),AND(R13&gt;=0),FALSE)),N(R13)=0,NOT(ISNUMBER(F13)),(Config!$B$13&lt;&gt;"Sim")),"",(R13*(1-Config!$B$8)-F13)/R13)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/>
      </c>
      <c r="F14" s="13">
        <f>IF(A14="","",IF(NOT(ISNUMBER(E14)),E14,IF(NOT(ISNUMBER(Config!$B$7)),"falta o custo-hora em Config",IF(NOT(IF(ISNUMBER(D14),AND(D14&gt;=0),FALSE)),"falta o material",E14/60*Config!$B$7+D14))))</f>
        <v/>
      </c>
      <c r="G14" s="14">
        <f>IF(A14="","",IF(NOT(ISNUMBER(F14)),F14,IF((Config!$B$13&lt;&gt;"Sim"),"margens inválidas (Config)",F14/(1-Config!$B$8-Config!$B$9))))</f>
        <v/>
      </c>
      <c r="H14" s="13">
        <f>IF(A14="","",IF(NOT(ISNUMBER(F14)),F14,IF((Config!$B$13&lt;&gt;"Sim"),"margens inválidas (Config)",F14/(1-Config!$B$8-Config!$B$10))))</f>
        <v/>
      </c>
      <c r="I14" s="15" t="n"/>
      <c r="J14" s="16">
        <f>IF(OR(A14="",I14="",NOT(IF(ISNUMBER(I14),AND(I14&gt;=0),FALSE)),N(I14)=0,NOT(ISNUMBER(F14)),(Config!$B$13&lt;&gt;"Sim")),"",(I14*(1-Config!$B$8)-F14)/I14)</f>
        <v/>
      </c>
      <c r="K14" s="17">
        <f>IF(OR(A14="",I14=""),"",IF(NOT(IF(ISNUMBER(I14),AND(I14&gt;=0),FALSE)),"Preço inválido",IF(NOT(ISNUMBER(F14)),IF(ISNUMBER(Config!$B$7),"Faltam dados da linha","Falta o custo-hora"),IF(OR(NOT(ISNUMBER(G14)),NOT(ISNUMBER(H14))),"Margens inválidas",IF(I14=0,"Sem cobrança",IF(I14&lt;G14,"Abaixo do mínimo",IF(I14&lt;H14,"Entre mínimo e alvo","No alvo ou acima")))))))</f>
        <v/>
      </c>
      <c r="L14" s="15" t="n"/>
      <c r="M14" s="16">
        <f>IF(OR(A14="",L14="",NOT(IF(ISNUMBER(L14),AND(L14&gt;=0),FALSE)),N(L14)=0,NOT(ISNUMBER(F14)),(Config!$B$13&lt;&gt;"Sim")),"",(L14*(1-Config!$B$8)-F14)/L14)</f>
        <v/>
      </c>
      <c r="N14" s="15" t="n"/>
      <c r="O14" s="16">
        <f>IF(OR(A14="",N14="",NOT(IF(ISNUMBER(N14),AND(N14&gt;=0),FALSE)),N(N14)=0,NOT(ISNUMBER(F14)),(Config!$B$13&lt;&gt;"Sim")),"",(N14*(1-Config!$B$8)-F14)/N14)</f>
        <v/>
      </c>
      <c r="P14" s="15" t="n"/>
      <c r="Q14" s="16">
        <f>IF(OR(A14="",P14="",NOT(IF(ISNUMBER(P14),AND(P14&gt;=0),FALSE)),N(P14)=0,NOT(ISNUMBER(F14)),(Config!$B$13&lt;&gt;"Sim")),"",(P14*(1-Config!$B$8)-F14)/P14)</f>
        <v/>
      </c>
      <c r="R14" s="15" t="n"/>
      <c r="S14" s="16">
        <f>IF(OR(A14="",R14="",NOT(IF(ISNUMBER(R14),AND(R14&gt;=0),FALSE)),N(R14)=0,NOT(ISNUMBER(F14)),(Config!$B$13&lt;&gt;"Sim")),"",(R14*(1-Config!$B$8)-F14)/R14)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F15" s="13">
        <f>IF(A15="","",IF(NOT(ISNUMBER(E15)),E15,IF(NOT(ISNUMBER(Config!$B$7)),"falta o custo-hora em Config",IF(NOT(IF(ISNUMBER(D15),AND(D15&gt;=0),FALSE)),"falta o material",E15/60*Config!$B$7+D15))))</f>
        <v/>
      </c>
      <c r="G15" s="14">
        <f>IF(A15="","",IF(NOT(ISNUMBER(F15)),F15,IF((Config!$B$13&lt;&gt;"Sim"),"margens inválidas (Config)",F15/(1-Config!$B$8-Config!$B$9))))</f>
        <v/>
      </c>
      <c r="H15" s="13">
        <f>IF(A15="","",IF(NOT(ISNUMBER(F15)),F15,IF((Config!$B$13&lt;&gt;"Sim"),"margens inválidas (Config)",F15/(1-Config!$B$8-Config!$B$10))))</f>
        <v/>
      </c>
      <c r="I15" s="15" t="n"/>
      <c r="J15" s="16">
        <f>IF(OR(A15="",I15="",NOT(IF(ISNUMBER(I15),AND(I15&gt;=0),FALSE)),N(I15)=0,NOT(ISNUMBER(F15)),(Config!$B$13&lt;&gt;"Sim")),"",(I15*(1-Config!$B$8)-F15)/I15)</f>
        <v/>
      </c>
      <c r="K15" s="17">
        <f>IF(OR(A15="",I15=""),"",IF(NOT(IF(ISNUMBER(I15),AND(I15&gt;=0),FALSE)),"Preço inválido",IF(NOT(ISNUMBER(F15)),IF(ISNUMBER(Config!$B$7),"Faltam dados da linha","Falta o custo-hora"),IF(OR(NOT(ISNUMBER(G15)),NOT(ISNUMBER(H15))),"Margens inválidas",IF(I15=0,"Sem cobrança",IF(I15&lt;G15,"Abaixo do mínimo",IF(I15&lt;H15,"Entre mínimo e alvo","No alvo ou acima")))))))</f>
        <v/>
      </c>
      <c r="L15" s="15" t="n"/>
      <c r="M15" s="16">
        <f>IF(OR(A15="",L15="",NOT(IF(ISNUMBER(L15),AND(L15&gt;=0),FALSE)),N(L15)=0,NOT(ISNUMBER(F15)),(Config!$B$13&lt;&gt;"Sim")),"",(L15*(1-Config!$B$8)-F15)/L15)</f>
        <v/>
      </c>
      <c r="N15" s="15" t="n"/>
      <c r="O15" s="16">
        <f>IF(OR(A15="",N15="",NOT(IF(ISNUMBER(N15),AND(N15&gt;=0),FALSE)),N(N15)=0,NOT(ISNUMBER(F15)),(Config!$B$13&lt;&gt;"Sim")),"",(N15*(1-Config!$B$8)-F15)/N15)</f>
        <v/>
      </c>
      <c r="P15" s="15" t="n"/>
      <c r="Q15" s="16">
        <f>IF(OR(A15="",P15="",NOT(IF(ISNUMBER(P15),AND(P15&gt;=0),FALSE)),N(P15)=0,NOT(ISNUMBER(F15)),(Config!$B$13&lt;&gt;"Sim")),"",(P15*(1-Config!$B$8)-F15)/P15)</f>
        <v/>
      </c>
      <c r="R15" s="15" t="n"/>
      <c r="S15" s="16">
        <f>IF(OR(A15="",R15="",NOT(IF(ISNUMBER(R15),AND(R15&gt;=0),FALSE)),N(R15)=0,NOT(ISNUMBER(F15)),(Config!$B$13&lt;&gt;"Sim")),"",(R15*(1-Config!$B$8)-F15)/R15)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F16" s="13">
        <f>IF(A16="","",IF(NOT(ISNUMBER(E16)),E16,IF(NOT(ISNUMBER(Config!$B$7)),"falta o custo-hora em Config",IF(NOT(IF(ISNUMBER(D16),AND(D16&gt;=0),FALSE)),"falta o material",E16/60*Config!$B$7+D16))))</f>
        <v/>
      </c>
      <c r="G16" s="14">
        <f>IF(A16="","",IF(NOT(ISNUMBER(F16)),F16,IF((Config!$B$13&lt;&gt;"Sim"),"margens inválidas (Config)",F16/(1-Config!$B$8-Config!$B$9))))</f>
        <v/>
      </c>
      <c r="H16" s="13">
        <f>IF(A16="","",IF(NOT(ISNUMBER(F16)),F16,IF((Config!$B$13&lt;&gt;"Sim"),"margens inválidas (Config)",F16/(1-Config!$B$8-Config!$B$10))))</f>
        <v/>
      </c>
      <c r="I16" s="15" t="n"/>
      <c r="J16" s="16">
        <f>IF(OR(A16="",I16="",NOT(IF(ISNUMBER(I16),AND(I16&gt;=0),FALSE)),N(I16)=0,NOT(ISNUMBER(F16)),(Config!$B$13&lt;&gt;"Sim")),"",(I16*(1-Config!$B$8)-F16)/I16)</f>
        <v/>
      </c>
      <c r="K16" s="17">
        <f>IF(OR(A16="",I16=""),"",IF(NOT(IF(ISNUMBER(I16),AND(I16&gt;=0),FALSE)),"Preço inválido",IF(NOT(ISNUMBER(F16)),IF(ISNUMBER(Config!$B$7),"Faltam dados da linha","Falta o custo-hora"),IF(OR(NOT(ISNUMBER(G16)),NOT(ISNUMBER(H16))),"Margens inválidas",IF(I16=0,"Sem cobrança",IF(I16&lt;G16,"Abaixo do mínimo",IF(I16&lt;H16,"Entre mínimo e alvo","No alvo ou acima")))))))</f>
        <v/>
      </c>
      <c r="L16" s="15" t="n"/>
      <c r="M16" s="16">
        <f>IF(OR(A16="",L16="",NOT(IF(ISNUMBER(L16),AND(L16&gt;=0),FALSE)),N(L16)=0,NOT(ISNUMBER(F16)),(Config!$B$13&lt;&gt;"Sim")),"",(L16*(1-Config!$B$8)-F16)/L16)</f>
        <v/>
      </c>
      <c r="N16" s="15" t="n"/>
      <c r="O16" s="16">
        <f>IF(OR(A16="",N16="",NOT(IF(ISNUMBER(N16),AND(N16&gt;=0),FALSE)),N(N16)=0,NOT(ISNUMBER(F16)),(Config!$B$13&lt;&gt;"Sim")),"",(N16*(1-Config!$B$8)-F16)/N16)</f>
        <v/>
      </c>
      <c r="P16" s="15" t="n"/>
      <c r="Q16" s="16">
        <f>IF(OR(A16="",P16="",NOT(IF(ISNUMBER(P16),AND(P16&gt;=0),FALSE)),N(P16)=0,NOT(ISNUMBER(F16)),(Config!$B$13&lt;&gt;"Sim")),"",(P16*(1-Config!$B$8)-F16)/P16)</f>
        <v/>
      </c>
      <c r="R16" s="15" t="n"/>
      <c r="S16" s="16">
        <f>IF(OR(A16="",R16="",NOT(IF(ISNUMBER(R16),AND(R16&gt;=0),FALSE)),N(R16)=0,NOT(ISNUMBER(F16)),(Config!$B$13&lt;&gt;"Sim")),"",(R16*(1-Config!$B$8)-F16)/R16)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IF(ISNUMBER(Config!$B$7),Config!$B$7,"falta o custo-hora em Config")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IF(NOT(ISNUMBER(Config!$B$7)),"falta o custo-hora em Config",IF((Config!$B$13&lt;&gt;"Sim"),"margens inválidas (Config)",IF(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incompletos",Config!$B$7/(1-Config!$B$8-Config!$B$9))))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IF(NOT(ISNUMBER(Config!$B$7)),"falta o custo-hora em Config",IF((Config!$B$13&lt;&gt;"Sim"),"margens inválidas (Config)",IF(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incompletos",COUNTIF($K$5:$K$16,"Abaixo do mínimo")&amp;" de "&amp;COUNTA($A$5:$A$16))))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IF(NOT(ISNUMBER(Config!$B$7)),"falta o custo-hora em Config",IF((Config!$B$13&lt;&gt;"Sim"),"margens inválidas (Config)",IF(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incompletos",COUNTIF($T$5:$W$16,"&lt;0"))))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IF(NOT(ISNUMBER(Config!$B$7)),"falta o custo-hora em Config",IF((Config!$B$13&lt;&gt;"Sim"),"margens inválidas (Config)",IF(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incompletos",-MIN($T$5:$W$16))))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IF(NOT(IF(ISNUMBER(B31),AND(B31&gt;=0),FALSE)),"faltam os minutos",IF(AND(B32&lt;&gt;"Sim",B32&lt;&gt;"Não"),"falta: gera retorno?",IF(AND(B32="Sim",NOT(AND(IF(ISNUMBER(Config!$B$11),AND(Config!$B$11&gt;=0),FALSE),IF(ISNUMBER(Config!$B$12),AND(Config!$B$12&gt;=0),FALSE)))),"falta o retorno em Config",B31+IF(B32="Sim",Config!$B$11*Config!$B$12,0))))</f>
        <v>53</v>
      </c>
    </row>
    <row r="36">
      <c r="A36" s="21" t="inlineStr">
        <is>
          <t>Custo cheio (R$)</t>
        </is>
      </c>
      <c r="B36" s="27">
        <f>IF(NOT(ISNUMBER(B35)),B35,IF(NOT(ISNUMBER(Config!$B$7)),"falta o custo-hora em Config",IF(NOT(IF(ISNUMBER(B33),AND(B33&gt;=0),FALSE)),"falta o material",B35/60*Config!$B$7+B33)))</f>
        <v>180.666666666667</v>
      </c>
    </row>
    <row r="37">
      <c r="A37" s="21" t="inlineStr">
        <is>
          <t>Preço mínimo (R$)</t>
        </is>
      </c>
      <c r="B37" s="14">
        <f>IF(NOT(ISNUMBER(B36)),B36,IF((Config!$B$13&lt;&gt;"Sim"),"margens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IF(NOT(ISNUMBER(B36)),B36,IF((Config!$B$13&lt;&gt;"Sim"),"margens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IF(OR(NOT(IF(ISNUMBER(B34),AND(B34&gt;=0),FALSE)),N(B34)=0,NOT(ISNUMBER(B36)),(Config!$B$13&lt;&gt;"Sim")),"",(B34*(1-Config!$B$8)-B36)/B34)</f>
        <v>0.513611111111111</v>
      </c>
    </row>
    <row r="40">
      <c r="A40" s="21" t="inlineStr">
        <is>
          <t>Leitura</t>
        </is>
      </c>
      <c r="B40" s="28" t="str">
        <f>IF(B34="","",IF(NOT(IF(ISNUMBER(B34),AND(B34&gt;=0),FALSE)),"Preço pretendido inválido",IF(B34=0,"",IF(NOT(ISNUMBER(B36)),IF(ISNUMBER(Config!$B$7),"Faltam dados: "&amp;B36,"Falta o custo-hora em Config"),IF(OR(NOT(ISNUMBER(B37)),NOT(ISNUMBER(B38))),"Margens inválidas em Config",IF(B34&lt;B37,"Abaixo do mínimo: cobre parte do custo, não a margem",IF(B34&lt;B38,"Entre o mínimo e o alvo","No alvo ou acima")))))))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inválidas",K5="Faltam dados da linha",K5="Preço inválido")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3">
      <c r="A13" s="29" t="inlineStr">
        <is>
          <t>Impostos e margens conferem? (calculado)</t>
        </is>
      </c>
      <c r="B13" s="17" t="str">
        <f>IF(AND(ISNUMBER(B8),ISNUMBER(B9),ISNUMBER(B10)),IF(AND(B8&gt;=0,B8&lt;1,B9&gt;=0,B9&lt;=B10,B10&lt;1,B8+B10&lt;1),"Sim","Não"),"Não")</f>
        <v>Sim</v>
      </c>
      <c r="C13" s="31" t="inlineStr">
        <is>
          <t>"Não" suspende preços, margens, situação e resumo: impostos e margens de 0 % a 99 %, mínima ≤ alvo e impostos + margem alvo abaixo de 100 %.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2026-09-24T15:26:34Z</dcterms:created>
  <dcterms:modified xmlns:dcterms="http://purl.org/dc/terms/" xmlns:xsi="http://www.w3.org/2001/XMLSchema-instance" xsi:type="dcterms:W3CDTF">2026-09-24T15:26:34Z</dcterms:modified>
</cp:coreProperties>
</file>