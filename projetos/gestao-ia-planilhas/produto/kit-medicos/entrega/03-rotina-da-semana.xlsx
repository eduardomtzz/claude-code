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Roti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/mm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8"/>
    </font>
    <font>
      <name val="Arial"/>
      <color rgb="007A5AA8"/>
      <sz val="8"/>
    </font>
    <font>
      <name val="Arial"/>
      <b val="1"/>
      <color rgb="00FFFFFF"/>
      <sz val="9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color rgb="007A5AA8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FC83D"/>
      </patternFill>
    </fill>
    <fill>
      <patternFill patternType="solid">
        <fgColor rgb="00DDF3E7"/>
      </patternFill>
    </fill>
  </fills>
  <borders count="5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10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11" fillId="6" borderId="0" applyAlignment="1" pivotButton="0" quotePrefix="0" xfId="0">
      <alignment horizontal="center"/>
    </xf>
    <xf numFmtId="0" fontId="0" fillId="6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9" fontId="1" fillId="4" borderId="0" applyAlignment="1" pivotButton="0" quotePrefix="0" xfId="0">
      <alignment horizontal="center"/>
    </xf>
    <xf numFmtId="49" fontId="1" fillId="5" borderId="0" applyAlignment="1" pivotButton="0" quotePrefix="0" xfId="0">
      <alignment horizontal="center"/>
    </xf>
    <xf numFmtId="49" fontId="1" fillId="4" borderId="0" applyAlignment="1" pivotButton="0" quotePrefix="0" xfId="0">
      <alignment horizontal="center"/>
    </xf>
    <xf numFmtId="3" fontId="12" fillId="6" borderId="0" applyAlignment="1" pivotButton="0" quotePrefix="0" xfId="0">
      <alignment horizontal="center"/>
    </xf>
    <xf numFmtId="0" fontId="13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13" fillId="0" borderId="0" applyAlignment="1" pivotButton="0" quotePrefix="0" xfId="0">
      <alignment horizontal="left" vertical="top"/>
    </xf>
    <xf numFmtId="165" fontId="4" fillId="0" borderId="1" applyAlignment="1" pivotButton="0" quotePrefix="0" xfId="0">
      <alignment horizontal="center"/>
    </xf>
    <xf numFmtId="0" fontId="14" fillId="0" borderId="1" pivotButton="0" quotePrefix="0" xfId="0"/>
    <xf numFmtId="0" fontId="0" fillId="0" borderId="4" pivotButton="0" quotePrefix="0" xfId="0"/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166" fontId="8" fillId="0" borderId="0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/>
    </xf>
    <xf numFmtId="0" fontId="4" fillId="2" borderId="1" applyAlignment="1" applyProtection="1" pivotButton="0" quotePrefix="0" xfId="0">
      <alignment horizontal="center"/>
      <protection locked="0" hidden="0"/>
    </xf>
    <xf numFmtId="1" fontId="4" fillId="0" borderId="1" applyAlignment="1" pivotButton="0" quotePrefix="0" xfId="0">
      <alignment horizontal="center"/>
    </xf>
  </cellXfs>
  <cellStyles count="1">
    <cellStyle name="Normal" xfId="0" builtinId="0" hidden="0"/>
  </cellStyles>
  <dxfs count="7">
    <dxf>
      <font>
        <name val="Arial"/>
        <color rgb="00B0A6C4"/>
        <sz val="10"/>
      </font>
    </dxf>
    <dxf>
      <font>
        <name val="Arial"/>
        <b val="1"/>
        <color rgb="00C8402E"/>
        <sz val="10"/>
      </font>
    </dxf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3B1F5E"/>
        <sz val="9"/>
      </font>
      <fill>
        <patternFill patternType="solid">
          <fgColor rgb="00FFC83D"/>
        </patternFill>
      </fill>
    </dxf>
    <dxf>
      <fill>
        <patternFill patternType="solid">
          <fgColor rgb="00F3E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Rotina da semana da clínica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Fixa a rotina de gestão em dois momentos curtos: segunda (agenda, faltas e retornos) e sexta (caixa, guias, orçamentos e painel). Você marca, semana a semana, o que foi feito; o Painel mostra a aderência das últimas 4 semanas, por dia e por rotina.</t>
        </is>
      </c>
    </row>
    <row r="5" ht="46" customHeight="1">
      <c r="A5" s="3" t="inlineStr">
        <is>
          <t>Passo 1</t>
        </is>
      </c>
      <c r="B5" s="4" t="inlineStr">
        <is>
          <t>Em Config, troque a data de referência por =HOJE() (no exemplo ela está congelada em 14/09/2026), a segunda-feira da semana 1 (sugestão: a primeira do ano) e as pessoas da clínica.</t>
        </is>
      </c>
    </row>
    <row r="6" ht="46" customHeight="1">
      <c r="A6" s="3" t="inlineStr">
        <is>
          <t>Passo 2</t>
        </is>
      </c>
      <c r="B6" s="4" t="inlineStr">
        <is>
          <t>Em Rotina, ajuste as linhas: dia, rotina, minutos e responsável. O exemplo soma 30 minutos por semana (3 rotinas de segunda = 12 min; 5 de sexta = 18 min), a maior parte com a recepção; mantenha curto, o que é longo não vira hábito. O checklist do dia (04) é da recepção e corre por fora destes 30 minutos.</t>
        </is>
      </c>
    </row>
    <row r="7" ht="46" customHeight="1">
      <c r="A7" s="3" t="inlineStr">
        <is>
          <t>Passo 3</t>
        </is>
      </c>
      <c r="B7" s="4" t="inlineStr">
        <is>
          <t>Toda segunda e toda sexta, depois de fazer a rotina, marque Sim (ou Não, se pulou) na coluna da semana. A coluna da semana atual fica destacada em amarelo.</t>
        </is>
      </c>
    </row>
    <row r="8" ht="46" customHeight="1">
      <c r="A8" s="3" t="inlineStr">
        <is>
          <t>Passo 4</t>
        </is>
      </c>
      <c r="B8" s="4" t="inlineStr">
        <is>
          <t>Em Painel, veja a aderência das últimas 4 semanas registradas, a série das últimas 8 e qual rotina está sendo pulada. Menos de 70% em vermelho.</t>
        </is>
      </c>
    </row>
    <row r="9" ht="46" customHeight="1">
      <c r="A9" s="3" t="inlineStr">
        <is>
          <t>Exemplo</t>
        </is>
      </c>
      <c r="B9" s="4" t="inlineStr">
        <is>
          <t>A clínica fictícia registrou de 20/07 a 07/09/2026 (S29 a S36). O Painel sempre olha as últimas semanas registradas, então o exemplo continua fazendo sentido em qualquer data. Em janeiro de 2027, troque a segunda-feira da semana 1 em Config (veja a nota lá).</t>
        </is>
      </c>
    </row>
    <row r="10" ht="46" customHeight="1">
      <c r="A10" s="3" t="inlineStr">
        <is>
          <t>Com a IA</t>
        </is>
      </c>
      <c r="B10" s="4" t="inlineStr">
        <is>
          <t>Copie a tabela "Por rotina" e use o prompt "Agenda 05 · Rotina da recepção em 30 minutos por semana" da biblioteca do kit.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Dados de pacientes</t>
        </is>
      </c>
      <c r="B14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6" ht="46" customHeight="1">
      <c r="A16" s="3" t="inlineStr">
        <is>
          <t>Exemplos</t>
        </is>
      </c>
      <c r="B16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0" customWidth="1" min="3" max="3"/>
    <col width="22" customWidth="1" min="4" max="4"/>
    <col width="10" customWidth="1" min="5" max="5"/>
    <col width="10" customWidth="1" min="6" max="6"/>
    <col width="11" customWidth="1" min="7" max="7"/>
    <col width="26" customWidth="1" min="8" max="8"/>
    <col width="3" customWidth="1" min="9" max="9"/>
    <col hidden="1" width="26" customWidth="1" min="10" max="10"/>
    <col hidden="1" width="12" customWidth="1" min="11" max="11"/>
  </cols>
  <sheetData>
    <row r="1" ht="28" customHeight="1">
      <c r="A1" s="5" t="str">
        <f>Config!$B$4&amp;" · Aderência à rotina · "&amp;TEXT(DAY(Config!$B$5),"00")&amp;"/"&amp;TEXT(MONTH(Config!$B$5),"00")&amp;"/"&amp;YEAR(Config!$B$5)</f>
        <v>Clínica Vida Plena (exemplo fictício) · Aderência à rotina · 14/09/2026</v>
      </c>
    </row>
    <row r="2">
      <c r="A2" s="6" t="inlineStr">
        <is>
          <t>Nada para digitar aqui: tudo vem de Config e Rotina. Aderência = rotinas feitas ÷ rotinas planejadas nas últimas 4 semanas registradas.</t>
        </is>
      </c>
    </row>
    <row r="3"/>
    <row r="4">
      <c r="A4" s="7" t="inlineStr">
        <is>
          <t>Aderência (últimas 4 semanas)</t>
        </is>
      </c>
      <c r="B4" s="8" t="n"/>
      <c r="C4" s="9" t="inlineStr">
        <is>
          <t>Semana atual</t>
        </is>
      </c>
      <c r="D4" s="10" t="n"/>
      <c r="E4" s="7" t="inlineStr">
        <is>
          <t>Última registrada</t>
        </is>
      </c>
      <c r="F4" s="8" t="n"/>
      <c r="G4" s="11" t="inlineStr">
        <is>
          <t>Minutos por semana</t>
        </is>
      </c>
      <c r="H4" s="12" t="n"/>
      <c r="J4" s="13" t="inlineStr">
        <is>
          <t>Última semana registrada</t>
        </is>
      </c>
      <c r="K4" s="14">
        <f>SUMPRODUCT(MAX((Rotina!$E$31:$BD$31&gt;0)*Rotina!$E$2:$BD$2))</f>
        <v>36</v>
      </c>
    </row>
    <row r="5" ht="30" customHeight="1">
      <c r="A5" s="15">
        <f>IF(OR($K$4=0,$K$7=0),"",SUMPRODUCT((Rotina!$E$2:$BD$2&gt;=$K$4-3)*(Rotina!$E$2:$BD$2&lt;=$K$4)*Rotina!$E$30:$BD$30)/($K$6*$K$7))</f>
        <v>0.84375</v>
      </c>
      <c r="B5" s="8" t="n"/>
      <c r="C5" s="16" t="str">
        <f>"S"&amp;$K$5&amp;" · "&amp;TEXT(DAY(Config!$B$6+7*($K$5-1)),"00")&amp;"/"&amp;TEXT(MONTH(Config!$B$6+7*($K$5-1)),"00")</f>
        <v>S37 · 14/09</v>
      </c>
      <c r="D5" s="10" t="n"/>
      <c r="E5" s="17" t="str">
        <f>IF($K$4=0,"nenhuma","S"&amp;$K$4&amp;" · "&amp;TEXT(DAY(Config!$B$6+7*($K$4-1)),"00")&amp;"/"&amp;TEXT(MONTH(Config!$B$6+7*($K$4-1)),"00"))</f>
        <v>S36 · 07/09</v>
      </c>
      <c r="F5" s="8" t="n"/>
      <c r="G5" s="18">
        <f>SUM(Rotina!$C$5:$C$28)</f>
        <v>30</v>
      </c>
      <c r="H5" s="12" t="n"/>
      <c r="J5" s="13" t="inlineStr">
        <is>
          <t>Semana da data de referência</t>
        </is>
      </c>
      <c r="K5" s="14">
        <f>MIN(52,MAX(1,INT((Config!$B$5-Config!$B$6)/7)+1))</f>
        <v>37</v>
      </c>
    </row>
    <row r="6">
      <c r="J6" s="13" t="inlineStr">
        <is>
          <t>Semanas consideradas</t>
        </is>
      </c>
      <c r="K6" s="14">
        <f>MIN(4,K4)</f>
        <v>4</v>
      </c>
    </row>
    <row r="7">
      <c r="A7" s="19" t="inlineStr">
        <is>
          <t>Por dia da semana (últimas 4 semanas registradas)</t>
        </is>
      </c>
      <c r="J7" s="13" t="inlineStr">
        <is>
          <t>Rotinas planejadas</t>
        </is>
      </c>
      <c r="K7" s="14">
        <f>COUNTA(Rotina!$B$5:$B$28)</f>
        <v>8</v>
      </c>
    </row>
    <row r="8" ht="26" customHeight="1">
      <c r="A8" s="20" t="inlineStr">
        <is>
          <t>Dia</t>
        </is>
      </c>
      <c r="B8" s="20" t="inlineStr">
        <is>
          <t>Rotinas</t>
        </is>
      </c>
      <c r="C8" s="20" t="inlineStr">
        <is>
          <t>Minutos</t>
        </is>
      </c>
      <c r="D8" s="20" t="inlineStr">
        <is>
          <t>Feitas</t>
        </is>
      </c>
      <c r="E8" s="20" t="inlineStr">
        <is>
          <t>Planejadas</t>
        </is>
      </c>
      <c r="F8" s="20" t="inlineStr">
        <is>
          <t>Aderência</t>
        </is>
      </c>
    </row>
    <row r="9">
      <c r="A9" s="21" t="inlineStr">
        <is>
          <t>Segunda</t>
        </is>
      </c>
      <c r="B9" s="22">
        <f>COUNTIFS(Rotina!$A$5:$A$28,A9,Rotina!$B$5:$B$28,"&lt;&gt;")</f>
        <v>3</v>
      </c>
      <c r="C9" s="22">
        <f>SUMIFS(Rotina!$C$5:$C$28,Rotina!$A$5:$A$28,A9,Rotina!$B$5:$B$28,"&lt;&gt;")</f>
        <v>12</v>
      </c>
      <c r="D9" s="22">
        <f>IF($K$4=0,"",SUMIFS($E$29:$E$52,$A$29:$A$52,A9))</f>
        <v>12</v>
      </c>
      <c r="E9" s="22">
        <f>IF($K$4=0,"",B9*$K$6)</f>
        <v>12</v>
      </c>
      <c r="F9" s="23">
        <f>IF(OR(E9="",E9=0),"",D9/E9)</f>
        <v>1</v>
      </c>
    </row>
    <row r="10">
      <c r="A10" s="21" t="inlineStr">
        <is>
          <t>Terça</t>
        </is>
      </c>
      <c r="B10" s="22">
        <f>COUNTIFS(Rotina!$A$5:$A$28,A10,Rotina!$B$5:$B$28,"&lt;&gt;")</f>
        <v>0</v>
      </c>
      <c r="C10" s="22">
        <f>SUMIFS(Rotina!$C$5:$C$28,Rotina!$A$5:$A$28,A10,Rotina!$B$5:$B$28,"&lt;&gt;")</f>
        <v>0</v>
      </c>
      <c r="D10" s="22">
        <f>IF($K$4=0,"",SUMIFS($E$29:$E$52,$A$29:$A$52,A10))</f>
        <v>0</v>
      </c>
      <c r="E10" s="22">
        <f>IF($K$4=0,"",B10*$K$6)</f>
        <v>0</v>
      </c>
      <c r="F10" s="23">
        <f>IF(OR(E10="",E10=0),"",D10/E10)</f>
        <v/>
      </c>
    </row>
    <row r="11">
      <c r="A11" s="21" t="inlineStr">
        <is>
          <t>Quarta</t>
        </is>
      </c>
      <c r="B11" s="22">
        <f>COUNTIFS(Rotina!$A$5:$A$28,A11,Rotina!$B$5:$B$28,"&lt;&gt;")</f>
        <v>0</v>
      </c>
      <c r="C11" s="22">
        <f>SUMIFS(Rotina!$C$5:$C$28,Rotina!$A$5:$A$28,A11,Rotina!$B$5:$B$28,"&lt;&gt;")</f>
        <v>0</v>
      </c>
      <c r="D11" s="22">
        <f>IF($K$4=0,"",SUMIFS($E$29:$E$52,$A$29:$A$52,A11))</f>
        <v>0</v>
      </c>
      <c r="E11" s="22">
        <f>IF($K$4=0,"",B11*$K$6)</f>
        <v>0</v>
      </c>
      <c r="F11" s="23">
        <f>IF(OR(E11="",E11=0),"",D11/E11)</f>
        <v/>
      </c>
    </row>
    <row r="12">
      <c r="A12" s="21" t="inlineStr">
        <is>
          <t>Quinta</t>
        </is>
      </c>
      <c r="B12" s="22">
        <f>COUNTIFS(Rotina!$A$5:$A$28,A12,Rotina!$B$5:$B$28,"&lt;&gt;")</f>
        <v>0</v>
      </c>
      <c r="C12" s="22">
        <f>SUMIFS(Rotina!$C$5:$C$28,Rotina!$A$5:$A$28,A12,Rotina!$B$5:$B$28,"&lt;&gt;")</f>
        <v>0</v>
      </c>
      <c r="D12" s="22">
        <f>IF($K$4=0,"",SUMIFS($E$29:$E$52,$A$29:$A$52,A12))</f>
        <v>0</v>
      </c>
      <c r="E12" s="22">
        <f>IF($K$4=0,"",B12*$K$6)</f>
        <v>0</v>
      </c>
      <c r="F12" s="23">
        <f>IF(OR(E12="",E12=0),"",D12/E12)</f>
        <v/>
      </c>
    </row>
    <row r="13">
      <c r="A13" s="21" t="inlineStr">
        <is>
          <t>Sexta</t>
        </is>
      </c>
      <c r="B13" s="22">
        <f>COUNTIFS(Rotina!$A$5:$A$28,A13,Rotina!$B$5:$B$28,"&lt;&gt;")</f>
        <v>5</v>
      </c>
      <c r="C13" s="22">
        <f>SUMIFS(Rotina!$C$5:$C$28,Rotina!$A$5:$A$28,A13,Rotina!$B$5:$B$28,"&lt;&gt;")</f>
        <v>18</v>
      </c>
      <c r="D13" s="22">
        <f>IF($K$4=0,"",SUMIFS($E$29:$E$52,$A$29:$A$52,A13))</f>
        <v>15</v>
      </c>
      <c r="E13" s="22">
        <f>IF($K$4=0,"",B13*$K$6)</f>
        <v>20</v>
      </c>
      <c r="F13" s="23">
        <f>IF(OR(E13="",E13=0),"",D13/E13)</f>
        <v>0.75</v>
      </c>
    </row>
    <row r="14"/>
    <row r="15">
      <c r="A15" s="24" t="inlineStr">
        <is>
          <t>Últimas 8 semanas registradas</t>
        </is>
      </c>
    </row>
    <row r="16" ht="26" customHeight="1">
      <c r="A16" s="20" t="inlineStr">
        <is>
          <t>Semana</t>
        </is>
      </c>
      <c r="B16" s="20" t="inlineStr">
        <is>
          <t>Segunda-feira</t>
        </is>
      </c>
      <c r="C16" s="20" t="inlineStr">
        <is>
          <t>Feitas</t>
        </is>
      </c>
      <c r="D16" s="20" t="inlineStr">
        <is>
          <t>Planejadas</t>
        </is>
      </c>
      <c r="E16" s="20" t="inlineStr">
        <is>
          <t>Aderência</t>
        </is>
      </c>
      <c r="F16" s="20" t="inlineStr">
        <is>
          <t>Minutos</t>
        </is>
      </c>
      <c r="G16" s="20" t="inlineStr">
        <is>
          <t>Barra</t>
        </is>
      </c>
    </row>
    <row r="17">
      <c r="A17" s="22" t="str">
        <f>IF(($K$4-7)&lt;1,"","S"&amp;($K$4-7))</f>
        <v>S29</v>
      </c>
      <c r="B17" s="25">
        <f>IF(A17="","",INDEX(Rotina!$E$3:$BD$3,($K$4-7)))</f>
        <v>46223.0</v>
      </c>
      <c r="C17" s="22">
        <f>IF(A17="","",INDEX(Rotina!$E$30:$BD$30,($K$4-7)))</f>
        <v>4</v>
      </c>
      <c r="D17" s="22">
        <f>IF(A17="","",INDEX(Rotina!$E$32:$BD$32,($K$4-7)))</f>
        <v>8</v>
      </c>
      <c r="E17" s="23">
        <f>IF(OR(A17="",D17=0),"",C17/D17)</f>
        <v>0.5</v>
      </c>
      <c r="F17" s="22">
        <f>IF(A17="","",INDEX(Rotina!$E$34:$BD$34,($K$4-7)))</f>
        <v>15</v>
      </c>
      <c r="G17" s="26" t="str">
        <f>IF(E17="","",REPT("█",ROUND(E17*10,0)))</f>
        <v>█████</v>
      </c>
      <c r="H17" s="27" t="n"/>
    </row>
    <row r="18">
      <c r="A18" s="22" t="str">
        <f>IF(($K$4-6)&lt;1,"","S"&amp;($K$4-6))</f>
        <v>S30</v>
      </c>
      <c r="B18" s="25">
        <f>IF(A18="","",INDEX(Rotina!$E$3:$BD$3,($K$4-6)))</f>
        <v>46230.0</v>
      </c>
      <c r="C18" s="22">
        <f>IF(A18="","",INDEX(Rotina!$E$30:$BD$30,($K$4-6)))</f>
        <v>7</v>
      </c>
      <c r="D18" s="22">
        <f>IF(A18="","",INDEX(Rotina!$E$32:$BD$32,($K$4-6)))</f>
        <v>8</v>
      </c>
      <c r="E18" s="23">
        <f>IF(OR(A18="",D18=0),"",C18/D18)</f>
        <v>0.875</v>
      </c>
      <c r="F18" s="22">
        <f>IF(A18="","",INDEX(Rotina!$E$34:$BD$34,($K$4-6)))</f>
        <v>27</v>
      </c>
      <c r="G18" s="26" t="str">
        <f>IF(E18="","",REPT("█",ROUND(E18*10,0)))</f>
        <v>█████████</v>
      </c>
      <c r="H18" s="27" t="n"/>
    </row>
    <row r="19">
      <c r="A19" s="22" t="str">
        <f>IF(($K$4-5)&lt;1,"","S"&amp;($K$4-5))</f>
        <v>S31</v>
      </c>
      <c r="B19" s="25">
        <f>IF(A19="","",INDEX(Rotina!$E$3:$BD$3,($K$4-5)))</f>
        <v>46237.0</v>
      </c>
      <c r="C19" s="22">
        <f>IF(A19="","",INDEX(Rotina!$E$30:$BD$30,($K$4-5)))</f>
        <v>6</v>
      </c>
      <c r="D19" s="22">
        <f>IF(A19="","",INDEX(Rotina!$E$32:$BD$32,($K$4-5)))</f>
        <v>8</v>
      </c>
      <c r="E19" s="23">
        <f>IF(OR(A19="",D19=0),"",C19/D19)</f>
        <v>0.75</v>
      </c>
      <c r="F19" s="22">
        <f>IF(A19="","",INDEX(Rotina!$E$34:$BD$34,($K$4-5)))</f>
        <v>23</v>
      </c>
      <c r="G19" s="26" t="str">
        <f>IF(E19="","",REPT("█",ROUND(E19*10,0)))</f>
        <v>████████</v>
      </c>
      <c r="H19" s="27" t="n"/>
    </row>
    <row r="20">
      <c r="A20" s="22" t="str">
        <f>IF(($K$4-4)&lt;1,"","S"&amp;($K$4-4))</f>
        <v>S32</v>
      </c>
      <c r="B20" s="25">
        <f>IF(A20="","",INDEX(Rotina!$E$3:$BD$3,($K$4-4)))</f>
        <v>46244.0</v>
      </c>
      <c r="C20" s="22">
        <f>IF(A20="","",INDEX(Rotina!$E$30:$BD$30,($K$4-4)))</f>
        <v>8</v>
      </c>
      <c r="D20" s="22">
        <f>IF(A20="","",INDEX(Rotina!$E$32:$BD$32,($K$4-4)))</f>
        <v>8</v>
      </c>
      <c r="E20" s="23">
        <f>IF(OR(A20="",D20=0),"",C20/D20)</f>
        <v>1</v>
      </c>
      <c r="F20" s="22">
        <f>IF(A20="","",INDEX(Rotina!$E$34:$BD$34,($K$4-4)))</f>
        <v>30</v>
      </c>
      <c r="G20" s="26" t="str">
        <f>IF(E20="","",REPT("█",ROUND(E20*10,0)))</f>
        <v>██████████</v>
      </c>
      <c r="H20" s="27" t="n"/>
    </row>
    <row r="21">
      <c r="A21" s="22" t="str">
        <f>IF(($K$4-3)&lt;1,"","S"&amp;($K$4-3))</f>
        <v>S33</v>
      </c>
      <c r="B21" s="25">
        <f>IF(A21="","",INDEX(Rotina!$E$3:$BD$3,($K$4-3)))</f>
        <v>46251.0</v>
      </c>
      <c r="C21" s="22">
        <f>IF(A21="","",INDEX(Rotina!$E$30:$BD$30,($K$4-3)))</f>
        <v>6</v>
      </c>
      <c r="D21" s="22">
        <f>IF(A21="","",INDEX(Rotina!$E$32:$BD$32,($K$4-3)))</f>
        <v>8</v>
      </c>
      <c r="E21" s="23">
        <f>IF(OR(A21="",D21=0),"",C21/D21)</f>
        <v>0.75</v>
      </c>
      <c r="F21" s="22">
        <f>IF(A21="","",INDEX(Rotina!$E$34:$BD$34,($K$4-3)))</f>
        <v>22</v>
      </c>
      <c r="G21" s="26" t="str">
        <f>IF(E21="","",REPT("█",ROUND(E21*10,0)))</f>
        <v>████████</v>
      </c>
      <c r="H21" s="27" t="n"/>
    </row>
    <row r="22">
      <c r="A22" s="22" t="str">
        <f>IF(($K$4-2)&lt;1,"","S"&amp;($K$4-2))</f>
        <v>S34</v>
      </c>
      <c r="B22" s="25">
        <f>IF(A22="","",INDEX(Rotina!$E$3:$BD$3,($K$4-2)))</f>
        <v>46258.0</v>
      </c>
      <c r="C22" s="22">
        <f>IF(A22="","",INDEX(Rotina!$E$30:$BD$30,($K$4-2)))</f>
        <v>7</v>
      </c>
      <c r="D22" s="22">
        <f>IF(A22="","",INDEX(Rotina!$E$32:$BD$32,($K$4-2)))</f>
        <v>8</v>
      </c>
      <c r="E22" s="23">
        <f>IF(OR(A22="",D22=0),"",C22/D22)</f>
        <v>0.875</v>
      </c>
      <c r="F22" s="22">
        <f>IF(A22="","",INDEX(Rotina!$E$34:$BD$34,($K$4-2)))</f>
        <v>27</v>
      </c>
      <c r="G22" s="26" t="str">
        <f>IF(E22="","",REPT("█",ROUND(E22*10,0)))</f>
        <v>█████████</v>
      </c>
      <c r="H22" s="27" t="n"/>
    </row>
    <row r="23">
      <c r="A23" s="22" t="str">
        <f>IF(($K$4-1)&lt;1,"","S"&amp;($K$4-1))</f>
        <v>S35</v>
      </c>
      <c r="B23" s="25">
        <f>IF(A23="","",INDEX(Rotina!$E$3:$BD$3,($K$4-1)))</f>
        <v>46265.0</v>
      </c>
      <c r="C23" s="22">
        <f>IF(A23="","",INDEX(Rotina!$E$30:$BD$30,($K$4-1)))</f>
        <v>7</v>
      </c>
      <c r="D23" s="22">
        <f>IF(A23="","",INDEX(Rotina!$E$32:$BD$32,($K$4-1)))</f>
        <v>8</v>
      </c>
      <c r="E23" s="23">
        <f>IF(OR(A23="",D23=0),"",C23/D23)</f>
        <v>0.875</v>
      </c>
      <c r="F23" s="22">
        <f>IF(A23="","",INDEX(Rotina!$E$34:$BD$34,($K$4-1)))</f>
        <v>25</v>
      </c>
      <c r="G23" s="26" t="str">
        <f>IF(E23="","",REPT("█",ROUND(E23*10,0)))</f>
        <v>█████████</v>
      </c>
      <c r="H23" s="27" t="n"/>
    </row>
    <row r="24">
      <c r="A24" s="22" t="str">
        <f>IF(($K$4-0)&lt;1,"","S"&amp;($K$4-0))</f>
        <v>S36</v>
      </c>
      <c r="B24" s="25">
        <f>IF(A24="","",INDEX(Rotina!$E$3:$BD$3,($K$4-0)))</f>
        <v>46272.0</v>
      </c>
      <c r="C24" s="22">
        <f>IF(A24="","",INDEX(Rotina!$E$30:$BD$30,($K$4-0)))</f>
        <v>7</v>
      </c>
      <c r="D24" s="22">
        <f>IF(A24="","",INDEX(Rotina!$E$32:$BD$32,($K$4-0)))</f>
        <v>8</v>
      </c>
      <c r="E24" s="23">
        <f>IF(OR(A24="",D24=0),"",C24/D24)</f>
        <v>0.875</v>
      </c>
      <c r="F24" s="22">
        <f>IF(A24="","",INDEX(Rotina!$E$34:$BD$34,($K$4-0)))</f>
        <v>27</v>
      </c>
      <c r="G24" s="26" t="str">
        <f>IF(E24="","",REPT("█",ROUND(E24*10,0)))</f>
        <v>█████████</v>
      </c>
      <c r="H24" s="27" t="n"/>
    </row>
    <row r="25"/>
    <row r="26">
      <c r="A26" s="24" t="inlineStr">
        <is>
          <t>Por rotina (últimas 4 semanas registradas)</t>
        </is>
      </c>
    </row>
    <row r="27">
      <c r="A27" s="28" t="inlineStr">
        <is>
          <t>A rotina mais pulada é a que merece ser encurtada, delegada ou trocada de dia.</t>
        </is>
      </c>
    </row>
    <row r="28" ht="26" customHeight="1">
      <c r="A28" s="20" t="inlineStr">
        <is>
          <t>Dia</t>
        </is>
      </c>
      <c r="B28" s="20" t="inlineStr">
        <is>
          <t>Rotina</t>
        </is>
      </c>
      <c r="C28" s="20" t="inlineStr">
        <is>
          <t>Minutos</t>
        </is>
      </c>
      <c r="D28" s="20" t="inlineStr">
        <is>
          <t>Responsável</t>
        </is>
      </c>
      <c r="E28" s="20" t="inlineStr">
        <is>
          <t>Feitas</t>
        </is>
      </c>
      <c r="F28" s="20" t="inlineStr">
        <is>
          <t>De</t>
        </is>
      </c>
      <c r="G28" s="20" t="inlineStr">
        <is>
          <t>Aderência</t>
        </is>
      </c>
      <c r="H28" s="20" t="inlineStr">
        <is>
          <t>Atenção</t>
        </is>
      </c>
    </row>
    <row r="29">
      <c r="A29" s="22" t="str">
        <f>IF(Rotina!$B5="","",Rotina!$A5)</f>
        <v>Segunda</v>
      </c>
      <c r="B29" s="21" t="str">
        <f>IF(Rotina!$B5="","",Rotina!$B5)</f>
        <v>Abrir a Agenda (01): olhar as vagas dos próximos 7 dias e a ocupação da semana</v>
      </c>
      <c r="C29" s="22">
        <f>IF(Rotina!$B5="","",Rotina!$C5)</f>
        <v>4</v>
      </c>
      <c r="D29" s="22" t="str">
        <f>IF(Rotina!$B5="","",Rotina!$D5)</f>
        <v>Bruna Carvalho</v>
      </c>
      <c r="E29" s="22">
        <f>IF(OR(Rotina!$B5="",$K$4=0),"",SUMPRODUCT((Rotina!$E$5:$BD$5="Sim")*(Rotina!$E$2:$BD$2&gt;=$K$4-3)*(Rotina!$E$2:$BD$2&lt;=$K$4)))</f>
        <v>4</v>
      </c>
      <c r="F29" s="22">
        <f>IF(E29="","",$K$6)</f>
        <v>4</v>
      </c>
      <c r="G29" s="23">
        <f>IF(OR(E29="",F29=0),"",E29/F29)</f>
        <v>1</v>
      </c>
      <c r="H29" s="21">
        <f>IF(G29="","",IF(G29&lt;0.5,"Pulada na maioria das semanas",IF(G29&lt;0.75,"Pulada às vezes","")))</f>
        <v/>
      </c>
    </row>
    <row r="30">
      <c r="A30" s="22" t="str">
        <f>IF(Rotina!$B6="","",Rotina!$A6)</f>
        <v>Segunda</v>
      </c>
      <c r="B30" s="21" t="str">
        <f>IF(Rotina!$B6="","",Rotina!$B6)</f>
        <v>Confirmar por mensagem os agendados da semana</v>
      </c>
      <c r="C30" s="22">
        <f>IF(Rotina!$B6="","",Rotina!$C6)</f>
        <v>4</v>
      </c>
      <c r="D30" s="22" t="str">
        <f>IF(Rotina!$B6="","",Rotina!$D6)</f>
        <v>Bruna Carvalho</v>
      </c>
      <c r="E30" s="22">
        <f>IF(OR(Rotina!$B6="",$K$4=0),"",SUMPRODUCT((Rotina!$E$6:$BD$6="Sim")*(Rotina!$E$2:$BD$2&gt;=$K$4-3)*(Rotina!$E$2:$BD$2&lt;=$K$4)))</f>
        <v>4</v>
      </c>
      <c r="F30" s="22">
        <f>IF(E30="","",$K$6)</f>
        <v>4</v>
      </c>
      <c r="G30" s="23">
        <f>IF(OR(E30="",F30=0),"",E30/F30)</f>
        <v>1</v>
      </c>
      <c r="H30" s="21">
        <f>IF(G30="","",IF(G30&lt;0.5,"Pulada na maioria das semanas",IF(G30&lt;0.75,"Pulada às vezes","")))</f>
        <v/>
      </c>
    </row>
    <row r="31">
      <c r="A31" s="22" t="str">
        <f>IF(Rotina!$B7="","",Rotina!$A7)</f>
        <v>Segunda</v>
      </c>
      <c r="B31" s="21" t="str">
        <f>IF(Rotina!$B7="","",Rotina!$B7)</f>
        <v>Ligar para a lista de retorno (02) e registrar as faltas da semana passada</v>
      </c>
      <c r="C31" s="22">
        <f>IF(Rotina!$B7="","",Rotina!$C7)</f>
        <v>4</v>
      </c>
      <c r="D31" s="22" t="str">
        <f>IF(Rotina!$B7="","",Rotina!$D7)</f>
        <v>Bruna Carvalho</v>
      </c>
      <c r="E31" s="22">
        <f>IF(OR(Rotina!$B7="",$K$4=0),"",SUMPRODUCT((Rotina!$E$7:$BD$7="Sim")*(Rotina!$E$2:$BD$2&gt;=$K$4-3)*(Rotina!$E$2:$BD$2&lt;=$K$4)))</f>
        <v>4</v>
      </c>
      <c r="F31" s="22">
        <f>IF(E31="","",$K$6)</f>
        <v>4</v>
      </c>
      <c r="G31" s="23">
        <f>IF(OR(E31="",F31=0),"",E31/F31)</f>
        <v>1</v>
      </c>
      <c r="H31" s="21">
        <f>IF(G31="","",IF(G31&lt;0.5,"Pulada na maioria das semanas",IF(G31&lt;0.75,"Pulada às vezes","")))</f>
        <v/>
      </c>
    </row>
    <row r="32">
      <c r="A32" s="22" t="str">
        <f>IF(Rotina!$B8="","",Rotina!$A8)</f>
        <v>Sexta</v>
      </c>
      <c r="B32" s="21" t="str">
        <f>IF(Rotina!$B8="","",Rotina!$B8)</f>
        <v>Conferir os fechamentos da semana no Caixa (09)</v>
      </c>
      <c r="C32" s="22">
        <f>IF(Rotina!$B8="","",Rotina!$C8)</f>
        <v>5</v>
      </c>
      <c r="D32" s="22" t="str">
        <f>IF(Rotina!$B8="","",Rotina!$D8)</f>
        <v>Dra. Carolina Mendes</v>
      </c>
      <c r="E32" s="22">
        <f>IF(OR(Rotina!$B8="",$K$4=0),"",SUMPRODUCT((Rotina!$E$8:$BD$8="Sim")*(Rotina!$E$2:$BD$2&gt;=$K$4-3)*(Rotina!$E$2:$BD$2&lt;=$K$4)))</f>
        <v>2</v>
      </c>
      <c r="F32" s="22">
        <f>IF(E32="","",$K$6)</f>
        <v>4</v>
      </c>
      <c r="G32" s="23">
        <f>IF(OR(E32="",F32=0),"",E32/F32)</f>
        <v>0.5</v>
      </c>
      <c r="H32" s="21" t="str">
        <f>IF(G32="","",IF(G32&lt;0.5,"Pulada na maioria das semanas",IF(G32&lt;0.75,"Pulada às vezes","")))</f>
        <v>Pulada às vezes</v>
      </c>
    </row>
    <row r="33">
      <c r="A33" s="22" t="str">
        <f>IF(Rotina!$B9="","",Rotina!$A9)</f>
        <v>Sexta</v>
      </c>
      <c r="B33" s="21" t="str">
        <f>IF(Rotina!$B9="","",Rotina!$B9)</f>
        <v>Marcar parcelas recebidas e enviar a cobrança educada (14)</v>
      </c>
      <c r="C33" s="22">
        <f>IF(Rotina!$B9="","",Rotina!$C9)</f>
        <v>4</v>
      </c>
      <c r="D33" s="22" t="str">
        <f>IF(Rotina!$B9="","",Rotina!$D9)</f>
        <v>Bruna Carvalho</v>
      </c>
      <c r="E33" s="22">
        <f>IF(OR(Rotina!$B9="",$K$4=0),"",SUMPRODUCT((Rotina!$E$9:$BD$9="Sim")*(Rotina!$E$2:$BD$2&gt;=$K$4-3)*(Rotina!$E$2:$BD$2&lt;=$K$4)))</f>
        <v>4</v>
      </c>
      <c r="F33" s="22">
        <f>IF(E33="","",$K$6)</f>
        <v>4</v>
      </c>
      <c r="G33" s="23">
        <f>IF(OR(E33="",F33=0),"",E33/F33)</f>
        <v>1</v>
      </c>
      <c r="H33" s="21">
        <f>IF(G33="","",IF(G33&lt;0.5,"Pulada na maioria das semanas",IF(G33&lt;0.75,"Pulada às vezes","")))</f>
        <v/>
      </c>
    </row>
    <row r="34">
      <c r="A34" s="22" t="str">
        <f>IF(Rotina!$B10="","",Rotina!$A10)</f>
        <v>Sexta</v>
      </c>
      <c r="B34" s="21" t="str">
        <f>IF(Rotina!$B10="","",Rotina!$B10)</f>
        <v>Separar as guias da semana e atualizar os lotes (13)</v>
      </c>
      <c r="C34" s="22">
        <f>IF(Rotina!$B10="","",Rotina!$C10)</f>
        <v>3</v>
      </c>
      <c r="D34" s="22" t="str">
        <f>IF(Rotina!$B10="","",Rotina!$D10)</f>
        <v>Bruna Carvalho</v>
      </c>
      <c r="E34" s="22">
        <f>IF(OR(Rotina!$B10="",$K$4=0),"",SUMPRODUCT((Rotina!$E$10:$BD$10="Sim")*(Rotina!$E$2:$BD$2&gt;=$K$4-3)*(Rotina!$E$2:$BD$2&lt;=$K$4)))</f>
        <v>4</v>
      </c>
      <c r="F34" s="22">
        <f>IF(E34="","",$K$6)</f>
        <v>4</v>
      </c>
      <c r="G34" s="23">
        <f>IF(OR(E34="",F34=0),"",E34/F34)</f>
        <v>1</v>
      </c>
      <c r="H34" s="21">
        <f>IF(G34="","",IF(G34&lt;0.5,"Pulada na maioria das semanas",IF(G34&lt;0.75,"Pulada às vezes","")))</f>
        <v/>
      </c>
    </row>
    <row r="35">
      <c r="A35" s="22" t="str">
        <f>IF(Rotina!$B11="","",Rotina!$A11)</f>
        <v>Sexta</v>
      </c>
      <c r="B35" s="21" t="str">
        <f>IF(Rotina!$B11="","",Rotina!$B11)</f>
        <v>Atualizar os orçamentos apresentados e aprovados (15)</v>
      </c>
      <c r="C35" s="22">
        <f>IF(Rotina!$B11="","",Rotina!$C11)</f>
        <v>3</v>
      </c>
      <c r="D35" s="22" t="str">
        <f>IF(Rotina!$B11="","",Rotina!$D11)</f>
        <v>Bruna Carvalho</v>
      </c>
      <c r="E35" s="22">
        <f>IF(OR(Rotina!$B11="",$K$4=0),"",SUMPRODUCT((Rotina!$E$11:$BD$11="Sim")*(Rotina!$E$2:$BD$2&gt;=$K$4-3)*(Rotina!$E$2:$BD$2&lt;=$K$4)))</f>
        <v>2</v>
      </c>
      <c r="F35" s="22">
        <f>IF(E35="","",$K$6)</f>
        <v>4</v>
      </c>
      <c r="G35" s="23">
        <f>IF(OR(E35="",F35=0),"",E35/F35)</f>
        <v>0.5</v>
      </c>
      <c r="H35" s="21" t="str">
        <f>IF(G35="","",IF(G35&lt;0.5,"Pulada na maioria das semanas",IF(G35&lt;0.75,"Pulada às vezes","")))</f>
        <v>Pulada às vezes</v>
      </c>
    </row>
    <row r="36">
      <c r="A36" s="22" t="str">
        <f>IF(Rotina!$B12="","",Rotina!$A12)</f>
        <v>Sexta</v>
      </c>
      <c r="B36" s="21" t="str">
        <f>IF(Rotina!$B12="","",Rotina!$B12)</f>
        <v>Olhar o Painel da clínica (17) e anotar até 3 decisões</v>
      </c>
      <c r="C36" s="22">
        <f>IF(Rotina!$B12="","",Rotina!$C12)</f>
        <v>3</v>
      </c>
      <c r="D36" s="22" t="str">
        <f>IF(Rotina!$B12="","",Rotina!$D12)</f>
        <v>Dr. Paulo Andrade</v>
      </c>
      <c r="E36" s="22">
        <f>IF(OR(Rotina!$B12="",$K$4=0),"",SUMPRODUCT((Rotina!$E$12:$BD$12="Sim")*(Rotina!$E$2:$BD$2&gt;=$K$4-3)*(Rotina!$E$2:$BD$2&lt;=$K$4)))</f>
        <v>3</v>
      </c>
      <c r="F36" s="22">
        <f>IF(E36="","",$K$6)</f>
        <v>4</v>
      </c>
      <c r="G36" s="23">
        <f>IF(OR(E36="",F36=0),"",E36/F36)</f>
        <v>0.75</v>
      </c>
      <c r="H36" s="21">
        <f>IF(G36="","",IF(G36&lt;0.5,"Pulada na maioria das semanas",IF(G36&lt;0.75,"Pulada às vezes","")))</f>
        <v/>
      </c>
    </row>
    <row r="37">
      <c r="A37" s="22">
        <f>IF(Rotina!$B13="","",Rotina!$A13)</f>
        <v/>
      </c>
      <c r="B37" s="21">
        <f>IF(Rotina!$B13="","",Rotina!$B13)</f>
        <v/>
      </c>
      <c r="C37" s="22">
        <f>IF(Rotina!$B13="","",Rotina!$C13)</f>
        <v/>
      </c>
      <c r="D37" s="22">
        <f>IF(Rotina!$B13="","",Rotina!$D13)</f>
        <v/>
      </c>
      <c r="E37" s="22">
        <f>IF(OR(Rotina!$B13="",$K$4=0),"",SUMPRODUCT((Rotina!$E$13:$BD$13="Sim")*(Rotina!$E$2:$BD$2&gt;=$K$4-3)*(Rotina!$E$2:$BD$2&lt;=$K$4)))</f>
        <v/>
      </c>
      <c r="F37" s="22">
        <f>IF(E37="","",$K$6)</f>
        <v/>
      </c>
      <c r="G37" s="23">
        <f>IF(OR(E37="",F37=0),"",E37/F37)</f>
        <v/>
      </c>
      <c r="H37" s="21">
        <f>IF(G37="","",IF(G37&lt;0.5,"Pulada na maioria das semanas",IF(G37&lt;0.75,"Pulada às vezes","")))</f>
        <v/>
      </c>
    </row>
    <row r="38">
      <c r="A38" s="22">
        <f>IF(Rotina!$B14="","",Rotina!$A14)</f>
        <v/>
      </c>
      <c r="B38" s="21">
        <f>IF(Rotina!$B14="","",Rotina!$B14)</f>
        <v/>
      </c>
      <c r="C38" s="22">
        <f>IF(Rotina!$B14="","",Rotina!$C14)</f>
        <v/>
      </c>
      <c r="D38" s="22">
        <f>IF(Rotina!$B14="","",Rotina!$D14)</f>
        <v/>
      </c>
      <c r="E38" s="22">
        <f>IF(OR(Rotina!$B14="",$K$4=0),"",SUMPRODUCT((Rotina!$E$14:$BD$14="Sim")*(Rotina!$E$2:$BD$2&gt;=$K$4-3)*(Rotina!$E$2:$BD$2&lt;=$K$4)))</f>
        <v/>
      </c>
      <c r="F38" s="22">
        <f>IF(E38="","",$K$6)</f>
        <v/>
      </c>
      <c r="G38" s="23">
        <f>IF(OR(E38="",F38=0),"",E38/F38)</f>
        <v/>
      </c>
      <c r="H38" s="21">
        <f>IF(G38="","",IF(G38&lt;0.5,"Pulada na maioria das semanas",IF(G38&lt;0.75,"Pulada às vezes","")))</f>
        <v/>
      </c>
    </row>
    <row r="39">
      <c r="A39" s="22">
        <f>IF(Rotina!$B15="","",Rotina!$A15)</f>
        <v/>
      </c>
      <c r="B39" s="21">
        <f>IF(Rotina!$B15="","",Rotina!$B15)</f>
        <v/>
      </c>
      <c r="C39" s="22">
        <f>IF(Rotina!$B15="","",Rotina!$C15)</f>
        <v/>
      </c>
      <c r="D39" s="22">
        <f>IF(Rotina!$B15="","",Rotina!$D15)</f>
        <v/>
      </c>
      <c r="E39" s="22">
        <f>IF(OR(Rotina!$B15="",$K$4=0),"",SUMPRODUCT((Rotina!$E$15:$BD$15="Sim")*(Rotina!$E$2:$BD$2&gt;=$K$4-3)*(Rotina!$E$2:$BD$2&lt;=$K$4)))</f>
        <v/>
      </c>
      <c r="F39" s="22">
        <f>IF(E39="","",$K$6)</f>
        <v/>
      </c>
      <c r="G39" s="23">
        <f>IF(OR(E39="",F39=0),"",E39/F39)</f>
        <v/>
      </c>
      <c r="H39" s="21">
        <f>IF(G39="","",IF(G39&lt;0.5,"Pulada na maioria das semanas",IF(G39&lt;0.75,"Pulada às vezes","")))</f>
        <v/>
      </c>
    </row>
    <row r="40">
      <c r="A40" s="22">
        <f>IF(Rotina!$B16="","",Rotina!$A16)</f>
        <v/>
      </c>
      <c r="B40" s="21">
        <f>IF(Rotina!$B16="","",Rotina!$B16)</f>
        <v/>
      </c>
      <c r="C40" s="22">
        <f>IF(Rotina!$B16="","",Rotina!$C16)</f>
        <v/>
      </c>
      <c r="D40" s="22">
        <f>IF(Rotina!$B16="","",Rotina!$D16)</f>
        <v/>
      </c>
      <c r="E40" s="22">
        <f>IF(OR(Rotina!$B16="",$K$4=0),"",SUMPRODUCT((Rotina!$E$16:$BD$16="Sim")*(Rotina!$E$2:$BD$2&gt;=$K$4-3)*(Rotina!$E$2:$BD$2&lt;=$K$4)))</f>
        <v/>
      </c>
      <c r="F40" s="22">
        <f>IF(E40="","",$K$6)</f>
        <v/>
      </c>
      <c r="G40" s="23">
        <f>IF(OR(E40="",F40=0),"",E40/F40)</f>
        <v/>
      </c>
      <c r="H40" s="21">
        <f>IF(G40="","",IF(G40&lt;0.5,"Pulada na maioria das semanas",IF(G40&lt;0.75,"Pulada às vezes","")))</f>
        <v/>
      </c>
    </row>
    <row r="41">
      <c r="A41" s="22">
        <f>IF(Rotina!$B17="","",Rotina!$A17)</f>
        <v/>
      </c>
      <c r="B41" s="21">
        <f>IF(Rotina!$B17="","",Rotina!$B17)</f>
        <v/>
      </c>
      <c r="C41" s="22">
        <f>IF(Rotina!$B17="","",Rotina!$C17)</f>
        <v/>
      </c>
      <c r="D41" s="22">
        <f>IF(Rotina!$B17="","",Rotina!$D17)</f>
        <v/>
      </c>
      <c r="E41" s="22">
        <f>IF(OR(Rotina!$B17="",$K$4=0),"",SUMPRODUCT((Rotina!$E$17:$BD$17="Sim")*(Rotina!$E$2:$BD$2&gt;=$K$4-3)*(Rotina!$E$2:$BD$2&lt;=$K$4)))</f>
        <v/>
      </c>
      <c r="F41" s="22">
        <f>IF(E41="","",$K$6)</f>
        <v/>
      </c>
      <c r="G41" s="23">
        <f>IF(OR(E41="",F41=0),"",E41/F41)</f>
        <v/>
      </c>
      <c r="H41" s="21">
        <f>IF(G41="","",IF(G41&lt;0.5,"Pulada na maioria das semanas",IF(G41&lt;0.75,"Pulada às vezes","")))</f>
        <v/>
      </c>
    </row>
    <row r="42">
      <c r="A42" s="22">
        <f>IF(Rotina!$B18="","",Rotina!$A18)</f>
        <v/>
      </c>
      <c r="B42" s="21">
        <f>IF(Rotina!$B18="","",Rotina!$B18)</f>
        <v/>
      </c>
      <c r="C42" s="22">
        <f>IF(Rotina!$B18="","",Rotina!$C18)</f>
        <v/>
      </c>
      <c r="D42" s="22">
        <f>IF(Rotina!$B18="","",Rotina!$D18)</f>
        <v/>
      </c>
      <c r="E42" s="22">
        <f>IF(OR(Rotina!$B18="",$K$4=0),"",SUMPRODUCT((Rotina!$E$18:$BD$18="Sim")*(Rotina!$E$2:$BD$2&gt;=$K$4-3)*(Rotina!$E$2:$BD$2&lt;=$K$4)))</f>
        <v/>
      </c>
      <c r="F42" s="22">
        <f>IF(E42="","",$K$6)</f>
        <v/>
      </c>
      <c r="G42" s="23">
        <f>IF(OR(E42="",F42=0),"",E42/F42)</f>
        <v/>
      </c>
      <c r="H42" s="21">
        <f>IF(G42="","",IF(G42&lt;0.5,"Pulada na maioria das semanas",IF(G42&lt;0.75,"Pulada às vezes","")))</f>
        <v/>
      </c>
    </row>
    <row r="43">
      <c r="A43" s="22">
        <f>IF(Rotina!$B19="","",Rotina!$A19)</f>
        <v/>
      </c>
      <c r="B43" s="21">
        <f>IF(Rotina!$B19="","",Rotina!$B19)</f>
        <v/>
      </c>
      <c r="C43" s="22">
        <f>IF(Rotina!$B19="","",Rotina!$C19)</f>
        <v/>
      </c>
      <c r="D43" s="22">
        <f>IF(Rotina!$B19="","",Rotina!$D19)</f>
        <v/>
      </c>
      <c r="E43" s="22">
        <f>IF(OR(Rotina!$B19="",$K$4=0),"",SUMPRODUCT((Rotina!$E$19:$BD$19="Sim")*(Rotina!$E$2:$BD$2&gt;=$K$4-3)*(Rotina!$E$2:$BD$2&lt;=$K$4)))</f>
        <v/>
      </c>
      <c r="F43" s="22">
        <f>IF(E43="","",$K$6)</f>
        <v/>
      </c>
      <c r="G43" s="23">
        <f>IF(OR(E43="",F43=0),"",E43/F43)</f>
        <v/>
      </c>
      <c r="H43" s="21">
        <f>IF(G43="","",IF(G43&lt;0.5,"Pulada na maioria das semanas",IF(G43&lt;0.75,"Pulada às vezes","")))</f>
        <v/>
      </c>
    </row>
    <row r="44">
      <c r="A44" s="22">
        <f>IF(Rotina!$B20="","",Rotina!$A20)</f>
        <v/>
      </c>
      <c r="B44" s="21">
        <f>IF(Rotina!$B20="","",Rotina!$B20)</f>
        <v/>
      </c>
      <c r="C44" s="22">
        <f>IF(Rotina!$B20="","",Rotina!$C20)</f>
        <v/>
      </c>
      <c r="D44" s="22">
        <f>IF(Rotina!$B20="","",Rotina!$D20)</f>
        <v/>
      </c>
      <c r="E44" s="22">
        <f>IF(OR(Rotina!$B20="",$K$4=0),"",SUMPRODUCT((Rotina!$E$20:$BD$20="Sim")*(Rotina!$E$2:$BD$2&gt;=$K$4-3)*(Rotina!$E$2:$BD$2&lt;=$K$4)))</f>
        <v/>
      </c>
      <c r="F44" s="22">
        <f>IF(E44="","",$K$6)</f>
        <v/>
      </c>
      <c r="G44" s="23">
        <f>IF(OR(E44="",F44=0),"",E44/F44)</f>
        <v/>
      </c>
      <c r="H44" s="21">
        <f>IF(G44="","",IF(G44&lt;0.5,"Pulada na maioria das semanas",IF(G44&lt;0.75,"Pulada às vezes","")))</f>
        <v/>
      </c>
    </row>
    <row r="45">
      <c r="A45" s="22">
        <f>IF(Rotina!$B21="","",Rotina!$A21)</f>
        <v/>
      </c>
      <c r="B45" s="21">
        <f>IF(Rotina!$B21="","",Rotina!$B21)</f>
        <v/>
      </c>
      <c r="C45" s="22">
        <f>IF(Rotina!$B21="","",Rotina!$C21)</f>
        <v/>
      </c>
      <c r="D45" s="22">
        <f>IF(Rotina!$B21="","",Rotina!$D21)</f>
        <v/>
      </c>
      <c r="E45" s="22">
        <f>IF(OR(Rotina!$B21="",$K$4=0),"",SUMPRODUCT((Rotina!$E$21:$BD$21="Sim")*(Rotina!$E$2:$BD$2&gt;=$K$4-3)*(Rotina!$E$2:$BD$2&lt;=$K$4)))</f>
        <v/>
      </c>
      <c r="F45" s="22">
        <f>IF(E45="","",$K$6)</f>
        <v/>
      </c>
      <c r="G45" s="23">
        <f>IF(OR(E45="",F45=0),"",E45/F45)</f>
        <v/>
      </c>
      <c r="H45" s="21">
        <f>IF(G45="","",IF(G45&lt;0.5,"Pulada na maioria das semanas",IF(G45&lt;0.75,"Pulada às vezes","")))</f>
        <v/>
      </c>
    </row>
    <row r="46">
      <c r="A46" s="22">
        <f>IF(Rotina!$B22="","",Rotina!$A22)</f>
        <v/>
      </c>
      <c r="B46" s="21">
        <f>IF(Rotina!$B22="","",Rotina!$B22)</f>
        <v/>
      </c>
      <c r="C46" s="22">
        <f>IF(Rotina!$B22="","",Rotina!$C22)</f>
        <v/>
      </c>
      <c r="D46" s="22">
        <f>IF(Rotina!$B22="","",Rotina!$D22)</f>
        <v/>
      </c>
      <c r="E46" s="22">
        <f>IF(OR(Rotina!$B22="",$K$4=0),"",SUMPRODUCT((Rotina!$E$22:$BD$22="Sim")*(Rotina!$E$2:$BD$2&gt;=$K$4-3)*(Rotina!$E$2:$BD$2&lt;=$K$4)))</f>
        <v/>
      </c>
      <c r="F46" s="22">
        <f>IF(E46="","",$K$6)</f>
        <v/>
      </c>
      <c r="G46" s="23">
        <f>IF(OR(E46="",F46=0),"",E46/F46)</f>
        <v/>
      </c>
      <c r="H46" s="21">
        <f>IF(G46="","",IF(G46&lt;0.5,"Pulada na maioria das semanas",IF(G46&lt;0.75,"Pulada às vezes","")))</f>
        <v/>
      </c>
    </row>
    <row r="47">
      <c r="A47" s="22">
        <f>IF(Rotina!$B23="","",Rotina!$A23)</f>
        <v/>
      </c>
      <c r="B47" s="21">
        <f>IF(Rotina!$B23="","",Rotina!$B23)</f>
        <v/>
      </c>
      <c r="C47" s="22">
        <f>IF(Rotina!$B23="","",Rotina!$C23)</f>
        <v/>
      </c>
      <c r="D47" s="22">
        <f>IF(Rotina!$B23="","",Rotina!$D23)</f>
        <v/>
      </c>
      <c r="E47" s="22">
        <f>IF(OR(Rotina!$B23="",$K$4=0),"",SUMPRODUCT((Rotina!$E$23:$BD$23="Sim")*(Rotina!$E$2:$BD$2&gt;=$K$4-3)*(Rotina!$E$2:$BD$2&lt;=$K$4)))</f>
        <v/>
      </c>
      <c r="F47" s="22">
        <f>IF(E47="","",$K$6)</f>
        <v/>
      </c>
      <c r="G47" s="23">
        <f>IF(OR(E47="",F47=0),"",E47/F47)</f>
        <v/>
      </c>
      <c r="H47" s="21">
        <f>IF(G47="","",IF(G47&lt;0.5,"Pulada na maioria das semanas",IF(G47&lt;0.75,"Pulada às vezes","")))</f>
        <v/>
      </c>
    </row>
    <row r="48">
      <c r="A48" s="22">
        <f>IF(Rotina!$B24="","",Rotina!$A24)</f>
        <v/>
      </c>
      <c r="B48" s="21">
        <f>IF(Rotina!$B24="","",Rotina!$B24)</f>
        <v/>
      </c>
      <c r="C48" s="22">
        <f>IF(Rotina!$B24="","",Rotina!$C24)</f>
        <v/>
      </c>
      <c r="D48" s="22">
        <f>IF(Rotina!$B24="","",Rotina!$D24)</f>
        <v/>
      </c>
      <c r="E48" s="22">
        <f>IF(OR(Rotina!$B24="",$K$4=0),"",SUMPRODUCT((Rotina!$E$24:$BD$24="Sim")*(Rotina!$E$2:$BD$2&gt;=$K$4-3)*(Rotina!$E$2:$BD$2&lt;=$K$4)))</f>
        <v/>
      </c>
      <c r="F48" s="22">
        <f>IF(E48="","",$K$6)</f>
        <v/>
      </c>
      <c r="G48" s="23">
        <f>IF(OR(E48="",F48=0),"",E48/F48)</f>
        <v/>
      </c>
      <c r="H48" s="21">
        <f>IF(G48="","",IF(G48&lt;0.5,"Pulada na maioria das semanas",IF(G48&lt;0.75,"Pulada às vezes","")))</f>
        <v/>
      </c>
    </row>
    <row r="49">
      <c r="A49" s="22">
        <f>IF(Rotina!$B25="","",Rotina!$A25)</f>
        <v/>
      </c>
      <c r="B49" s="21">
        <f>IF(Rotina!$B25="","",Rotina!$B25)</f>
        <v/>
      </c>
      <c r="C49" s="22">
        <f>IF(Rotina!$B25="","",Rotina!$C25)</f>
        <v/>
      </c>
      <c r="D49" s="22">
        <f>IF(Rotina!$B25="","",Rotina!$D25)</f>
        <v/>
      </c>
      <c r="E49" s="22">
        <f>IF(OR(Rotina!$B25="",$K$4=0),"",SUMPRODUCT((Rotina!$E$25:$BD$25="Sim")*(Rotina!$E$2:$BD$2&gt;=$K$4-3)*(Rotina!$E$2:$BD$2&lt;=$K$4)))</f>
        <v/>
      </c>
      <c r="F49" s="22">
        <f>IF(E49="","",$K$6)</f>
        <v/>
      </c>
      <c r="G49" s="23">
        <f>IF(OR(E49="",F49=0),"",E49/F49)</f>
        <v/>
      </c>
      <c r="H49" s="21">
        <f>IF(G49="","",IF(G49&lt;0.5,"Pulada na maioria das semanas",IF(G49&lt;0.75,"Pulada às vezes","")))</f>
        <v/>
      </c>
    </row>
    <row r="50">
      <c r="A50" s="22">
        <f>IF(Rotina!$B26="","",Rotina!$A26)</f>
        <v/>
      </c>
      <c r="B50" s="21">
        <f>IF(Rotina!$B26="","",Rotina!$B26)</f>
        <v/>
      </c>
      <c r="C50" s="22">
        <f>IF(Rotina!$B26="","",Rotina!$C26)</f>
        <v/>
      </c>
      <c r="D50" s="22">
        <f>IF(Rotina!$B26="","",Rotina!$D26)</f>
        <v/>
      </c>
      <c r="E50" s="22">
        <f>IF(OR(Rotina!$B26="",$K$4=0),"",SUMPRODUCT((Rotina!$E$26:$BD$26="Sim")*(Rotina!$E$2:$BD$2&gt;=$K$4-3)*(Rotina!$E$2:$BD$2&lt;=$K$4)))</f>
        <v/>
      </c>
      <c r="F50" s="22">
        <f>IF(E50="","",$K$6)</f>
        <v/>
      </c>
      <c r="G50" s="23">
        <f>IF(OR(E50="",F50=0),"",E50/F50)</f>
        <v/>
      </c>
      <c r="H50" s="21">
        <f>IF(G50="","",IF(G50&lt;0.5,"Pulada na maioria das semanas",IF(G50&lt;0.75,"Pulada às vezes","")))</f>
        <v/>
      </c>
    </row>
    <row r="51">
      <c r="A51" s="22">
        <f>IF(Rotina!$B27="","",Rotina!$A27)</f>
        <v/>
      </c>
      <c r="B51" s="21">
        <f>IF(Rotina!$B27="","",Rotina!$B27)</f>
        <v/>
      </c>
      <c r="C51" s="22">
        <f>IF(Rotina!$B27="","",Rotina!$C27)</f>
        <v/>
      </c>
      <c r="D51" s="22">
        <f>IF(Rotina!$B27="","",Rotina!$D27)</f>
        <v/>
      </c>
      <c r="E51" s="22">
        <f>IF(OR(Rotina!$B27="",$K$4=0),"",SUMPRODUCT((Rotina!$E$27:$BD$27="Sim")*(Rotina!$E$2:$BD$2&gt;=$K$4-3)*(Rotina!$E$2:$BD$2&lt;=$K$4)))</f>
        <v/>
      </c>
      <c r="F51" s="22">
        <f>IF(E51="","",$K$6)</f>
        <v/>
      </c>
      <c r="G51" s="23">
        <f>IF(OR(E51="",F51=0),"",E51/F51)</f>
        <v/>
      </c>
      <c r="H51" s="21">
        <f>IF(G51="","",IF(G51&lt;0.5,"Pulada na maioria das semanas",IF(G51&lt;0.75,"Pulada às vezes","")))</f>
        <v/>
      </c>
    </row>
    <row r="52">
      <c r="A52" s="22">
        <f>IF(Rotina!$B28="","",Rotina!$A28)</f>
        <v/>
      </c>
      <c r="B52" s="21">
        <f>IF(Rotina!$B28="","",Rotina!$B28)</f>
        <v/>
      </c>
      <c r="C52" s="22">
        <f>IF(Rotina!$B28="","",Rotina!$C28)</f>
        <v/>
      </c>
      <c r="D52" s="22">
        <f>IF(Rotina!$B28="","",Rotina!$D28)</f>
        <v/>
      </c>
      <c r="E52" s="22">
        <f>IF(OR(Rotina!$B28="",$K$4=0),"",SUMPRODUCT((Rotina!$E$28:$BD$28="Sim")*(Rotina!$E$2:$BD$2&gt;=$K$4-3)*(Rotina!$E$2:$BD$2&lt;=$K$4)))</f>
        <v/>
      </c>
      <c r="F52" s="22">
        <f>IF(E52="","",$K$6)</f>
        <v/>
      </c>
      <c r="G52" s="23">
        <f>IF(OR(E52="",F52=0),"",E52/F52)</f>
        <v/>
      </c>
      <c r="H52" s="21">
        <f>IF(G52="","",IF(G52&lt;0.5,"Pulada na maioria das semanas",IF(G52&lt;0.75,"Pulada às vezes","")))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1">
    <mergeCell ref="G21:H21"/>
    <mergeCell ref="C5:D5"/>
    <mergeCell ref="E5:F5"/>
    <mergeCell ref="G23:H23"/>
    <mergeCell ref="A1:H1"/>
    <mergeCell ref="G17:H17"/>
    <mergeCell ref="C4:D4"/>
    <mergeCell ref="E4:F4"/>
    <mergeCell ref="G19:H19"/>
    <mergeCell ref="A15:J15"/>
    <mergeCell ref="G18:H18"/>
    <mergeCell ref="G24:H24"/>
    <mergeCell ref="A2:H2"/>
    <mergeCell ref="A5:B5"/>
    <mergeCell ref="G5:H5"/>
    <mergeCell ref="A4:B4"/>
    <mergeCell ref="G4:H4"/>
    <mergeCell ref="G20:H20"/>
    <mergeCell ref="A27:J27"/>
    <mergeCell ref="A26:J26"/>
    <mergeCell ref="G22:H22"/>
  </mergeCells>
  <conditionalFormatting sqref="A9:F13">
    <cfRule type="expression" priority="1" dxfId="0">
      <formula>$B9=0</formula>
    </cfRule>
  </conditionalFormatting>
  <conditionalFormatting sqref="F9:F13">
    <cfRule type="expression" priority="2" dxfId="1">
      <formula>AND(ISNUMBER(F9),F9&lt;0.7)</formula>
    </cfRule>
  </conditionalFormatting>
  <conditionalFormatting sqref="E17:E24">
    <cfRule type="expression" priority="3" dxfId="1">
      <formula>AND(ISNUMBER(E17),E17&lt;0.7)</formula>
    </cfRule>
  </conditionalFormatting>
  <conditionalFormatting sqref="A29:H52">
    <cfRule type="expression" priority="4" dxfId="2">
      <formula>AND(ISNUMBER($G29),$G29&lt;0.5)</formula>
    </cfRule>
    <cfRule type="expression" priority="5" dxfId="3">
      <formula>AND(ISNUMBER($G29),$G29&gt;=0.5,$G29&lt;0.75)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90" customWidth="1" min="3" max="3"/>
    <col width="4" customWidth="1" min="4" max="4"/>
    <col width="4" customWidth="1" min="5" max="5"/>
    <col width="4" customWidth="1" min="6" max="6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</t>
        </is>
      </c>
    </row>
    <row r="4">
      <c r="A4" s="29" t="inlineStr">
        <is>
          <t>Clínica</t>
        </is>
      </c>
      <c r="B4" s="30" t="inlineStr">
        <is>
          <t>Clínica Vida Plena (exemplo fictício)</t>
        </is>
      </c>
    </row>
    <row r="5">
      <c r="A5" s="29" t="inlineStr">
        <is>
          <t>Data de referência (hoje)</t>
        </is>
      </c>
      <c r="B5" s="31" t="n">
        <v>46279</v>
      </c>
      <c r="C5" s="13" t="inlineStr">
        <is>
          <t>O exemplo está congelado em 14/09/2026, para os arquivos do kit mostrarem a mesma foto. Ao usar com os seus dados, troque por =HOJE().</t>
        </is>
      </c>
    </row>
    <row r="6">
      <c r="A6" s="29" t="inlineStr">
        <is>
          <t>Segunda-feira da semana 1</t>
        </is>
      </c>
      <c r="B6" s="31" t="n">
        <v>46027</v>
      </c>
      <c r="C6" s="13" t="inlineStr">
        <is>
          <t>Sugestão: a primeira segunda-feira do ano. As 52 colunas da aba Rotina contam a partir daqui. O exemplo está preenchido de 20/07 a 07/09/2026 (S29 a S36).</t>
        </is>
      </c>
    </row>
    <row r="7">
      <c r="C7" s="13" t="inlineStr">
        <is>
          <t>Virada do ano: em janeiro de 2027, salve uma cópia desta planilha, troque a data acima pela primeira segunda-feira de 2027 (04/01/2027) e limpe as marcações da aba Rotina. As 52 semanas recomeçam.</t>
        </is>
      </c>
    </row>
    <row r="8">
      <c r="A8" s="29" t="inlineStr">
        <is>
          <t>Responsáveis (até 10)</t>
        </is>
      </c>
    </row>
    <row r="9">
      <c r="B9" s="30" t="inlineStr">
        <is>
          <t>Dra. Carolina Mendes</t>
        </is>
      </c>
    </row>
    <row r="10">
      <c r="B10" s="30" t="inlineStr">
        <is>
          <t>Dr. Paulo Andrade</t>
        </is>
      </c>
    </row>
    <row r="11">
      <c r="B11" s="30" t="inlineStr">
        <is>
          <t>Bruna Carvalho</t>
        </is>
      </c>
    </row>
    <row r="12">
      <c r="B12" s="30" t="n"/>
    </row>
    <row r="13">
      <c r="B13" s="30" t="n"/>
    </row>
    <row r="14">
      <c r="B14" s="30" t="n"/>
    </row>
    <row r="15">
      <c r="B15" s="30" t="n"/>
    </row>
    <row r="16">
      <c r="B16" s="30" t="n"/>
    </row>
    <row r="17">
      <c r="B17" s="30" t="n"/>
    </row>
    <row r="18">
      <c r="B18" s="30" t="n"/>
    </row>
    <row r="20">
      <c r="A20" s="13" t="inlineStr">
        <is>
          <t>Preencha de cima para baixo, sem pular linha: a lista suspensa para na última linha preenchida.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36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6" customWidth="1" min="2" max="2"/>
    <col width="9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</cols>
  <sheetData>
    <row r="1" ht="28" customHeight="1">
      <c r="A1" s="5" t="inlineStr">
        <is>
          <t>Rotina da semana</t>
        </is>
      </c>
    </row>
    <row r="2">
      <c r="A2" s="6" t="inlineStr">
        <is>
          <t>Linhas: as rotinas fixas de segunda (agenda) e de sexta (caixa e painel). Colunas: uma por semana. Marque Sim ou Não em cada semana; os totais e o Painel são calculados.</t>
        </is>
      </c>
      <c r="E2" s="32" t="n">
        <v>1</v>
      </c>
      <c r="F2" s="32" t="n">
        <v>2</v>
      </c>
      <c r="G2" s="32" t="n">
        <v>3</v>
      </c>
      <c r="H2" s="32" t="n">
        <v>4</v>
      </c>
      <c r="I2" s="32" t="n">
        <v>5</v>
      </c>
      <c r="J2" s="32" t="n">
        <v>6</v>
      </c>
      <c r="K2" s="32" t="n">
        <v>7</v>
      </c>
      <c r="L2" s="32" t="n">
        <v>8</v>
      </c>
      <c r="M2" s="32" t="n">
        <v>9</v>
      </c>
      <c r="N2" s="32" t="n">
        <v>10</v>
      </c>
      <c r="O2" s="32" t="n">
        <v>11</v>
      </c>
      <c r="P2" s="32" t="n">
        <v>12</v>
      </c>
      <c r="Q2" s="32" t="n">
        <v>13</v>
      </c>
      <c r="R2" s="32" t="n">
        <v>14</v>
      </c>
      <c r="S2" s="32" t="n">
        <v>15</v>
      </c>
      <c r="T2" s="32" t="n">
        <v>16</v>
      </c>
      <c r="U2" s="32" t="n">
        <v>17</v>
      </c>
      <c r="V2" s="32" t="n">
        <v>18</v>
      </c>
      <c r="W2" s="32" t="n">
        <v>19</v>
      </c>
      <c r="X2" s="32" t="n">
        <v>20</v>
      </c>
      <c r="Y2" s="32" t="n">
        <v>21</v>
      </c>
      <c r="Z2" s="32" t="n">
        <v>22</v>
      </c>
      <c r="AA2" s="32" t="n">
        <v>23</v>
      </c>
      <c r="AB2" s="32" t="n">
        <v>24</v>
      </c>
      <c r="AC2" s="32" t="n">
        <v>25</v>
      </c>
      <c r="AD2" s="32" t="n">
        <v>26</v>
      </c>
      <c r="AE2" s="32" t="n">
        <v>27</v>
      </c>
      <c r="AF2" s="32" t="n">
        <v>28</v>
      </c>
      <c r="AG2" s="32" t="n">
        <v>29</v>
      </c>
      <c r="AH2" s="32" t="n">
        <v>30</v>
      </c>
      <c r="AI2" s="32" t="n">
        <v>31</v>
      </c>
      <c r="AJ2" s="32" t="n">
        <v>32</v>
      </c>
      <c r="AK2" s="32" t="n">
        <v>33</v>
      </c>
      <c r="AL2" s="32" t="n">
        <v>34</v>
      </c>
      <c r="AM2" s="32" t="n">
        <v>35</v>
      </c>
      <c r="AN2" s="32" t="n">
        <v>36</v>
      </c>
      <c r="AO2" s="32" t="n">
        <v>37</v>
      </c>
      <c r="AP2" s="32" t="n">
        <v>38</v>
      </c>
      <c r="AQ2" s="32" t="n">
        <v>39</v>
      </c>
      <c r="AR2" s="32" t="n">
        <v>40</v>
      </c>
      <c r="AS2" s="32" t="n">
        <v>41</v>
      </c>
      <c r="AT2" s="32" t="n">
        <v>42</v>
      </c>
      <c r="AU2" s="32" t="n">
        <v>43</v>
      </c>
      <c r="AV2" s="32" t="n">
        <v>44</v>
      </c>
      <c r="AW2" s="32" t="n">
        <v>45</v>
      </c>
      <c r="AX2" s="32" t="n">
        <v>46</v>
      </c>
      <c r="AY2" s="32" t="n">
        <v>47</v>
      </c>
      <c r="AZ2" s="32" t="n">
        <v>48</v>
      </c>
      <c r="BA2" s="32" t="n">
        <v>49</v>
      </c>
      <c r="BB2" s="32" t="n">
        <v>50</v>
      </c>
      <c r="BC2" s="32" t="n">
        <v>51</v>
      </c>
      <c r="BD2" s="32" t="n">
        <v>52</v>
      </c>
    </row>
    <row r="3">
      <c r="A3" s="33" t="inlineStr">
        <is>
          <t>Semana começa em</t>
        </is>
      </c>
      <c r="E3" s="34">
        <f>Config!$B$6+0</f>
        <v>46027.0</v>
      </c>
      <c r="F3" s="34">
        <f>Config!$B$6+7</f>
        <v>46034.0</v>
      </c>
      <c r="G3" s="34">
        <f>Config!$B$6+14</f>
        <v>46041.0</v>
      </c>
      <c r="H3" s="34">
        <f>Config!$B$6+21</f>
        <v>46048.0</v>
      </c>
      <c r="I3" s="34">
        <f>Config!$B$6+28</f>
        <v>46055.0</v>
      </c>
      <c r="J3" s="34">
        <f>Config!$B$6+35</f>
        <v>46062.0</v>
      </c>
      <c r="K3" s="34">
        <f>Config!$B$6+42</f>
        <v>46069.0</v>
      </c>
      <c r="L3" s="34">
        <f>Config!$B$6+49</f>
        <v>46076.0</v>
      </c>
      <c r="M3" s="34">
        <f>Config!$B$6+56</f>
        <v>46083.0</v>
      </c>
      <c r="N3" s="34">
        <f>Config!$B$6+63</f>
        <v>46090.0</v>
      </c>
      <c r="O3" s="34">
        <f>Config!$B$6+70</f>
        <v>46097.0</v>
      </c>
      <c r="P3" s="34">
        <f>Config!$B$6+77</f>
        <v>46104.0</v>
      </c>
      <c r="Q3" s="34">
        <f>Config!$B$6+84</f>
        <v>46111.0</v>
      </c>
      <c r="R3" s="34">
        <f>Config!$B$6+91</f>
        <v>46118.0</v>
      </c>
      <c r="S3" s="34">
        <f>Config!$B$6+98</f>
        <v>46125.0</v>
      </c>
      <c r="T3" s="34">
        <f>Config!$B$6+105</f>
        <v>46132.0</v>
      </c>
      <c r="U3" s="34">
        <f>Config!$B$6+112</f>
        <v>46139.0</v>
      </c>
      <c r="V3" s="34">
        <f>Config!$B$6+119</f>
        <v>46146.0</v>
      </c>
      <c r="W3" s="34">
        <f>Config!$B$6+126</f>
        <v>46153.0</v>
      </c>
      <c r="X3" s="34">
        <f>Config!$B$6+133</f>
        <v>46160.0</v>
      </c>
      <c r="Y3" s="34">
        <f>Config!$B$6+140</f>
        <v>46167.0</v>
      </c>
      <c r="Z3" s="34">
        <f>Config!$B$6+147</f>
        <v>46174.0</v>
      </c>
      <c r="AA3" s="34">
        <f>Config!$B$6+154</f>
        <v>46181.0</v>
      </c>
      <c r="AB3" s="34">
        <f>Config!$B$6+161</f>
        <v>46188.0</v>
      </c>
      <c r="AC3" s="34">
        <f>Config!$B$6+168</f>
        <v>46195.0</v>
      </c>
      <c r="AD3" s="34">
        <f>Config!$B$6+175</f>
        <v>46202.0</v>
      </c>
      <c r="AE3" s="34">
        <f>Config!$B$6+182</f>
        <v>46209.0</v>
      </c>
      <c r="AF3" s="34">
        <f>Config!$B$6+189</f>
        <v>46216.0</v>
      </c>
      <c r="AG3" s="34">
        <f>Config!$B$6+196</f>
        <v>46223.0</v>
      </c>
      <c r="AH3" s="34">
        <f>Config!$B$6+203</f>
        <v>46230.0</v>
      </c>
      <c r="AI3" s="34">
        <f>Config!$B$6+210</f>
        <v>46237.0</v>
      </c>
      <c r="AJ3" s="34">
        <f>Config!$B$6+217</f>
        <v>46244.0</v>
      </c>
      <c r="AK3" s="34">
        <f>Config!$B$6+224</f>
        <v>46251.0</v>
      </c>
      <c r="AL3" s="34">
        <f>Config!$B$6+231</f>
        <v>46258.0</v>
      </c>
      <c r="AM3" s="34">
        <f>Config!$B$6+238</f>
        <v>46265.0</v>
      </c>
      <c r="AN3" s="34">
        <f>Config!$B$6+245</f>
        <v>46272.0</v>
      </c>
      <c r="AO3" s="34">
        <f>Config!$B$6+252</f>
        <v>46279.0</v>
      </c>
      <c r="AP3" s="34">
        <f>Config!$B$6+259</f>
        <v>46286.0</v>
      </c>
      <c r="AQ3" s="34">
        <f>Config!$B$6+266</f>
        <v>46293.0</v>
      </c>
      <c r="AR3" s="34">
        <f>Config!$B$6+273</f>
        <v>46300.0</v>
      </c>
      <c r="AS3" s="34">
        <f>Config!$B$6+280</f>
        <v>46307.0</v>
      </c>
      <c r="AT3" s="34">
        <f>Config!$B$6+287</f>
        <v>46314.0</v>
      </c>
      <c r="AU3" s="34">
        <f>Config!$B$6+294</f>
        <v>46321.0</v>
      </c>
      <c r="AV3" s="34">
        <f>Config!$B$6+301</f>
        <v>46328.0</v>
      </c>
      <c r="AW3" s="34">
        <f>Config!$B$6+308</f>
        <v>46335.0</v>
      </c>
      <c r="AX3" s="34">
        <f>Config!$B$6+315</f>
        <v>46342.0</v>
      </c>
      <c r="AY3" s="34">
        <f>Config!$B$6+322</f>
        <v>46349.0</v>
      </c>
      <c r="AZ3" s="34">
        <f>Config!$B$6+329</f>
        <v>46356.0</v>
      </c>
      <c r="BA3" s="34">
        <f>Config!$B$6+336</f>
        <v>46363.0</v>
      </c>
      <c r="BB3" s="34">
        <f>Config!$B$6+343</f>
        <v>46370.0</v>
      </c>
      <c r="BC3" s="34">
        <f>Config!$B$6+350</f>
        <v>46377.0</v>
      </c>
      <c r="BD3" s="34">
        <f>Config!$B$6+357</f>
        <v>46384.0</v>
      </c>
    </row>
    <row r="4" ht="26" customHeight="1">
      <c r="A4" s="20" t="inlineStr">
        <is>
          <t>Dia</t>
        </is>
      </c>
      <c r="B4" s="20" t="inlineStr">
        <is>
          <t>Rotina</t>
        </is>
      </c>
      <c r="C4" s="20" t="inlineStr">
        <is>
          <t>Minutos</t>
        </is>
      </c>
      <c r="D4" s="20" t="inlineStr">
        <is>
          <t>Responsável</t>
        </is>
      </c>
      <c r="E4" s="35" t="inlineStr">
        <is>
          <t>S1</t>
        </is>
      </c>
      <c r="F4" s="35" t="inlineStr">
        <is>
          <t>S2</t>
        </is>
      </c>
      <c r="G4" s="35" t="inlineStr">
        <is>
          <t>S3</t>
        </is>
      </c>
      <c r="H4" s="35" t="inlineStr">
        <is>
          <t>S4</t>
        </is>
      </c>
      <c r="I4" s="35" t="inlineStr">
        <is>
          <t>S5</t>
        </is>
      </c>
      <c r="J4" s="35" t="inlineStr">
        <is>
          <t>S6</t>
        </is>
      </c>
      <c r="K4" s="35" t="inlineStr">
        <is>
          <t>S7</t>
        </is>
      </c>
      <c r="L4" s="35" t="inlineStr">
        <is>
          <t>S8</t>
        </is>
      </c>
      <c r="M4" s="35" t="inlineStr">
        <is>
          <t>S9</t>
        </is>
      </c>
      <c r="N4" s="35" t="inlineStr">
        <is>
          <t>S10</t>
        </is>
      </c>
      <c r="O4" s="35" t="inlineStr">
        <is>
          <t>S11</t>
        </is>
      </c>
      <c r="P4" s="35" t="inlineStr">
        <is>
          <t>S12</t>
        </is>
      </c>
      <c r="Q4" s="35" t="inlineStr">
        <is>
          <t>S13</t>
        </is>
      </c>
      <c r="R4" s="35" t="inlineStr">
        <is>
          <t>S14</t>
        </is>
      </c>
      <c r="S4" s="35" t="inlineStr">
        <is>
          <t>S15</t>
        </is>
      </c>
      <c r="T4" s="35" t="inlineStr">
        <is>
          <t>S16</t>
        </is>
      </c>
      <c r="U4" s="35" t="inlineStr">
        <is>
          <t>S17</t>
        </is>
      </c>
      <c r="V4" s="35" t="inlineStr">
        <is>
          <t>S18</t>
        </is>
      </c>
      <c r="W4" s="35" t="inlineStr">
        <is>
          <t>S19</t>
        </is>
      </c>
      <c r="X4" s="35" t="inlineStr">
        <is>
          <t>S20</t>
        </is>
      </c>
      <c r="Y4" s="35" t="inlineStr">
        <is>
          <t>S21</t>
        </is>
      </c>
      <c r="Z4" s="35" t="inlineStr">
        <is>
          <t>S22</t>
        </is>
      </c>
      <c r="AA4" s="35" t="inlineStr">
        <is>
          <t>S23</t>
        </is>
      </c>
      <c r="AB4" s="35" t="inlineStr">
        <is>
          <t>S24</t>
        </is>
      </c>
      <c r="AC4" s="35" t="inlineStr">
        <is>
          <t>S25</t>
        </is>
      </c>
      <c r="AD4" s="35" t="inlineStr">
        <is>
          <t>S26</t>
        </is>
      </c>
      <c r="AE4" s="35" t="inlineStr">
        <is>
          <t>S27</t>
        </is>
      </c>
      <c r="AF4" s="35" t="inlineStr">
        <is>
          <t>S28</t>
        </is>
      </c>
      <c r="AG4" s="35" t="inlineStr">
        <is>
          <t>S29</t>
        </is>
      </c>
      <c r="AH4" s="35" t="inlineStr">
        <is>
          <t>S30</t>
        </is>
      </c>
      <c r="AI4" s="35" t="inlineStr">
        <is>
          <t>S31</t>
        </is>
      </c>
      <c r="AJ4" s="35" t="inlineStr">
        <is>
          <t>S32</t>
        </is>
      </c>
      <c r="AK4" s="35" t="inlineStr">
        <is>
          <t>S33</t>
        </is>
      </c>
      <c r="AL4" s="35" t="inlineStr">
        <is>
          <t>S34</t>
        </is>
      </c>
      <c r="AM4" s="35" t="inlineStr">
        <is>
          <t>S35</t>
        </is>
      </c>
      <c r="AN4" s="35" t="inlineStr">
        <is>
          <t>S36</t>
        </is>
      </c>
      <c r="AO4" s="35" t="inlineStr">
        <is>
          <t>S37</t>
        </is>
      </c>
      <c r="AP4" s="35" t="inlineStr">
        <is>
          <t>S38</t>
        </is>
      </c>
      <c r="AQ4" s="35" t="inlineStr">
        <is>
          <t>S39</t>
        </is>
      </c>
      <c r="AR4" s="35" t="inlineStr">
        <is>
          <t>S40</t>
        </is>
      </c>
      <c r="AS4" s="35" t="inlineStr">
        <is>
          <t>S41</t>
        </is>
      </c>
      <c r="AT4" s="35" t="inlineStr">
        <is>
          <t>S42</t>
        </is>
      </c>
      <c r="AU4" s="35" t="inlineStr">
        <is>
          <t>S43</t>
        </is>
      </c>
      <c r="AV4" s="35" t="inlineStr">
        <is>
          <t>S44</t>
        </is>
      </c>
      <c r="AW4" s="35" t="inlineStr">
        <is>
          <t>S45</t>
        </is>
      </c>
      <c r="AX4" s="35" t="inlineStr">
        <is>
          <t>S46</t>
        </is>
      </c>
      <c r="AY4" s="35" t="inlineStr">
        <is>
          <t>S47</t>
        </is>
      </c>
      <c r="AZ4" s="35" t="inlineStr">
        <is>
          <t>S48</t>
        </is>
      </c>
      <c r="BA4" s="35" t="inlineStr">
        <is>
          <t>S49</t>
        </is>
      </c>
      <c r="BB4" s="35" t="inlineStr">
        <is>
          <t>S50</t>
        </is>
      </c>
      <c r="BC4" s="35" t="inlineStr">
        <is>
          <t>S51</t>
        </is>
      </c>
      <c r="BD4" s="35" t="inlineStr">
        <is>
          <t>S52</t>
        </is>
      </c>
    </row>
    <row r="5">
      <c r="A5" s="36" t="inlineStr">
        <is>
          <t>Segunda</t>
        </is>
      </c>
      <c r="B5" s="30" t="inlineStr">
        <is>
          <t>Abrir a Agenda (01): olhar as vagas dos próximos 7 dias e a ocupação da semana</t>
        </is>
      </c>
      <c r="C5" s="36" t="n">
        <v>4</v>
      </c>
      <c r="D5" s="36" t="inlineStr">
        <is>
          <t>Bruna Carvalho</t>
        </is>
      </c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  <c r="AA5" s="36" t="n"/>
      <c r="AB5" s="36" t="n"/>
      <c r="AC5" s="36" t="n"/>
      <c r="AD5" s="36" t="n"/>
      <c r="AE5" s="36" t="n"/>
      <c r="AF5" s="36" t="n"/>
      <c r="AG5" s="36" t="inlineStr">
        <is>
          <t>Sim</t>
        </is>
      </c>
      <c r="AH5" s="36" t="inlineStr">
        <is>
          <t>Sim</t>
        </is>
      </c>
      <c r="AI5" s="36" t="inlineStr">
        <is>
          <t>Sim</t>
        </is>
      </c>
      <c r="AJ5" s="36" t="inlineStr">
        <is>
          <t>Sim</t>
        </is>
      </c>
      <c r="AK5" s="36" t="inlineStr">
        <is>
          <t>Sim</t>
        </is>
      </c>
      <c r="AL5" s="36" t="inlineStr">
        <is>
          <t>Sim</t>
        </is>
      </c>
      <c r="AM5" s="36" t="inlineStr">
        <is>
          <t>Sim</t>
        </is>
      </c>
      <c r="AN5" s="36" t="inlineStr">
        <is>
          <t>Sim</t>
        </is>
      </c>
      <c r="AO5" s="36" t="n"/>
      <c r="AP5" s="36" t="n"/>
      <c r="AQ5" s="36" t="n"/>
      <c r="AR5" s="36" t="n"/>
      <c r="AS5" s="36" t="n"/>
      <c r="AT5" s="36" t="n"/>
      <c r="AU5" s="36" t="n"/>
      <c r="AV5" s="36" t="n"/>
      <c r="AW5" s="36" t="n"/>
      <c r="AX5" s="36" t="n"/>
      <c r="AY5" s="36" t="n"/>
      <c r="AZ5" s="36" t="n"/>
      <c r="BA5" s="36" t="n"/>
      <c r="BB5" s="36" t="n"/>
      <c r="BC5" s="36" t="n"/>
      <c r="BD5" s="36" t="n"/>
    </row>
    <row r="6">
      <c r="A6" s="36" t="inlineStr">
        <is>
          <t>Segunda</t>
        </is>
      </c>
      <c r="B6" s="30" t="inlineStr">
        <is>
          <t>Confirmar por mensagem os agendados da semana</t>
        </is>
      </c>
      <c r="C6" s="36" t="n">
        <v>4</v>
      </c>
      <c r="D6" s="36" t="inlineStr">
        <is>
          <t>Bruna Carvalho</t>
        </is>
      </c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  <c r="AA6" s="36" t="n"/>
      <c r="AB6" s="36" t="n"/>
      <c r="AC6" s="36" t="n"/>
      <c r="AD6" s="36" t="n"/>
      <c r="AE6" s="36" t="n"/>
      <c r="AF6" s="36" t="n"/>
      <c r="AG6" s="36" t="inlineStr">
        <is>
          <t>Não</t>
        </is>
      </c>
      <c r="AH6" s="36" t="inlineStr">
        <is>
          <t>Sim</t>
        </is>
      </c>
      <c r="AI6" s="36" t="inlineStr">
        <is>
          <t>Sim</t>
        </is>
      </c>
      <c r="AJ6" s="36" t="inlineStr">
        <is>
          <t>Sim</t>
        </is>
      </c>
      <c r="AK6" s="36" t="inlineStr">
        <is>
          <t>Sim</t>
        </is>
      </c>
      <c r="AL6" s="36" t="inlineStr">
        <is>
          <t>Sim</t>
        </is>
      </c>
      <c r="AM6" s="36" t="inlineStr">
        <is>
          <t>Sim</t>
        </is>
      </c>
      <c r="AN6" s="36" t="inlineStr">
        <is>
          <t>Sim</t>
        </is>
      </c>
      <c r="AO6" s="36" t="n"/>
      <c r="AP6" s="36" t="n"/>
      <c r="AQ6" s="36" t="n"/>
      <c r="AR6" s="36" t="n"/>
      <c r="AS6" s="36" t="n"/>
      <c r="AT6" s="36" t="n"/>
      <c r="AU6" s="36" t="n"/>
      <c r="AV6" s="36" t="n"/>
      <c r="AW6" s="36" t="n"/>
      <c r="AX6" s="36" t="n"/>
      <c r="AY6" s="36" t="n"/>
      <c r="AZ6" s="36" t="n"/>
      <c r="BA6" s="36" t="n"/>
      <c r="BB6" s="36" t="n"/>
      <c r="BC6" s="36" t="n"/>
      <c r="BD6" s="36" t="n"/>
    </row>
    <row r="7">
      <c r="A7" s="36" t="inlineStr">
        <is>
          <t>Segunda</t>
        </is>
      </c>
      <c r="B7" s="30" t="inlineStr">
        <is>
          <t>Ligar para a lista de retorno (02) e registrar as faltas da semana passada</t>
        </is>
      </c>
      <c r="C7" s="36" t="n">
        <v>4</v>
      </c>
      <c r="D7" s="36" t="inlineStr">
        <is>
          <t>Bruna Carvalho</t>
        </is>
      </c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  <c r="AA7" s="36" t="n"/>
      <c r="AB7" s="36" t="n"/>
      <c r="AC7" s="36" t="n"/>
      <c r="AD7" s="36" t="n"/>
      <c r="AE7" s="36" t="n"/>
      <c r="AF7" s="36" t="n"/>
      <c r="AG7" s="36" t="inlineStr">
        <is>
          <t>Não</t>
        </is>
      </c>
      <c r="AH7" s="36" t="inlineStr">
        <is>
          <t>Sim</t>
        </is>
      </c>
      <c r="AI7" s="36" t="inlineStr">
        <is>
          <t>Não</t>
        </is>
      </c>
      <c r="AJ7" s="36" t="inlineStr">
        <is>
          <t>Sim</t>
        </is>
      </c>
      <c r="AK7" s="36" t="inlineStr">
        <is>
          <t>Sim</t>
        </is>
      </c>
      <c r="AL7" s="36" t="inlineStr">
        <is>
          <t>Sim</t>
        </is>
      </c>
      <c r="AM7" s="36" t="inlineStr">
        <is>
          <t>Sim</t>
        </is>
      </c>
      <c r="AN7" s="36" t="inlineStr">
        <is>
          <t>Sim</t>
        </is>
      </c>
      <c r="AO7" s="36" t="n"/>
      <c r="AP7" s="36" t="n"/>
      <c r="AQ7" s="36" t="n"/>
      <c r="AR7" s="36" t="n"/>
      <c r="AS7" s="36" t="n"/>
      <c r="AT7" s="36" t="n"/>
      <c r="AU7" s="36" t="n"/>
      <c r="AV7" s="36" t="n"/>
      <c r="AW7" s="36" t="n"/>
      <c r="AX7" s="36" t="n"/>
      <c r="AY7" s="36" t="n"/>
      <c r="AZ7" s="36" t="n"/>
      <c r="BA7" s="36" t="n"/>
      <c r="BB7" s="36" t="n"/>
      <c r="BC7" s="36" t="n"/>
      <c r="BD7" s="36" t="n"/>
    </row>
    <row r="8">
      <c r="A8" s="36" t="inlineStr">
        <is>
          <t>Sexta</t>
        </is>
      </c>
      <c r="B8" s="30" t="inlineStr">
        <is>
          <t>Conferir os fechamentos da semana no Caixa (09)</t>
        </is>
      </c>
      <c r="C8" s="36" t="n">
        <v>5</v>
      </c>
      <c r="D8" s="36" t="inlineStr">
        <is>
          <t>Dra. Carolina Mendes</t>
        </is>
      </c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inlineStr">
        <is>
          <t>Sim</t>
        </is>
      </c>
      <c r="AH8" s="36" t="inlineStr">
        <is>
          <t>Sim</t>
        </is>
      </c>
      <c r="AI8" s="36" t="inlineStr">
        <is>
          <t>Sim</t>
        </is>
      </c>
      <c r="AJ8" s="36" t="inlineStr">
        <is>
          <t>Sim</t>
        </is>
      </c>
      <c r="AK8" s="36" t="inlineStr">
        <is>
          <t>Não</t>
        </is>
      </c>
      <c r="AL8" s="36" t="inlineStr">
        <is>
          <t>Sim</t>
        </is>
      </c>
      <c r="AM8" s="36" t="inlineStr">
        <is>
          <t>Não</t>
        </is>
      </c>
      <c r="AN8" s="36" t="inlineStr">
        <is>
          <t>Sim</t>
        </is>
      </c>
      <c r="AO8" s="36" t="n"/>
      <c r="AP8" s="36" t="n"/>
      <c r="AQ8" s="36" t="n"/>
      <c r="AR8" s="36" t="n"/>
      <c r="AS8" s="36" t="n"/>
      <c r="AT8" s="36" t="n"/>
      <c r="AU8" s="36" t="n"/>
      <c r="AV8" s="36" t="n"/>
      <c r="AW8" s="36" t="n"/>
      <c r="AX8" s="36" t="n"/>
      <c r="AY8" s="36" t="n"/>
      <c r="AZ8" s="36" t="n"/>
      <c r="BA8" s="36" t="n"/>
      <c r="BB8" s="36" t="n"/>
      <c r="BC8" s="36" t="n"/>
      <c r="BD8" s="36" t="n"/>
    </row>
    <row r="9">
      <c r="A9" s="36" t="inlineStr">
        <is>
          <t>Sexta</t>
        </is>
      </c>
      <c r="B9" s="30" t="inlineStr">
        <is>
          <t>Marcar parcelas recebidas e enviar a cobrança educada (14)</t>
        </is>
      </c>
      <c r="C9" s="36" t="n">
        <v>4</v>
      </c>
      <c r="D9" s="36" t="inlineStr">
        <is>
          <t>Bruna Carvalho</t>
        </is>
      </c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inlineStr">
        <is>
          <t>Não</t>
        </is>
      </c>
      <c r="AH9" s="36" t="inlineStr">
        <is>
          <t>Sim</t>
        </is>
      </c>
      <c r="AI9" s="36" t="inlineStr">
        <is>
          <t>Sim</t>
        </is>
      </c>
      <c r="AJ9" s="36" t="inlineStr">
        <is>
          <t>Sim</t>
        </is>
      </c>
      <c r="AK9" s="36" t="inlineStr">
        <is>
          <t>Sim</t>
        </is>
      </c>
      <c r="AL9" s="36" t="inlineStr">
        <is>
          <t>Sim</t>
        </is>
      </c>
      <c r="AM9" s="36" t="inlineStr">
        <is>
          <t>Sim</t>
        </is>
      </c>
      <c r="AN9" s="36" t="inlineStr">
        <is>
          <t>Sim</t>
        </is>
      </c>
      <c r="AO9" s="36" t="n"/>
      <c r="AP9" s="36" t="n"/>
      <c r="AQ9" s="36" t="n"/>
      <c r="AR9" s="36" t="n"/>
      <c r="AS9" s="36" t="n"/>
      <c r="AT9" s="36" t="n"/>
      <c r="AU9" s="36" t="n"/>
      <c r="AV9" s="36" t="n"/>
      <c r="AW9" s="36" t="n"/>
      <c r="AX9" s="36" t="n"/>
      <c r="AY9" s="36" t="n"/>
      <c r="AZ9" s="36" t="n"/>
      <c r="BA9" s="36" t="n"/>
      <c r="BB9" s="36" t="n"/>
      <c r="BC9" s="36" t="n"/>
      <c r="BD9" s="36" t="n"/>
    </row>
    <row r="10">
      <c r="A10" s="36" t="inlineStr">
        <is>
          <t>Sexta</t>
        </is>
      </c>
      <c r="B10" s="30" t="inlineStr">
        <is>
          <t>Separar as guias da semana e atualizar os lotes (13)</t>
        </is>
      </c>
      <c r="C10" s="36" t="n">
        <v>3</v>
      </c>
      <c r="D10" s="36" t="inlineStr">
        <is>
          <t>Bruna Carvalho</t>
        </is>
      </c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inlineStr">
        <is>
          <t>Sim</t>
        </is>
      </c>
      <c r="AH10" s="36" t="inlineStr">
        <is>
          <t>Sim</t>
        </is>
      </c>
      <c r="AI10" s="36" t="inlineStr">
        <is>
          <t>Sim</t>
        </is>
      </c>
      <c r="AJ10" s="36" t="inlineStr">
        <is>
          <t>Sim</t>
        </is>
      </c>
      <c r="AK10" s="36" t="inlineStr">
        <is>
          <t>Sim</t>
        </is>
      </c>
      <c r="AL10" s="36" t="inlineStr">
        <is>
          <t>Sim</t>
        </is>
      </c>
      <c r="AM10" s="36" t="inlineStr">
        <is>
          <t>Sim</t>
        </is>
      </c>
      <c r="AN10" s="36" t="inlineStr">
        <is>
          <t>Sim</t>
        </is>
      </c>
      <c r="AO10" s="36" t="n"/>
      <c r="AP10" s="36" t="n"/>
      <c r="AQ10" s="36" t="n"/>
      <c r="AR10" s="36" t="n"/>
      <c r="AS10" s="36" t="n"/>
      <c r="AT10" s="36" t="n"/>
      <c r="AU10" s="36" t="n"/>
      <c r="AV10" s="36" t="n"/>
      <c r="AW10" s="36" t="n"/>
      <c r="AX10" s="36" t="n"/>
      <c r="AY10" s="36" t="n"/>
      <c r="AZ10" s="36" t="n"/>
      <c r="BA10" s="36" t="n"/>
      <c r="BB10" s="36" t="n"/>
      <c r="BC10" s="36" t="n"/>
      <c r="BD10" s="36" t="n"/>
    </row>
    <row r="11">
      <c r="A11" s="36" t="inlineStr">
        <is>
          <t>Sexta</t>
        </is>
      </c>
      <c r="B11" s="30" t="inlineStr">
        <is>
          <t>Atualizar os orçamentos apresentados e aprovados (15)</t>
        </is>
      </c>
      <c r="C11" s="36" t="n">
        <v>3</v>
      </c>
      <c r="D11" s="36" t="inlineStr">
        <is>
          <t>Bruna Carvalho</t>
        </is>
      </c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inlineStr">
        <is>
          <t>Sim</t>
        </is>
      </c>
      <c r="AH11" s="36" t="inlineStr">
        <is>
          <t>Não</t>
        </is>
      </c>
      <c r="AI11" s="36" t="inlineStr">
        <is>
          <t>Sim</t>
        </is>
      </c>
      <c r="AJ11" s="36" t="inlineStr">
        <is>
          <t>Sim</t>
        </is>
      </c>
      <c r="AK11" s="36" t="inlineStr">
        <is>
          <t>Não</t>
        </is>
      </c>
      <c r="AL11" s="36" t="inlineStr">
        <is>
          <t>Sim</t>
        </is>
      </c>
      <c r="AM11" s="36" t="inlineStr">
        <is>
          <t>Sim</t>
        </is>
      </c>
      <c r="AN11" s="36" t="inlineStr">
        <is>
          <t>Não</t>
        </is>
      </c>
      <c r="AO11" s="36" t="n"/>
      <c r="AP11" s="36" t="n"/>
      <c r="AQ11" s="36" t="n"/>
      <c r="AR11" s="36" t="n"/>
      <c r="AS11" s="36" t="n"/>
      <c r="AT11" s="36" t="n"/>
      <c r="AU11" s="36" t="n"/>
      <c r="AV11" s="36" t="n"/>
      <c r="AW11" s="36" t="n"/>
      <c r="AX11" s="36" t="n"/>
      <c r="AY11" s="36" t="n"/>
      <c r="AZ11" s="36" t="n"/>
      <c r="BA11" s="36" t="n"/>
      <c r="BB11" s="36" t="n"/>
      <c r="BC11" s="36" t="n"/>
      <c r="BD11" s="36" t="n"/>
    </row>
    <row r="12">
      <c r="A12" s="36" t="inlineStr">
        <is>
          <t>Sexta</t>
        </is>
      </c>
      <c r="B12" s="30" t="inlineStr">
        <is>
          <t>Olhar o Painel da clínica (17) e anotar até 3 decisões</t>
        </is>
      </c>
      <c r="C12" s="36" t="n">
        <v>3</v>
      </c>
      <c r="D12" s="36" t="inlineStr">
        <is>
          <t>Dr. Paulo Andrade</t>
        </is>
      </c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inlineStr">
        <is>
          <t>Não</t>
        </is>
      </c>
      <c r="AH12" s="36" t="inlineStr">
        <is>
          <t>Sim</t>
        </is>
      </c>
      <c r="AI12" s="36" t="inlineStr">
        <is>
          <t>Não</t>
        </is>
      </c>
      <c r="AJ12" s="36" t="inlineStr">
        <is>
          <t>Sim</t>
        </is>
      </c>
      <c r="AK12" s="36" t="inlineStr">
        <is>
          <t>Sim</t>
        </is>
      </c>
      <c r="AL12" s="36" t="inlineStr">
        <is>
          <t>Não</t>
        </is>
      </c>
      <c r="AM12" s="36" t="inlineStr">
        <is>
          <t>Sim</t>
        </is>
      </c>
      <c r="AN12" s="36" t="inlineStr">
        <is>
          <t>Sim</t>
        </is>
      </c>
      <c r="AO12" s="36" t="n"/>
      <c r="AP12" s="36" t="n"/>
      <c r="AQ12" s="36" t="n"/>
      <c r="AR12" s="36" t="n"/>
      <c r="AS12" s="36" t="n"/>
      <c r="AT12" s="36" t="n"/>
      <c r="AU12" s="36" t="n"/>
      <c r="AV12" s="36" t="n"/>
      <c r="AW12" s="36" t="n"/>
      <c r="AX12" s="36" t="n"/>
      <c r="AY12" s="36" t="n"/>
      <c r="AZ12" s="36" t="n"/>
      <c r="BA12" s="36" t="n"/>
      <c r="BB12" s="36" t="n"/>
      <c r="BC12" s="36" t="n"/>
      <c r="BD12" s="36" t="n"/>
    </row>
    <row r="13">
      <c r="A13" s="36" t="n"/>
      <c r="B13" s="30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  <c r="AP13" s="36" t="n"/>
      <c r="AQ13" s="36" t="n"/>
      <c r="AR13" s="36" t="n"/>
      <c r="AS13" s="36" t="n"/>
      <c r="AT13" s="36" t="n"/>
      <c r="AU13" s="36" t="n"/>
      <c r="AV13" s="36" t="n"/>
      <c r="AW13" s="36" t="n"/>
      <c r="AX13" s="36" t="n"/>
      <c r="AY13" s="36" t="n"/>
      <c r="AZ13" s="36" t="n"/>
      <c r="BA13" s="36" t="n"/>
      <c r="BB13" s="36" t="n"/>
      <c r="BC13" s="36" t="n"/>
      <c r="BD13" s="36" t="n"/>
    </row>
    <row r="14">
      <c r="A14" s="36" t="n"/>
      <c r="B14" s="30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  <c r="AP14" s="36" t="n"/>
      <c r="AQ14" s="36" t="n"/>
      <c r="AR14" s="36" t="n"/>
      <c r="AS14" s="36" t="n"/>
      <c r="AT14" s="36" t="n"/>
      <c r="AU14" s="36" t="n"/>
      <c r="AV14" s="36" t="n"/>
      <c r="AW14" s="36" t="n"/>
      <c r="AX14" s="36" t="n"/>
      <c r="AY14" s="36" t="n"/>
      <c r="AZ14" s="36" t="n"/>
      <c r="BA14" s="36" t="n"/>
      <c r="BB14" s="36" t="n"/>
      <c r="BC14" s="36" t="n"/>
      <c r="BD14" s="36" t="n"/>
    </row>
    <row r="15">
      <c r="A15" s="36" t="n"/>
      <c r="B15" s="30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  <c r="AP15" s="36" t="n"/>
      <c r="AQ15" s="36" t="n"/>
      <c r="AR15" s="36" t="n"/>
      <c r="AS15" s="36" t="n"/>
      <c r="AT15" s="36" t="n"/>
      <c r="AU15" s="36" t="n"/>
      <c r="AV15" s="36" t="n"/>
      <c r="AW15" s="36" t="n"/>
      <c r="AX15" s="36" t="n"/>
      <c r="AY15" s="36" t="n"/>
      <c r="AZ15" s="36" t="n"/>
      <c r="BA15" s="36" t="n"/>
      <c r="BB15" s="36" t="n"/>
      <c r="BC15" s="36" t="n"/>
      <c r="BD15" s="36" t="n"/>
    </row>
    <row r="16">
      <c r="A16" s="36" t="n"/>
      <c r="B16" s="30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  <c r="AP16" s="36" t="n"/>
      <c r="AQ16" s="36" t="n"/>
      <c r="AR16" s="36" t="n"/>
      <c r="AS16" s="36" t="n"/>
      <c r="AT16" s="36" t="n"/>
      <c r="AU16" s="36" t="n"/>
      <c r="AV16" s="36" t="n"/>
      <c r="AW16" s="36" t="n"/>
      <c r="AX16" s="36" t="n"/>
      <c r="AY16" s="36" t="n"/>
      <c r="AZ16" s="36" t="n"/>
      <c r="BA16" s="36" t="n"/>
      <c r="BB16" s="36" t="n"/>
      <c r="BC16" s="36" t="n"/>
      <c r="BD16" s="36" t="n"/>
    </row>
    <row r="17">
      <c r="A17" s="36" t="n"/>
      <c r="B17" s="30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  <c r="AP17" s="36" t="n"/>
      <c r="AQ17" s="36" t="n"/>
      <c r="AR17" s="36" t="n"/>
      <c r="AS17" s="36" t="n"/>
      <c r="AT17" s="36" t="n"/>
      <c r="AU17" s="36" t="n"/>
      <c r="AV17" s="36" t="n"/>
      <c r="AW17" s="36" t="n"/>
      <c r="AX17" s="36" t="n"/>
      <c r="AY17" s="36" t="n"/>
      <c r="AZ17" s="36" t="n"/>
      <c r="BA17" s="36" t="n"/>
      <c r="BB17" s="36" t="n"/>
      <c r="BC17" s="36" t="n"/>
      <c r="BD17" s="36" t="n"/>
    </row>
    <row r="18">
      <c r="A18" s="36" t="n"/>
      <c r="B18" s="30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  <c r="AU18" s="36" t="n"/>
      <c r="AV18" s="36" t="n"/>
      <c r="AW18" s="36" t="n"/>
      <c r="AX18" s="36" t="n"/>
      <c r="AY18" s="36" t="n"/>
      <c r="AZ18" s="36" t="n"/>
      <c r="BA18" s="36" t="n"/>
      <c r="BB18" s="36" t="n"/>
      <c r="BC18" s="36" t="n"/>
      <c r="BD18" s="36" t="n"/>
    </row>
    <row r="19">
      <c r="A19" s="36" t="n"/>
      <c r="B19" s="30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  <c r="AU19" s="36" t="n"/>
      <c r="AV19" s="36" t="n"/>
      <c r="AW19" s="36" t="n"/>
      <c r="AX19" s="36" t="n"/>
      <c r="AY19" s="36" t="n"/>
      <c r="AZ19" s="36" t="n"/>
      <c r="BA19" s="36" t="n"/>
      <c r="BB19" s="36" t="n"/>
      <c r="BC19" s="36" t="n"/>
      <c r="BD19" s="36" t="n"/>
    </row>
    <row r="20">
      <c r="A20" s="36" t="n"/>
      <c r="B20" s="30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  <c r="AU20" s="36" t="n"/>
      <c r="AV20" s="36" t="n"/>
      <c r="AW20" s="36" t="n"/>
      <c r="AX20" s="36" t="n"/>
      <c r="AY20" s="36" t="n"/>
      <c r="AZ20" s="36" t="n"/>
      <c r="BA20" s="36" t="n"/>
      <c r="BB20" s="36" t="n"/>
      <c r="BC20" s="36" t="n"/>
      <c r="BD20" s="36" t="n"/>
    </row>
    <row r="21">
      <c r="A21" s="36" t="n"/>
      <c r="B21" s="30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  <c r="AU21" s="36" t="n"/>
      <c r="AV21" s="36" t="n"/>
      <c r="AW21" s="36" t="n"/>
      <c r="AX21" s="36" t="n"/>
      <c r="AY21" s="36" t="n"/>
      <c r="AZ21" s="36" t="n"/>
      <c r="BA21" s="36" t="n"/>
      <c r="BB21" s="36" t="n"/>
      <c r="BC21" s="36" t="n"/>
      <c r="BD21" s="36" t="n"/>
    </row>
    <row r="22">
      <c r="A22" s="36" t="n"/>
      <c r="B22" s="30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  <c r="AU22" s="36" t="n"/>
      <c r="AV22" s="36" t="n"/>
      <c r="AW22" s="36" t="n"/>
      <c r="AX22" s="36" t="n"/>
      <c r="AY22" s="36" t="n"/>
      <c r="AZ22" s="36" t="n"/>
      <c r="BA22" s="36" t="n"/>
      <c r="BB22" s="36" t="n"/>
      <c r="BC22" s="36" t="n"/>
      <c r="BD22" s="36" t="n"/>
    </row>
    <row r="23">
      <c r="A23" s="36" t="n"/>
      <c r="B23" s="30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  <c r="AP23" s="36" t="n"/>
      <c r="AQ23" s="36" t="n"/>
      <c r="AR23" s="36" t="n"/>
      <c r="AS23" s="36" t="n"/>
      <c r="AT23" s="36" t="n"/>
      <c r="AU23" s="36" t="n"/>
      <c r="AV23" s="36" t="n"/>
      <c r="AW23" s="36" t="n"/>
      <c r="AX23" s="36" t="n"/>
      <c r="AY23" s="36" t="n"/>
      <c r="AZ23" s="36" t="n"/>
      <c r="BA23" s="36" t="n"/>
      <c r="BB23" s="36" t="n"/>
      <c r="BC23" s="36" t="n"/>
      <c r="BD23" s="36" t="n"/>
    </row>
    <row r="24">
      <c r="A24" s="36" t="n"/>
      <c r="B24" s="30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  <c r="AP24" s="36" t="n"/>
      <c r="AQ24" s="36" t="n"/>
      <c r="AR24" s="36" t="n"/>
      <c r="AS24" s="36" t="n"/>
      <c r="AT24" s="36" t="n"/>
      <c r="AU24" s="36" t="n"/>
      <c r="AV24" s="36" t="n"/>
      <c r="AW24" s="36" t="n"/>
      <c r="AX24" s="36" t="n"/>
      <c r="AY24" s="36" t="n"/>
      <c r="AZ24" s="36" t="n"/>
      <c r="BA24" s="36" t="n"/>
      <c r="BB24" s="36" t="n"/>
      <c r="BC24" s="36" t="n"/>
      <c r="BD24" s="36" t="n"/>
    </row>
    <row r="25">
      <c r="A25" s="36" t="n"/>
      <c r="B25" s="30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  <c r="AU25" s="36" t="n"/>
      <c r="AV25" s="36" t="n"/>
      <c r="AW25" s="36" t="n"/>
      <c r="AX25" s="36" t="n"/>
      <c r="AY25" s="36" t="n"/>
      <c r="AZ25" s="36" t="n"/>
      <c r="BA25" s="36" t="n"/>
      <c r="BB25" s="36" t="n"/>
      <c r="BC25" s="36" t="n"/>
      <c r="BD25" s="36" t="n"/>
    </row>
    <row r="26">
      <c r="A26" s="36" t="n"/>
      <c r="B26" s="30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  <c r="AT26" s="36" t="n"/>
      <c r="AU26" s="36" t="n"/>
      <c r="AV26" s="36" t="n"/>
      <c r="AW26" s="36" t="n"/>
      <c r="AX26" s="36" t="n"/>
      <c r="AY26" s="36" t="n"/>
      <c r="AZ26" s="36" t="n"/>
      <c r="BA26" s="36" t="n"/>
      <c r="BB26" s="36" t="n"/>
      <c r="BC26" s="36" t="n"/>
      <c r="BD26" s="36" t="n"/>
    </row>
    <row r="27">
      <c r="A27" s="36" t="n"/>
      <c r="B27" s="30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  <c r="AP27" s="36" t="n"/>
      <c r="AQ27" s="36" t="n"/>
      <c r="AR27" s="36" t="n"/>
      <c r="AS27" s="36" t="n"/>
      <c r="AT27" s="36" t="n"/>
      <c r="AU27" s="36" t="n"/>
      <c r="AV27" s="36" t="n"/>
      <c r="AW27" s="36" t="n"/>
      <c r="AX27" s="36" t="n"/>
      <c r="AY27" s="36" t="n"/>
      <c r="AZ27" s="36" t="n"/>
      <c r="BA27" s="36" t="n"/>
      <c r="BB27" s="36" t="n"/>
      <c r="BC27" s="36" t="n"/>
      <c r="BD27" s="36" t="n"/>
    </row>
    <row r="28">
      <c r="A28" s="36" t="n"/>
      <c r="B28" s="30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6" t="n"/>
      <c r="AR28" s="36" t="n"/>
      <c r="AS28" s="36" t="n"/>
      <c r="AT28" s="36" t="n"/>
      <c r="AU28" s="36" t="n"/>
      <c r="AV28" s="36" t="n"/>
      <c r="AW28" s="36" t="n"/>
      <c r="AX28" s="36" t="n"/>
      <c r="AY28" s="36" t="n"/>
      <c r="AZ28" s="36" t="n"/>
      <c r="BA28" s="36" t="n"/>
      <c r="BB28" s="36" t="n"/>
      <c r="BC28" s="36" t="n"/>
      <c r="BD28" s="36" t="n"/>
    </row>
    <row r="30">
      <c r="B30" s="29" t="inlineStr">
        <is>
          <t>Feitas na semana</t>
        </is>
      </c>
      <c r="E30" s="37">
        <f>COUNTIF(E5:E28,"Sim")</f>
        <v>0</v>
      </c>
      <c r="F30" s="37">
        <f>COUNTIF(F5:F28,"Sim")</f>
        <v>0</v>
      </c>
      <c r="G30" s="37">
        <f>COUNTIF(G5:G28,"Sim")</f>
        <v>0</v>
      </c>
      <c r="H30" s="37">
        <f>COUNTIF(H5:H28,"Sim")</f>
        <v>0</v>
      </c>
      <c r="I30" s="37">
        <f>COUNTIF(I5:I28,"Sim")</f>
        <v>0</v>
      </c>
      <c r="J30" s="37">
        <f>COUNTIF(J5:J28,"Sim")</f>
        <v>0</v>
      </c>
      <c r="K30" s="37">
        <f>COUNTIF(K5:K28,"Sim")</f>
        <v>0</v>
      </c>
      <c r="L30" s="37">
        <f>COUNTIF(L5:L28,"Sim")</f>
        <v>0</v>
      </c>
      <c r="M30" s="37">
        <f>COUNTIF(M5:M28,"Sim")</f>
        <v>0</v>
      </c>
      <c r="N30" s="37">
        <f>COUNTIF(N5:N28,"Sim")</f>
        <v>0</v>
      </c>
      <c r="O30" s="37">
        <f>COUNTIF(O5:O28,"Sim")</f>
        <v>0</v>
      </c>
      <c r="P30" s="37">
        <f>COUNTIF(P5:P28,"Sim")</f>
        <v>0</v>
      </c>
      <c r="Q30" s="37">
        <f>COUNTIF(Q5:Q28,"Sim")</f>
        <v>0</v>
      </c>
      <c r="R30" s="37">
        <f>COUNTIF(R5:R28,"Sim")</f>
        <v>0</v>
      </c>
      <c r="S30" s="37">
        <f>COUNTIF(S5:S28,"Sim")</f>
        <v>0</v>
      </c>
      <c r="T30" s="37">
        <f>COUNTIF(T5:T28,"Sim")</f>
        <v>0</v>
      </c>
      <c r="U30" s="37">
        <f>COUNTIF(U5:U28,"Sim")</f>
        <v>0</v>
      </c>
      <c r="V30" s="37">
        <f>COUNTIF(V5:V28,"Sim")</f>
        <v>0</v>
      </c>
      <c r="W30" s="37">
        <f>COUNTIF(W5:W28,"Sim")</f>
        <v>0</v>
      </c>
      <c r="X30" s="37">
        <f>COUNTIF(X5:X28,"Sim")</f>
        <v>0</v>
      </c>
      <c r="Y30" s="37">
        <f>COUNTIF(Y5:Y28,"Sim")</f>
        <v>0</v>
      </c>
      <c r="Z30" s="37">
        <f>COUNTIF(Z5:Z28,"Sim")</f>
        <v>0</v>
      </c>
      <c r="AA30" s="37">
        <f>COUNTIF(AA5:AA28,"Sim")</f>
        <v>0</v>
      </c>
      <c r="AB30" s="37">
        <f>COUNTIF(AB5:AB28,"Sim")</f>
        <v>0</v>
      </c>
      <c r="AC30" s="37">
        <f>COUNTIF(AC5:AC28,"Sim")</f>
        <v>0</v>
      </c>
      <c r="AD30" s="37">
        <f>COUNTIF(AD5:AD28,"Sim")</f>
        <v>0</v>
      </c>
      <c r="AE30" s="37">
        <f>COUNTIF(AE5:AE28,"Sim")</f>
        <v>0</v>
      </c>
      <c r="AF30" s="37">
        <f>COUNTIF(AF5:AF28,"Sim")</f>
        <v>0</v>
      </c>
      <c r="AG30" s="37">
        <f>COUNTIF(AG5:AG28,"Sim")</f>
        <v>4</v>
      </c>
      <c r="AH30" s="37">
        <f>COUNTIF(AH5:AH28,"Sim")</f>
        <v>7</v>
      </c>
      <c r="AI30" s="37">
        <f>COUNTIF(AI5:AI28,"Sim")</f>
        <v>6</v>
      </c>
      <c r="AJ30" s="37">
        <f>COUNTIF(AJ5:AJ28,"Sim")</f>
        <v>8</v>
      </c>
      <c r="AK30" s="37">
        <f>COUNTIF(AK5:AK28,"Sim")</f>
        <v>6</v>
      </c>
      <c r="AL30" s="37">
        <f>COUNTIF(AL5:AL28,"Sim")</f>
        <v>7</v>
      </c>
      <c r="AM30" s="37">
        <f>COUNTIF(AM5:AM28,"Sim")</f>
        <v>7</v>
      </c>
      <c r="AN30" s="37">
        <f>COUNTIF(AN5:AN28,"Sim")</f>
        <v>7</v>
      </c>
      <c r="AO30" s="37">
        <f>COUNTIF(AO5:AO28,"Sim")</f>
        <v>0</v>
      </c>
      <c r="AP30" s="37">
        <f>COUNTIF(AP5:AP28,"Sim")</f>
        <v>0</v>
      </c>
      <c r="AQ30" s="37">
        <f>COUNTIF(AQ5:AQ28,"Sim")</f>
        <v>0</v>
      </c>
      <c r="AR30" s="37">
        <f>COUNTIF(AR5:AR28,"Sim")</f>
        <v>0</v>
      </c>
      <c r="AS30" s="37">
        <f>COUNTIF(AS5:AS28,"Sim")</f>
        <v>0</v>
      </c>
      <c r="AT30" s="37">
        <f>COUNTIF(AT5:AT28,"Sim")</f>
        <v>0</v>
      </c>
      <c r="AU30" s="37">
        <f>COUNTIF(AU5:AU28,"Sim")</f>
        <v>0</v>
      </c>
      <c r="AV30" s="37">
        <f>COUNTIF(AV5:AV28,"Sim")</f>
        <v>0</v>
      </c>
      <c r="AW30" s="37">
        <f>COUNTIF(AW5:AW28,"Sim")</f>
        <v>0</v>
      </c>
      <c r="AX30" s="37">
        <f>COUNTIF(AX5:AX28,"Sim")</f>
        <v>0</v>
      </c>
      <c r="AY30" s="37">
        <f>COUNTIF(AY5:AY28,"Sim")</f>
        <v>0</v>
      </c>
      <c r="AZ30" s="37">
        <f>COUNTIF(AZ5:AZ28,"Sim")</f>
        <v>0</v>
      </c>
      <c r="BA30" s="37">
        <f>COUNTIF(BA5:BA28,"Sim")</f>
        <v>0</v>
      </c>
      <c r="BB30" s="37">
        <f>COUNTIF(BB5:BB28,"Sim")</f>
        <v>0</v>
      </c>
      <c r="BC30" s="37">
        <f>COUNTIF(BC5:BC28,"Sim")</f>
        <v>0</v>
      </c>
      <c r="BD30" s="37">
        <f>COUNTIF(BD5:BD28,"Sim")</f>
        <v>0</v>
      </c>
    </row>
    <row r="31">
      <c r="B31" s="29" t="inlineStr">
        <is>
          <t>Registradas (Sim ou Não)</t>
        </is>
      </c>
      <c r="E31" s="37">
        <f>COUNTIF(E5:E28,"Sim")+COUNTIF(E5:E28,"Não")</f>
        <v>0</v>
      </c>
      <c r="F31" s="37">
        <f>COUNTIF(F5:F28,"Sim")+COUNTIF(F5:F28,"Não")</f>
        <v>0</v>
      </c>
      <c r="G31" s="37">
        <f>COUNTIF(G5:G28,"Sim")+COUNTIF(G5:G28,"Não")</f>
        <v>0</v>
      </c>
      <c r="H31" s="37">
        <f>COUNTIF(H5:H28,"Sim")+COUNTIF(H5:H28,"Não")</f>
        <v>0</v>
      </c>
      <c r="I31" s="37">
        <f>COUNTIF(I5:I28,"Sim")+COUNTIF(I5:I28,"Não")</f>
        <v>0</v>
      </c>
      <c r="J31" s="37">
        <f>COUNTIF(J5:J28,"Sim")+COUNTIF(J5:J28,"Não")</f>
        <v>0</v>
      </c>
      <c r="K31" s="37">
        <f>COUNTIF(K5:K28,"Sim")+COUNTIF(K5:K28,"Não")</f>
        <v>0</v>
      </c>
      <c r="L31" s="37">
        <f>COUNTIF(L5:L28,"Sim")+COUNTIF(L5:L28,"Não")</f>
        <v>0</v>
      </c>
      <c r="M31" s="37">
        <f>COUNTIF(M5:M28,"Sim")+COUNTIF(M5:M28,"Não")</f>
        <v>0</v>
      </c>
      <c r="N31" s="37">
        <f>COUNTIF(N5:N28,"Sim")+COUNTIF(N5:N28,"Não")</f>
        <v>0</v>
      </c>
      <c r="O31" s="37">
        <f>COUNTIF(O5:O28,"Sim")+COUNTIF(O5:O28,"Não")</f>
        <v>0</v>
      </c>
      <c r="P31" s="37">
        <f>COUNTIF(P5:P28,"Sim")+COUNTIF(P5:P28,"Não")</f>
        <v>0</v>
      </c>
      <c r="Q31" s="37">
        <f>COUNTIF(Q5:Q28,"Sim")+COUNTIF(Q5:Q28,"Não")</f>
        <v>0</v>
      </c>
      <c r="R31" s="37">
        <f>COUNTIF(R5:R28,"Sim")+COUNTIF(R5:R28,"Não")</f>
        <v>0</v>
      </c>
      <c r="S31" s="37">
        <f>COUNTIF(S5:S28,"Sim")+COUNTIF(S5:S28,"Não")</f>
        <v>0</v>
      </c>
      <c r="T31" s="37">
        <f>COUNTIF(T5:T28,"Sim")+COUNTIF(T5:T28,"Não")</f>
        <v>0</v>
      </c>
      <c r="U31" s="37">
        <f>COUNTIF(U5:U28,"Sim")+COUNTIF(U5:U28,"Não")</f>
        <v>0</v>
      </c>
      <c r="V31" s="37">
        <f>COUNTIF(V5:V28,"Sim")+COUNTIF(V5:V28,"Não")</f>
        <v>0</v>
      </c>
      <c r="W31" s="37">
        <f>COUNTIF(W5:W28,"Sim")+COUNTIF(W5:W28,"Não")</f>
        <v>0</v>
      </c>
      <c r="X31" s="37">
        <f>COUNTIF(X5:X28,"Sim")+COUNTIF(X5:X28,"Não")</f>
        <v>0</v>
      </c>
      <c r="Y31" s="37">
        <f>COUNTIF(Y5:Y28,"Sim")+COUNTIF(Y5:Y28,"Não")</f>
        <v>0</v>
      </c>
      <c r="Z31" s="37">
        <f>COUNTIF(Z5:Z28,"Sim")+COUNTIF(Z5:Z28,"Não")</f>
        <v>0</v>
      </c>
      <c r="AA31" s="37">
        <f>COUNTIF(AA5:AA28,"Sim")+COUNTIF(AA5:AA28,"Não")</f>
        <v>0</v>
      </c>
      <c r="AB31" s="37">
        <f>COUNTIF(AB5:AB28,"Sim")+COUNTIF(AB5:AB28,"Não")</f>
        <v>0</v>
      </c>
      <c r="AC31" s="37">
        <f>COUNTIF(AC5:AC28,"Sim")+COUNTIF(AC5:AC28,"Não")</f>
        <v>0</v>
      </c>
      <c r="AD31" s="37">
        <f>COUNTIF(AD5:AD28,"Sim")+COUNTIF(AD5:AD28,"Não")</f>
        <v>0</v>
      </c>
      <c r="AE31" s="37">
        <f>COUNTIF(AE5:AE28,"Sim")+COUNTIF(AE5:AE28,"Não")</f>
        <v>0</v>
      </c>
      <c r="AF31" s="37">
        <f>COUNTIF(AF5:AF28,"Sim")+COUNTIF(AF5:AF28,"Não")</f>
        <v>0</v>
      </c>
      <c r="AG31" s="37">
        <f>COUNTIF(AG5:AG28,"Sim")+COUNTIF(AG5:AG28,"Não")</f>
        <v>8</v>
      </c>
      <c r="AH31" s="37">
        <f>COUNTIF(AH5:AH28,"Sim")+COUNTIF(AH5:AH28,"Não")</f>
        <v>8</v>
      </c>
      <c r="AI31" s="37">
        <f>COUNTIF(AI5:AI28,"Sim")+COUNTIF(AI5:AI28,"Não")</f>
        <v>8</v>
      </c>
      <c r="AJ31" s="37">
        <f>COUNTIF(AJ5:AJ28,"Sim")+COUNTIF(AJ5:AJ28,"Não")</f>
        <v>8</v>
      </c>
      <c r="AK31" s="37">
        <f>COUNTIF(AK5:AK28,"Sim")+COUNTIF(AK5:AK28,"Não")</f>
        <v>8</v>
      </c>
      <c r="AL31" s="37">
        <f>COUNTIF(AL5:AL28,"Sim")+COUNTIF(AL5:AL28,"Não")</f>
        <v>8</v>
      </c>
      <c r="AM31" s="37">
        <f>COUNTIF(AM5:AM28,"Sim")+COUNTIF(AM5:AM28,"Não")</f>
        <v>8</v>
      </c>
      <c r="AN31" s="37">
        <f>COUNTIF(AN5:AN28,"Sim")+COUNTIF(AN5:AN28,"Não")</f>
        <v>8</v>
      </c>
      <c r="AO31" s="37">
        <f>COUNTIF(AO5:AO28,"Sim")+COUNTIF(AO5:AO28,"Não")</f>
        <v>0</v>
      </c>
      <c r="AP31" s="37">
        <f>COUNTIF(AP5:AP28,"Sim")+COUNTIF(AP5:AP28,"Não")</f>
        <v>0</v>
      </c>
      <c r="AQ31" s="37">
        <f>COUNTIF(AQ5:AQ28,"Sim")+COUNTIF(AQ5:AQ28,"Não")</f>
        <v>0</v>
      </c>
      <c r="AR31" s="37">
        <f>COUNTIF(AR5:AR28,"Sim")+COUNTIF(AR5:AR28,"Não")</f>
        <v>0</v>
      </c>
      <c r="AS31" s="37">
        <f>COUNTIF(AS5:AS28,"Sim")+COUNTIF(AS5:AS28,"Não")</f>
        <v>0</v>
      </c>
      <c r="AT31" s="37">
        <f>COUNTIF(AT5:AT28,"Sim")+COUNTIF(AT5:AT28,"Não")</f>
        <v>0</v>
      </c>
      <c r="AU31" s="37">
        <f>COUNTIF(AU5:AU28,"Sim")+COUNTIF(AU5:AU28,"Não")</f>
        <v>0</v>
      </c>
      <c r="AV31" s="37">
        <f>COUNTIF(AV5:AV28,"Sim")+COUNTIF(AV5:AV28,"Não")</f>
        <v>0</v>
      </c>
      <c r="AW31" s="37">
        <f>COUNTIF(AW5:AW28,"Sim")+COUNTIF(AW5:AW28,"Não")</f>
        <v>0</v>
      </c>
      <c r="AX31" s="37">
        <f>COUNTIF(AX5:AX28,"Sim")+COUNTIF(AX5:AX28,"Não")</f>
        <v>0</v>
      </c>
      <c r="AY31" s="37">
        <f>COUNTIF(AY5:AY28,"Sim")+COUNTIF(AY5:AY28,"Não")</f>
        <v>0</v>
      </c>
      <c r="AZ31" s="37">
        <f>COUNTIF(AZ5:AZ28,"Sim")+COUNTIF(AZ5:AZ28,"Não")</f>
        <v>0</v>
      </c>
      <c r="BA31" s="37">
        <f>COUNTIF(BA5:BA28,"Sim")+COUNTIF(BA5:BA28,"Não")</f>
        <v>0</v>
      </c>
      <c r="BB31" s="37">
        <f>COUNTIF(BB5:BB28,"Sim")+COUNTIF(BB5:BB28,"Não")</f>
        <v>0</v>
      </c>
      <c r="BC31" s="37">
        <f>COUNTIF(BC5:BC28,"Sim")+COUNTIF(BC5:BC28,"Não")</f>
        <v>0</v>
      </c>
      <c r="BD31" s="37">
        <f>COUNTIF(BD5:BD28,"Sim")+COUNTIF(BD5:BD28,"Não")</f>
        <v>0</v>
      </c>
    </row>
    <row r="32">
      <c r="B32" s="29" t="inlineStr">
        <is>
          <t>Planejadas</t>
        </is>
      </c>
      <c r="E32" s="37">
        <f>COUNTA($B$5:$B$28)</f>
        <v>8</v>
      </c>
      <c r="F32" s="37">
        <f>COUNTA($B$5:$B$28)</f>
        <v>8</v>
      </c>
      <c r="G32" s="37">
        <f>COUNTA($B$5:$B$28)</f>
        <v>8</v>
      </c>
      <c r="H32" s="37">
        <f>COUNTA($B$5:$B$28)</f>
        <v>8</v>
      </c>
      <c r="I32" s="37">
        <f>COUNTA($B$5:$B$28)</f>
        <v>8</v>
      </c>
      <c r="J32" s="37">
        <f>COUNTA($B$5:$B$28)</f>
        <v>8</v>
      </c>
      <c r="K32" s="37">
        <f>COUNTA($B$5:$B$28)</f>
        <v>8</v>
      </c>
      <c r="L32" s="37">
        <f>COUNTA($B$5:$B$28)</f>
        <v>8</v>
      </c>
      <c r="M32" s="37">
        <f>COUNTA($B$5:$B$28)</f>
        <v>8</v>
      </c>
      <c r="N32" s="37">
        <f>COUNTA($B$5:$B$28)</f>
        <v>8</v>
      </c>
      <c r="O32" s="37">
        <f>COUNTA($B$5:$B$28)</f>
        <v>8</v>
      </c>
      <c r="P32" s="37">
        <f>COUNTA($B$5:$B$28)</f>
        <v>8</v>
      </c>
      <c r="Q32" s="37">
        <f>COUNTA($B$5:$B$28)</f>
        <v>8</v>
      </c>
      <c r="R32" s="37">
        <f>COUNTA($B$5:$B$28)</f>
        <v>8</v>
      </c>
      <c r="S32" s="37">
        <f>COUNTA($B$5:$B$28)</f>
        <v>8</v>
      </c>
      <c r="T32" s="37">
        <f>COUNTA($B$5:$B$28)</f>
        <v>8</v>
      </c>
      <c r="U32" s="37">
        <f>COUNTA($B$5:$B$28)</f>
        <v>8</v>
      </c>
      <c r="V32" s="37">
        <f>COUNTA($B$5:$B$28)</f>
        <v>8</v>
      </c>
      <c r="W32" s="37">
        <f>COUNTA($B$5:$B$28)</f>
        <v>8</v>
      </c>
      <c r="X32" s="37">
        <f>COUNTA($B$5:$B$28)</f>
        <v>8</v>
      </c>
      <c r="Y32" s="37">
        <f>COUNTA($B$5:$B$28)</f>
        <v>8</v>
      </c>
      <c r="Z32" s="37">
        <f>COUNTA($B$5:$B$28)</f>
        <v>8</v>
      </c>
      <c r="AA32" s="37">
        <f>COUNTA($B$5:$B$28)</f>
        <v>8</v>
      </c>
      <c r="AB32" s="37">
        <f>COUNTA($B$5:$B$28)</f>
        <v>8</v>
      </c>
      <c r="AC32" s="37">
        <f>COUNTA($B$5:$B$28)</f>
        <v>8</v>
      </c>
      <c r="AD32" s="37">
        <f>COUNTA($B$5:$B$28)</f>
        <v>8</v>
      </c>
      <c r="AE32" s="37">
        <f>COUNTA($B$5:$B$28)</f>
        <v>8</v>
      </c>
      <c r="AF32" s="37">
        <f>COUNTA($B$5:$B$28)</f>
        <v>8</v>
      </c>
      <c r="AG32" s="37">
        <f>COUNTA($B$5:$B$28)</f>
        <v>8</v>
      </c>
      <c r="AH32" s="37">
        <f>COUNTA($B$5:$B$28)</f>
        <v>8</v>
      </c>
      <c r="AI32" s="37">
        <f>COUNTA($B$5:$B$28)</f>
        <v>8</v>
      </c>
      <c r="AJ32" s="37">
        <f>COUNTA($B$5:$B$28)</f>
        <v>8</v>
      </c>
      <c r="AK32" s="37">
        <f>COUNTA($B$5:$B$28)</f>
        <v>8</v>
      </c>
      <c r="AL32" s="37">
        <f>COUNTA($B$5:$B$28)</f>
        <v>8</v>
      </c>
      <c r="AM32" s="37">
        <f>COUNTA($B$5:$B$28)</f>
        <v>8</v>
      </c>
      <c r="AN32" s="37">
        <f>COUNTA($B$5:$B$28)</f>
        <v>8</v>
      </c>
      <c r="AO32" s="37">
        <f>COUNTA($B$5:$B$28)</f>
        <v>8</v>
      </c>
      <c r="AP32" s="37">
        <f>COUNTA($B$5:$B$28)</f>
        <v>8</v>
      </c>
      <c r="AQ32" s="37">
        <f>COUNTA($B$5:$B$28)</f>
        <v>8</v>
      </c>
      <c r="AR32" s="37">
        <f>COUNTA($B$5:$B$28)</f>
        <v>8</v>
      </c>
      <c r="AS32" s="37">
        <f>COUNTA($B$5:$B$28)</f>
        <v>8</v>
      </c>
      <c r="AT32" s="37">
        <f>COUNTA($B$5:$B$28)</f>
        <v>8</v>
      </c>
      <c r="AU32" s="37">
        <f>COUNTA($B$5:$B$28)</f>
        <v>8</v>
      </c>
      <c r="AV32" s="37">
        <f>COUNTA($B$5:$B$28)</f>
        <v>8</v>
      </c>
      <c r="AW32" s="37">
        <f>COUNTA($B$5:$B$28)</f>
        <v>8</v>
      </c>
      <c r="AX32" s="37">
        <f>COUNTA($B$5:$B$28)</f>
        <v>8</v>
      </c>
      <c r="AY32" s="37">
        <f>COUNTA($B$5:$B$28)</f>
        <v>8</v>
      </c>
      <c r="AZ32" s="37">
        <f>COUNTA($B$5:$B$28)</f>
        <v>8</v>
      </c>
      <c r="BA32" s="37">
        <f>COUNTA($B$5:$B$28)</f>
        <v>8</v>
      </c>
      <c r="BB32" s="37">
        <f>COUNTA($B$5:$B$28)</f>
        <v>8</v>
      </c>
      <c r="BC32" s="37">
        <f>COUNTA($B$5:$B$28)</f>
        <v>8</v>
      </c>
      <c r="BD32" s="37">
        <f>COUNTA($B$5:$B$28)</f>
        <v>8</v>
      </c>
    </row>
    <row r="33">
      <c r="B33" s="29" t="inlineStr">
        <is>
          <t>% da semana</t>
        </is>
      </c>
      <c r="E33" s="23">
        <f>IF(E31=0,"",E30/E32)</f>
        <v/>
      </c>
      <c r="F33" s="23">
        <f>IF(F31=0,"",F30/F32)</f>
        <v/>
      </c>
      <c r="G33" s="23">
        <f>IF(G31=0,"",G30/G32)</f>
        <v/>
      </c>
      <c r="H33" s="23">
        <f>IF(H31=0,"",H30/H32)</f>
        <v/>
      </c>
      <c r="I33" s="23">
        <f>IF(I31=0,"",I30/I32)</f>
        <v/>
      </c>
      <c r="J33" s="23">
        <f>IF(J31=0,"",J30/J32)</f>
        <v/>
      </c>
      <c r="K33" s="23">
        <f>IF(K31=0,"",K30/K32)</f>
        <v/>
      </c>
      <c r="L33" s="23">
        <f>IF(L31=0,"",L30/L32)</f>
        <v/>
      </c>
      <c r="M33" s="23">
        <f>IF(M31=0,"",M30/M32)</f>
        <v/>
      </c>
      <c r="N33" s="23">
        <f>IF(N31=0,"",N30/N32)</f>
        <v/>
      </c>
      <c r="O33" s="23">
        <f>IF(O31=0,"",O30/O32)</f>
        <v/>
      </c>
      <c r="P33" s="23">
        <f>IF(P31=0,"",P30/P32)</f>
        <v/>
      </c>
      <c r="Q33" s="23">
        <f>IF(Q31=0,"",Q30/Q32)</f>
        <v/>
      </c>
      <c r="R33" s="23">
        <f>IF(R31=0,"",R30/R32)</f>
        <v/>
      </c>
      <c r="S33" s="23">
        <f>IF(S31=0,"",S30/S32)</f>
        <v/>
      </c>
      <c r="T33" s="23">
        <f>IF(T31=0,"",T30/T32)</f>
        <v/>
      </c>
      <c r="U33" s="23">
        <f>IF(U31=0,"",U30/U32)</f>
        <v/>
      </c>
      <c r="V33" s="23">
        <f>IF(V31=0,"",V30/V32)</f>
        <v/>
      </c>
      <c r="W33" s="23">
        <f>IF(W31=0,"",W30/W32)</f>
        <v/>
      </c>
      <c r="X33" s="23">
        <f>IF(X31=0,"",X30/X32)</f>
        <v/>
      </c>
      <c r="Y33" s="23">
        <f>IF(Y31=0,"",Y30/Y32)</f>
        <v/>
      </c>
      <c r="Z33" s="23">
        <f>IF(Z31=0,"",Z30/Z32)</f>
        <v/>
      </c>
      <c r="AA33" s="23">
        <f>IF(AA31=0,"",AA30/AA32)</f>
        <v/>
      </c>
      <c r="AB33" s="23">
        <f>IF(AB31=0,"",AB30/AB32)</f>
        <v/>
      </c>
      <c r="AC33" s="23">
        <f>IF(AC31=0,"",AC30/AC32)</f>
        <v/>
      </c>
      <c r="AD33" s="23">
        <f>IF(AD31=0,"",AD30/AD32)</f>
        <v/>
      </c>
      <c r="AE33" s="23">
        <f>IF(AE31=0,"",AE30/AE32)</f>
        <v/>
      </c>
      <c r="AF33" s="23">
        <f>IF(AF31=0,"",AF30/AF32)</f>
        <v/>
      </c>
      <c r="AG33" s="23">
        <f>IF(AG31=0,"",AG30/AG32)</f>
        <v>0.5</v>
      </c>
      <c r="AH33" s="23">
        <f>IF(AH31=0,"",AH30/AH32)</f>
        <v>0.875</v>
      </c>
      <c r="AI33" s="23">
        <f>IF(AI31=0,"",AI30/AI32)</f>
        <v>0.75</v>
      </c>
      <c r="AJ33" s="23">
        <f>IF(AJ31=0,"",AJ30/AJ32)</f>
        <v>1</v>
      </c>
      <c r="AK33" s="23">
        <f>IF(AK31=0,"",AK30/AK32)</f>
        <v>0.75</v>
      </c>
      <c r="AL33" s="23">
        <f>IF(AL31=0,"",AL30/AL32)</f>
        <v>0.875</v>
      </c>
      <c r="AM33" s="23">
        <f>IF(AM31=0,"",AM30/AM32)</f>
        <v>0.875</v>
      </c>
      <c r="AN33" s="23">
        <f>IF(AN31=0,"",AN30/AN32)</f>
        <v>0.875</v>
      </c>
      <c r="AO33" s="23">
        <f>IF(AO31=0,"",AO30/AO32)</f>
        <v/>
      </c>
      <c r="AP33" s="23">
        <f>IF(AP31=0,"",AP30/AP32)</f>
        <v/>
      </c>
      <c r="AQ33" s="23">
        <f>IF(AQ31=0,"",AQ30/AQ32)</f>
        <v/>
      </c>
      <c r="AR33" s="23">
        <f>IF(AR31=0,"",AR30/AR32)</f>
        <v/>
      </c>
      <c r="AS33" s="23">
        <f>IF(AS31=0,"",AS30/AS32)</f>
        <v/>
      </c>
      <c r="AT33" s="23">
        <f>IF(AT31=0,"",AT30/AT32)</f>
        <v/>
      </c>
      <c r="AU33" s="23">
        <f>IF(AU31=0,"",AU30/AU32)</f>
        <v/>
      </c>
      <c r="AV33" s="23">
        <f>IF(AV31=0,"",AV30/AV32)</f>
        <v/>
      </c>
      <c r="AW33" s="23">
        <f>IF(AW31=0,"",AW30/AW32)</f>
        <v/>
      </c>
      <c r="AX33" s="23">
        <f>IF(AX31=0,"",AX30/AX32)</f>
        <v/>
      </c>
      <c r="AY33" s="23">
        <f>IF(AY31=0,"",AY30/AY32)</f>
        <v/>
      </c>
      <c r="AZ33" s="23">
        <f>IF(AZ31=0,"",AZ30/AZ32)</f>
        <v/>
      </c>
      <c r="BA33" s="23">
        <f>IF(BA31=0,"",BA30/BA32)</f>
        <v/>
      </c>
      <c r="BB33" s="23">
        <f>IF(BB31=0,"",BB30/BB32)</f>
        <v/>
      </c>
      <c r="BC33" s="23">
        <f>IF(BC31=0,"",BC30/BC32)</f>
        <v/>
      </c>
      <c r="BD33" s="23">
        <f>IF(BD31=0,"",BD30/BD32)</f>
        <v/>
      </c>
    </row>
    <row r="34">
      <c r="B34" s="29" t="inlineStr">
        <is>
          <t>Minutos feitos</t>
        </is>
      </c>
      <c r="E34" s="37">
        <f>SUMIF(E5:E28,"Sim",$C$5:$C$28)</f>
        <v>0</v>
      </c>
      <c r="F34" s="37">
        <f>SUMIF(F5:F28,"Sim",$C$5:$C$28)</f>
        <v>0</v>
      </c>
      <c r="G34" s="37">
        <f>SUMIF(G5:G28,"Sim",$C$5:$C$28)</f>
        <v>0</v>
      </c>
      <c r="H34" s="37">
        <f>SUMIF(H5:H28,"Sim",$C$5:$C$28)</f>
        <v>0</v>
      </c>
      <c r="I34" s="37">
        <f>SUMIF(I5:I28,"Sim",$C$5:$C$28)</f>
        <v>0</v>
      </c>
      <c r="J34" s="37">
        <f>SUMIF(J5:J28,"Sim",$C$5:$C$28)</f>
        <v>0</v>
      </c>
      <c r="K34" s="37">
        <f>SUMIF(K5:K28,"Sim",$C$5:$C$28)</f>
        <v>0</v>
      </c>
      <c r="L34" s="37">
        <f>SUMIF(L5:L28,"Sim",$C$5:$C$28)</f>
        <v>0</v>
      </c>
      <c r="M34" s="37">
        <f>SUMIF(M5:M28,"Sim",$C$5:$C$28)</f>
        <v>0</v>
      </c>
      <c r="N34" s="37">
        <f>SUMIF(N5:N28,"Sim",$C$5:$C$28)</f>
        <v>0</v>
      </c>
      <c r="O34" s="37">
        <f>SUMIF(O5:O28,"Sim",$C$5:$C$28)</f>
        <v>0</v>
      </c>
      <c r="P34" s="37">
        <f>SUMIF(P5:P28,"Sim",$C$5:$C$28)</f>
        <v>0</v>
      </c>
      <c r="Q34" s="37">
        <f>SUMIF(Q5:Q28,"Sim",$C$5:$C$28)</f>
        <v>0</v>
      </c>
      <c r="R34" s="37">
        <f>SUMIF(R5:R28,"Sim",$C$5:$C$28)</f>
        <v>0</v>
      </c>
      <c r="S34" s="37">
        <f>SUMIF(S5:S28,"Sim",$C$5:$C$28)</f>
        <v>0</v>
      </c>
      <c r="T34" s="37">
        <f>SUMIF(T5:T28,"Sim",$C$5:$C$28)</f>
        <v>0</v>
      </c>
      <c r="U34" s="37">
        <f>SUMIF(U5:U28,"Sim",$C$5:$C$28)</f>
        <v>0</v>
      </c>
      <c r="V34" s="37">
        <f>SUMIF(V5:V28,"Sim",$C$5:$C$28)</f>
        <v>0</v>
      </c>
      <c r="W34" s="37">
        <f>SUMIF(W5:W28,"Sim",$C$5:$C$28)</f>
        <v>0</v>
      </c>
      <c r="X34" s="37">
        <f>SUMIF(X5:X28,"Sim",$C$5:$C$28)</f>
        <v>0</v>
      </c>
      <c r="Y34" s="37">
        <f>SUMIF(Y5:Y28,"Sim",$C$5:$C$28)</f>
        <v>0</v>
      </c>
      <c r="Z34" s="37">
        <f>SUMIF(Z5:Z28,"Sim",$C$5:$C$28)</f>
        <v>0</v>
      </c>
      <c r="AA34" s="37">
        <f>SUMIF(AA5:AA28,"Sim",$C$5:$C$28)</f>
        <v>0</v>
      </c>
      <c r="AB34" s="37">
        <f>SUMIF(AB5:AB28,"Sim",$C$5:$C$28)</f>
        <v>0</v>
      </c>
      <c r="AC34" s="37">
        <f>SUMIF(AC5:AC28,"Sim",$C$5:$C$28)</f>
        <v>0</v>
      </c>
      <c r="AD34" s="37">
        <f>SUMIF(AD5:AD28,"Sim",$C$5:$C$28)</f>
        <v>0</v>
      </c>
      <c r="AE34" s="37">
        <f>SUMIF(AE5:AE28,"Sim",$C$5:$C$28)</f>
        <v>0</v>
      </c>
      <c r="AF34" s="37">
        <f>SUMIF(AF5:AF28,"Sim",$C$5:$C$28)</f>
        <v>0</v>
      </c>
      <c r="AG34" s="37">
        <f>SUMIF(AG5:AG28,"Sim",$C$5:$C$28)</f>
        <v>15</v>
      </c>
      <c r="AH34" s="37">
        <f>SUMIF(AH5:AH28,"Sim",$C$5:$C$28)</f>
        <v>27</v>
      </c>
      <c r="AI34" s="37">
        <f>SUMIF(AI5:AI28,"Sim",$C$5:$C$28)</f>
        <v>23</v>
      </c>
      <c r="AJ34" s="37">
        <f>SUMIF(AJ5:AJ28,"Sim",$C$5:$C$28)</f>
        <v>30</v>
      </c>
      <c r="AK34" s="37">
        <f>SUMIF(AK5:AK28,"Sim",$C$5:$C$28)</f>
        <v>22</v>
      </c>
      <c r="AL34" s="37">
        <f>SUMIF(AL5:AL28,"Sim",$C$5:$C$28)</f>
        <v>27</v>
      </c>
      <c r="AM34" s="37">
        <f>SUMIF(AM5:AM28,"Sim",$C$5:$C$28)</f>
        <v>25</v>
      </c>
      <c r="AN34" s="37">
        <f>SUMIF(AN5:AN28,"Sim",$C$5:$C$28)</f>
        <v>27</v>
      </c>
      <c r="AO34" s="37">
        <f>SUMIF(AO5:AO28,"Sim",$C$5:$C$28)</f>
        <v>0</v>
      </c>
      <c r="AP34" s="37">
        <f>SUMIF(AP5:AP28,"Sim",$C$5:$C$28)</f>
        <v>0</v>
      </c>
      <c r="AQ34" s="37">
        <f>SUMIF(AQ5:AQ28,"Sim",$C$5:$C$28)</f>
        <v>0</v>
      </c>
      <c r="AR34" s="37">
        <f>SUMIF(AR5:AR28,"Sim",$C$5:$C$28)</f>
        <v>0</v>
      </c>
      <c r="AS34" s="37">
        <f>SUMIF(AS5:AS28,"Sim",$C$5:$C$28)</f>
        <v>0</v>
      </c>
      <c r="AT34" s="37">
        <f>SUMIF(AT5:AT28,"Sim",$C$5:$C$28)</f>
        <v>0</v>
      </c>
      <c r="AU34" s="37">
        <f>SUMIF(AU5:AU28,"Sim",$C$5:$C$28)</f>
        <v>0</v>
      </c>
      <c r="AV34" s="37">
        <f>SUMIF(AV5:AV28,"Sim",$C$5:$C$28)</f>
        <v>0</v>
      </c>
      <c r="AW34" s="37">
        <f>SUMIF(AW5:AW28,"Sim",$C$5:$C$28)</f>
        <v>0</v>
      </c>
      <c r="AX34" s="37">
        <f>SUMIF(AX5:AX28,"Sim",$C$5:$C$28)</f>
        <v>0</v>
      </c>
      <c r="AY34" s="37">
        <f>SUMIF(AY5:AY28,"Sim",$C$5:$C$28)</f>
        <v>0</v>
      </c>
      <c r="AZ34" s="37">
        <f>SUMIF(AZ5:AZ28,"Sim",$C$5:$C$28)</f>
        <v>0</v>
      </c>
      <c r="BA34" s="37">
        <f>SUMIF(BA5:BA28,"Sim",$C$5:$C$28)</f>
        <v>0</v>
      </c>
      <c r="BB34" s="37">
        <f>SUMIF(BB5:BB28,"Sim",$C$5:$C$28)</f>
        <v>0</v>
      </c>
      <c r="BC34" s="37">
        <f>SUMIF(BC5:BC28,"Sim",$C$5:$C$28)</f>
        <v>0</v>
      </c>
      <c r="BD34" s="37">
        <f>SUMIF(BD5:BD28,"Sim",$C$5:$C$28)</f>
        <v>0</v>
      </c>
    </row>
    <row r="35">
      <c r="B35" s="13" t="inlineStr">
        <is>
          <t>Sim = feita; Não = pulada; vazio = semana ainda não registrada. Só as semanas registradas entram no Painel.</t>
        </is>
      </c>
    </row>
    <row r="36">
      <c r="B36" s="13" t="inlineStr">
        <is>
          <t>Quem lança o caixa: a recepção lança o fechamento do dia na planilha 09 todo dia, no fechamento (planilha 04 · Checklist do dia). Na sexta a sócia só CONFERE os cinco fechamentos da semana contra o extrato — por isso a rotina de sexta diz "conferir", e não "lançar".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1:D1"/>
    <mergeCell ref="B36:D36"/>
    <mergeCell ref="A2:D2"/>
  </mergeCells>
  <conditionalFormatting sqref="E5:BD28">
    <cfRule type="expression" priority="1" dxfId="4">
      <formula>E5="Sim"</formula>
    </cfRule>
    <cfRule type="expression" priority="2" dxfId="2">
      <formula>E5="Não"</formula>
    </cfRule>
  </conditionalFormatting>
  <conditionalFormatting sqref="E3:BD4">
    <cfRule type="expression" priority="3" dxfId="5">
      <formula>AND(E$3&lt;=INDIRECT("Config!$B$5"),E$3+6&gt;=INDIRECT("Config!$B$5"))</formula>
    </cfRule>
  </conditionalFormatting>
  <conditionalFormatting sqref="A5:D28">
    <cfRule type="expression" priority="4" dxfId="6">
      <formula>$A5="Sexta"</formula>
    </cfRule>
  </conditionalFormatting>
  <dataValidations count="4">
    <dataValidation sqref="A5:A28" showDropDown="0" showInputMessage="0" showErrorMessage="1" allowBlank="1" type="list">
      <formula1>"Segunda,Terça,Quarta,Quinta,Sexta"</formula1>
    </dataValidation>
    <dataValidation sqref="D5:D28" showDropDown="0" showInputMessage="0" showErrorMessage="1" allowBlank="1" type="list">
      <formula1>=OFFSET(Config!$B$9,0,0,MAX(1,COUNTA(Config!$B$9:$B$18)),1)</formula1>
    </dataValidation>
    <dataValidation sqref="E5:BD28" showDropDown="0" showInputMessage="0" showErrorMessage="1" allowBlank="1" type="list">
      <formula1>"Sim,Não"</formula1>
    </dataValidation>
    <dataValidation sqref="C5:C28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Rotina da semana da clínica · Kit de Gestão para Médicos</dc:title>
  <dcterms:created xmlns:dcterms="http://purl.org/dc/terms/" xmlns:xsi="http://www.w3.org/2001/XMLSchema-instance" xsi:type="dcterms:W3CDTF">2026-09-19T15:22:33Z</dcterms:created>
  <dcterms:modified xmlns:dcterms="http://purl.org/dc/terms/" xmlns:xsi="http://www.w3.org/2001/XMLSchema-instance" xsi:type="dcterms:W3CDTF">2026-09-19T15:22:33Z</dcterms:modified>
</cp:coreProperties>
</file>