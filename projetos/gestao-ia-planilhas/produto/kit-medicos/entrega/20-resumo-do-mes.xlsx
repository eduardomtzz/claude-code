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</font>
    <font>
      <name val="Arial"/>
      <color rgb="003B1F5E"/>
      <sz val="10"/>
    </font>
    <font>
      <name val="Arial"/>
      <b val="1"/>
      <color rgb="003B1F5E"/>
      <sz val="20"/>
    </font>
    <font>
      <name val="Arial"/>
      <color rgb="007A5AA8"/>
      <sz val="10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4" fillId="2" borderId="1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left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4" fontId="4" fillId="2" borderId="1" applyAlignment="1" applyProtection="1" pivotButton="0" quotePrefix="0" xfId="0">
      <alignment horizontal="center"/>
      <protection locked="0" hidden="0"/>
    </xf>
    <xf numFmtId="0" fontId="5" fillId="2" borderId="1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Resumo do Mês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digita até 12 indicadores do mês (valor, mês anterior, meta). Ela calcula variação e situação, monta o Painel e escreve sozinha as frases do mês, os destaques (maior melhora, maior piora, mais longe da meta, respeitando se maior ou menor é melhor) e um bloco único para colar na IA ou mandar ao sócio e ao contador.</t>
        </is>
      </c>
    </row>
    <row r="5" ht="46" customHeight="1">
      <c r="A5" s="3" t="inlineStr">
        <is>
          <t>Passo 1</t>
        </is>
      </c>
      <c r="B5" s="4" t="inlineStr">
        <is>
          <t>Em Config, preencha a clínica, o ano e escolha o mês do resumo (o último mês fechado; no exemplo, agosto de 2026).</t>
        </is>
      </c>
    </row>
    <row r="6" ht="46" customHeight="1">
      <c r="A6" s="3" t="inlineStr">
        <is>
          <t>Passo 2</t>
        </is>
      </c>
      <c r="B6" s="4" t="inlineStr">
        <is>
          <t>Em Indicadores, troque os exemplos pelos seus (de cima para baixo, sem pular linha): nome, unidade, casas decimais, meta e se maior é melhor. Depois, o valor do mês anterior e do mês atual, copiados do Painel da clínica (17, aba Histórico) e do Resultado mensal (18). Em %, digite 5,1 e não 0,051.</t>
        </is>
      </c>
    </row>
    <row r="7" ht="46" customHeight="1">
      <c r="A7" s="3" t="inlineStr">
        <is>
          <t>Passo 3</t>
        </is>
      </c>
      <c r="B7" s="4" t="inlineStr">
        <is>
          <t>Abra Painel: cada indicador com mês, mês anterior, variação (em p.p. para indicadores em %), meta e situação (verde no alvo, vermelho fora).</t>
        </is>
      </c>
    </row>
    <row r="8" ht="46" customHeight="1">
      <c r="A8" s="3" t="inlineStr">
        <is>
          <t>Passo 4</t>
        </is>
      </c>
      <c r="B8" s="4" t="inlineStr">
        <is>
          <t>Abra Resumo: as frases já estão escritas. Escreva as observações do mês na célula amarela, copie o bloco único e cole no prompt "Painel 01 · Explicar o mês ao sócio" (para o sócio) ou "Caixa 04 · Preparar a reunião mensal com o contador" da biblioteca do kit.</t>
        </is>
      </c>
    </row>
    <row r="9" ht="46" customHeight="1">
      <c r="A9" s="3" t="inlineStr">
        <is>
          <t>Todo mês</t>
        </is>
      </c>
      <c r="B9" s="4" t="inlineStr">
        <is>
          <t>Em Indicadores, mova o "Mês atual" para "Mês anterior", digite os novos valores e troque o mês em Config. O resto se refaz sozinho.</t>
        </is>
      </c>
    </row>
    <row r="10" ht="46" customHeight="1">
      <c r="A10" s="3" t="inlineStr">
        <is>
          <t>Cuidado com dados</t>
        </is>
      </c>
      <c r="B10" s="4" t="inlineStr">
        <is>
          <t>O bloco só tem totais da clínica. Não cole nome de paciente, contato ou qualquer informação clínica na IA: veja o guia LGPD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5" customWidth="1" min="7" max="7"/>
    <col width="9" customWidth="1" min="8" max="8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5" t="str">
        <f>Config!B4&amp;" · Resumo do mês · "&amp;Config!B6&amp;" de "&amp;Config!B5</f>
        <v>Clínica Vida Plena (exemplo fictício) · Resumo do mês · Agosto de 2026</v>
      </c>
    </row>
    <row r="2">
      <c r="A2" s="6" t="inlineStr">
        <is>
          <t>Nada para digitar aqui. Escolha o mês em Config; os números vêm de Indicadores. Variação de indicadores em % é em pontos percentuais (p.p.).</t>
        </is>
      </c>
    </row>
    <row r="3"/>
    <row r="4" ht="26" customHeight="1">
      <c r="A4" s="7" t="inlineStr">
        <is>
          <t>Indicador</t>
        </is>
      </c>
      <c r="B4" s="7" t="inlineStr">
        <is>
          <t>Mês</t>
        </is>
      </c>
      <c r="C4" s="7" t="inlineStr">
        <is>
          <t>Mês anterior</t>
        </is>
      </c>
      <c r="D4" s="7" t="inlineStr">
        <is>
          <t>Variação</t>
        </is>
      </c>
      <c r="E4" s="7" t="inlineStr">
        <is>
          <t>Meta</t>
        </is>
      </c>
      <c r="F4" s="7" t="inlineStr">
        <is>
          <t>Vs. meta</t>
        </is>
      </c>
      <c r="G4" s="7" t="inlineStr">
        <is>
          <t>Situação</t>
        </is>
      </c>
      <c r="H4" s="7" t="inlineStr">
        <is>
          <t>Unidade</t>
        </is>
      </c>
    </row>
    <row r="5">
      <c r="A5" s="8" t="str">
        <f>IF(Indicadores!A5="","",Indicadores!A5)</f>
        <v>Entrou no mês (recebimentos)</v>
      </c>
      <c r="B5" s="9" t="str">
        <f>IF(Q5="","",IF(Indicadores!B5="R$","R$ ","")&amp;FIXED(Q5,N5)&amp;IF(Indicadores!B5="%","%",IF(OR(Indicadores!B5="R$",Indicadores!B5="",Indicadores!B5="un"),""," "&amp;Indicadores!B5)))</f>
        <v>R$ 55.841</v>
      </c>
      <c r="C5" s="9" t="str">
        <f>IF(R5="","",IF(Indicadores!B5="R$","R$ ","")&amp;FIXED(R5,N5)&amp;IF(Indicadores!B5="%","%",IF(OR(Indicadores!B5="R$",Indicadores!B5="",Indicadores!B5="un"),""," "&amp;Indicadores!B5)))</f>
        <v>R$ 44.471</v>
      </c>
      <c r="D5" s="9" t="str">
        <f>IF(T5="","",IF(T5&gt;=0,"+","")&amp;IF(Indicadores!B5="%",FIXED(T5,1)&amp;" p.p.",FIXED(T5*100,1)&amp;"%"))</f>
        <v>+25,6%</v>
      </c>
      <c r="E5" s="9" t="str">
        <f>IF(S5="","",IF(Indicadores!B5="R$","R$ ","")&amp;FIXED(S5,N5)&amp;IF(Indicadores!B5="%","%",IF(OR(Indicadores!B5="R$",Indicadores!B5="",Indicadores!B5="un"),""," "&amp;Indicadores!B5)))</f>
        <v>R$ 46.000</v>
      </c>
      <c r="F5" s="9" t="str">
        <f>IF(U5="","",IF(U5&gt;=0,"+","")&amp;IF(Indicadores!B5="%",FIXED(U5,1)&amp;" p.p.",FIXED(U5*100,1)&amp;"%"))</f>
        <v>+21,4%</v>
      </c>
      <c r="G5" s="9" t="str">
        <f>IF(OR(Q5="",S5=""),"",IF(Indicadores!E5="Não",IF(Q5&lt;=S5,"No alvo","Acima da meta"),IF(Q5&gt;=S5,"No alvo","Abaixo da meta")))</f>
        <v>No alvo</v>
      </c>
      <c r="H5" s="9" t="str">
        <f>IF(Indicadores!A5="","",Indicadores!B5)</f>
        <v>R$</v>
      </c>
      <c r="N5" s="10">
        <f>IF(Indicadores!C5="",2,Indicadores!C5)</f>
        <v>0</v>
      </c>
      <c r="O5" s="10">
        <f>IF(OR(U5="",G5="",G5="No alvo"),"",IF(Indicadores!E5="Não",U5,-U5))</f>
        <v/>
      </c>
      <c r="P5" s="10">
        <f>IF(T5="","",IF(Indicadores!E5="Não",-T5,T5))</f>
        <v>0.255672235839086</v>
      </c>
      <c r="Q5" s="10">
        <f>IF(OR(Indicadores!A5="",Indicadores!G5=""),"",Indicadores!G5)</f>
        <v>55841</v>
      </c>
      <c r="R5" s="10">
        <f>IF(OR(Indicadores!A5="",Indicadores!F5=""),"",Indicadores!F5)</f>
        <v>44471</v>
      </c>
      <c r="S5" s="10">
        <f>IF(OR(Indicadores!A5="",Indicadores!D5=""),"",Indicadores!D5)</f>
        <v>46000</v>
      </c>
      <c r="T5" s="10">
        <f>IF(OR(Q5="",R5=""),"",IF(Indicadores!B5="%",Q5-R5,IF(R5=0,"",(Q5-R5)/ABS(R5))))</f>
        <v>0.255672235839086</v>
      </c>
      <c r="U5" s="10">
        <f>IF(OR(Q5="",S5=""),"",IF(Indicadores!B5="%",Q5-S5,IF(S5=0,"",(Q5-S5)/ABS(S5))))</f>
        <v>0.213934782608696</v>
      </c>
    </row>
    <row r="6">
      <c r="A6" s="8" t="str">
        <f>IF(Indicadores!A6="","",Indicadores!A6)</f>
        <v>Saídas do mês (custos, variáveis, pró-labore, provisões e impostos)</v>
      </c>
      <c r="B6" s="9" t="str">
        <f>IF(Q6="","",IF(Indicadores!B6="R$","R$ ","")&amp;FIXED(Q6,N6)&amp;IF(Indicadores!B6="%","%",IF(OR(Indicadores!B6="R$",Indicadores!B6="",Indicadores!B6="un"),""," "&amp;Indicadores!B6)))</f>
        <v>R$ 43.462</v>
      </c>
      <c r="C6" s="9" t="str">
        <f>IF(R6="","",IF(Indicadores!B6="R$","R$ ","")&amp;FIXED(R6,N6)&amp;IF(Indicadores!B6="%","%",IF(OR(Indicadores!B6="R$",Indicadores!B6="",Indicadores!B6="un"),""," "&amp;Indicadores!B6)))</f>
        <v>R$ 41.221</v>
      </c>
      <c r="D6" s="9" t="str">
        <f>IF(T6="","",IF(T6&gt;=0,"+","")&amp;IF(Indicadores!B6="%",FIXED(T6,1)&amp;" p.p.",FIXED(T6*100,1)&amp;"%"))</f>
        <v>+5,4%</v>
      </c>
      <c r="E6" s="9" t="str">
        <f>IF(S6="","",IF(Indicadores!B6="R$","R$ ","")&amp;FIXED(S6,N6)&amp;IF(Indicadores!B6="%","%",IF(OR(Indicadores!B6="R$",Indicadores!B6="",Indicadores!B6="un"),""," "&amp;Indicadores!B6)))</f>
        <v>R$ 44.000</v>
      </c>
      <c r="F6" s="9" t="str">
        <f>IF(U6="","",IF(U6&gt;=0,"+","")&amp;IF(Indicadores!B6="%",FIXED(U6,1)&amp;" p.p.",FIXED(U6*100,1)&amp;"%"))</f>
        <v>-1,2%</v>
      </c>
      <c r="G6" s="9" t="str">
        <f>IF(OR(Q6="",S6=""),"",IF(Indicadores!E6="Não",IF(Q6&lt;=S6,"No alvo","Acima da meta"),IF(Q6&gt;=S6,"No alvo","Abaixo da meta")))</f>
        <v>No alvo</v>
      </c>
      <c r="H6" s="9" t="str">
        <f>IF(Indicadores!A6="","",Indicadores!B6)</f>
        <v>R$</v>
      </c>
      <c r="N6" s="10">
        <f>IF(Indicadores!C6="",2,Indicadores!C6)</f>
        <v>0</v>
      </c>
      <c r="O6" s="10">
        <f>IF(OR(U6="",G6="",G6="No alvo"),"",IF(Indicadores!E6="Não",U6,-U6))</f>
        <v/>
      </c>
      <c r="P6" s="10">
        <f>IF(T6="","",IF(Indicadores!E6="Não",-T6,T6))</f>
        <v>-0.054365765086931</v>
      </c>
      <c r="Q6" s="10">
        <f>IF(OR(Indicadores!A6="",Indicadores!G6=""),"",Indicadores!G6)</f>
        <v>43461.6</v>
      </c>
      <c r="R6" s="10">
        <f>IF(OR(Indicadores!A6="",Indicadores!F6=""),"",Indicadores!F6)</f>
        <v>41220.61</v>
      </c>
      <c r="S6" s="10">
        <f>IF(OR(Indicadores!A6="",Indicadores!D6=""),"",Indicadores!D6)</f>
        <v>44000</v>
      </c>
      <c r="T6" s="10">
        <f>IF(OR(Q6="",R6=""),"",IF(Indicadores!B6="%",Q6-R6,IF(R6=0,"",(Q6-R6)/ABS(R6))))</f>
        <v>0.054365765086931</v>
      </c>
      <c r="U6" s="10">
        <f>IF(OR(Q6="",S6=""),"",IF(Indicadores!B6="%",Q6-S6,IF(S6=0,"",(Q6-S6)/ABS(S6))))</f>
        <v>-0.0122363636363637</v>
      </c>
    </row>
    <row r="7">
      <c r="A7" s="8" t="str">
        <f>IF(Indicadores!A7="","",Indicadores!A7)</f>
        <v>Resultado do mês</v>
      </c>
      <c r="B7" s="9" t="str">
        <f>IF(Q7="","",IF(Indicadores!B7="R$","R$ ","")&amp;FIXED(Q7,N7)&amp;IF(Indicadores!B7="%","%",IF(OR(Indicadores!B7="R$",Indicadores!B7="",Indicadores!B7="un"),""," "&amp;Indicadores!B7)))</f>
        <v>R$ 12.379</v>
      </c>
      <c r="C7" s="9" t="str">
        <f>IF(R7="","",IF(Indicadores!B7="R$","R$ ","")&amp;FIXED(R7,N7)&amp;IF(Indicadores!B7="%","%",IF(OR(Indicadores!B7="R$",Indicadores!B7="",Indicadores!B7="un"),""," "&amp;Indicadores!B7)))</f>
        <v>R$ 3.250</v>
      </c>
      <c r="D7" s="9" t="str">
        <f>IF(T7="","",IF(T7&gt;=0,"+","")&amp;IF(Indicadores!B7="%",FIXED(T7,1)&amp;" p.p.",FIXED(T7*100,1)&amp;"%"))</f>
        <v>+280,9%</v>
      </c>
      <c r="E7" s="9" t="str">
        <f>IF(S7="","",IF(Indicadores!B7="R$","R$ ","")&amp;FIXED(S7,N7)&amp;IF(Indicadores!B7="%","%",IF(OR(Indicadores!B7="R$",Indicadores!B7="",Indicadores!B7="un"),""," "&amp;Indicadores!B7)))</f>
        <v>R$ 5.000</v>
      </c>
      <c r="F7" s="9" t="str">
        <f>IF(U7="","",IF(U7&gt;=0,"+","")&amp;IF(Indicadores!B7="%",FIXED(U7,1)&amp;" p.p.",FIXED(U7*100,1)&amp;"%"))</f>
        <v>+147,6%</v>
      </c>
      <c r="G7" s="9" t="str">
        <f>IF(OR(Q7="",S7=""),"",IF(Indicadores!E7="Não",IF(Q7&lt;=S7,"No alvo","Acima da meta"),IF(Q7&gt;=S7,"No alvo","Abaixo da meta")))</f>
        <v>No alvo</v>
      </c>
      <c r="H7" s="9" t="str">
        <f>IF(Indicadores!A7="","",Indicadores!B7)</f>
        <v>R$</v>
      </c>
      <c r="N7" s="10">
        <f>IF(Indicadores!C7="",2,Indicadores!C7)</f>
        <v>0</v>
      </c>
      <c r="O7" s="10">
        <f>IF(OR(U7="",G7="",G7="No alvo"),"",IF(Indicadores!E7="Não",U7,-U7))</f>
        <v/>
      </c>
      <c r="P7" s="10">
        <f>IF(T7="","",IF(Indicadores!E7="Não",-T7,T7))</f>
        <v>2.80858912315138</v>
      </c>
      <c r="Q7" s="10">
        <f>IF(OR(Indicadores!A7="",Indicadores!G7=""),"",Indicadores!G7)</f>
        <v>12379.4</v>
      </c>
      <c r="R7" s="10">
        <f>IF(OR(Indicadores!A7="",Indicadores!F7=""),"",Indicadores!F7)</f>
        <v>3250.39</v>
      </c>
      <c r="S7" s="10">
        <f>IF(OR(Indicadores!A7="",Indicadores!D7=""),"",Indicadores!D7)</f>
        <v>5000</v>
      </c>
      <c r="T7" s="10">
        <f>IF(OR(Q7="",R7=""),"",IF(Indicadores!B7="%",Q7-R7,IF(R7=0,"",(Q7-R7)/ABS(R7))))</f>
        <v>2.80858912315138</v>
      </c>
      <c r="U7" s="10">
        <f>IF(OR(Q7="",S7=""),"",IF(Indicadores!B7="%",Q7-S7,IF(S7=0,"",(Q7-S7)/ABS(S7))))</f>
        <v>1.47588</v>
      </c>
    </row>
    <row r="8">
      <c r="A8" s="8" t="str">
        <f>IF(Indicadores!A8="","",Indicadores!A8)</f>
        <v>Margem do mês</v>
      </c>
      <c r="B8" s="9" t="str">
        <f>IF(Q8="","",IF(Indicadores!B8="R$","R$ ","")&amp;FIXED(Q8,N8)&amp;IF(Indicadores!B8="%","%",IF(OR(Indicadores!B8="R$",Indicadores!B8="",Indicadores!B8="un"),""," "&amp;Indicadores!B8)))</f>
        <v>22,2%</v>
      </c>
      <c r="C8" s="9" t="str">
        <f>IF(R8="","",IF(Indicadores!B8="R$","R$ ","")&amp;FIXED(R8,N8)&amp;IF(Indicadores!B8="%","%",IF(OR(Indicadores!B8="R$",Indicadores!B8="",Indicadores!B8="un"),""," "&amp;Indicadores!B8)))</f>
        <v>7,3%</v>
      </c>
      <c r="D8" s="9" t="str">
        <f>IF(T8="","",IF(T8&gt;=0,"+","")&amp;IF(Indicadores!B8="%",FIXED(T8,1)&amp;" p.p.",FIXED(T8*100,1)&amp;"%"))</f>
        <v>+14,9 p.p.</v>
      </c>
      <c r="E8" s="9" t="str">
        <f>IF(S8="","",IF(Indicadores!B8="R$","R$ ","")&amp;FIXED(S8,N8)&amp;IF(Indicadores!B8="%","%",IF(OR(Indicadores!B8="R$",Indicadores!B8="",Indicadores!B8="un"),""," "&amp;Indicadores!B8)))</f>
        <v>12,0%</v>
      </c>
      <c r="F8" s="9" t="str">
        <f>IF(U8="","",IF(U8&gt;=0,"+","")&amp;IF(Indicadores!B8="%",FIXED(U8,1)&amp;" p.p.",FIXED(U8*100,1)&amp;"%"))</f>
        <v>+10,2 p.p.</v>
      </c>
      <c r="G8" s="9" t="str">
        <f>IF(OR(Q8="",S8=""),"",IF(Indicadores!E8="Não",IF(Q8&lt;=S8,"No alvo","Acima da meta"),IF(Q8&gt;=S8,"No alvo","Abaixo da meta")))</f>
        <v>No alvo</v>
      </c>
      <c r="H8" s="9" t="str">
        <f>IF(Indicadores!A8="","",Indicadores!B8)</f>
        <v>%</v>
      </c>
      <c r="N8" s="10">
        <f>IF(Indicadores!C8="",2,Indicadores!C8)</f>
        <v>1</v>
      </c>
      <c r="O8" s="10">
        <f>IF(OR(U8="",G8="",G8="No alvo"),"",IF(Indicadores!E8="Não",U8,-U8))</f>
        <v/>
      </c>
      <c r="P8" s="10">
        <f>IF(T8="","",IF(Indicadores!E8="Não",-T8,T8))</f>
        <v>14.9</v>
      </c>
      <c r="Q8" s="10">
        <f>IF(OR(Indicadores!A8="",Indicadores!G8=""),"",Indicadores!G8)</f>
        <v>22.2</v>
      </c>
      <c r="R8" s="10">
        <f>IF(OR(Indicadores!A8="",Indicadores!F8=""),"",Indicadores!F8)</f>
        <v>7.3</v>
      </c>
      <c r="S8" s="10">
        <f>IF(OR(Indicadores!A8="",Indicadores!D8=""),"",Indicadores!D8)</f>
        <v>12</v>
      </c>
      <c r="T8" s="10">
        <f>IF(OR(Q8="",R8=""),"",IF(Indicadores!B8="%",Q8-R8,IF(R8=0,"",(Q8-R8)/ABS(R8))))</f>
        <v>14.9</v>
      </c>
      <c r="U8" s="10">
        <f>IF(OR(Q8="",S8=""),"",IF(Indicadores!B8="%",Q8-S8,IF(S8=0,"",(Q8-S8)/ABS(S8))))</f>
        <v>10.2</v>
      </c>
    </row>
    <row r="9">
      <c r="A9" s="8" t="str">
        <f>IF(Indicadores!A9="","",Indicadores!A9)</f>
        <v>Ocupação da agenda</v>
      </c>
      <c r="B9" s="9" t="str">
        <f>IF(Q9="","",IF(Indicadores!B9="R$","R$ ","")&amp;FIXED(Q9,N9)&amp;IF(Indicadores!B9="%","%",IF(OR(Indicadores!B9="R$",Indicadores!B9="",Indicadores!B9="un"),""," "&amp;Indicadores!B9)))</f>
        <v>70,4%</v>
      </c>
      <c r="C9" s="9" t="str">
        <f>IF(R9="","",IF(Indicadores!B9="R$","R$ ","")&amp;FIXED(R9,N9)&amp;IF(Indicadores!B9="%","%",IF(OR(Indicadores!B9="R$",Indicadores!B9="",Indicadores!B9="un"),""," "&amp;Indicadores!B9)))</f>
        <v>71,7%</v>
      </c>
      <c r="D9" s="9" t="str">
        <f>IF(T9="","",IF(T9&gt;=0,"+","")&amp;IF(Indicadores!B9="%",FIXED(T9,1)&amp;" p.p.",FIXED(T9*100,1)&amp;"%"))</f>
        <v>-1,3 p.p.</v>
      </c>
      <c r="E9" s="9" t="str">
        <f>IF(S9="","",IF(Indicadores!B9="R$","R$ ","")&amp;FIXED(S9,N9)&amp;IF(Indicadores!B9="%","%",IF(OR(Indicadores!B9="R$",Indicadores!B9="",Indicadores!B9="un"),""," "&amp;Indicadores!B9)))</f>
        <v>75,0%</v>
      </c>
      <c r="F9" s="9" t="str">
        <f>IF(U9="","",IF(U9&gt;=0,"+","")&amp;IF(Indicadores!B9="%",FIXED(U9,1)&amp;" p.p.",FIXED(U9*100,1)&amp;"%"))</f>
        <v>-4,6 p.p.</v>
      </c>
      <c r="G9" s="9" t="str">
        <f>IF(OR(Q9="",S9=""),"",IF(Indicadores!E9="Não",IF(Q9&lt;=S9,"No alvo","Acima da meta"),IF(Q9&gt;=S9,"No alvo","Abaixo da meta")))</f>
        <v>Abaixo da meta</v>
      </c>
      <c r="H9" s="9" t="str">
        <f>IF(Indicadores!A9="","",Indicadores!B9)</f>
        <v>%</v>
      </c>
      <c r="N9" s="10">
        <f>IF(Indicadores!C9="",2,Indicadores!C9)</f>
        <v>1</v>
      </c>
      <c r="O9" s="10">
        <f>IF(OR(U9="",G9="",G9="No alvo"),"",IF(Indicadores!E9="Não",U9,-U9))</f>
        <v>4.59999999999999</v>
      </c>
      <c r="P9" s="10">
        <f>IF(T9="","",IF(Indicadores!E9="Não",-T9,T9))</f>
        <v>-1.3</v>
      </c>
      <c r="Q9" s="10">
        <f>IF(OR(Indicadores!A9="",Indicadores!G9=""),"",Indicadores!G9)</f>
        <v>70.4</v>
      </c>
      <c r="R9" s="10">
        <f>IF(OR(Indicadores!A9="",Indicadores!F9=""),"",Indicadores!F9)</f>
        <v>71.7</v>
      </c>
      <c r="S9" s="10">
        <f>IF(OR(Indicadores!A9="",Indicadores!D9=""),"",Indicadores!D9)</f>
        <v>75</v>
      </c>
      <c r="T9" s="10">
        <f>IF(OR(Q9="",R9=""),"",IF(Indicadores!B9="%",Q9-R9,IF(R9=0,"",(Q9-R9)/ABS(R9))))</f>
        <v>-1.3</v>
      </c>
      <c r="U9" s="10">
        <f>IF(OR(Q9="",S9=""),"",IF(Indicadores!B9="%",Q9-S9,IF(S9=0,"",(Q9-S9)/ABS(S9))))</f>
        <v>-4.59999999999999</v>
      </c>
    </row>
    <row r="10">
      <c r="A10" s="8" t="str">
        <f>IF(Indicadores!A10="","",Indicadores!A10)</f>
        <v>Taxa de falta</v>
      </c>
      <c r="B10" s="9" t="str">
        <f>IF(Q10="","",IF(Indicadores!B10="R$","R$ ","")&amp;FIXED(Q10,N10)&amp;IF(Indicadores!B10="%","%",IF(OR(Indicadores!B10="R$",Indicadores!B10="",Indicadores!B10="un"),""," "&amp;Indicadores!B10)))</f>
        <v>8,4%</v>
      </c>
      <c r="C10" s="9" t="str">
        <f>IF(R10="","",IF(Indicadores!B10="R$","R$ ","")&amp;FIXED(R10,N10)&amp;IF(Indicadores!B10="%","%",IF(OR(Indicadores!B10="R$",Indicadores!B10="",Indicadores!B10="un"),""," "&amp;Indicadores!B10)))</f>
        <v>8,8%</v>
      </c>
      <c r="D10" s="9" t="str">
        <f>IF(T10="","",IF(T10&gt;=0,"+","")&amp;IF(Indicadores!B10="%",FIXED(T10,1)&amp;" p.p.",FIXED(T10*100,1)&amp;"%"))</f>
        <v>-0,4 p.p.</v>
      </c>
      <c r="E10" s="9" t="str">
        <f>IF(S10="","",IF(Indicadores!B10="R$","R$ ","")&amp;FIXED(S10,N10)&amp;IF(Indicadores!B10="%","%",IF(OR(Indicadores!B10="R$",Indicadores!B10="",Indicadores!B10="un"),""," "&amp;Indicadores!B10)))</f>
        <v>6,0%</v>
      </c>
      <c r="F10" s="9" t="str">
        <f>IF(U10="","",IF(U10&gt;=0,"+","")&amp;IF(Indicadores!B10="%",FIXED(U10,1)&amp;" p.p.",FIXED(U10*100,1)&amp;"%"))</f>
        <v>+2,4 p.p.</v>
      </c>
      <c r="G10" s="9" t="str">
        <f>IF(OR(Q10="",S10=""),"",IF(Indicadores!E10="Não",IF(Q10&lt;=S10,"No alvo","Acima da meta"),IF(Q10&gt;=S10,"No alvo","Abaixo da meta")))</f>
        <v>Acima da meta</v>
      </c>
      <c r="H10" s="9" t="str">
        <f>IF(Indicadores!A10="","",Indicadores!B10)</f>
        <v>%</v>
      </c>
      <c r="N10" s="10">
        <f>IF(Indicadores!C10="",2,Indicadores!C10)</f>
        <v>1</v>
      </c>
      <c r="O10" s="10">
        <f>IF(OR(U10="",G10="",G10="No alvo"),"",IF(Indicadores!E10="Não",U10,-U10))</f>
        <v>2.4</v>
      </c>
      <c r="P10" s="10">
        <f>IF(T10="","",IF(Indicadores!E10="Não",-T10,T10))</f>
        <v>0.4</v>
      </c>
      <c r="Q10" s="10">
        <f>IF(OR(Indicadores!A10="",Indicadores!G10=""),"",Indicadores!G10)</f>
        <v>8.4</v>
      </c>
      <c r="R10" s="10">
        <f>IF(OR(Indicadores!A10="",Indicadores!F10=""),"",Indicadores!F10)</f>
        <v>8.8</v>
      </c>
      <c r="S10" s="10">
        <f>IF(OR(Indicadores!A10="",Indicadores!D10=""),"",Indicadores!D10)</f>
        <v>6</v>
      </c>
      <c r="T10" s="10">
        <f>IF(OR(Q10="",R10=""),"",IF(Indicadores!B10="%",Q10-R10,IF(R10=0,"",(Q10-R10)/ABS(R10))))</f>
        <v>-0.4</v>
      </c>
      <c r="U10" s="10">
        <f>IF(OR(Q10="",S10=""),"",IF(Indicadores!B10="%",Q10-S10,IF(S10=0,"",(Q10-S10)/ABS(S10))))</f>
        <v>2.4</v>
      </c>
    </row>
    <row r="11">
      <c r="A11" s="8" t="str">
        <f>IF(Indicadores!A11="","",Indicadores!A11)</f>
        <v>Horas atendidas no mês</v>
      </c>
      <c r="B11" s="9" t="str">
        <f>IF(Q11="","",IF(Indicadores!B11="R$","R$ ","")&amp;FIXED(Q11,N11)&amp;IF(Indicadores!B11="%","%",IF(OR(Indicadores!B11="R$",Indicadores!B11="",Indicadores!B11="un"),""," "&amp;Indicadores!B11)))</f>
        <v>118,3 h</v>
      </c>
      <c r="C11" s="9" t="str">
        <f>IF(R11="","",IF(Indicadores!B11="R$","R$ ","")&amp;FIXED(R11,N11)&amp;IF(Indicadores!B11="%","%",IF(OR(Indicadores!B11="R$",Indicadores!B11="",Indicadores!B11="un"),""," "&amp;Indicadores!B11)))</f>
        <v>129,0 h</v>
      </c>
      <c r="D11" s="9" t="str">
        <f>IF(T11="","",IF(T11&gt;=0,"+","")&amp;IF(Indicadores!B11="%",FIXED(T11,1)&amp;" p.p.",FIXED(T11*100,1)&amp;"%"))</f>
        <v>-8,3%</v>
      </c>
      <c r="E11" s="9" t="str">
        <f>IF(S11="","",IF(Indicadores!B11="R$","R$ ","")&amp;FIXED(S11,N11)&amp;IF(Indicadores!B11="%","%",IF(OR(Indicadores!B11="R$",Indicadores!B11="",Indicadores!B11="un"),""," "&amp;Indicadores!B11)))</f>
        <v>140,0 h</v>
      </c>
      <c r="F11" s="9" t="str">
        <f>IF(U11="","",IF(U11&gt;=0,"+","")&amp;IF(Indicadores!B11="%",FIXED(U11,1)&amp;" p.p.",FIXED(U11*100,1)&amp;"%"))</f>
        <v>-15,5%</v>
      </c>
      <c r="G11" s="9" t="str">
        <f>IF(OR(Q11="",S11=""),"",IF(Indicadores!E11="Não",IF(Q11&lt;=S11,"No alvo","Acima da meta"),IF(Q11&gt;=S11,"No alvo","Abaixo da meta")))</f>
        <v>Abaixo da meta</v>
      </c>
      <c r="H11" s="9" t="str">
        <f>IF(Indicadores!A11="","",Indicadores!B11)</f>
        <v>h</v>
      </c>
      <c r="N11" s="10">
        <f>IF(Indicadores!C11="",2,Indicadores!C11)</f>
        <v>1</v>
      </c>
      <c r="O11" s="10">
        <f>IF(OR(U11="",G11="",G11="No alvo"),"",IF(Indicadores!E11="Não",U11,-U11))</f>
        <v>0.155</v>
      </c>
      <c r="P11" s="10">
        <f>IF(T11="","",IF(Indicadores!E11="Não",-T11,T11))</f>
        <v>-0.0829457364341086</v>
      </c>
      <c r="Q11" s="10">
        <f>IF(OR(Indicadores!A11="",Indicadores!G11=""),"",Indicadores!G11)</f>
        <v>118.3</v>
      </c>
      <c r="R11" s="10">
        <f>IF(OR(Indicadores!A11="",Indicadores!F11=""),"",Indicadores!F11)</f>
        <v>129</v>
      </c>
      <c r="S11" s="10">
        <f>IF(OR(Indicadores!A11="",Indicadores!D11=""),"",Indicadores!D11)</f>
        <v>140</v>
      </c>
      <c r="T11" s="10">
        <f>IF(OR(Q11="",R11=""),"",IF(Indicadores!B11="%",Q11-R11,IF(R11=0,"",(Q11-R11)/ABS(R11))))</f>
        <v>-0.0829457364341086</v>
      </c>
      <c r="U11" s="10">
        <f>IF(OR(Q11="",S11=""),"",IF(Indicadores!B11="%",Q11-S11,IF(S11=0,"",(Q11-S11)/ABS(S11))))</f>
        <v>-0.155</v>
      </c>
    </row>
    <row r="12">
      <c r="A12" s="8" t="str">
        <f>IF(Indicadores!A12="","",Indicadores!A12)</f>
        <v>Convênio a receber (lotes enviados)</v>
      </c>
      <c r="B12" s="9" t="str">
        <f>IF(Q12="","",IF(Indicadores!B12="R$","R$ ","")&amp;FIXED(Q12,N12)&amp;IF(Indicadores!B12="%","%",IF(OR(Indicadores!B12="R$",Indicadores!B12="",Indicadores!B12="un"),""," "&amp;Indicadores!B12)))</f>
        <v>R$ 12.077</v>
      </c>
      <c r="C12" s="9" t="str">
        <f>IF(R12="","",IF(Indicadores!B12="R$","R$ ","")&amp;FIXED(R12,N12)&amp;IF(Indicadores!B12="%","%",IF(OR(Indicadores!B12="R$",Indicadores!B12="",Indicadores!B12="un"),""," "&amp;Indicadores!B12)))</f>
        <v>R$ 13.553</v>
      </c>
      <c r="D12" s="9" t="str">
        <f>IF(T12="","",IF(T12&gt;=0,"+","")&amp;IF(Indicadores!B12="%",FIXED(T12,1)&amp;" p.p.",FIXED(T12*100,1)&amp;"%"))</f>
        <v>-10,9%</v>
      </c>
      <c r="E12" s="9">
        <f>IF(S12="","",IF(Indicadores!B12="R$","R$ ","")&amp;FIXED(S12,N12)&amp;IF(Indicadores!B12="%","%",IF(OR(Indicadores!B12="R$",Indicadores!B12="",Indicadores!B12="un"),""," "&amp;Indicadores!B12)))</f>
        <v/>
      </c>
      <c r="F12" s="9">
        <f>IF(U12="","",IF(U12&gt;=0,"+","")&amp;IF(Indicadores!B12="%",FIXED(U12,1)&amp;" p.p.",FIXED(U12*100,1)&amp;"%"))</f>
        <v/>
      </c>
      <c r="G12" s="9">
        <f>IF(OR(Q12="",S12=""),"",IF(Indicadores!E12="Não",IF(Q12&lt;=S12,"No alvo","Acima da meta"),IF(Q12&gt;=S12,"No alvo","Abaixo da meta")))</f>
        <v/>
      </c>
      <c r="H12" s="9" t="str">
        <f>IF(Indicadores!A12="","",Indicadores!B12)</f>
        <v>R$</v>
      </c>
      <c r="N12" s="10">
        <f>IF(Indicadores!C12="",2,Indicadores!C12)</f>
        <v>0</v>
      </c>
      <c r="O12" s="10">
        <f>IF(OR(U12="",G12="",G12="No alvo"),"",IF(Indicadores!E12="Não",U12,-U12))</f>
        <v/>
      </c>
      <c r="P12" s="10">
        <f>IF(T12="","",IF(Indicadores!E12="Não",-T12,T12))</f>
        <v>-0.108905777318675</v>
      </c>
      <c r="Q12" s="10">
        <f>IF(OR(Indicadores!A12="",Indicadores!G12=""),"",Indicadores!G12)</f>
        <v>12077</v>
      </c>
      <c r="R12" s="10">
        <f>IF(OR(Indicadores!A12="",Indicadores!F12=""),"",Indicadores!F12)</f>
        <v>13553</v>
      </c>
      <c r="S12" s="10">
        <f>IF(OR(Indicadores!A12="",Indicadores!D12=""),"",Indicadores!D12)</f>
        <v/>
      </c>
      <c r="T12" s="10">
        <f>IF(OR(Q12="",R12=""),"",IF(Indicadores!B12="%",Q12-R12,IF(R12=0,"",(Q12-R12)/ABS(R12))))</f>
        <v>-0.108905777318675</v>
      </c>
      <c r="U12" s="10">
        <f>IF(OR(Q12="",S12=""),"",IF(Indicadores!B12="%",Q12-S12,IF(S12=0,"",(Q12-S12)/ABS(S12))))</f>
        <v/>
      </c>
    </row>
    <row r="13">
      <c r="A13" s="8" t="str">
        <f>IF(Indicadores!A13="","",Indicadores!A13)</f>
        <v>Glosa dos lotes pagos no mês</v>
      </c>
      <c r="B13" s="9" t="str">
        <f>IF(Q13="","",IF(Indicadores!B13="R$","R$ ","")&amp;FIXED(Q13,N13)&amp;IF(Indicadores!B13="%","%",IF(OR(Indicadores!B13="R$",Indicadores!B13="",Indicadores!B13="un"),""," "&amp;Indicadores!B13)))</f>
        <v>5,6%</v>
      </c>
      <c r="C13" s="9" t="str">
        <f>IF(R13="","",IF(Indicadores!B13="R$","R$ ","")&amp;FIXED(R13,N13)&amp;IF(Indicadores!B13="%","%",IF(OR(Indicadores!B13="R$",Indicadores!B13="",Indicadores!B13="un"),""," "&amp;Indicadores!B13)))</f>
        <v>4,3%</v>
      </c>
      <c r="D13" s="9" t="str">
        <f>IF(T13="","",IF(T13&gt;=0,"+","")&amp;IF(Indicadores!B13="%",FIXED(T13,1)&amp;" p.p.",FIXED(T13*100,1)&amp;"%"))</f>
        <v>+1,3 p.p.</v>
      </c>
      <c r="E13" s="9" t="str">
        <f>IF(S13="","",IF(Indicadores!B13="R$","R$ ","")&amp;FIXED(S13,N13)&amp;IF(Indicadores!B13="%","%",IF(OR(Indicadores!B13="R$",Indicadores!B13="",Indicadores!B13="un"),""," "&amp;Indicadores!B13)))</f>
        <v>4,0%</v>
      </c>
      <c r="F13" s="9" t="str">
        <f>IF(U13="","",IF(U13&gt;=0,"+","")&amp;IF(Indicadores!B13="%",FIXED(U13,1)&amp;" p.p.",FIXED(U13*100,1)&amp;"%"))</f>
        <v>+1,6 p.p.</v>
      </c>
      <c r="G13" s="9" t="str">
        <f>IF(OR(Q13="",S13=""),"",IF(Indicadores!E13="Não",IF(Q13&lt;=S13,"No alvo","Acima da meta"),IF(Q13&gt;=S13,"No alvo","Abaixo da meta")))</f>
        <v>Acima da meta</v>
      </c>
      <c r="H13" s="9" t="str">
        <f>IF(Indicadores!A13="","",Indicadores!B13)</f>
        <v>%</v>
      </c>
      <c r="N13" s="10">
        <f>IF(Indicadores!C13="",2,Indicadores!C13)</f>
        <v>1</v>
      </c>
      <c r="O13" s="10">
        <f>IF(OR(U13="",G13="",G13="No alvo"),"",IF(Indicadores!E13="Não",U13,-U13))</f>
        <v>1.6</v>
      </c>
      <c r="P13" s="10">
        <f>IF(T13="","",IF(Indicadores!E13="Não",-T13,T13))</f>
        <v>-1.3</v>
      </c>
      <c r="Q13" s="10">
        <f>IF(OR(Indicadores!A13="",Indicadores!G13=""),"",Indicadores!G13)</f>
        <v>5.6</v>
      </c>
      <c r="R13" s="10">
        <f>IF(OR(Indicadores!A13="",Indicadores!F13=""),"",Indicadores!F13)</f>
        <v>4.3</v>
      </c>
      <c r="S13" s="10">
        <f>IF(OR(Indicadores!A13="",Indicadores!D13=""),"",Indicadores!D13)</f>
        <v>4</v>
      </c>
      <c r="T13" s="10">
        <f>IF(OR(Q13="",R13=""),"",IF(Indicadores!B13="%",Q13-R13,IF(R13=0,"",(Q13-R13)/ABS(R13))))</f>
        <v>1.3</v>
      </c>
      <c r="U13" s="10">
        <f>IF(OR(Q13="",S13=""),"",IF(Indicadores!B13="%",Q13-S13,IF(S13=0,"",(Q13-S13)/ABS(S13))))</f>
        <v>1.6</v>
      </c>
    </row>
    <row r="14">
      <c r="A14" s="8" t="str">
        <f>IF(Indicadores!A14="","",Indicadores!A14)</f>
        <v>Vencido (parcelas a prazo)</v>
      </c>
      <c r="B14" s="9" t="str">
        <f>IF(Q14="","",IF(Indicadores!B14="R$","R$ ","")&amp;FIXED(Q14,N14)&amp;IF(Indicadores!B14="%","%",IF(OR(Indicadores!B14="R$",Indicadores!B14="",Indicadores!B14="un"),""," "&amp;Indicadores!B14)))</f>
        <v>R$ 4.005</v>
      </c>
      <c r="C14" s="9" t="str">
        <f>IF(R14="","",IF(Indicadores!B14="R$","R$ ","")&amp;FIXED(R14,N14)&amp;IF(Indicadores!B14="%","%",IF(OR(Indicadores!B14="R$",Indicadores!B14="",Indicadores!B14="un"),""," "&amp;Indicadores!B14)))</f>
        <v>R$ 3.290</v>
      </c>
      <c r="D14" s="9" t="str">
        <f>IF(T14="","",IF(T14&gt;=0,"+","")&amp;IF(Indicadores!B14="%",FIXED(T14,1)&amp;" p.p.",FIXED(T14*100,1)&amp;"%"))</f>
        <v>+21,7%</v>
      </c>
      <c r="E14" s="9" t="str">
        <f>IF(S14="","",IF(Indicadores!B14="R$","R$ ","")&amp;FIXED(S14,N14)&amp;IF(Indicadores!B14="%","%",IF(OR(Indicadores!B14="R$",Indicadores!B14="",Indicadores!B14="un"),""," "&amp;Indicadores!B14)))</f>
        <v>R$ 4.000</v>
      </c>
      <c r="F14" s="9" t="str">
        <f>IF(U14="","",IF(U14&gt;=0,"+","")&amp;IF(Indicadores!B14="%",FIXED(U14,1)&amp;" p.p.",FIXED(U14*100,1)&amp;"%"))</f>
        <v>+0,1%</v>
      </c>
      <c r="G14" s="9" t="str">
        <f>IF(OR(Q14="",S14=""),"",IF(Indicadores!E14="Não",IF(Q14&lt;=S14,"No alvo","Acima da meta"),IF(Q14&gt;=S14,"No alvo","Abaixo da meta")))</f>
        <v>Acima da meta</v>
      </c>
      <c r="H14" s="9" t="str">
        <f>IF(Indicadores!A14="","",Indicadores!B14)</f>
        <v>R$</v>
      </c>
      <c r="N14" s="10">
        <f>IF(Indicadores!C14="",2,Indicadores!C14)</f>
        <v>0</v>
      </c>
      <c r="O14" s="10">
        <f>IF(OR(U14="",G14="",G14="No alvo"),"",IF(Indicadores!E14="Não",U14,-U14))</f>
        <v>0.00125</v>
      </c>
      <c r="P14" s="10">
        <f>IF(T14="","",IF(Indicadores!E14="Não",-T14,T14))</f>
        <v>-0.217325227963526</v>
      </c>
      <c r="Q14" s="10">
        <f>IF(OR(Indicadores!A14="",Indicadores!G14=""),"",Indicadores!G14)</f>
        <v>4005</v>
      </c>
      <c r="R14" s="10">
        <f>IF(OR(Indicadores!A14="",Indicadores!F14=""),"",Indicadores!F14)</f>
        <v>3290</v>
      </c>
      <c r="S14" s="10">
        <f>IF(OR(Indicadores!A14="",Indicadores!D14=""),"",Indicadores!D14)</f>
        <v>4000</v>
      </c>
      <c r="T14" s="10">
        <f>IF(OR(Q14="",R14=""),"",IF(Indicadores!B14="%",Q14-R14,IF(R14=0,"",(Q14-R14)/ABS(R14))))</f>
        <v>0.217325227963526</v>
      </c>
      <c r="U14" s="10">
        <f>IF(OR(Q14="",S14=""),"",IF(Indicadores!B14="%",Q14-S14,IF(S14=0,"",(Q14-S14)/ABS(S14))))</f>
        <v>0.00125</v>
      </c>
    </row>
    <row r="15">
      <c r="A15" s="8" t="str">
        <f>IF(Indicadores!A15="","",Indicadores!A15)</f>
        <v>Inadimplência a prazo (vencido ÷ (pago + vencido))</v>
      </c>
      <c r="B15" s="9" t="str">
        <f>IF(Q15="","",IF(Indicadores!B15="R$","R$ ","")&amp;FIXED(Q15,N15)&amp;IF(Indicadores!B15="%","%",IF(OR(Indicadores!B15="R$",Indicadores!B15="",Indicadores!B15="un"),""," "&amp;Indicadores!B15)))</f>
        <v>10,5%</v>
      </c>
      <c r="C15" s="9" t="str">
        <f>IF(R15="","",IF(Indicadores!B15="R$","R$ ","")&amp;FIXED(R15,N15)&amp;IF(Indicadores!B15="%","%",IF(OR(Indicadores!B15="R$",Indicadores!B15="",Indicadores!B15="un"),""," "&amp;Indicadores!B15)))</f>
        <v>10,0%</v>
      </c>
      <c r="D15" s="9" t="str">
        <f>IF(T15="","",IF(T15&gt;=0,"+","")&amp;IF(Indicadores!B15="%",FIXED(T15,1)&amp;" p.p.",FIXED(T15*100,1)&amp;"%"))</f>
        <v>+0,5 p.p.</v>
      </c>
      <c r="E15" s="9" t="str">
        <f>IF(S15="","",IF(Indicadores!B15="R$","R$ ","")&amp;FIXED(S15,N15)&amp;IF(Indicadores!B15="%","%",IF(OR(Indicadores!B15="R$",Indicadores!B15="",Indicadores!B15="un"),""," "&amp;Indicadores!B15)))</f>
        <v>8,0%</v>
      </c>
      <c r="F15" s="9" t="str">
        <f>IF(U15="","",IF(U15&gt;=0,"+","")&amp;IF(Indicadores!B15="%",FIXED(U15,1)&amp;" p.p.",FIXED(U15*100,1)&amp;"%"))</f>
        <v>+2,5 p.p.</v>
      </c>
      <c r="G15" s="9" t="str">
        <f>IF(OR(Q15="",S15=""),"",IF(Indicadores!E15="Não",IF(Q15&lt;=S15,"No alvo","Acima da meta"),IF(Q15&gt;=S15,"No alvo","Abaixo da meta")))</f>
        <v>Acima da meta</v>
      </c>
      <c r="H15" s="9" t="str">
        <f>IF(Indicadores!A15="","",Indicadores!B15)</f>
        <v>%</v>
      </c>
      <c r="N15" s="10">
        <f>IF(Indicadores!C15="",2,Indicadores!C15)</f>
        <v>1</v>
      </c>
      <c r="O15" s="10">
        <f>IF(OR(U15="",G15="",G15="No alvo"),"",IF(Indicadores!E15="Não",U15,-U15))</f>
        <v>2.5</v>
      </c>
      <c r="P15" s="10">
        <f>IF(T15="","",IF(Indicadores!E15="Não",-T15,T15))</f>
        <v>-0.5</v>
      </c>
      <c r="Q15" s="10">
        <f>IF(OR(Indicadores!A15="",Indicadores!G15=""),"",Indicadores!G15)</f>
        <v>10.5</v>
      </c>
      <c r="R15" s="10">
        <f>IF(OR(Indicadores!A15="",Indicadores!F15=""),"",Indicadores!F15)</f>
        <v>10</v>
      </c>
      <c r="S15" s="10">
        <f>IF(OR(Indicadores!A15="",Indicadores!D15=""),"",Indicadores!D15)</f>
        <v>8</v>
      </c>
      <c r="T15" s="10">
        <f>IF(OR(Q15="",R15=""),"",IF(Indicadores!B15="%",Q15-R15,IF(R15=0,"",(Q15-R15)/ABS(R15))))</f>
        <v>0.5</v>
      </c>
      <c r="U15" s="10">
        <f>IF(OR(Q15="",S15=""),"",IF(Indicadores!B15="%",Q15-S15,IF(S15=0,"",(Q15-S15)/ABS(S15))))</f>
        <v>2.5</v>
      </c>
    </row>
    <row r="16">
      <c r="A16" s="8" t="str">
        <f>IF(Indicadores!A16="","",Indicadores!A16)</f>
        <v>Orçamentos em aberto (valor)</v>
      </c>
      <c r="B16" s="9" t="str">
        <f>IF(Q16="","",IF(Indicadores!B16="R$","R$ ","")&amp;FIXED(Q16,N16)&amp;IF(Indicadores!B16="%","%",IF(OR(Indicadores!B16="R$",Indicadores!B16="",Indicadores!B16="un"),""," "&amp;Indicadores!B16)))</f>
        <v>R$ 2.700</v>
      </c>
      <c r="C16" s="9" t="str">
        <f>IF(R16="","",IF(Indicadores!B16="R$","R$ ","")&amp;FIXED(R16,N16)&amp;IF(Indicadores!B16="%","%",IF(OR(Indicadores!B16="R$",Indicadores!B16="",Indicadores!B16="un"),""," "&amp;Indicadores!B16)))</f>
        <v>R$ 830</v>
      </c>
      <c r="D16" s="9" t="str">
        <f>IF(T16="","",IF(T16&gt;=0,"+","")&amp;IF(Indicadores!B16="%",FIXED(T16,1)&amp;" p.p.",FIXED(T16*100,1)&amp;"%"))</f>
        <v>+225,3%</v>
      </c>
      <c r="E16" s="9">
        <f>IF(S16="","",IF(Indicadores!B16="R$","R$ ","")&amp;FIXED(S16,N16)&amp;IF(Indicadores!B16="%","%",IF(OR(Indicadores!B16="R$",Indicadores!B16="",Indicadores!B16="un"),""," "&amp;Indicadores!B16)))</f>
        <v/>
      </c>
      <c r="F16" s="9">
        <f>IF(U16="","",IF(U16&gt;=0,"+","")&amp;IF(Indicadores!B16="%",FIXED(U16,1)&amp;" p.p.",FIXED(U16*100,1)&amp;"%"))</f>
        <v/>
      </c>
      <c r="G16" s="9">
        <f>IF(OR(Q16="",S16=""),"",IF(Indicadores!E16="Não",IF(Q16&lt;=S16,"No alvo","Acima da meta"),IF(Q16&gt;=S16,"No alvo","Abaixo da meta")))</f>
        <v/>
      </c>
      <c r="H16" s="9" t="str">
        <f>IF(Indicadores!A16="","",Indicadores!B16)</f>
        <v>R$</v>
      </c>
      <c r="N16" s="10">
        <f>IF(Indicadores!C16="",2,Indicadores!C16)</f>
        <v>0</v>
      </c>
      <c r="O16" s="10">
        <f>IF(OR(U16="",G16="",G16="No alvo"),"",IF(Indicadores!E16="Não",U16,-U16))</f>
        <v/>
      </c>
      <c r="P16" s="10">
        <f>IF(T16="","",IF(Indicadores!E16="Não",-T16,T16))</f>
        <v>2.25301204819277</v>
      </c>
      <c r="Q16" s="10">
        <f>IF(OR(Indicadores!A16="",Indicadores!G16=""),"",Indicadores!G16)</f>
        <v>2700</v>
      </c>
      <c r="R16" s="10">
        <f>IF(OR(Indicadores!A16="",Indicadores!F16=""),"",Indicadores!F16)</f>
        <v>830</v>
      </c>
      <c r="S16" s="10">
        <f>IF(OR(Indicadores!A16="",Indicadores!D16=""),"",Indicadores!D16)</f>
        <v/>
      </c>
      <c r="T16" s="10">
        <f>IF(OR(Q16="",R16=""),"",IF(Indicadores!B16="%",Q16-R16,IF(R16=0,"",(Q16-R16)/ABS(R16))))</f>
        <v>2.25301204819277</v>
      </c>
      <c r="U16" s="10">
        <f>IF(OR(Q16="",S16=""),"",IF(Indicadores!B16="%",Q16-S16,IF(S16=0,"",(Q16-S16)/ABS(S16))))</f>
        <v/>
      </c>
    </row>
    <row r="17"/>
    <row r="18" ht="30" customHeight="1">
      <c r="A18" s="11" t="inlineStr">
        <is>
          <t>Verde: no alvo. Vermelho: fora da meta. Sem meta: informativo. Os valores são texto formatado (FIXED, casas decimais de Indicadores; separadores no idioma do Excel); as colunas N a U (ocultas) guardam os números e a distância da meta, usadas nos destaques do Resumo.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8:H18"/>
    <mergeCell ref="A2:H2"/>
    <mergeCell ref="A1:H1"/>
  </mergeCells>
  <conditionalFormatting sqref="A5:H16">
    <cfRule type="expression" priority="1" dxfId="0">
      <formula>OR($G5="Abaixo da meta",$G5="Acima da meta")</formula>
    </cfRule>
    <cfRule type="expression" priority="2" dxfId="1">
      <formula>$G5="No alvo"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Resumo do mês, pronto para a IA e para o contador</t>
        </is>
      </c>
    </row>
    <row r="2">
      <c r="A2" s="6" t="inlineStr">
        <is>
          <t>Só a célula amarela é para digitar (observações da clínica). Copie o bloco único e cole no prompt "Painel 01 · Explicar o mês ao sócio" da biblioteca do kit, ou envie ao sócio e ao contador. Os números vêm do Painel.</t>
        </is>
      </c>
    </row>
    <row r="3"/>
    <row r="4">
      <c r="A4" s="12" t="str">
        <f>"Resumo de "&amp;Config!B6&amp;" de "&amp;Config!B5&amp;" · "&amp;Config!B4</f>
        <v>Resumo de Agosto de 2026 · Clínica Vida Plena (exemplo fictício)</v>
      </c>
    </row>
    <row r="5">
      <c r="A5" s="13" t="inlineStr">
        <is>
          <t>Observações da clínica (opcional; entram no fim do bloco):</t>
        </is>
      </c>
    </row>
    <row r="6" ht="58" customHeight="1">
      <c r="A6" s="14" t="inlineStr">
        <is>
          <t>Agosto fechou com a agenda da Dra. Renata mais cheia (dois turnos por semana desde julho) e o lote de junho da Saúde Total pago com glosa, parte dela em recurso; o lote de junho da Vida Care tinha previsão para 04/09 e ainda estava dentro do prazo no fechamento de agosto — em setembro venceu e entrou na cobrança ao convênio; as faltas de segunda de manhã continuam acima da média e a recepção começou a confirmação de véspera por mensagem.</t>
        </is>
      </c>
      <c r="B6" s="15" t="n"/>
      <c r="C6" s="15" t="n"/>
      <c r="D6" s="16" t="n"/>
    </row>
    <row r="7"/>
    <row r="8">
      <c r="A8" s="17" t="str">
        <f>IF(OR(Painel!A5="",Painel!Q5=""),"","• "&amp;Painel!A5&amp;": "&amp;Painel!B5&amp;IF(Painel!T5&lt;&gt;"",IF(Painel!T5=0," (igual a "&amp;Config!$B$8&amp;")"," ("&amp;Painel!D5&amp;" em relação a "&amp;Config!$B$8&amp;")"),IF(AND(Painel!R5&lt;&gt;"",Painel!R5=0,Painel!Q5&lt;&gt;0)," (sem base de comparação: "&amp;Config!$B$8&amp;" foi zero)",IF(Painel!R5&lt;&gt;""," (igual a "&amp;Config!$B$8&amp;")","")))&amp;IF(Painel!S5&lt;&gt;"","; meta "&amp;Painel!E5&amp;", "&amp;LOWER(Painel!G5),"")&amp;".")</f>
        <v>• Entrou no mês (recebimentos): R$ 55.841 (+25,6% em relação a Julho); meta R$ 46.000, no alvo.</v>
      </c>
    </row>
    <row r="9">
      <c r="A9" s="17" t="str">
        <f>IF(OR(Painel!A6="",Painel!Q6=""),"","• "&amp;Painel!A6&amp;": "&amp;Painel!B6&amp;IF(Painel!T6&lt;&gt;"",IF(Painel!T6=0," (igual a "&amp;Config!$B$8&amp;")"," ("&amp;Painel!D6&amp;" em relação a "&amp;Config!$B$8&amp;")"),IF(AND(Painel!R6&lt;&gt;"",Painel!R6=0,Painel!Q6&lt;&gt;0)," (sem base de comparação: "&amp;Config!$B$8&amp;" foi zero)",IF(Painel!R6&lt;&gt;""," (igual a "&amp;Config!$B$8&amp;")","")))&amp;IF(Painel!S6&lt;&gt;"","; meta "&amp;Painel!E6&amp;", "&amp;LOWER(Painel!G6),"")&amp;".")</f>
        <v>• Saídas do mês (custos, variáveis, pró-labore, provisões e impostos): R$ 43.462 (+5,4% em relação a Julho); meta R$ 44.000, no alvo.</v>
      </c>
    </row>
    <row r="10">
      <c r="A10" s="17" t="str">
        <f>IF(OR(Painel!A7="",Painel!Q7=""),"","• "&amp;Painel!A7&amp;": "&amp;Painel!B7&amp;IF(Painel!T7&lt;&gt;"",IF(Painel!T7=0," (igual a "&amp;Config!$B$8&amp;")"," ("&amp;Painel!D7&amp;" em relação a "&amp;Config!$B$8&amp;")"),IF(AND(Painel!R7&lt;&gt;"",Painel!R7=0,Painel!Q7&lt;&gt;0)," (sem base de comparação: "&amp;Config!$B$8&amp;" foi zero)",IF(Painel!R7&lt;&gt;""," (igual a "&amp;Config!$B$8&amp;")","")))&amp;IF(Painel!S7&lt;&gt;"","; meta "&amp;Painel!E7&amp;", "&amp;LOWER(Painel!G7),"")&amp;".")</f>
        <v>• Resultado do mês: R$ 12.379 (+280,9% em relação a Julho); meta R$ 5.000, no alvo.</v>
      </c>
    </row>
    <row r="11">
      <c r="A11" s="17" t="str">
        <f>IF(OR(Painel!A8="",Painel!Q8=""),"","• "&amp;Painel!A8&amp;": "&amp;Painel!B8&amp;IF(Painel!T8&lt;&gt;"",IF(Painel!T8=0," (igual a "&amp;Config!$B$8&amp;")"," ("&amp;Painel!D8&amp;" em relação a "&amp;Config!$B$8&amp;")"),IF(AND(Painel!R8&lt;&gt;"",Painel!R8=0,Painel!Q8&lt;&gt;0)," (sem base de comparação: "&amp;Config!$B$8&amp;" foi zero)",IF(Painel!R8&lt;&gt;""," (igual a "&amp;Config!$B$8&amp;")","")))&amp;IF(Painel!S8&lt;&gt;"","; meta "&amp;Painel!E8&amp;", "&amp;LOWER(Painel!G8),"")&amp;".")</f>
        <v>• Margem do mês: 22,2% (+14,9 p.p. em relação a Julho); meta 12,0%, no alvo.</v>
      </c>
    </row>
    <row r="12">
      <c r="A12" s="17" t="str">
        <f>IF(OR(Painel!A9="",Painel!Q9=""),"","• "&amp;Painel!A9&amp;": "&amp;Painel!B9&amp;IF(Painel!T9&lt;&gt;"",IF(Painel!T9=0," (igual a "&amp;Config!$B$8&amp;")"," ("&amp;Painel!D9&amp;" em relação a "&amp;Config!$B$8&amp;")"),IF(AND(Painel!R9&lt;&gt;"",Painel!R9=0,Painel!Q9&lt;&gt;0)," (sem base de comparação: "&amp;Config!$B$8&amp;" foi zero)",IF(Painel!R9&lt;&gt;""," (igual a "&amp;Config!$B$8&amp;")","")))&amp;IF(Painel!S9&lt;&gt;"","; meta "&amp;Painel!E9&amp;", "&amp;LOWER(Painel!G9),"")&amp;".")</f>
        <v>• Ocupação da agenda: 70,4% (-1,3 p.p. em relação a Julho); meta 75,0%, abaixo da meta.</v>
      </c>
    </row>
    <row r="13">
      <c r="A13" s="17" t="str">
        <f>IF(OR(Painel!A10="",Painel!Q10=""),"","• "&amp;Painel!A10&amp;": "&amp;Painel!B10&amp;IF(Painel!T10&lt;&gt;"",IF(Painel!T10=0," (igual a "&amp;Config!$B$8&amp;")"," ("&amp;Painel!D10&amp;" em relação a "&amp;Config!$B$8&amp;")"),IF(AND(Painel!R10&lt;&gt;"",Painel!R10=0,Painel!Q10&lt;&gt;0)," (sem base de comparação: "&amp;Config!$B$8&amp;" foi zero)",IF(Painel!R10&lt;&gt;""," (igual a "&amp;Config!$B$8&amp;")","")))&amp;IF(Painel!S10&lt;&gt;"","; meta "&amp;Painel!E10&amp;", "&amp;LOWER(Painel!G10),"")&amp;".")</f>
        <v>• Taxa de falta: 8,4% (-0,4 p.p. em relação a Julho); meta 6,0%, acima da meta.</v>
      </c>
    </row>
    <row r="14">
      <c r="A14" s="17" t="str">
        <f>IF(OR(Painel!A11="",Painel!Q11=""),"","• "&amp;Painel!A11&amp;": "&amp;Painel!B11&amp;IF(Painel!T11&lt;&gt;"",IF(Painel!T11=0," (igual a "&amp;Config!$B$8&amp;")"," ("&amp;Painel!D11&amp;" em relação a "&amp;Config!$B$8&amp;")"),IF(AND(Painel!R11&lt;&gt;"",Painel!R11=0,Painel!Q11&lt;&gt;0)," (sem base de comparação: "&amp;Config!$B$8&amp;" foi zero)",IF(Painel!R11&lt;&gt;""," (igual a "&amp;Config!$B$8&amp;")","")))&amp;IF(Painel!S11&lt;&gt;"","; meta "&amp;Painel!E11&amp;", "&amp;LOWER(Painel!G11),"")&amp;".")</f>
        <v>• Horas atendidas no mês: 118,3 h (-8,3% em relação a Julho); meta 140,0 h, abaixo da meta.</v>
      </c>
    </row>
    <row r="15">
      <c r="A15" s="17" t="str">
        <f>IF(OR(Painel!A12="",Painel!Q12=""),"","• "&amp;Painel!A12&amp;": "&amp;Painel!B12&amp;IF(Painel!T12&lt;&gt;"",IF(Painel!T12=0," (igual a "&amp;Config!$B$8&amp;")"," ("&amp;Painel!D12&amp;" em relação a "&amp;Config!$B$8&amp;")"),IF(AND(Painel!R12&lt;&gt;"",Painel!R12=0,Painel!Q12&lt;&gt;0)," (sem base de comparação: "&amp;Config!$B$8&amp;" foi zero)",IF(Painel!R12&lt;&gt;""," (igual a "&amp;Config!$B$8&amp;")","")))&amp;IF(Painel!S12&lt;&gt;"","; meta "&amp;Painel!E12&amp;", "&amp;LOWER(Painel!G12),"")&amp;".")</f>
        <v>• Convênio a receber (lotes enviados): R$ 12.077 (-10,9% em relação a Julho).</v>
      </c>
    </row>
    <row r="16">
      <c r="A16" s="17" t="str">
        <f>IF(OR(Painel!A13="",Painel!Q13=""),"","• "&amp;Painel!A13&amp;": "&amp;Painel!B13&amp;IF(Painel!T13&lt;&gt;"",IF(Painel!T13=0," (igual a "&amp;Config!$B$8&amp;")"," ("&amp;Painel!D13&amp;" em relação a "&amp;Config!$B$8&amp;")"),IF(AND(Painel!R13&lt;&gt;"",Painel!R13=0,Painel!Q13&lt;&gt;0)," (sem base de comparação: "&amp;Config!$B$8&amp;" foi zero)",IF(Painel!R13&lt;&gt;""," (igual a "&amp;Config!$B$8&amp;")","")))&amp;IF(Painel!S13&lt;&gt;"","; meta "&amp;Painel!E13&amp;", "&amp;LOWER(Painel!G13),"")&amp;".")</f>
        <v>• Glosa dos lotes pagos no mês: 5,6% (+1,3 p.p. em relação a Julho); meta 4,0%, acima da meta.</v>
      </c>
    </row>
    <row r="17">
      <c r="A17" s="17" t="str">
        <f>IF(OR(Painel!A14="",Painel!Q14=""),"","• "&amp;Painel!A14&amp;": "&amp;Painel!B14&amp;IF(Painel!T14&lt;&gt;"",IF(Painel!T14=0," (igual a "&amp;Config!$B$8&amp;")"," ("&amp;Painel!D14&amp;" em relação a "&amp;Config!$B$8&amp;")"),IF(AND(Painel!R14&lt;&gt;"",Painel!R14=0,Painel!Q14&lt;&gt;0)," (sem base de comparação: "&amp;Config!$B$8&amp;" foi zero)",IF(Painel!R14&lt;&gt;""," (igual a "&amp;Config!$B$8&amp;")","")))&amp;IF(Painel!S14&lt;&gt;"","; meta "&amp;Painel!E14&amp;", "&amp;LOWER(Painel!G14),"")&amp;".")</f>
        <v>• Vencido (parcelas a prazo): R$ 4.005 (+21,7% em relação a Julho); meta R$ 4.000, acima da meta.</v>
      </c>
    </row>
    <row r="18">
      <c r="A18" s="17" t="str">
        <f>IF(OR(Painel!A15="",Painel!Q15=""),"","• "&amp;Painel!A15&amp;": "&amp;Painel!B15&amp;IF(Painel!T15&lt;&gt;"",IF(Painel!T15=0," (igual a "&amp;Config!$B$8&amp;")"," ("&amp;Painel!D15&amp;" em relação a "&amp;Config!$B$8&amp;")"),IF(AND(Painel!R15&lt;&gt;"",Painel!R15=0,Painel!Q15&lt;&gt;0)," (sem base de comparação: "&amp;Config!$B$8&amp;" foi zero)",IF(Painel!R15&lt;&gt;""," (igual a "&amp;Config!$B$8&amp;")","")))&amp;IF(Painel!S15&lt;&gt;"","; meta "&amp;Painel!E15&amp;", "&amp;LOWER(Painel!G15),"")&amp;".")</f>
        <v>• Inadimplência a prazo (vencido ÷ (pago + vencido)): 10,5% (+0,5 p.p. em relação a Julho); meta 8,0%, acima da meta.</v>
      </c>
    </row>
    <row r="19">
      <c r="A19" s="17" t="str">
        <f>IF(OR(Painel!A16="",Painel!Q16=""),"","• "&amp;Painel!A16&amp;": "&amp;Painel!B16&amp;IF(Painel!T16&lt;&gt;"",IF(Painel!T16=0," (igual a "&amp;Config!$B$8&amp;")"," ("&amp;Painel!D16&amp;" em relação a "&amp;Config!$B$8&amp;")"),IF(AND(Painel!R16&lt;&gt;"",Painel!R16=0,Painel!Q16&lt;&gt;0)," (sem base de comparação: "&amp;Config!$B$8&amp;" foi zero)",IF(Painel!R16&lt;&gt;""," (igual a "&amp;Config!$B$8&amp;")","")))&amp;IF(Painel!S16&lt;&gt;"","; meta "&amp;Painel!E16&amp;", "&amp;LOWER(Painel!G16),"")&amp;".")</f>
        <v>• Orçamentos em aberto (valor): R$ 2.700 (+225,3% em relação a Julho).</v>
      </c>
    </row>
    <row r="20"/>
    <row r="21">
      <c r="A21" s="12" t="inlineStr">
        <is>
          <t>Destaques automáticos</t>
        </is>
      </c>
    </row>
    <row r="22">
      <c r="A22" s="17" t="str">
        <f>IF(COUNT(Painel!$P$5:$P$16)=0,"• Melhora e piora: preencha o mês anterior para comparar.",IF(MAX(Painel!$P$5:$P$16)&lt;=0,"• Nenhum indicador melhorou contra "&amp;Config!$B$8&amp;".","• Maior melhora contra "&amp;Config!$B$8&amp;": "&amp;INDEX(Painel!$A$5:$A$16,MATCH(MAX(Painel!$P$5:$P$16),Painel!$P$5:$P$16,0))&amp;" ("&amp;INDEX(Painel!$D$5:$D$16,MATCH(MAX(Painel!$P$5:$P$16),Painel!$P$5:$P$16,0))&amp;")."))</f>
        <v>• Maior melhora contra Julho: Margem do mês (+14,9 p.p.).</v>
      </c>
    </row>
    <row r="23">
      <c r="A23" s="17" t="str">
        <f>IF(COUNT(Painel!$P$5:$P$16)=0,"",IF(MIN(Painel!$P$5:$P$16)&gt;=0,"• Nenhum indicador piorou contra "&amp;Config!$B$8&amp;".","• Maior piora contra "&amp;Config!$B$8&amp;": "&amp;INDEX(Painel!$A$5:$A$16,MATCH(MIN(Painel!$P$5:$P$16),Painel!$P$5:$P$16,0))&amp;" ("&amp;INDEX(Painel!$D$5:$D$16,MATCH(MIN(Painel!$P$5:$P$16),Painel!$P$5:$P$16,0))&amp;")."))</f>
        <v>• Maior piora contra Julho: Ocupação da agenda (-1,3 p.p.).</v>
      </c>
    </row>
    <row r="24">
      <c r="A24" s="17" t="str">
        <f>IF((COUNTIF(Painel!$G$5:$G$16,"Acima da meta")+COUNTIF(Painel!$G$5:$G$16,"Abaixo da meta"))=0,"• Nenhum indicador fora da meta.",IF(COUNT(Painel!$O$5:$O$16)=0,"• "&amp;(COUNTIF(Painel!$G$5:$G$16,"Acima da meta")+COUNTIF(Painel!$G$5:$G$16,"Abaixo da meta"))&amp;" indicador(es) fora da meta (sem percentual: a meta é zero).","• Mais longe da meta: "&amp;INDEX(Painel!$A$5:$A$16,MATCH(MAX(Painel!$O$5:$O$16),Painel!$O$5:$O$16,0))&amp;" ("&amp;INDEX(Painel!$F$5:$F$16,MATCH(MAX(Painel!$O$5:$O$16),Painel!$O$5:$O$16,0))&amp;" da meta, "&amp;LOWER(INDEX(Painel!$G$5:$G$16,MATCH(MAX(Painel!$O$5:$O$16),Painel!$O$5:$O$16,0)))&amp;")."))</f>
        <v>• Mais longe da meta: Ocupação da agenda (-4,6 p.p. da meta, abaixo da meta).</v>
      </c>
    </row>
    <row r="25">
      <c r="A25" s="17" t="str">
        <f>"• Indicadores no alvo: "&amp;COUNTIF(Painel!$G$5:$G$16,"No alvo")&amp;" de "&amp;(COUNTIF(Painel!$G$5:$G$16,"No alvo")+COUNTIF(Painel!$G$5:$G$16,"Acima da meta")+COUNTIF(Painel!$G$5:$G$16,"Abaixo da meta"))&amp;" com meta."</f>
        <v>• Indicadores no alvo: 4 de 10 com meta.</v>
      </c>
    </row>
    <row r="26"/>
    <row r="27">
      <c r="A27" s="12" t="inlineStr">
        <is>
          <t>Bloco único para copiar</t>
        </is>
      </c>
    </row>
    <row r="28" ht="380" customHeight="1">
      <c r="A28" s="18" t="str">
        <f>A4&amp;CHAR(10)&amp;CHAR(10)&amp;"Indicadores do mês:"&amp;CHAR(10)&amp;IF(A8="","",A8&amp;CHAR(10)) &amp; IF(A9="","",A9&amp;CHAR(10)) &amp; IF(A10="","",A10&amp;CHAR(10)) &amp; IF(A11="","",A11&amp;CHAR(10)) &amp; IF(A12="","",A12&amp;CHAR(10)) &amp; IF(A13="","",A13&amp;CHAR(10)) &amp; IF(A14="","",A14&amp;CHAR(10)) &amp; IF(A15="","",A15&amp;CHAR(10)) &amp; IF(A16="","",A16&amp;CHAR(10)) &amp; IF(A17="","",A17&amp;CHAR(10)) &amp; IF(A18="","",A18&amp;CHAR(10)) &amp; IF(A19="","",A19&amp;CHAR(10))&amp;CHAR(10)&amp;"Destaques:"&amp;CHAR(10)&amp;IF(A22="","",A22&amp;CHAR(10)) &amp; IF(A23="","",A23&amp;CHAR(10)) &amp; IF(A24="","",A24&amp;CHAR(10)) &amp; IF(A25="","",A25&amp;CHAR(10))&amp;IF(A6="","",CHAR(10)&amp;"Observações da clínica: "&amp;A6)</f>
        <v>Resumo de Agosto de 2026 · Clínica Vida Plena (exemplo fictício)
Indicadores do mês:
• Entrou no mês (recebimentos): R$ 55.841 (+25,6% em relação a Julho); meta R$ 46.000, no alvo.
• Saídas do mês (custos, variáveis, pró-labore, provisões e impostos): R$ 43.462 (+5,4% em relação a Julho); meta R$ 44.000, no alvo.
• Resultado do mês: R$ 12.379 (+280,9% em relação a Julho); meta R$ 5.000, no alvo.
• Margem do mês: 22,2% (+14,9 p.p. em relação a Julho); meta 12,0%, no alvo.
• Ocupação da agenda: 70,4% (-1,3 p.p. em relação a Julho); meta 75,0%, abaixo da meta.
• Taxa de falta: 8,4% (-0,4 p.p. em relação a Julho); meta 6,0%, acima da meta.
• Horas atendidas no mês: 118,3 h (-8,3% em relação a Julho); meta 140,0 h, abaixo da meta.
• Convênio a receber (lotes enviados): R$ 12.077 (-10,9% em relação a Julho).
• Glosa dos lotes pagos no mês: 5,6% (+1,3 p.p. em relação a Julho); meta 4,0%, acima da meta.
• Vencido (parcelas a prazo): R$ 4.005 (+21,7% em relação a Julho); meta R$ 4.000, acima da meta.
• Inadimplência a prazo (vencido ÷ (pago + vencido)): 10,5% (+0,5 p.p. em relação a Julho); meta 8,0%, acima da meta.
• Orçamentos em aberto (valor): R$ 2.700 (+225,3% em relação a Julho).
Destaques:
• Maior melhora contra Julho: Margem do mês (+14,9 p.p.).
• Maior piora contra Julho: Ocupação da agenda (-1,3 p.p.).
• Mais longe da meta: Ocupação da agenda (-4,6 p.p. da meta, abaixo da meta).
• Indicadores no alvo: 4 de 10 com meta.
Observações da clínica: Agosto fechou com a agenda da Dra. Renata mais cheia (dois turnos por semana desde julho) e o lote de junho da Saúde Total pago com glosa, parte dela em recurso; o lote de junho da Vida Care tinha previsão para 04/09 e ainda estava dentro do prazo no fechamento de agosto — em setembro venceu e entrou na cobrança ao convênio; as faltas de segunda de manhã continuam acima da média e a recepção começou a confirmação de véspera por mensagem.</v>
      </c>
    </row>
    <row r="29"/>
    <row r="30">
      <c r="A30" s="6" t="inlineStr">
        <is>
          <t>Os textos são gerados por fórmula. Revise antes de enviar: a IA e o contador precisam do porquê dos números, e isso só a clínica sabe. Nenhum dado de paciente entra aqui: só totais. Variação de indicadores em % em pontos percentuais (p.p.).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2">
    <mergeCell ref="A17:D17"/>
    <mergeCell ref="A23:D23"/>
    <mergeCell ref="A8:D8"/>
    <mergeCell ref="A22:D22"/>
    <mergeCell ref="A4:D4"/>
    <mergeCell ref="A19:D19"/>
    <mergeCell ref="A10:D10"/>
    <mergeCell ref="A28:D28"/>
    <mergeCell ref="A13:D13"/>
    <mergeCell ref="A9:D9"/>
    <mergeCell ref="A30:D30"/>
    <mergeCell ref="A15:D15"/>
    <mergeCell ref="A24:D24"/>
    <mergeCell ref="A11:D11"/>
    <mergeCell ref="A1:D1"/>
    <mergeCell ref="A6:D6"/>
    <mergeCell ref="A25:D25"/>
    <mergeCell ref="A16:D16"/>
    <mergeCell ref="A18:D18"/>
    <mergeCell ref="A12:D12"/>
    <mergeCell ref="A2:D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" customWidth="1" min="3" max="3"/>
    <col width="14" customWidth="1" min="4" max="4"/>
  </cols>
  <sheetData>
    <row r="1" ht="28" customHeight="1">
      <c r="A1" s="19" t="inlineStr">
        <is>
          <t>Configurações</t>
        </is>
      </c>
    </row>
    <row r="2">
      <c r="A2" s="20" t="inlineStr">
        <is>
          <t>Células amarelas: você preenche.</t>
        </is>
      </c>
    </row>
    <row r="4">
      <c r="A4" s="21" t="inlineStr">
        <is>
          <t>Clínica</t>
        </is>
      </c>
      <c r="B4" s="22" t="inlineStr">
        <is>
          <t>Clínica Vida Plena (exemplo fictício)</t>
        </is>
      </c>
      <c r="D4" s="21" t="inlineStr">
        <is>
          <t>Meses</t>
        </is>
      </c>
    </row>
    <row r="5">
      <c r="A5" s="21" t="inlineStr">
        <is>
          <t>Ano</t>
        </is>
      </c>
      <c r="B5" s="22" t="n">
        <v>2026</v>
      </c>
      <c r="D5" s="23" t="inlineStr">
        <is>
          <t>Janeiro</t>
        </is>
      </c>
    </row>
    <row r="6">
      <c r="A6" s="21" t="inlineStr">
        <is>
          <t>Mês do resumo</t>
        </is>
      </c>
      <c r="B6" s="22" t="inlineStr">
        <is>
          <t>Agosto</t>
        </is>
      </c>
      <c r="D6" s="23" t="inlineStr">
        <is>
          <t>Fevereiro</t>
        </is>
      </c>
    </row>
    <row r="7">
      <c r="A7" s="21" t="inlineStr">
        <is>
          <t>Número do mês</t>
        </is>
      </c>
      <c r="B7" s="9">
        <f>MATCH(B6,$D$5:$D$16,0)</f>
        <v>8</v>
      </c>
      <c r="D7" s="23" t="inlineStr">
        <is>
          <t>Março</t>
        </is>
      </c>
    </row>
    <row r="8">
      <c r="A8" s="21" t="inlineStr">
        <is>
          <t>Mês anterior</t>
        </is>
      </c>
      <c r="B8" s="9" t="str">
        <f>IF(B7&gt;1,INDEX($D$5:$D$16,B7-1),INDEX($D$5:$D$16,12))</f>
        <v>Julho</v>
      </c>
      <c r="D8" s="23" t="inlineStr">
        <is>
          <t>Abril</t>
        </is>
      </c>
    </row>
    <row r="9">
      <c r="D9" s="23" t="inlineStr">
        <is>
          <t>Maio</t>
        </is>
      </c>
    </row>
    <row r="10">
      <c r="A10" s="6" t="inlineStr">
        <is>
          <t>Use a mesma planilha todo mês: troque o mês aqui e, em Indicadores, mova o "Mês atual" para "Mês anterior" antes de digitar os novos valores. Resuma o último mês fechado (no exemplo, agosto; setembro está em andamento).</t>
        </is>
      </c>
      <c r="D10" s="23" t="inlineStr">
        <is>
          <t>Junho</t>
        </is>
      </c>
    </row>
    <row r="11">
      <c r="D11" s="23" t="inlineStr">
        <is>
          <t>Julho</t>
        </is>
      </c>
    </row>
    <row r="12">
      <c r="D12" s="23" t="inlineStr">
        <is>
          <t>Agosto</t>
        </is>
      </c>
    </row>
    <row r="13">
      <c r="D13" s="23" t="inlineStr">
        <is>
          <t>Setembro</t>
        </is>
      </c>
    </row>
    <row r="14">
      <c r="D14" s="23" t="inlineStr">
        <is>
          <t>Outubro</t>
        </is>
      </c>
    </row>
    <row r="15">
      <c r="D15" s="23" t="inlineStr">
        <is>
          <t>Novembro</t>
        </is>
      </c>
    </row>
    <row r="16">
      <c r="D16" s="23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9" customWidth="1" min="2" max="2"/>
    <col width="10" customWidth="1" min="3" max="3"/>
    <col width="13" customWidth="1" min="4" max="4"/>
    <col width="12" customWidth="1" min="5" max="5"/>
    <col width="13" customWidth="1" min="6" max="6"/>
    <col width="13" customWidth="1" min="7" max="7"/>
    <col width="40" customWidth="1" min="8" max="8"/>
  </cols>
  <sheetData>
    <row r="1" ht="28" customHeight="1">
      <c r="A1" s="19" t="inlineStr">
        <is>
          <t>Indicadores do mês</t>
        </is>
      </c>
    </row>
    <row r="2">
      <c r="A2" s="20" t="inlineStr">
        <is>
          <t>Até 12 indicadores (de cima para baixo, sem pular linha): nome, unidade, casas decimais, meta, se maior é melhor, valor do mês anterior e do mês atual. Copie os números do Painel da clínica (17, Histórico) e do Resultado mensal (18).</t>
        </is>
      </c>
    </row>
    <row r="4" ht="30" customHeight="1">
      <c r="A4" s="7" t="inlineStr">
        <is>
          <t>Indicador</t>
        </is>
      </c>
      <c r="B4" s="7" t="inlineStr">
        <is>
          <t>Unidade</t>
        </is>
      </c>
      <c r="C4" s="7" t="inlineStr">
        <is>
          <t>Casas decimais</t>
        </is>
      </c>
      <c r="D4" s="7" t="inlineStr">
        <is>
          <t>Meta do mês</t>
        </is>
      </c>
      <c r="E4" s="7" t="inlineStr">
        <is>
          <t>Maior é melhor?</t>
        </is>
      </c>
      <c r="F4" s="7" t="inlineStr">
        <is>
          <t>Mês anterior</t>
        </is>
      </c>
      <c r="G4" s="7" t="inlineStr">
        <is>
          <t>Mês atual</t>
        </is>
      </c>
      <c r="H4" s="7" t="inlineStr">
        <is>
          <t>Copie de (planilha do kit)</t>
        </is>
      </c>
    </row>
    <row r="5">
      <c r="A5" s="24" t="inlineStr">
        <is>
          <t>Entrou no mês (recebimentos)</t>
        </is>
      </c>
      <c r="B5" s="25" t="inlineStr">
        <is>
          <t>R$</t>
        </is>
      </c>
      <c r="C5" s="25" t="n">
        <v>0</v>
      </c>
      <c r="D5" s="26" t="n">
        <v>46000</v>
      </c>
      <c r="E5" s="25" t="inlineStr">
        <is>
          <t>Sim</t>
        </is>
      </c>
      <c r="F5" s="26" t="n">
        <v>44471</v>
      </c>
      <c r="G5" s="26" t="n">
        <v>55841</v>
      </c>
      <c r="H5" s="27" t="inlineStr">
        <is>
          <t>09 · Caixa (Painel) ou 17 · Painel (Histórico)</t>
        </is>
      </c>
    </row>
    <row r="6">
      <c r="A6" s="24" t="inlineStr">
        <is>
          <t>Saídas do mês (custos, variáveis, pró-labore, provisões e impostos)</t>
        </is>
      </c>
      <c r="B6" s="25" t="inlineStr">
        <is>
          <t>R$</t>
        </is>
      </c>
      <c r="C6" s="25" t="n">
        <v>0</v>
      </c>
      <c r="D6" s="26" t="n">
        <v>44000</v>
      </c>
      <c r="E6" s="25" t="inlineStr">
        <is>
          <t>Não</t>
        </is>
      </c>
      <c r="F6" s="26" t="n">
        <v>41220.61</v>
      </c>
      <c r="G6" s="26" t="n">
        <v>43461.6</v>
      </c>
      <c r="H6" s="27" t="inlineStr">
        <is>
          <t>18 · Resultado mensal (Total de saídas)</t>
        </is>
      </c>
    </row>
    <row r="7">
      <c r="A7" s="24" t="inlineStr">
        <is>
          <t>Resultado do mês</t>
        </is>
      </c>
      <c r="B7" s="25" t="inlineStr">
        <is>
          <t>R$</t>
        </is>
      </c>
      <c r="C7" s="25" t="n">
        <v>0</v>
      </c>
      <c r="D7" s="26" t="n">
        <v>5000</v>
      </c>
      <c r="E7" s="25" t="inlineStr">
        <is>
          <t>Sim</t>
        </is>
      </c>
      <c r="F7" s="26" t="n">
        <v>3250.389999999999</v>
      </c>
      <c r="G7" s="26" t="n">
        <v>12379.4</v>
      </c>
      <c r="H7" s="27" t="inlineStr">
        <is>
          <t>18 · Resultado mensal</t>
        </is>
      </c>
    </row>
    <row r="8">
      <c r="A8" s="24" t="inlineStr">
        <is>
          <t>Margem do mês</t>
        </is>
      </c>
      <c r="B8" s="25" t="inlineStr">
        <is>
          <t>%</t>
        </is>
      </c>
      <c r="C8" s="25" t="n">
        <v>1</v>
      </c>
      <c r="D8" s="26" t="n">
        <v>12</v>
      </c>
      <c r="E8" s="25" t="inlineStr">
        <is>
          <t>Sim</t>
        </is>
      </c>
      <c r="F8" s="26" t="n">
        <v>7.3</v>
      </c>
      <c r="G8" s="26" t="n">
        <v>22.2</v>
      </c>
      <c r="H8" s="27" t="inlineStr">
        <is>
          <t>18 · Resultado mensal</t>
        </is>
      </c>
    </row>
    <row r="9">
      <c r="A9" s="24" t="inlineStr">
        <is>
          <t>Ocupação da agenda</t>
        </is>
      </c>
      <c r="B9" s="25" t="inlineStr">
        <is>
          <t>%</t>
        </is>
      </c>
      <c r="C9" s="25" t="n">
        <v>1</v>
      </c>
      <c r="D9" s="26" t="n">
        <v>75</v>
      </c>
      <c r="E9" s="25" t="inlineStr">
        <is>
          <t>Sim</t>
        </is>
      </c>
      <c r="F9" s="26" t="n">
        <v>71.7</v>
      </c>
      <c r="G9" s="26" t="n">
        <v>70.40000000000001</v>
      </c>
      <c r="H9" s="27" t="inlineStr">
        <is>
          <t>01 · Agenda (Painel) ou 17 · Histórico</t>
        </is>
      </c>
    </row>
    <row r="10">
      <c r="A10" s="24" t="inlineStr">
        <is>
          <t>Taxa de falta</t>
        </is>
      </c>
      <c r="B10" s="25" t="inlineStr">
        <is>
          <t>%</t>
        </is>
      </c>
      <c r="C10" s="25" t="n">
        <v>1</v>
      </c>
      <c r="D10" s="26" t="n">
        <v>6</v>
      </c>
      <c r="E10" s="25" t="inlineStr">
        <is>
          <t>Não</t>
        </is>
      </c>
      <c r="F10" s="26" t="n">
        <v>8.800000000000001</v>
      </c>
      <c r="G10" s="26" t="n">
        <v>8.4</v>
      </c>
      <c r="H10" s="27" t="inlineStr">
        <is>
          <t>02 · Faltas e retornos ou 17 · Histórico</t>
        </is>
      </c>
    </row>
    <row r="11">
      <c r="A11" s="24" t="inlineStr">
        <is>
          <t>Horas atendidas no mês</t>
        </is>
      </c>
      <c r="B11" s="25" t="inlineStr">
        <is>
          <t>h</t>
        </is>
      </c>
      <c r="C11" s="25" t="n">
        <v>1</v>
      </c>
      <c r="D11" s="26" t="n">
        <v>140</v>
      </c>
      <c r="E11" s="25" t="inlineStr">
        <is>
          <t>Sim</t>
        </is>
      </c>
      <c r="F11" s="26" t="n">
        <v>129</v>
      </c>
      <c r="G11" s="26" t="n">
        <v>118.3</v>
      </c>
      <c r="H11" s="27" t="inlineStr">
        <is>
          <t>01 · Agenda (Painel) ou 17 · Histórico</t>
        </is>
      </c>
    </row>
    <row r="12">
      <c r="A12" s="24" t="inlineStr">
        <is>
          <t>Convênio a receber (lotes enviados)</t>
        </is>
      </c>
      <c r="B12" s="25" t="inlineStr">
        <is>
          <t>R$</t>
        </is>
      </c>
      <c r="C12" s="25" t="n">
        <v>0</v>
      </c>
      <c r="D12" s="26" t="n"/>
      <c r="E12" s="25" t="inlineStr">
        <is>
          <t>Sim</t>
        </is>
      </c>
      <c r="F12" s="26" t="n">
        <v>13553</v>
      </c>
      <c r="G12" s="26" t="n">
        <v>12077</v>
      </c>
      <c r="H12" s="27" t="inlineStr">
        <is>
          <t>13 · Convênios (fim do mês) ou 17 · Histórico</t>
        </is>
      </c>
    </row>
    <row r="13">
      <c r="A13" s="24" t="inlineStr">
        <is>
          <t>Glosa dos lotes pagos no mês</t>
        </is>
      </c>
      <c r="B13" s="25" t="inlineStr">
        <is>
          <t>%</t>
        </is>
      </c>
      <c r="C13" s="25" t="n">
        <v>1</v>
      </c>
      <c r="D13" s="26" t="n">
        <v>4</v>
      </c>
      <c r="E13" s="25" t="inlineStr">
        <is>
          <t>Não</t>
        </is>
      </c>
      <c r="F13" s="26" t="n">
        <v>4.3</v>
      </c>
      <c r="G13" s="26" t="n">
        <v>5.6</v>
      </c>
      <c r="H13" s="27" t="inlineStr">
        <is>
          <t>13 · Convênios ou 17 · Histórico</t>
        </is>
      </c>
    </row>
    <row r="14">
      <c r="A14" s="24" t="inlineStr">
        <is>
          <t>Vencido (parcelas a prazo)</t>
        </is>
      </c>
      <c r="B14" s="25" t="inlineStr">
        <is>
          <t>R$</t>
        </is>
      </c>
      <c r="C14" s="25" t="n">
        <v>0</v>
      </c>
      <c r="D14" s="26" t="n">
        <v>4000</v>
      </c>
      <c r="E14" s="25" t="inlineStr">
        <is>
          <t>Não</t>
        </is>
      </c>
      <c r="F14" s="26" t="n">
        <v>3290</v>
      </c>
      <c r="G14" s="26" t="n">
        <v>4005</v>
      </c>
      <c r="H14" s="27" t="inlineStr">
        <is>
          <t>14 · Parcelas (fim do mês) ou 17 · Histórico</t>
        </is>
      </c>
    </row>
    <row r="15">
      <c r="A15" s="24" t="inlineStr">
        <is>
          <t>Inadimplência a prazo (vencido ÷ (pago + vencido))</t>
        </is>
      </c>
      <c r="B15" s="25" t="inlineStr">
        <is>
          <t>%</t>
        </is>
      </c>
      <c r="C15" s="25" t="n">
        <v>1</v>
      </c>
      <c r="D15" s="26" t="n">
        <v>8</v>
      </c>
      <c r="E15" s="25" t="inlineStr">
        <is>
          <t>Não</t>
        </is>
      </c>
      <c r="F15" s="26" t="n">
        <v>10</v>
      </c>
      <c r="G15" s="26" t="n">
        <v>10.5</v>
      </c>
      <c r="H15" s="27" t="inlineStr">
        <is>
          <t>14 · Parcelas e inadimplência ou 17 · Histórico</t>
        </is>
      </c>
    </row>
    <row r="16">
      <c r="A16" s="24" t="inlineStr">
        <is>
          <t>Orçamentos em aberto (valor)</t>
        </is>
      </c>
      <c r="B16" s="25" t="inlineStr">
        <is>
          <t>R$</t>
        </is>
      </c>
      <c r="C16" s="25" t="n">
        <v>0</v>
      </c>
      <c r="D16" s="26" t="n"/>
      <c r="E16" s="25" t="inlineStr">
        <is>
          <t>Sim</t>
        </is>
      </c>
      <c r="F16" s="26" t="n">
        <v>830</v>
      </c>
      <c r="G16" s="26" t="n">
        <v>2700</v>
      </c>
      <c r="H16" s="27" t="inlineStr">
        <is>
          <t>15 · Orçamentos ou 17 · Histórico</t>
        </is>
      </c>
    </row>
    <row r="18" ht="30" customHeight="1">
      <c r="A18" s="11" t="inlineStr">
        <is>
          <t>Para indicadores em %, digite 5,1 (não 0,051). "Maior é melhor?" = Não para saídas, vencido, inadimplência, glosa e taxa de falta. Meta em branco = informativo: é o caso de convênio a receber (o que está no prazo não é problema) e dos orçamentos em aberto (pouco orçamento pendente pode ser bom, se fechou tudo, ou ruim, se a recepção parou de apresentar — quem responde é a taxa de aprovação da 15). Meta 0 funciona: a situação aparece, a distância em % não.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8:H18"/>
    <mergeCell ref="A2:H2"/>
    <mergeCell ref="A1:H1"/>
  </mergeCells>
  <dataValidations count="3">
    <dataValidation sqref="E5:E16" showDropDown="0" showInputMessage="0" showErrorMessage="1" allowBlank="1" type="list">
      <formula1>"Sim,Não"</formula1>
    </dataValidation>
    <dataValidation sqref="C5:C16" showDropDown="0" showInputMessage="0" showErrorMessage="1" allowBlank="1" type="list">
      <formula1>"0,1,2"</formula1>
    </dataValidation>
    <dataValidation sqref="B5:B16" showDropDown="0" showInputMessage="0" showErrorMessage="1" allowBlank="1" type="list">
      <formula1>"R$,%,un,h,pts"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Resumo do Mês · Kit de Gestão para Médicos</dc:title>
  <dcterms:created xmlns:dcterms="http://purl.org/dc/terms/" xmlns:xsi="http://www.w3.org/2001/XMLSchema-instance" xsi:type="dcterms:W3CDTF">2026-09-18T16:29:49Z</dcterms:created>
  <dcterms:modified xmlns:dcterms="http://purl.org/dc/terms/" xmlns:xsi="http://www.w3.org/2001/XMLSchema-instance" xsi:type="dcterms:W3CDTF">2026-09-18T16:29:49Z</dcterms:modified>
</cp:coreProperties>
</file>