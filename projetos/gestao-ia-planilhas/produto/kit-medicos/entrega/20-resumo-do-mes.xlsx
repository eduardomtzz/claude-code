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R$ 55.841</v>
      </c>
      <c r="C5" s="9" t="str">
        <f>IF(R5="","",IF(Indicadores!B5="R$","R$ ","")&amp;FIXED(R5,N5)&amp;IF(Indicadores!B5="%","%",IF(OR(Indicadores!B5="R$",Indicadores!B5="",Indicadores!B5="un"),""," "&amp;Indicadores!B5)))</f>
        <v>R$ 44.471</v>
      </c>
      <c r="D5" s="9" t="str">
        <f>IF(T5="","",IF(T5&gt;=0,"+","")&amp;IF(Indicadores!B5="%",FIXED(T5,1)&amp;" p.p.",FIXED(T5*100,1)&amp;"%"))</f>
        <v>+25,6%</v>
      </c>
      <c r="E5" s="9" t="str">
        <f>IF(S5="","",IF(Indicadores!B5="R$","R$ ","")&amp;FIXED(S5,N5)&amp;IF(Indicadores!B5="%","%",IF(OR(Indicadores!B5="R$",Indicadores!B5="",Indicadores!B5="un"),""," "&amp;Indicadores!B5)))</f>
        <v>R$ 46.000</v>
      </c>
      <c r="F5" s="9" t="str">
        <f>IF(U5="","",IF(U5&gt;=0,"+","")&amp;IF(Indicadores!B5="%",FIXED(U5,1)&amp;" p.p.",FIXED(U5*100,1)&amp;"%"))</f>
        <v>+21,4%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0.255672235839086</v>
      </c>
      <c r="Q5" s="10">
        <f>IF(OR(Indicadores!A5="",Indicadores!G5=""),"",Indicadores!G5)</f>
        <v>55841</v>
      </c>
      <c r="R5" s="10">
        <f>IF(OR(Indicadores!A5="",Indicadores!F5=""),"",Indicadores!F5)</f>
        <v>44471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0.255672235839086</v>
      </c>
      <c r="U5" s="10">
        <f>IF(OR(Q5="",S5=""),"",IF(Indicadores!B5="%",Q5-S5,IF(S5=0,"",(Q5-S5)/ABS(S5))))</f>
        <v>0.213934782608696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R$ 43.462</v>
      </c>
      <c r="C6" s="9" t="str">
        <f>IF(R6="","",IF(Indicadores!B6="R$","R$ ","")&amp;FIXED(R6,N6)&amp;IF(Indicadores!B6="%","%",IF(OR(Indicadores!B6="R$",Indicadores!B6="",Indicadores!B6="un"),""," "&amp;Indicadores!B6)))</f>
        <v>R$ 41.221</v>
      </c>
      <c r="D6" s="9" t="str">
        <f>IF(T6="","",IF(T6&gt;=0,"+","")&amp;IF(Indicadores!B6="%",FIXED(T6,1)&amp;" p.p.",FIXED(T6*100,1)&amp;"%"))</f>
        <v>+5,4%</v>
      </c>
      <c r="E6" s="9" t="str">
        <f>IF(S6="","",IF(Indicadores!B6="R$","R$ ","")&amp;FIXED(S6,N6)&amp;IF(Indicadores!B6="%","%",IF(OR(Indicadores!B6="R$",Indicadores!B6="",Indicadores!B6="un"),""," "&amp;Indicadores!B6)))</f>
        <v>R$ 44.000</v>
      </c>
      <c r="F6" s="9" t="str">
        <f>IF(U6="","",IF(U6&gt;=0,"+","")&amp;IF(Indicadores!B6="%",FIXED(U6,1)&amp;" p.p.",FIXED(U6*100,1)&amp;"%"))</f>
        <v>-1,2%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-0.0543662634702067</v>
      </c>
      <c r="Q6" s="10">
        <f>IF(OR(Indicadores!A6="",Indicadores!G6=""),"",Indicadores!G6)</f>
        <v>43461.61</v>
      </c>
      <c r="R6" s="10">
        <f>IF(OR(Indicadores!A6="",Indicadores!F6=""),"",Indicadores!F6)</f>
        <v>41220.6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0.0543662634702067</v>
      </c>
      <c r="U6" s="10">
        <f>IF(OR(Q6="",S6=""),"",IF(Indicadores!B6="%",Q6-S6,IF(S6=0,"",(Q6-S6)/ABS(S6))))</f>
        <v>-0.0122361363636364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R$ 12.379</v>
      </c>
      <c r="C7" s="9" t="str">
        <f>IF(R7="","",IF(Indicadores!B7="R$","R$ ","")&amp;FIXED(R7,N7)&amp;IF(Indicadores!B7="%","%",IF(OR(Indicadores!B7="R$",Indicadores!B7="",Indicadores!B7="un"),""," "&amp;Indicadores!B7)))</f>
        <v>R$ 3.250</v>
      </c>
      <c r="D7" s="9" t="str">
        <f>IF(T7="","",IF(T7&gt;=0,"+","")&amp;IF(Indicadores!B7="%",FIXED(T7,1)&amp;" p.p.",FIXED(T7*100,1)&amp;"%"))</f>
        <v>+280,9%</v>
      </c>
      <c r="E7" s="9" t="str">
        <f>IF(S7="","",IF(Indicadores!B7="R$","R$ ","")&amp;FIXED(S7,N7)&amp;IF(Indicadores!B7="%","%",IF(OR(Indicadores!B7="R$",Indicadores!B7="",Indicadores!B7="un"),""," "&amp;Indicadores!B7)))</f>
        <v>R$ 5.000</v>
      </c>
      <c r="F7" s="9" t="str">
        <f>IF(U7="","",IF(U7&gt;=0,"+","")&amp;IF(Indicadores!B7="%",FIXED(U7,1)&amp;" p.p.",FIXED(U7*100,1)&amp;"%"))</f>
        <v>+147,6%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2.80857432931331</v>
      </c>
      <c r="Q7" s="10">
        <f>IF(OR(Indicadores!A7="",Indicadores!G7=""),"",Indicadores!G7)</f>
        <v>12379.39</v>
      </c>
      <c r="R7" s="10">
        <f>IF(OR(Indicadores!A7="",Indicadores!F7=""),"",Indicadores!F7)</f>
        <v>3250.4</v>
      </c>
      <c r="S7" s="10">
        <f>IF(OR(Indicadores!A7="",Indicadores!D7=""),"",Indicadores!D7)</f>
        <v>5000</v>
      </c>
      <c r="T7" s="10">
        <f>IF(OR(Q7="",R7=""),"",IF(Indicadores!B7="%",Q7-R7,IF(R7=0,"",(Q7-R7)/ABS(R7))))</f>
        <v>2.80857432931331</v>
      </c>
      <c r="U7" s="10">
        <f>IF(OR(Q7="",S7=""),"",IF(Indicadores!B7="%",Q7-S7,IF(S7=0,"",(Q7-S7)/ABS(S7))))</f>
        <v>1.475878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22,2%</v>
      </c>
      <c r="C8" s="9" t="str">
        <f>IF(R8="","",IF(Indicadores!B8="R$","R$ ","")&amp;FIXED(R8,N8)&amp;IF(Indicadores!B8="%","%",IF(OR(Indicadores!B8="R$",Indicadores!B8="",Indicadores!B8="un"),""," "&amp;Indicadores!B8)))</f>
        <v>7,3%</v>
      </c>
      <c r="D8" s="9" t="str">
        <f>IF(T8="","",IF(T8&gt;=0,"+","")&amp;IF(Indicadores!B8="%",FIXED(T8,1)&amp;" p.p.",FIXED(T8*100,1)&amp;"%"))</f>
        <v>+14,9 p.p.</v>
      </c>
      <c r="E8" s="9" t="str">
        <f>IF(S8="","",IF(Indicadores!B8="R$","R$ ","")&amp;FIXED(S8,N8)&amp;IF(Indicadores!B8="%","%",IF(OR(Indicadores!B8="R$",Indicadores!B8="",Indicadores!B8="un"),""," "&amp;Indicadores!B8)))</f>
        <v>12,0%</v>
      </c>
      <c r="F8" s="9" t="str">
        <f>IF(U8="","",IF(U8&gt;=0,"+","")&amp;IF(Indicadores!B8="%",FIXED(U8,1)&amp;" p.p.",FIXED(U8*100,1)&amp;"%"))</f>
        <v>+10,2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14.9</v>
      </c>
      <c r="Q8" s="10">
        <f>IF(OR(Indicadores!A8="",Indicadores!G8=""),"",Indicadores!G8)</f>
        <v>22.2</v>
      </c>
      <c r="R8" s="10">
        <f>IF(OR(Indicadores!A8="",Indicadores!F8=""),"",Indicadores!F8)</f>
        <v>7.3</v>
      </c>
      <c r="S8" s="10">
        <f>IF(OR(Indicadores!A8="",Indicadores!D8=""),"",Indicadores!D8)</f>
        <v>12</v>
      </c>
      <c r="T8" s="10">
        <f>IF(OR(Q8="",R8=""),"",IF(Indicadores!B8="%",Q8-R8,IF(R8=0,"",(Q8-R8)/ABS(R8))))</f>
        <v>14.9</v>
      </c>
      <c r="U8" s="10">
        <f>IF(OR(Q8="",S8=""),"",IF(Indicadores!B8="%",Q8-S8,IF(S8=0,"",(Q8-S8)/ABS(S8))))</f>
        <v>10.2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70,4%</v>
      </c>
      <c r="C9" s="9" t="str">
        <f>IF(R9="","",IF(Indicadores!B9="R$","R$ ","")&amp;FIXED(R9,N9)&amp;IF(Indicadores!B9="%","%",IF(OR(Indicadores!B9="R$",Indicadores!B9="",Indicadores!B9="un"),""," "&amp;Indicadores!B9)))</f>
        <v>71,7%</v>
      </c>
      <c r="D9" s="9" t="str">
        <f>IF(T9="","",IF(T9&gt;=0,"+","")&amp;IF(Indicadores!B9="%",FIXED(T9,1)&amp;" p.p.",FIXED(T9*100,1)&amp;"%"))</f>
        <v>-1,3 p.p.</v>
      </c>
      <c r="E9" s="9" t="str">
        <f>IF(S9="","",IF(Indicadores!B9="R$","R$ ","")&amp;FIXED(S9,N9)&amp;IF(Indicadores!B9="%","%",IF(OR(Indicadores!B9="R$",Indicadores!B9="",Indicadores!B9="un"),""," "&amp;Indicadores!B9)))</f>
        <v>75,0%</v>
      </c>
      <c r="F9" s="9" t="str">
        <f>IF(U9="","",IF(U9&gt;=0,"+","")&amp;IF(Indicadores!B9="%",FIXED(U9,1)&amp;" p.p.",FIXED(U9*100,1)&amp;"%"))</f>
        <v>-4,6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8,4%</v>
      </c>
      <c r="C10" s="9" t="str">
        <f>IF(R10="","",IF(Indicadores!B10="R$","R$ ","")&amp;FIXED(R10,N10)&amp;IF(Indicadores!B10="%","%",IF(OR(Indicadores!B10="R$",Indicadores!B10="",Indicadores!B10="un"),""," "&amp;Indicadores!B10)))</f>
        <v>8,8%</v>
      </c>
      <c r="D10" s="9" t="str">
        <f>IF(T10="","",IF(T10&gt;=0,"+","")&amp;IF(Indicadores!B10="%",FIXED(T10,1)&amp;" p.p.",FIXED(T10*100,1)&amp;"%"))</f>
        <v>-0,4 p.p.</v>
      </c>
      <c r="E10" s="9" t="str">
        <f>IF(S10="","",IF(Indicadores!B10="R$","R$ ","")&amp;FIXED(S10,N10)&amp;IF(Indicadores!B10="%","%",IF(OR(Indicadores!B10="R$",Indicadores!B10="",Indicadores!B10="un"),""," "&amp;Indicadores!B10)))</f>
        <v>6,0%</v>
      </c>
      <c r="F10" s="9" t="str">
        <f>IF(U10="","",IF(U10&gt;=0,"+","")&amp;IF(Indicadores!B10="%",FIXED(U10,1)&amp;" p.p.",FIXED(U10*100,1)&amp;"%"))</f>
        <v>+2,4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118,3 h</v>
      </c>
      <c r="C11" s="9" t="str">
        <f>IF(R11="","",IF(Indicadores!B11="R$","R$ ","")&amp;FIXED(R11,N11)&amp;IF(Indicadores!B11="%","%",IF(OR(Indicadores!B11="R$",Indicadores!B11="",Indicadores!B11="un"),""," "&amp;Indicadores!B11)))</f>
        <v>129,0 h</v>
      </c>
      <c r="D11" s="9" t="str">
        <f>IF(T11="","",IF(T11&gt;=0,"+","")&amp;IF(Indicadores!B11="%",FIXED(T11,1)&amp;" p.p.",FIXED(T11*100,1)&amp;"%"))</f>
        <v>-8,3%</v>
      </c>
      <c r="E11" s="9" t="str">
        <f>IF(S11="","",IF(Indicadores!B11="R$","R$ ","")&amp;FIXED(S11,N11)&amp;IF(Indicadores!B11="%","%",IF(OR(Indicadores!B11="R$",Indicadores!B11="",Indicadores!B11="un"),""," "&amp;Indicadores!B11)))</f>
        <v>140,0 h</v>
      </c>
      <c r="F11" s="9" t="str">
        <f>IF(U11="","",IF(U11&gt;=0,"+","")&amp;IF(Indicadores!B11="%",FIXED(U11,1)&amp;" p.p.",FIXED(U11*100,1)&amp;"%"))</f>
        <v>-15,5%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R$ 12.077</v>
      </c>
      <c r="C12" s="9" t="str">
        <f>IF(R12="","",IF(Indicadores!B12="R$","R$ ","")&amp;FIXED(R12,N12)&amp;IF(Indicadores!B12="%","%",IF(OR(Indicadores!B12="R$",Indicadores!B12="",Indicadores!B12="un"),""," "&amp;Indicadores!B12)))</f>
        <v>R$ 13.553</v>
      </c>
      <c r="D12" s="9" t="str">
        <f>IF(T12="","",IF(T12&gt;=0,"+","")&amp;IF(Indicadores!B12="%",FIXED(T12,1)&amp;" p.p.",FIXED(T12*100,1)&amp;"%"))</f>
        <v>-10,9%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5,6%</v>
      </c>
      <c r="C13" s="9" t="str">
        <f>IF(R13="","",IF(Indicadores!B13="R$","R$ ","")&amp;FIXED(R13,N13)&amp;IF(Indicadores!B13="%","%",IF(OR(Indicadores!B13="R$",Indicadores!B13="",Indicadores!B13="un"),""," "&amp;Indicadores!B13)))</f>
        <v>4,3%</v>
      </c>
      <c r="D13" s="9" t="str">
        <f>IF(T13="","",IF(T13&gt;=0,"+","")&amp;IF(Indicadores!B13="%",FIXED(T13,1)&amp;" p.p.",FIXED(T13*100,1)&amp;"%"))</f>
        <v>+1,3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+1,6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R$ 4.005</v>
      </c>
      <c r="C14" s="9" t="str">
        <f>IF(R14="","",IF(Indicadores!B14="R$","R$ ","")&amp;FIXED(R14,N14)&amp;IF(Indicadores!B14="%","%",IF(OR(Indicadores!B14="R$",Indicadores!B14="",Indicadores!B14="un"),""," "&amp;Indicadores!B14)))</f>
        <v>R$ 3.290</v>
      </c>
      <c r="D14" s="9" t="str">
        <f>IF(T14="","",IF(T14&gt;=0,"+","")&amp;IF(Indicadores!B14="%",FIXED(T14,1)&amp;" p.p.",FIXED(T14*100,1)&amp;"%"))</f>
        <v>+21,7%</v>
      </c>
      <c r="E14" s="9" t="str">
        <f>IF(S14="","",IF(Indicadores!B14="R$","R$ ","")&amp;FIXED(S14,N14)&amp;IF(Indicadores!B14="%","%",IF(OR(Indicadores!B14="R$",Indicadores!B14="",Indicadores!B14="un"),""," "&amp;Indicadores!B14)))</f>
        <v>R$ 4.000</v>
      </c>
      <c r="F14" s="9" t="str">
        <f>IF(U14="","",IF(U14&gt;=0,"+","")&amp;IF(Indicadores!B14="%",FIXED(U14,1)&amp;" p.p.",FIXED(U14*100,1)&amp;"%"))</f>
        <v>+0,1%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10,5%</v>
      </c>
      <c r="C15" s="9" t="str">
        <f>IF(R15="","",IF(Indicadores!B15="R$","R$ ","")&amp;FIXED(R15,N15)&amp;IF(Indicadores!B15="%","%",IF(OR(Indicadores!B15="R$",Indicadores!B15="",Indicadores!B15="un"),""," "&amp;Indicadores!B15)))</f>
        <v>10,0%</v>
      </c>
      <c r="D15" s="9" t="str">
        <f>IF(T15="","",IF(T15&gt;=0,"+","")&amp;IF(Indicadores!B15="%",FIXED(T15,1)&amp;" p.p.",FIXED(T15*100,1)&amp;"%"))</f>
        <v>+0,5 p.p.</v>
      </c>
      <c r="E15" s="9" t="str">
        <f>IF(S15="","",IF(Indicadores!B15="R$","R$ ","")&amp;FIXED(S15,N15)&amp;IF(Indicadores!B15="%","%",IF(OR(Indicadores!B15="R$",Indicadores!B15="",Indicadores!B15="un"),""," "&amp;Indicadores!B15)))</f>
        <v>8,0%</v>
      </c>
      <c r="F15" s="9" t="str">
        <f>IF(U15="","",IF(U15&gt;=0,"+","")&amp;IF(Indicadores!B15="%",FIXED(U15,1)&amp;" p.p.",FIXED(U15*100,1)&amp;"%"))</f>
        <v>+2,5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R$ 2.700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+225,3%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R$ 55.841 (+25,6% em relação a Julho); meta R$ 46.000,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variáveis, pró-labore, provisões e impostos): R$ 43.462 (+5,4% em relação a Julho); meta R$ 44.000,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R$ 12.379 (+280,9% em relação a Julho); meta R$ 5.000,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22,2% (+14,9 p.p. em relação a Julho); meta 12,0%,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Ocupação da agenda: 70,4% (-1,3 p.p. em relação a Julho); meta 75,0%,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Taxa de falta: 8,4% (-0,4 p.p. em relação a Julho); meta 6,0%,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Horas atendidas no mês: 118,3 h (-8,3% em relação a Julho); meta 140,0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Convênio a receber (lotes enviados): R$ 12.077 (-10,9%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Glosa dos lotes pagos no mês: 5,6% (+1,3 p.p. em relação a Julho); meta 4,0%,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Vencido (parcelas a prazo): R$ 4.005 (+21,7% em relação a Julho); meta R$ 4.000,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Inadimplência a prazo (vencido ÷ (pago + vencido)): 10,5% (+0,5 p.p. em relação a Julho); meta 8,0%,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Orçamentos em aberto (valor): R$ 2.700 (+225,3%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Margem do mês (+14,9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Ocupação da agenda (-1,3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Ocupação da agenda (-4,6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R$ 55.841 (+25,6% em relação a Julho); meta R$ 46.000, no alvo.
• Saídas do mês (custos, variáveis, pró-labore, provisões e impostos): R$ 43.462 (+5,4% em relação a Julho); meta R$ 44.000, no alvo.
• Resultado do mês: R$ 12.379 (+280,9% em relação a Julho); meta R$ 5.000, no alvo.
• Margem do mês: 22,2% (+14,9 p.p. em relação a Julho); meta 12,0%, no alvo.
• Ocupação da agenda: 70,4% (-1,3 p.p. em relação a Julho); meta 75,0%, abaixo da meta.
• Taxa de falta: 8,4% (-0,4 p.p. em relação a Julho); meta 6,0%, acima da meta.
• Horas atendidas no mês: 118,3 h (-8,3% em relação a Julho); meta 140,0 h, abaixo da meta.
• Convênio a receber (lotes enviados): R$ 12.077 (-10,9% em relação a Julho).
• Glosa dos lotes pagos no mês: 5,6% (+1,3 p.p. em relação a Julho); meta 4,0%, acima da meta.
• Vencido (parcelas a prazo): R$ 4.005 (+21,7% em relação a Julho); meta R$ 4.000, acima da meta.
• Inadimplência a prazo (vencido ÷ (pago + vencido)): 10,5% (+0,5 p.p. em relação a Julho); meta 8,0%, acima da meta.
• Orçamentos em aberto (valor): R$ 2.700 (+225,3% em relação a Julho).
Destaques:
• Maior melhora contra Julho: Margem do mês (+14,9 p.p.).
• Maior piora contra Julho: Ocupação da agenda (-1,3 p.p.).
• Mais longe da meta: Ocupação da agenda (-4,6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44471</v>
      </c>
      <c r="G5" s="26" t="n">
        <v>55841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41220.6</v>
      </c>
      <c r="G6" s="26" t="n">
        <v>43461.61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3250.400000000001</v>
      </c>
      <c r="G7" s="26" t="n">
        <v>12379.39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7.3</v>
      </c>
      <c r="G8" s="26" t="n">
        <v>22.2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2026-09-17T15:54:34Z</dcterms:created>
  <dcterms:modified xmlns:dcterms="http://purl.org/dc/terms/" xmlns:xsi="http://www.w3.org/2001/XMLSchema-instance" xsi:type="dcterms:W3CDTF">2026-09-17T15:54:34Z</dcterms:modified>
</cp:coreProperties>
</file>