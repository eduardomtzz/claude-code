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0.0%"/>
    <numFmt numFmtId="168" formatCode="&quot;R$&quot; #,##0;[Red]-&quot;R$&quot; #,##0"/>
    <numFmt numFmtId="169" formatCode="+0.0&quot; p.p.&quot;;-0.0&quot; p.p.&quot;;0.0&quot; p.p.&quot;"/>
    <numFmt numFmtId="170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"&amp;TEXT(DAY(Config!B7),"00")&amp;"/"&amp;TEXT(MONTH(Config!B7),"00")&amp;"/"&amp;YEAR(Config!B7)&amp;"."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20710</v>
      </c>
      <c r="B8" s="8" t="n"/>
      <c r="C8" s="13">
        <f>IF(Dados!$B$11="","—",Dados!$B$11)</f>
        <v>13630</v>
      </c>
      <c r="D8" s="8" t="n"/>
      <c r="E8" s="13">
        <f>IF(Dados!$B$12="","—",Dados!$B$12)</f>
        <v>7080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20710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55841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40868.6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7080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14972.4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INDIRECT("Dados!$F$5")="Fora"</formula>
    </cfRule>
    <cfRule type="expression" priority="2" dxfId="1">
      <formula>INDIRECT("Dados!$F$5")="Perto"</formula>
    </cfRule>
    <cfRule type="expression" priority="3" dxfId="2">
      <formula>INDIRECT("Dados!$F$5")="No alvo"</formula>
    </cfRule>
  </conditionalFormatting>
  <conditionalFormatting sqref="C5">
    <cfRule type="expression" priority="4" dxfId="0">
      <formula>INDIRECT("Dados!$F$6")="Fora"</formula>
    </cfRule>
    <cfRule type="expression" priority="5" dxfId="1">
      <formula>INDIRECT("Dados!$F$6")="Perto"</formula>
    </cfRule>
    <cfRule type="expression" priority="6" dxfId="2">
      <formula>INDIRECT("Dados!$F$6")="No alvo"</formula>
    </cfRule>
  </conditionalFormatting>
  <conditionalFormatting sqref="E5">
    <cfRule type="expression" priority="7" dxfId="0">
      <formula>INDIRECT("Dados!$F$7")="Fora"</formula>
    </cfRule>
    <cfRule type="expression" priority="8" dxfId="1">
      <formula>INDIRECT("Dados!$F$7")="Perto"</formula>
    </cfRule>
    <cfRule type="expression" priority="9" dxfId="2">
      <formula>INDIRECT("Dados!$F$7")="No alvo"</formula>
    </cfRule>
  </conditionalFormatting>
  <conditionalFormatting sqref="G5">
    <cfRule type="expression" priority="10" dxfId="0">
      <formula>INDIRECT("Dados!$F$8")="Fora"</formula>
    </cfRule>
    <cfRule type="expression" priority="11" dxfId="1">
      <formula>INDIRECT("Dados!$F$8")="Perto"</formula>
    </cfRule>
    <cfRule type="expression" priority="12" dxfId="2">
      <formula>INDIRECT("Dados!$F$8")="No alvo"</formula>
    </cfRule>
  </conditionalFormatting>
  <conditionalFormatting sqref="I5">
    <cfRule type="expression" priority="13" dxfId="0">
      <formula>INDIRECT("Dados!$F$9")="Fora"</formula>
    </cfRule>
    <cfRule type="expression" priority="14" dxfId="1">
      <formula>INDIRECT("Dados!$F$9")="Perto"</formula>
    </cfRule>
    <cfRule type="expression" priority="15" dxfId="2">
      <formula>INDIRECT("Dados!$F$9")="No alvo"</formula>
    </cfRule>
  </conditionalFormatting>
  <conditionalFormatting sqref="A8">
    <cfRule type="expression" priority="16" dxfId="0">
      <formula>INDIRECT("Dados!$F$10")="Fora"</formula>
    </cfRule>
    <cfRule type="expression" priority="17" dxfId="1">
      <formula>INDIRECT("Dados!$F$10")="Perto"</formula>
    </cfRule>
    <cfRule type="expression" priority="18" dxfId="2">
      <formula>INDIRECT("Dados!$F$10")="No alvo"</formula>
    </cfRule>
  </conditionalFormatting>
  <conditionalFormatting sqref="C8">
    <cfRule type="expression" priority="19" dxfId="0">
      <formula>INDIRECT("Dados!$F$11")="Fora"</formula>
    </cfRule>
    <cfRule type="expression" priority="20" dxfId="1">
      <formula>INDIRECT("Dados!$F$11")="Perto"</formula>
    </cfRule>
    <cfRule type="expression" priority="21" dxfId="2">
      <formula>INDIRECT("Dados!$F$11")="No alvo"</formula>
    </cfRule>
  </conditionalFormatting>
  <conditionalFormatting sqref="E8">
    <cfRule type="expression" priority="22" dxfId="0">
      <formula>INDIRECT("Dados!$F$12")="Fora"</formula>
    </cfRule>
    <cfRule type="expression" priority="23" dxfId="1">
      <formula>INDIRECT("Dados!$F$12")="Perto"</formula>
    </cfRule>
    <cfRule type="expression" priority="24" dxfId="2">
      <formula>INDIRECT("Dados!$F$12")="No alvo"</formula>
    </cfRule>
  </conditionalFormatting>
  <conditionalFormatting sqref="G8">
    <cfRule type="expression" priority="25" dxfId="0">
      <formula>INDIRECT("Dados!$F$13")="Fora"</formula>
    </cfRule>
    <cfRule type="expression" priority="26" dxfId="1">
      <formula>INDIRECT("Dados!$F$13")="Perto"</formula>
    </cfRule>
    <cfRule type="expression" priority="27" dxfId="2">
      <formula>INDIRECT("Dados!$F$13")="No alvo"</formula>
    </cfRule>
  </conditionalFormatting>
  <conditionalFormatting sqref="I8">
    <cfRule type="expression" priority="28" dxfId="0">
      <formula>INDIRECT("Dados!$F$14")="Fora"</formula>
    </cfRule>
    <cfRule type="expression" priority="29" dxfId="1">
      <formula>INDIRECT("Dados!$F$14")="Perto"</formula>
    </cfRule>
    <cfRule type="expression" priority="30" dxfId="2">
      <formula>INDIRECT("Dados!$F$14")="No alvo"</formula>
    </cfRule>
  </conditionalFormatting>
  <conditionalFormatting sqref="A11">
    <cfRule type="expression" priority="31" dxfId="0">
      <formula>INDIRECT("Dados!$F$15")="Fora"</formula>
    </cfRule>
    <cfRule type="expression" priority="32" dxfId="1">
      <formula>INDIRECT("Dados!$F$15")="Perto"</formula>
    </cfRule>
    <cfRule type="expression" priority="33" dxfId="2">
      <formula>INDIRECT("Dados!$F$15")="No alvo"</formula>
    </cfRule>
  </conditionalFormatting>
  <conditionalFormatting sqref="C11">
    <cfRule type="expression" priority="34" dxfId="0">
      <formula>INDIRECT("Dados!$F$16")="Fora"</formula>
    </cfRule>
    <cfRule type="expression" priority="35" dxfId="1">
      <formula>INDIRECT("Dados!$F$16")="Perto"</formula>
    </cfRule>
    <cfRule type="expression" priority="36" dxfId="2">
      <formula>INDIRECT("Dados!$F$16")="No alvo"</formula>
    </cfRule>
  </conditionalFormatting>
  <conditionalFormatting sqref="E11">
    <cfRule type="expression" priority="37" dxfId="0">
      <formula>INDIRECT("Dados!$F$17")="Fora"</formula>
    </cfRule>
    <cfRule type="expression" priority="38" dxfId="1">
      <formula>INDIRECT("Dados!$F$17")="Perto"</formula>
    </cfRule>
    <cfRule type="expression" priority="39" dxfId="2">
      <formula>INDIRECT("Dados!$F$17")="No alvo"</formula>
    </cfRule>
  </conditionalFormatting>
  <conditionalFormatting sqref="G11">
    <cfRule type="expression" priority="40" dxfId="0">
      <formula>INDIRECT("Dados!$F$18")="Fora"</formula>
    </cfRule>
    <cfRule type="expression" priority="41" dxfId="1">
      <formula>INDIRECT("Dados!$F$18")="Perto"</formula>
    </cfRule>
    <cfRule type="expression" priority="42" dxfId="2">
      <formula>INDIRECT("Dados!$F$18")="No alvo"</formula>
    </cfRule>
  </conditionalFormatting>
  <conditionalFormatting sqref="I11">
    <cfRule type="expression" priority="43" dxfId="0">
      <formula>INDIRECT("Dados!$F$19")="Fora"</formula>
    </cfRule>
    <cfRule type="expression" priority="44" dxfId="1">
      <formula>INDIRECT("Dados!$F$19")="Perto"</formula>
    </cfRule>
    <cfRule type="expression" priority="45" dxfId="2">
      <formula>INDIRECT("Dados!$F$19")="No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 t="n">
        <v>46279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20710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7080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25310</v>
      </c>
      <c r="H5" s="40" t="n">
        <v>35932.05</v>
      </c>
      <c r="I5" s="25">
        <f>IF(OR(G5="",H5=""),"",G5-H5)</f>
        <v>-10622.05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25650</v>
      </c>
      <c r="H6" s="40" t="n">
        <v>36230.55</v>
      </c>
      <c r="I6" s="25">
        <f>IF(OR(G6="",H6=""),"",G6-H6)</f>
        <v>-10580.55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40540</v>
      </c>
      <c r="H7" s="40" t="n">
        <v>38251.13</v>
      </c>
      <c r="I7" s="25">
        <f>IF(OR(G7="",H7=""),"",G7-H7)</f>
        <v>2288.87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40775</v>
      </c>
      <c r="H8" s="40" t="n">
        <v>40254.11</v>
      </c>
      <c r="I8" s="25">
        <f>IF(OR(G8="",H8=""),"",G8-H8)</f>
        <v>520.889999999999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45380</v>
      </c>
      <c r="H9" s="40" t="n">
        <v>40120.27</v>
      </c>
      <c r="I9" s="25">
        <f>IF(OR(G9="",H9=""),"",G9-H9)</f>
        <v>5259.73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47240</v>
      </c>
      <c r="H10" s="40" t="n">
        <v>41702.87</v>
      </c>
      <c r="I10" s="25">
        <f>IF(OR(G10="",H10=""),"",G10-H10)</f>
        <v>5537.13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44471</v>
      </c>
      <c r="H11" s="40" t="n">
        <v>46321.61</v>
      </c>
      <c r="I11" s="25">
        <f>IF(OR(G11="",H11=""),"",G11-H11)</f>
        <v>-1850.61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55841</v>
      </c>
      <c r="H12" s="40" t="n">
        <v>40868.6</v>
      </c>
      <c r="I12" s="25">
        <f>IF(OR(G12="",H12=""),"",G12-H12)</f>
        <v>14972.4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20710</v>
      </c>
      <c r="H13" s="40" t="n">
        <v>13630</v>
      </c>
      <c r="I13" s="25">
        <f>IF(OR(G13="",H13=""),"",G13-H13)</f>
        <v>7080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ROW()-4=INDIRECT("Config!$B$8")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2026-09-19T15:22:47Z</dcterms:created>
  <dcterms:modified xmlns:dcterms="http://purl.org/dc/terms/" xmlns:xsi="http://www.w3.org/2001/XMLSchema-instance" xsi:type="dcterms:W3CDTF">2026-09-19T15:22:47Z</dcterms:modified>
</cp:coreProperties>
</file>