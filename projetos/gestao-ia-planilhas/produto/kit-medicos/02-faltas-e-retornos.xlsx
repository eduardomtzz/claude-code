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Agenda" sheetId="4" state="visible" r:id="rId4"/>
  </sheets>
  <definedNames>
    <definedName name="_xlnm._FilterDatabase" localSheetId="3" hidden="1">'Agenda'!$A$4:$T$1204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hh:mm"/>
    <numFmt numFmtId="166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9"/>
    </font>
    <font>
      <name val="Arial"/>
      <b val="1"/>
      <color rgb="003B1F5E"/>
      <sz val="13"/>
    </font>
    <font>
      <name val="Arial"/>
      <color rgb="00C0392B"/>
      <sz val="10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BE4E4"/>
      </patternFill>
    </fill>
    <fill>
      <patternFill patternType="solid">
        <fgColor rgb="00DDF3E7"/>
      </patternFill>
    </fill>
    <fill>
      <patternFill patternType="solid">
        <fgColor rgb="00F3EEFB"/>
      </patternFill>
    </fill>
    <fill>
      <patternFill patternType="solid">
        <fgColor rgb="00FFC83D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vertical="top"/>
    </xf>
    <xf numFmtId="0" fontId="18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12" fillId="6" borderId="0" applyAlignment="1" pivotButton="0" quotePrefix="0" xfId="0">
      <alignment horizontal="center"/>
    </xf>
    <xf numFmtId="0" fontId="0" fillId="6" borderId="0" pivotButton="0" quotePrefix="0" xfId="0"/>
    <xf numFmtId="0" fontId="12" fillId="7" borderId="0" applyAlignment="1" pivotButton="0" quotePrefix="0" xfId="0">
      <alignment horizontal="center"/>
    </xf>
    <xf numFmtId="0" fontId="0" fillId="7" borderId="0" pivotButton="0" quotePrefix="0" xfId="0"/>
    <xf numFmtId="166" fontId="9" fillId="4" borderId="0" applyAlignment="1" pivotButton="0" quotePrefix="0" xfId="0">
      <alignment horizontal="center"/>
    </xf>
    <xf numFmtId="1" fontId="9" fillId="4" borderId="0" applyAlignment="1" pivotButton="0" quotePrefix="0" xfId="0">
      <alignment horizontal="center"/>
    </xf>
    <xf numFmtId="1" fontId="11" fillId="5" borderId="0" applyAlignment="1" pivotButton="0" quotePrefix="0" xfId="0">
      <alignment horizontal="center"/>
    </xf>
    <xf numFmtId="1" fontId="1" fillId="6" borderId="0" applyAlignment="1" pivotButton="0" quotePrefix="0" xfId="0">
      <alignment horizontal="center"/>
    </xf>
    <xf numFmtId="1" fontId="1" fillId="7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left" vertical="top"/>
    </xf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14" fillId="0" borderId="1" pivotButton="0" quotePrefix="0" xfId="0"/>
    <xf numFmtId="0" fontId="5" fillId="0" borderId="0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center"/>
    </xf>
    <xf numFmtId="0" fontId="5" fillId="0" borderId="0" pivotButton="0" quotePrefix="0" xfId="0"/>
    <xf numFmtId="1" fontId="4" fillId="0" borderId="1" applyAlignment="1" pivotButton="0" quotePrefix="0" xfId="0">
      <alignment horizontal="center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0" fontId="4" fillId="0" borderId="0" pivotButton="0" quotePrefix="0" xfId="0"/>
    <xf numFmtId="164" fontId="4" fillId="2" borderId="1" applyProtection="1" pivotButton="0" quotePrefix="0" xfId="0">
      <protection locked="0" hidden="0"/>
    </xf>
    <xf numFmtId="164" fontId="4" fillId="2" borderId="1" applyAlignment="1" applyProtection="1" pivotButton="0" quotePrefix="0" xfId="0">
      <alignment horizontal="center"/>
      <protection locked="0" hidden="0"/>
    </xf>
    <xf numFmtId="165" fontId="4" fillId="2" borderId="1" applyAlignment="1" applyProtection="1" pivotButton="0" quotePrefix="0" xfId="0">
      <alignment horizontal="center"/>
      <protection locked="0" hidden="0"/>
    </xf>
    <xf numFmtId="0" fontId="7" fillId="0" borderId="0" pivotButton="0" quotePrefix="0" xfId="0"/>
  </cellXfs>
  <cellStyles count="1">
    <cellStyle name="Normal" xfId="0" builtinId="0" hidden="0"/>
  </cellStyles>
  <dxfs count="5">
    <dxf>
      <font>
        <name val="Arial"/>
        <b val="1"/>
        <color rgb="00C8402E"/>
        <sz val="10"/>
      </font>
    </dxf>
    <dxf>
      <fill>
        <patternFill patternType="solid">
          <fgColor rgb="00FFC83D"/>
        </patternFill>
      </fill>
    </dxf>
    <dxf>
      <fill>
        <patternFill patternType="solid">
          <fgColor rgb="00FFF4CC"/>
        </patternFill>
      </fill>
    </dxf>
    <dxf>
      <font>
        <name val="Arial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8A86A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Taxa de falta por dia da semana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'Painel'!D10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'Painel'!$A$11:$A$15</f>
            </numRef>
          </cat>
          <val>
            <numRef>
              <f>'Painel'!$D$11:$D$15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8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Faltas, remarcações e lista de retorno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Mede por que a agenda esvazia: taxa de falta por dia da semana, período, pagador e profissional, a série das últimas 8 semanas, quem faltou mais de uma vez no mês e a lista de retorno (pacientes que passaram do retorno previsto e não têm horário marcado).</t>
        </is>
      </c>
    </row>
    <row r="5" ht="46" customHeight="1">
      <c r="A5" s="3" t="inlineStr">
        <is>
          <t>Passo 1</t>
        </is>
      </c>
      <c r="B5" s="4" t="inlineStr">
        <is>
          <t>Em Config, confira as listas (iguais às da planilha 01) e, para cada procedimento, em quantos dias se espera o retorno. A data de referência fica em =HOJE().</t>
        </is>
      </c>
    </row>
    <row r="6" ht="46" customHeight="1">
      <c r="A6" s="3" t="inlineStr">
        <is>
          <t>Passo 2</t>
        </is>
      </c>
      <c r="B6" s="4" t="inlineStr">
        <is>
          <t>Em Agenda, cole as colunas A a K da Agenda da planilha 01 (a 01 é a fonte; não digite aqui uma agenda diferente). Toda sexta, cole de novo a agenda atualizada.</t>
        </is>
      </c>
    </row>
    <row r="7" ht="46" customHeight="1">
      <c r="A7" s="3" t="inlineStr">
        <is>
          <t>Passo 3</t>
        </is>
      </c>
      <c r="B7" s="4" t="inlineStr">
        <is>
          <t>Em Painel, escolha o mês em Config. Leia de cima para baixo: taxa de falta, onde ela é maior, a tendência semanal, a lista de retorno e os reincidentes.</t>
        </is>
      </c>
    </row>
    <row r="8" ht="46" customHeight="1">
      <c r="A8" s="3" t="inlineStr">
        <is>
          <t>Rotina de segunda</t>
        </is>
      </c>
      <c r="B8" s="4" t="inlineStr">
        <is>
          <t>10 minutos: a recepção liga ou manda mensagem para a lista de retorno (os 25 primeiros) e oferece as vagas dos próximos 7 dias (Painel da 01). Marque o retorno na 01: o paciente sai da lista sozinho.</t>
        </is>
      </c>
    </row>
    <row r="9" ht="46" customHeight="1">
      <c r="A9" s="3" t="inlineStr">
        <is>
          <t>Ligação com as outras planilhas</t>
        </is>
      </c>
      <c r="B9" s="4" t="inlineStr">
        <is>
          <t>O Painel da clínica (17) copia a taxa de falta do mês e o tamanho da lista de retorno daqui. As metas do trimestre (19) acompanham os dois.</t>
        </is>
      </c>
    </row>
    <row r="10" ht="46" customHeight="1">
      <c r="A10" s="3" t="inlineStr">
        <is>
          <t>Com a IA</t>
        </is>
      </c>
      <c r="B10" s="4" t="inlineStr">
        <is>
          <t>Copie "Por dia da semana" e "Por pagador" e use o prompt "Agenda 02 · Reduzir faltas sem brigar com o paciente" da biblioteca do kit; para a lista de retorno, "Agenda 03 · Mensagem de retorno educada" (sem nomes: a IA não precisa deles).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Dados de pacientes</t>
        </is>
      </c>
      <c r="B14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 e gráficos funcionam.</t>
        </is>
      </c>
    </row>
    <row r="16" ht="46" customHeight="1">
      <c r="A16" s="3" t="inlineStr">
        <is>
          <t>Exemplos</t>
        </is>
      </c>
      <c r="B16" s="4" t="inlineStr">
        <is>
          <t>Clínica Vida Plena é uma clínica fictícia. Pacientes, convênios, nomes, contatos e valores são inventados; não há nenhum dado clínico. Apague o exemplo antes de começar. Agenda futura e vencimentos em aberto do exemplo são relativos a hoje.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5" t="str">
        <f>Config!$B$4&amp;" · Faltas, remarcações e lista de retorno · "&amp;Config!$B$6&amp;" de "&amp;Config!$B$5</f>
        <v>Clínica Vida Plena (exemplo fictício) · Faltas, remarcações e lista de retorno · Setembro de 2026</v>
      </c>
    </row>
    <row r="2">
      <c r="A2" s="6" t="inlineStr">
        <is>
          <t>Nada para digitar aqui. Escolha o mês em Config; tudo vem de Agenda. Taxa de falta = faltas ÷ (faltas + realizados).</t>
        </is>
      </c>
    </row>
    <row r="3"/>
    <row r="4">
      <c r="A4" s="7" t="inlineStr">
        <is>
          <t>Taxa de falta no mês</t>
        </is>
      </c>
      <c r="B4" s="8" t="n"/>
      <c r="C4" s="7" t="inlineStr">
        <is>
          <t>Faltas</t>
        </is>
      </c>
      <c r="D4" s="8" t="n"/>
      <c r="E4" s="9" t="inlineStr">
        <is>
          <t>Realizados</t>
        </is>
      </c>
      <c r="F4" s="10" t="n"/>
      <c r="G4" s="11" t="inlineStr">
        <is>
          <t>Cancelamentos</t>
        </is>
      </c>
      <c r="H4" s="12" t="n"/>
      <c r="I4" s="11" t="inlineStr">
        <is>
          <t>Remarcações</t>
        </is>
      </c>
      <c r="J4" s="12" t="n"/>
      <c r="K4" s="13" t="inlineStr">
        <is>
          <t>Na lista de retorno</t>
        </is>
      </c>
      <c r="L4" s="14" t="n"/>
    </row>
    <row r="5" ht="30" customHeight="1">
      <c r="A5" s="15">
        <f>IF(C5+E5=0,"",C5/(C5+E5))</f>
        <v>0.0530973451327434</v>
      </c>
      <c r="B5" s="8" t="n"/>
      <c r="C5" s="16">
        <f>COUNTIFS(Agenda!$H$5:$H$1204,"Falta",Agenda!$L$5:$L$1204,Config!$B$7,Agenda!$M$5:$M$1204,Config!$B$5)</f>
        <v>6</v>
      </c>
      <c r="D5" s="8" t="n"/>
      <c r="E5" s="17">
        <f>COUNTIFS(Agenda!$H$5:$H$1204,"Realizado",Agenda!$L$5:$L$1204,Config!$B$7,Agenda!$M$5:$M$1204,Config!$B$5)</f>
        <v>107</v>
      </c>
      <c r="F5" s="10" t="n"/>
      <c r="G5" s="18">
        <f>COUNTIFS(Agenda!$H$5:$H$1204,"Cancelado",Agenda!$L$5:$L$1204,Config!$B$7,Agenda!$M$5:$M$1204,Config!$B$5)</f>
        <v>3</v>
      </c>
      <c r="H5" s="12" t="n"/>
      <c r="I5" s="18">
        <f>COUNTIFS(Agenda!$H$5:$H$1204,"Remarcado",Agenda!$L$5:$L$1204,Config!$B$7,Agenda!$M$5:$M$1204,Config!$B$5)</f>
        <v>0</v>
      </c>
      <c r="J5" s="12" t="n"/>
      <c r="K5" s="19">
        <f>COUNTIF(Agenda!$T$5:$T$1204,"Sim")</f>
        <v>7</v>
      </c>
      <c r="L5" s="14" t="n"/>
    </row>
    <row r="6"/>
    <row r="7" ht="30" customHeight="1">
      <c r="A7" s="20" t="inlineStr">
        <is>
          <t>Cancelamento = o paciente avisou; remarcação = pediu outra data (o novo horário é outra linha). Falta = não veio e não avisou: é a que custa, porque o horário já não pode ser oferecido a ninguém. A lista de retorno vale para hoje, não só para o mês.</t>
        </is>
      </c>
    </row>
    <row r="8"/>
    <row r="9">
      <c r="A9" s="21" t="inlineStr">
        <is>
          <t>Por dia da semana</t>
        </is>
      </c>
    </row>
    <row r="10" ht="26" customHeight="1">
      <c r="A10" s="22" t="inlineStr">
        <is>
          <t>Dia da semana</t>
        </is>
      </c>
      <c r="B10" s="22" t="inlineStr">
        <is>
          <t>Realizados</t>
        </is>
      </c>
      <c r="C10" s="22" t="inlineStr">
        <is>
          <t>Faltas</t>
        </is>
      </c>
      <c r="D10" s="22" t="inlineStr">
        <is>
          <t>Taxa de falta</t>
        </is>
      </c>
      <c r="E10" s="22" t="inlineStr">
        <is>
          <t>Cancelamentos</t>
        </is>
      </c>
      <c r="F10" s="22" t="inlineStr">
        <is>
          <t>Remarcações</t>
        </is>
      </c>
      <c r="G10" s="22" t="inlineStr">
        <is>
          <t>Barra</t>
        </is>
      </c>
      <c r="H10" s="23" t="n"/>
      <c r="I10" s="24" t="n"/>
    </row>
    <row r="11">
      <c r="A11" s="25" t="inlineStr">
        <is>
          <t>Segunda</t>
        </is>
      </c>
      <c r="B11" s="26">
        <f>IF(A11="","",COUNTIFS(Agenda!$N$5:$N$1204,A11,Agenda!$H$5:$H$1204,"Realizado",Agenda!$L$5:$L$1204,Config!$B$7,Agenda!$M$5:$M$1204,Config!$B$5))</f>
        <v>0</v>
      </c>
      <c r="C11" s="26">
        <f>IF(A11="","",COUNTIFS(Agenda!$N$5:$N$1204,A11,Agenda!$H$5:$H$1204,"Falta",Agenda!$L$5:$L$1204,Config!$B$7,Agenda!$M$5:$M$1204,Config!$B$5))</f>
        <v>0</v>
      </c>
      <c r="D11" s="27">
        <f>IF(A11="","",IF(B11+C11=0,"",C11/(B11+C11)))</f>
        <v/>
      </c>
      <c r="E11" s="26">
        <f>IF(A11="","",COUNTIFS(Agenda!$N$5:$N$1204,A11,Agenda!$H$5:$H$1204,"Cancelado",Agenda!$L$5:$L$1204,Config!$B$7,Agenda!$M$5:$M$1204,Config!$B$5))</f>
        <v>0</v>
      </c>
      <c r="F11" s="26">
        <f>IF(A11="","",COUNTIFS(Agenda!$N$5:$N$1204,A11,Agenda!$H$5:$H$1204,"Remarcado",Agenda!$L$5:$L$1204,Config!$B$7,Agenda!$M$5:$M$1204,Config!$B$5))</f>
        <v>0</v>
      </c>
      <c r="G11" s="28">
        <f>IF(D11="","",REPT("█",ROUND(MIN(1,D11/0.25)*24,0)))</f>
        <v/>
      </c>
      <c r="H11" s="23" t="n"/>
      <c r="I11" s="24" t="n"/>
    </row>
    <row r="12">
      <c r="A12" s="25" t="inlineStr">
        <is>
          <t>Terça</t>
        </is>
      </c>
      <c r="B12" s="26">
        <f>IF(A12="","",COUNTIFS(Agenda!$N$5:$N$1204,A12,Agenda!$H$5:$H$1204,"Realizado",Agenda!$L$5:$L$1204,Config!$B$7,Agenda!$M$5:$M$1204,Config!$B$5))</f>
        <v>41</v>
      </c>
      <c r="C12" s="26">
        <f>IF(A12="","",COUNTIFS(Agenda!$N$5:$N$1204,A12,Agenda!$H$5:$H$1204,"Falta",Agenda!$L$5:$L$1204,Config!$B$7,Agenda!$M$5:$M$1204,Config!$B$5))</f>
        <v>2</v>
      </c>
      <c r="D12" s="27">
        <f>IF(A12="","",IF(B12+C12=0,"",C12/(B12+C12)))</f>
        <v>0.0465116279069767</v>
      </c>
      <c r="E12" s="26">
        <f>IF(A12="","",COUNTIFS(Agenda!$N$5:$N$1204,A12,Agenda!$H$5:$H$1204,"Cancelado",Agenda!$L$5:$L$1204,Config!$B$7,Agenda!$M$5:$M$1204,Config!$B$5))</f>
        <v>2</v>
      </c>
      <c r="F12" s="26">
        <f>IF(A12="","",COUNTIFS(Agenda!$N$5:$N$1204,A12,Agenda!$H$5:$H$1204,"Remarcado",Agenda!$L$5:$L$1204,Config!$B$7,Agenda!$M$5:$M$1204,Config!$B$5))</f>
        <v>0</v>
      </c>
      <c r="G12" s="28" t="str">
        <f>IF(D12="","",REPT("█",ROUND(MIN(1,D12/0.25)*24,0)))</f>
        <v>████</v>
      </c>
      <c r="H12" s="23" t="n"/>
      <c r="I12" s="24" t="n"/>
    </row>
    <row r="13">
      <c r="A13" s="25" t="inlineStr">
        <is>
          <t>Quarta</t>
        </is>
      </c>
      <c r="B13" s="26">
        <f>IF(A13="","",COUNTIFS(Agenda!$N$5:$N$1204,A13,Agenda!$H$5:$H$1204,"Realizado",Agenda!$L$5:$L$1204,Config!$B$7,Agenda!$M$5:$M$1204,Config!$B$5))</f>
        <v>17</v>
      </c>
      <c r="C13" s="26">
        <f>IF(A13="","",COUNTIFS(Agenda!$N$5:$N$1204,A13,Agenda!$H$5:$H$1204,"Falta",Agenda!$L$5:$L$1204,Config!$B$7,Agenda!$M$5:$M$1204,Config!$B$5))</f>
        <v>0</v>
      </c>
      <c r="D13" s="27">
        <f>IF(A13="","",IF(B13+C13=0,"",C13/(B13+C13)))</f>
        <v>0</v>
      </c>
      <c r="E13" s="26">
        <f>IF(A13="","",COUNTIFS(Agenda!$N$5:$N$1204,A13,Agenda!$H$5:$H$1204,"Cancelado",Agenda!$L$5:$L$1204,Config!$B$7,Agenda!$M$5:$M$1204,Config!$B$5))</f>
        <v>0</v>
      </c>
      <c r="F13" s="26">
        <f>IF(A13="","",COUNTIFS(Agenda!$N$5:$N$1204,A13,Agenda!$H$5:$H$1204,"Remarcado",Agenda!$L$5:$L$1204,Config!$B$7,Agenda!$M$5:$M$1204,Config!$B$5))</f>
        <v>0</v>
      </c>
      <c r="G13" s="28">
        <f>IF(D13="","",REPT("█",ROUND(MIN(1,D13/0.25)*24,0)))</f>
        <v/>
      </c>
      <c r="H13" s="23" t="n"/>
      <c r="I13" s="24" t="n"/>
    </row>
    <row r="14">
      <c r="A14" s="25" t="inlineStr">
        <is>
          <t>Quinta</t>
        </is>
      </c>
      <c r="B14" s="26">
        <f>IF(A14="","",COUNTIFS(Agenda!$N$5:$N$1204,A14,Agenda!$H$5:$H$1204,"Realizado",Agenda!$L$5:$L$1204,Config!$B$7,Agenda!$M$5:$M$1204,Config!$B$5))</f>
        <v>38</v>
      </c>
      <c r="C14" s="26">
        <f>IF(A14="","",COUNTIFS(Agenda!$N$5:$N$1204,A14,Agenda!$H$5:$H$1204,"Falta",Agenda!$L$5:$L$1204,Config!$B$7,Agenda!$M$5:$M$1204,Config!$B$5))</f>
        <v>2</v>
      </c>
      <c r="D14" s="27">
        <f>IF(A14="","",IF(B14+C14=0,"",C14/(B14+C14)))</f>
        <v>0.05</v>
      </c>
      <c r="E14" s="26">
        <f>IF(A14="","",COUNTIFS(Agenda!$N$5:$N$1204,A14,Agenda!$H$5:$H$1204,"Cancelado",Agenda!$L$5:$L$1204,Config!$B$7,Agenda!$M$5:$M$1204,Config!$B$5))</f>
        <v>0</v>
      </c>
      <c r="F14" s="26">
        <f>IF(A14="","",COUNTIFS(Agenda!$N$5:$N$1204,A14,Agenda!$H$5:$H$1204,"Remarcado",Agenda!$L$5:$L$1204,Config!$B$7,Agenda!$M$5:$M$1204,Config!$B$5))</f>
        <v>0</v>
      </c>
      <c r="G14" s="28" t="str">
        <f>IF(D14="","",REPT("█",ROUND(MIN(1,D14/0.25)*24,0)))</f>
        <v>█████</v>
      </c>
      <c r="H14" s="23" t="n"/>
      <c r="I14" s="24" t="n"/>
    </row>
    <row r="15">
      <c r="A15" s="25" t="inlineStr">
        <is>
          <t>Sexta</t>
        </is>
      </c>
      <c r="B15" s="26">
        <f>IF(A15="","",COUNTIFS(Agenda!$N$5:$N$1204,A15,Agenda!$H$5:$H$1204,"Realizado",Agenda!$L$5:$L$1204,Config!$B$7,Agenda!$M$5:$M$1204,Config!$B$5))</f>
        <v>11</v>
      </c>
      <c r="C15" s="26">
        <f>IF(A15="","",COUNTIFS(Agenda!$N$5:$N$1204,A15,Agenda!$H$5:$H$1204,"Falta",Agenda!$L$5:$L$1204,Config!$B$7,Agenda!$M$5:$M$1204,Config!$B$5))</f>
        <v>2</v>
      </c>
      <c r="D15" s="27">
        <f>IF(A15="","",IF(B15+C15=0,"",C15/(B15+C15)))</f>
        <v>0.153846153846154</v>
      </c>
      <c r="E15" s="26">
        <f>IF(A15="","",COUNTIFS(Agenda!$N$5:$N$1204,A15,Agenda!$H$5:$H$1204,"Cancelado",Agenda!$L$5:$L$1204,Config!$B$7,Agenda!$M$5:$M$1204,Config!$B$5))</f>
        <v>1</v>
      </c>
      <c r="F15" s="26">
        <f>IF(A15="","",COUNTIFS(Agenda!$N$5:$N$1204,A15,Agenda!$H$5:$H$1204,"Remarcado",Agenda!$L$5:$L$1204,Config!$B$7,Agenda!$M$5:$M$1204,Config!$B$5))</f>
        <v>0</v>
      </c>
      <c r="G15" s="28" t="str">
        <f>IF(D15="","",REPT("█",ROUND(MIN(1,D15/0.25)*24,0)))</f>
        <v>███████████████</v>
      </c>
      <c r="H15" s="23" t="n"/>
      <c r="I15" s="24" t="n"/>
    </row>
    <row r="16">
      <c r="A16" s="25" t="inlineStr">
        <is>
          <t>Sábado</t>
        </is>
      </c>
      <c r="B16" s="26">
        <f>IF(A16="","",COUNTIFS(Agenda!$N$5:$N$1204,A16,Agenda!$H$5:$H$1204,"Realizado",Agenda!$L$5:$L$1204,Config!$B$7,Agenda!$M$5:$M$1204,Config!$B$5))</f>
        <v>0</v>
      </c>
      <c r="C16" s="26">
        <f>IF(A16="","",COUNTIFS(Agenda!$N$5:$N$1204,A16,Agenda!$H$5:$H$1204,"Falta",Agenda!$L$5:$L$1204,Config!$B$7,Agenda!$M$5:$M$1204,Config!$B$5))</f>
        <v>0</v>
      </c>
      <c r="D16" s="27">
        <f>IF(A16="","",IF(B16+C16=0,"",C16/(B16+C16)))</f>
        <v/>
      </c>
      <c r="E16" s="26">
        <f>IF(A16="","",COUNTIFS(Agenda!$N$5:$N$1204,A16,Agenda!$H$5:$H$1204,"Cancelado",Agenda!$L$5:$L$1204,Config!$B$7,Agenda!$M$5:$M$1204,Config!$B$5))</f>
        <v>0</v>
      </c>
      <c r="F16" s="26">
        <f>IF(A16="","",COUNTIFS(Agenda!$N$5:$N$1204,A16,Agenda!$H$5:$H$1204,"Remarcado",Agenda!$L$5:$L$1204,Config!$B$7,Agenda!$M$5:$M$1204,Config!$B$5))</f>
        <v>0</v>
      </c>
      <c r="G16" s="28">
        <f>IF(D16="","",REPT("█",ROUND(MIN(1,D16/0.25)*24,0)))</f>
        <v/>
      </c>
      <c r="H16" s="23" t="n"/>
      <c r="I16" s="24" t="n"/>
    </row>
    <row r="17"/>
    <row r="18">
      <c r="A18" s="21" t="inlineStr">
        <is>
          <t>Por período</t>
        </is>
      </c>
    </row>
    <row r="19" ht="26" customHeight="1">
      <c r="A19" s="22" t="inlineStr">
        <is>
          <t>Período</t>
        </is>
      </c>
      <c r="B19" s="22" t="inlineStr">
        <is>
          <t>Realizados</t>
        </is>
      </c>
      <c r="C19" s="22" t="inlineStr">
        <is>
          <t>Faltas</t>
        </is>
      </c>
      <c r="D19" s="22" t="inlineStr">
        <is>
          <t>Taxa de falta</t>
        </is>
      </c>
      <c r="E19" s="22" t="inlineStr">
        <is>
          <t>Cancelamentos</t>
        </is>
      </c>
      <c r="F19" s="22" t="inlineStr">
        <is>
          <t>Remarcações</t>
        </is>
      </c>
      <c r="G19" s="22" t="inlineStr">
        <is>
          <t>Barra</t>
        </is>
      </c>
      <c r="H19" s="23" t="n"/>
      <c r="I19" s="24" t="n"/>
    </row>
    <row r="20">
      <c r="A20" s="25" t="inlineStr">
        <is>
          <t>Manhã</t>
        </is>
      </c>
      <c r="B20" s="26">
        <f>IF(A20="","",COUNTIFS(Agenda!$O$5:$O$1204,A20,Agenda!$H$5:$H$1204,"Realizado",Agenda!$L$5:$L$1204,Config!$B$7,Agenda!$M$5:$M$1204,Config!$B$5))</f>
        <v>41</v>
      </c>
      <c r="C20" s="26">
        <f>IF(A20="","",COUNTIFS(Agenda!$O$5:$O$1204,A20,Agenda!$H$5:$H$1204,"Falta",Agenda!$L$5:$L$1204,Config!$B$7,Agenda!$M$5:$M$1204,Config!$B$5))</f>
        <v>3</v>
      </c>
      <c r="D20" s="27">
        <f>IF(A20="","",IF(B20+C20=0,"",C20/(B20+C20)))</f>
        <v>0.0681818181818182</v>
      </c>
      <c r="E20" s="26">
        <f>IF(A20="","",COUNTIFS(Agenda!$O$5:$O$1204,A20,Agenda!$H$5:$H$1204,"Cancelado",Agenda!$L$5:$L$1204,Config!$B$7,Agenda!$M$5:$M$1204,Config!$B$5))</f>
        <v>2</v>
      </c>
      <c r="F20" s="26">
        <f>IF(A20="","",COUNTIFS(Agenda!$O$5:$O$1204,A20,Agenda!$H$5:$H$1204,"Remarcado",Agenda!$L$5:$L$1204,Config!$B$7,Agenda!$M$5:$M$1204,Config!$B$5))</f>
        <v>0</v>
      </c>
      <c r="G20" s="28" t="str">
        <f>IF(D20="","",REPT("█",ROUND(MIN(1,D20/0.25)*24,0)))</f>
        <v>███████</v>
      </c>
      <c r="H20" s="23" t="n"/>
      <c r="I20" s="24" t="n"/>
    </row>
    <row r="21">
      <c r="A21" s="25" t="inlineStr">
        <is>
          <t>Tarde</t>
        </is>
      </c>
      <c r="B21" s="26">
        <f>IF(A21="","",COUNTIFS(Agenda!$O$5:$O$1204,A21,Agenda!$H$5:$H$1204,"Realizado",Agenda!$L$5:$L$1204,Config!$B$7,Agenda!$M$5:$M$1204,Config!$B$5))</f>
        <v>66</v>
      </c>
      <c r="C21" s="26">
        <f>IF(A21="","",COUNTIFS(Agenda!$O$5:$O$1204,A21,Agenda!$H$5:$H$1204,"Falta",Agenda!$L$5:$L$1204,Config!$B$7,Agenda!$M$5:$M$1204,Config!$B$5))</f>
        <v>3</v>
      </c>
      <c r="D21" s="27">
        <f>IF(A21="","",IF(B21+C21=0,"",C21/(B21+C21)))</f>
        <v>0.0434782608695652</v>
      </c>
      <c r="E21" s="26">
        <f>IF(A21="","",COUNTIFS(Agenda!$O$5:$O$1204,A21,Agenda!$H$5:$H$1204,"Cancelado",Agenda!$L$5:$L$1204,Config!$B$7,Agenda!$M$5:$M$1204,Config!$B$5))</f>
        <v>1</v>
      </c>
      <c r="F21" s="26">
        <f>IF(A21="","",COUNTIFS(Agenda!$O$5:$O$1204,A21,Agenda!$H$5:$H$1204,"Remarcado",Agenda!$L$5:$L$1204,Config!$B$7,Agenda!$M$5:$M$1204,Config!$B$5))</f>
        <v>0</v>
      </c>
      <c r="G21" s="28" t="str">
        <f>IF(D21="","",REPT("█",ROUND(MIN(1,D21/0.25)*24,0)))</f>
        <v>████</v>
      </c>
      <c r="H21" s="23" t="n"/>
      <c r="I21" s="24" t="n"/>
    </row>
    <row r="22">
      <c r="A22" s="25" t="inlineStr">
        <is>
          <t>Noite</t>
        </is>
      </c>
      <c r="B22" s="26">
        <f>IF(A22="","",COUNTIFS(Agenda!$O$5:$O$1204,A22,Agenda!$H$5:$H$1204,"Realizado",Agenda!$L$5:$L$1204,Config!$B$7,Agenda!$M$5:$M$1204,Config!$B$5))</f>
        <v>0</v>
      </c>
      <c r="C22" s="26">
        <f>IF(A22="","",COUNTIFS(Agenda!$O$5:$O$1204,A22,Agenda!$H$5:$H$1204,"Falta",Agenda!$L$5:$L$1204,Config!$B$7,Agenda!$M$5:$M$1204,Config!$B$5))</f>
        <v>0</v>
      </c>
      <c r="D22" s="27">
        <f>IF(A22="","",IF(B22+C22=0,"",C22/(B22+C22)))</f>
        <v/>
      </c>
      <c r="E22" s="26">
        <f>IF(A22="","",COUNTIFS(Agenda!$O$5:$O$1204,A22,Agenda!$H$5:$H$1204,"Cancelado",Agenda!$L$5:$L$1204,Config!$B$7,Agenda!$M$5:$M$1204,Config!$B$5))</f>
        <v>0</v>
      </c>
      <c r="F22" s="26">
        <f>IF(A22="","",COUNTIFS(Agenda!$O$5:$O$1204,A22,Agenda!$H$5:$H$1204,"Remarcado",Agenda!$L$5:$L$1204,Config!$B$7,Agenda!$M$5:$M$1204,Config!$B$5))</f>
        <v>0</v>
      </c>
      <c r="G22" s="28">
        <f>IF(D22="","",REPT("█",ROUND(MIN(1,D22/0.25)*24,0)))</f>
        <v/>
      </c>
      <c r="H22" s="23" t="n"/>
      <c r="I22" s="24" t="n"/>
    </row>
    <row r="23"/>
    <row r="24">
      <c r="A24" s="21" t="inlineStr">
        <is>
          <t>Por pagador</t>
        </is>
      </c>
    </row>
    <row r="25" ht="26" customHeight="1">
      <c r="A25" s="22" t="inlineStr">
        <is>
          <t>Pagador</t>
        </is>
      </c>
      <c r="B25" s="22" t="inlineStr">
        <is>
          <t>Realizados</t>
        </is>
      </c>
      <c r="C25" s="22" t="inlineStr">
        <is>
          <t>Faltas</t>
        </is>
      </c>
      <c r="D25" s="22" t="inlineStr">
        <is>
          <t>Taxa de falta</t>
        </is>
      </c>
      <c r="E25" s="22" t="inlineStr">
        <is>
          <t>Cancelamentos</t>
        </is>
      </c>
      <c r="F25" s="22" t="inlineStr">
        <is>
          <t>Remarcações</t>
        </is>
      </c>
      <c r="G25" s="22" t="inlineStr">
        <is>
          <t>Barra</t>
        </is>
      </c>
      <c r="H25" s="23" t="n"/>
      <c r="I25" s="24" t="n"/>
    </row>
    <row r="26">
      <c r="A26" s="25" t="str">
        <f>IF(Config!$F$5="","",Config!$F$5)</f>
        <v>Particular</v>
      </c>
      <c r="B26" s="26">
        <f>IF(A26="","",COUNTIFS(Agenda!$F$5:$F$1204,A26,Agenda!$H$5:$H$1204,"Realizado",Agenda!$L$5:$L$1204,Config!$B$7,Agenda!$M$5:$M$1204,Config!$B$5))</f>
        <v>55</v>
      </c>
      <c r="C26" s="26">
        <f>IF(A26="","",COUNTIFS(Agenda!$F$5:$F$1204,A26,Agenda!$H$5:$H$1204,"Falta",Agenda!$L$5:$L$1204,Config!$B$7,Agenda!$M$5:$M$1204,Config!$B$5))</f>
        <v>2</v>
      </c>
      <c r="D26" s="27">
        <f>IF(A26="","",IF(B26+C26=0,"",C26/(B26+C26)))</f>
        <v>0.0350877192982456</v>
      </c>
      <c r="E26" s="26">
        <f>IF(A26="","",COUNTIFS(Agenda!$F$5:$F$1204,A26,Agenda!$H$5:$H$1204,"Cancelado",Agenda!$L$5:$L$1204,Config!$B$7,Agenda!$M$5:$M$1204,Config!$B$5))</f>
        <v>1</v>
      </c>
      <c r="F26" s="26">
        <f>IF(A26="","",COUNTIFS(Agenda!$F$5:$F$1204,A26,Agenda!$H$5:$H$1204,"Remarcado",Agenda!$L$5:$L$1204,Config!$B$7,Agenda!$M$5:$M$1204,Config!$B$5))</f>
        <v>0</v>
      </c>
      <c r="G26" s="28" t="str">
        <f>IF(D26="","",REPT("█",ROUND(MIN(1,D26/0.25)*24,0)))</f>
        <v>███</v>
      </c>
      <c r="H26" s="23" t="n"/>
      <c r="I26" s="24" t="n"/>
    </row>
    <row r="27">
      <c r="A27" s="25" t="str">
        <f>IF(Config!$F$6="","",Config!$F$6)</f>
        <v>Saúde Total</v>
      </c>
      <c r="B27" s="26">
        <f>IF(A27="","",COUNTIFS(Agenda!$F$5:$F$1204,A27,Agenda!$H$5:$H$1204,"Realizado",Agenda!$L$5:$L$1204,Config!$B$7,Agenda!$M$5:$M$1204,Config!$B$5))</f>
        <v>26</v>
      </c>
      <c r="C27" s="26">
        <f>IF(A27="","",COUNTIFS(Agenda!$F$5:$F$1204,A27,Agenda!$H$5:$H$1204,"Falta",Agenda!$L$5:$L$1204,Config!$B$7,Agenda!$M$5:$M$1204,Config!$B$5))</f>
        <v>2</v>
      </c>
      <c r="D27" s="27">
        <f>IF(A27="","",IF(B27+C27=0,"",C27/(B27+C27)))</f>
        <v>0.0714285714285714</v>
      </c>
      <c r="E27" s="26">
        <f>IF(A27="","",COUNTIFS(Agenda!$F$5:$F$1204,A27,Agenda!$H$5:$H$1204,"Cancelado",Agenda!$L$5:$L$1204,Config!$B$7,Agenda!$M$5:$M$1204,Config!$B$5))</f>
        <v>0</v>
      </c>
      <c r="F27" s="26">
        <f>IF(A27="","",COUNTIFS(Agenda!$F$5:$F$1204,A27,Agenda!$H$5:$H$1204,"Remarcado",Agenda!$L$5:$L$1204,Config!$B$7,Agenda!$M$5:$M$1204,Config!$B$5))</f>
        <v>0</v>
      </c>
      <c r="G27" s="28" t="str">
        <f>IF(D27="","",REPT("█",ROUND(MIN(1,D27/0.25)*24,0)))</f>
        <v>███████</v>
      </c>
      <c r="H27" s="23" t="n"/>
      <c r="I27" s="24" t="n"/>
    </row>
    <row r="28">
      <c r="A28" s="25" t="str">
        <f>IF(Config!$F$7="","",Config!$F$7)</f>
        <v>MediPlan</v>
      </c>
      <c r="B28" s="26">
        <f>IF(A28="","",COUNTIFS(Agenda!$F$5:$F$1204,A28,Agenda!$H$5:$H$1204,"Realizado",Agenda!$L$5:$L$1204,Config!$B$7,Agenda!$M$5:$M$1204,Config!$B$5))</f>
        <v>19</v>
      </c>
      <c r="C28" s="26">
        <f>IF(A28="","",COUNTIFS(Agenda!$F$5:$F$1204,A28,Agenda!$H$5:$H$1204,"Falta",Agenda!$L$5:$L$1204,Config!$B$7,Agenda!$M$5:$M$1204,Config!$B$5))</f>
        <v>1</v>
      </c>
      <c r="D28" s="27">
        <f>IF(A28="","",IF(B28+C28=0,"",C28/(B28+C28)))</f>
        <v>0.05</v>
      </c>
      <c r="E28" s="26">
        <f>IF(A28="","",COUNTIFS(Agenda!$F$5:$F$1204,A28,Agenda!$H$5:$H$1204,"Cancelado",Agenda!$L$5:$L$1204,Config!$B$7,Agenda!$M$5:$M$1204,Config!$B$5))</f>
        <v>1</v>
      </c>
      <c r="F28" s="26">
        <f>IF(A28="","",COUNTIFS(Agenda!$F$5:$F$1204,A28,Agenda!$H$5:$H$1204,"Remarcado",Agenda!$L$5:$L$1204,Config!$B$7,Agenda!$M$5:$M$1204,Config!$B$5))</f>
        <v>0</v>
      </c>
      <c r="G28" s="28" t="str">
        <f>IF(D28="","",REPT("█",ROUND(MIN(1,D28/0.25)*24,0)))</f>
        <v>█████</v>
      </c>
      <c r="H28" s="23" t="n"/>
      <c r="I28" s="24" t="n"/>
    </row>
    <row r="29">
      <c r="A29" s="25" t="str">
        <f>IF(Config!$F$8="","",Config!$F$8)</f>
        <v>Vida Care</v>
      </c>
      <c r="B29" s="26">
        <f>IF(A29="","",COUNTIFS(Agenda!$F$5:$F$1204,A29,Agenda!$H$5:$H$1204,"Realizado",Agenda!$L$5:$L$1204,Config!$B$7,Agenda!$M$5:$M$1204,Config!$B$5))</f>
        <v>7</v>
      </c>
      <c r="C29" s="26">
        <f>IF(A29="","",COUNTIFS(Agenda!$F$5:$F$1204,A29,Agenda!$H$5:$H$1204,"Falta",Agenda!$L$5:$L$1204,Config!$B$7,Agenda!$M$5:$M$1204,Config!$B$5))</f>
        <v>1</v>
      </c>
      <c r="D29" s="27">
        <f>IF(A29="","",IF(B29+C29=0,"",C29/(B29+C29)))</f>
        <v>0.125</v>
      </c>
      <c r="E29" s="26">
        <f>IF(A29="","",COUNTIFS(Agenda!$F$5:$F$1204,A29,Agenda!$H$5:$H$1204,"Cancelado",Agenda!$L$5:$L$1204,Config!$B$7,Agenda!$M$5:$M$1204,Config!$B$5))</f>
        <v>1</v>
      </c>
      <c r="F29" s="26">
        <f>IF(A29="","",COUNTIFS(Agenda!$F$5:$F$1204,A29,Agenda!$H$5:$H$1204,"Remarcado",Agenda!$L$5:$L$1204,Config!$B$7,Agenda!$M$5:$M$1204,Config!$B$5))</f>
        <v>0</v>
      </c>
      <c r="G29" s="28" t="str">
        <f>IF(D29="","",REPT("█",ROUND(MIN(1,D29/0.25)*24,0)))</f>
        <v>████████████</v>
      </c>
      <c r="H29" s="23" t="n"/>
      <c r="I29" s="24" t="n"/>
    </row>
    <row r="30">
      <c r="A30" s="25">
        <f>IF(Config!$F$9="","",Config!$F$9)</f>
        <v/>
      </c>
      <c r="B30" s="26">
        <f>IF(A30="","",COUNTIFS(Agenda!$F$5:$F$1204,A30,Agenda!$H$5:$H$1204,"Realizado",Agenda!$L$5:$L$1204,Config!$B$7,Agenda!$M$5:$M$1204,Config!$B$5))</f>
        <v/>
      </c>
      <c r="C30" s="26">
        <f>IF(A30="","",COUNTIFS(Agenda!$F$5:$F$1204,A30,Agenda!$H$5:$H$1204,"Falta",Agenda!$L$5:$L$1204,Config!$B$7,Agenda!$M$5:$M$1204,Config!$B$5))</f>
        <v/>
      </c>
      <c r="D30" s="27">
        <f>IF(A30="","",IF(B30+C30=0,"",C30/(B30+C30)))</f>
        <v/>
      </c>
      <c r="E30" s="26">
        <f>IF(A30="","",COUNTIFS(Agenda!$F$5:$F$1204,A30,Agenda!$H$5:$H$1204,"Cancelado",Agenda!$L$5:$L$1204,Config!$B$7,Agenda!$M$5:$M$1204,Config!$B$5))</f>
        <v/>
      </c>
      <c r="F30" s="26">
        <f>IF(A30="","",COUNTIFS(Agenda!$F$5:$F$1204,A30,Agenda!$H$5:$H$1204,"Remarcado",Agenda!$L$5:$L$1204,Config!$B$7,Agenda!$M$5:$M$1204,Config!$B$5))</f>
        <v/>
      </c>
      <c r="G30" s="28">
        <f>IF(D30="","",REPT("█",ROUND(MIN(1,D30/0.25)*24,0)))</f>
        <v/>
      </c>
      <c r="H30" s="23" t="n"/>
      <c r="I30" s="24" t="n"/>
    </row>
    <row r="31">
      <c r="A31" s="25">
        <f>IF(Config!$F$10="","",Config!$F$10)</f>
        <v/>
      </c>
      <c r="B31" s="26">
        <f>IF(A31="","",COUNTIFS(Agenda!$F$5:$F$1204,A31,Agenda!$H$5:$H$1204,"Realizado",Agenda!$L$5:$L$1204,Config!$B$7,Agenda!$M$5:$M$1204,Config!$B$5))</f>
        <v/>
      </c>
      <c r="C31" s="26">
        <f>IF(A31="","",COUNTIFS(Agenda!$F$5:$F$1204,A31,Agenda!$H$5:$H$1204,"Falta",Agenda!$L$5:$L$1204,Config!$B$7,Agenda!$M$5:$M$1204,Config!$B$5))</f>
        <v/>
      </c>
      <c r="D31" s="27">
        <f>IF(A31="","",IF(B31+C31=0,"",C31/(B31+C31)))</f>
        <v/>
      </c>
      <c r="E31" s="26">
        <f>IF(A31="","",COUNTIFS(Agenda!$F$5:$F$1204,A31,Agenda!$H$5:$H$1204,"Cancelado",Agenda!$L$5:$L$1204,Config!$B$7,Agenda!$M$5:$M$1204,Config!$B$5))</f>
        <v/>
      </c>
      <c r="F31" s="26">
        <f>IF(A31="","",COUNTIFS(Agenda!$F$5:$F$1204,A31,Agenda!$H$5:$H$1204,"Remarcado",Agenda!$L$5:$L$1204,Config!$B$7,Agenda!$M$5:$M$1204,Config!$B$5))</f>
        <v/>
      </c>
      <c r="G31" s="28">
        <f>IF(D31="","",REPT("█",ROUND(MIN(1,D31/0.25)*24,0)))</f>
        <v/>
      </c>
      <c r="H31" s="23" t="n"/>
      <c r="I31" s="24" t="n"/>
    </row>
    <row r="32"/>
    <row r="33">
      <c r="A33" s="21" t="inlineStr">
        <is>
          <t>Por profissional</t>
        </is>
      </c>
    </row>
    <row r="34" ht="26" customHeight="1">
      <c r="A34" s="22" t="inlineStr">
        <is>
          <t>Profissional</t>
        </is>
      </c>
      <c r="B34" s="22" t="inlineStr">
        <is>
          <t>Realizados</t>
        </is>
      </c>
      <c r="C34" s="22" t="inlineStr">
        <is>
          <t>Faltas</t>
        </is>
      </c>
      <c r="D34" s="22" t="inlineStr">
        <is>
          <t>Taxa de falta</t>
        </is>
      </c>
      <c r="E34" s="22" t="inlineStr">
        <is>
          <t>Cancelamentos</t>
        </is>
      </c>
      <c r="F34" s="22" t="inlineStr">
        <is>
          <t>Remarcações</t>
        </is>
      </c>
      <c r="G34" s="22" t="inlineStr">
        <is>
          <t>Barra</t>
        </is>
      </c>
      <c r="H34" s="23" t="n"/>
      <c r="I34" s="24" t="n"/>
    </row>
    <row r="35">
      <c r="A35" s="25" t="str">
        <f>IF(Config!$D$5="","",Config!$D$5)</f>
        <v>Dra. Carolina Mendes</v>
      </c>
      <c r="B35" s="26">
        <f>IF(A35="","",COUNTIFS(Agenda!$C$5:$C$1204,A35,Agenda!$H$5:$H$1204,"Realizado",Agenda!$L$5:$L$1204,Config!$B$7,Agenda!$M$5:$M$1204,Config!$B$5))</f>
        <v>47</v>
      </c>
      <c r="C35" s="26">
        <f>IF(A35="","",COUNTIFS(Agenda!$C$5:$C$1204,A35,Agenda!$H$5:$H$1204,"Falta",Agenda!$L$5:$L$1204,Config!$B$7,Agenda!$M$5:$M$1204,Config!$B$5))</f>
        <v>1</v>
      </c>
      <c r="D35" s="27">
        <f>IF(A35="","",IF(B35+C35=0,"",C35/(B35+C35)))</f>
        <v>0.0208333333333333</v>
      </c>
      <c r="E35" s="26">
        <f>IF(A35="","",COUNTIFS(Agenda!$C$5:$C$1204,A35,Agenda!$H$5:$H$1204,"Cancelado",Agenda!$L$5:$L$1204,Config!$B$7,Agenda!$M$5:$M$1204,Config!$B$5))</f>
        <v>1</v>
      </c>
      <c r="F35" s="26">
        <f>IF(A35="","",COUNTIFS(Agenda!$C$5:$C$1204,A35,Agenda!$H$5:$H$1204,"Remarcado",Agenda!$L$5:$L$1204,Config!$B$7,Agenda!$M$5:$M$1204,Config!$B$5))</f>
        <v>0</v>
      </c>
      <c r="G35" s="28" t="str">
        <f>IF(D35="","",REPT("█",ROUND(MIN(1,D35/0.25)*24,0)))</f>
        <v>██</v>
      </c>
      <c r="H35" s="23" t="n"/>
      <c r="I35" s="24" t="n"/>
    </row>
    <row r="36">
      <c r="A36" s="25" t="str">
        <f>IF(Config!$D$6="","",Config!$D$6)</f>
        <v>Dr. Paulo Andrade</v>
      </c>
      <c r="B36" s="26">
        <f>IF(A36="","",COUNTIFS(Agenda!$C$5:$C$1204,A36,Agenda!$H$5:$H$1204,"Realizado",Agenda!$L$5:$L$1204,Config!$B$7,Agenda!$M$5:$M$1204,Config!$B$5))</f>
        <v>36</v>
      </c>
      <c r="C36" s="26">
        <f>IF(A36="","",COUNTIFS(Agenda!$C$5:$C$1204,A36,Agenda!$H$5:$H$1204,"Falta",Agenda!$L$5:$L$1204,Config!$B$7,Agenda!$M$5:$M$1204,Config!$B$5))</f>
        <v>4</v>
      </c>
      <c r="D36" s="27">
        <f>IF(A36="","",IF(B36+C36=0,"",C36/(B36+C36)))</f>
        <v>0.1</v>
      </c>
      <c r="E36" s="26">
        <f>IF(A36="","",COUNTIFS(Agenda!$C$5:$C$1204,A36,Agenda!$H$5:$H$1204,"Cancelado",Agenda!$L$5:$L$1204,Config!$B$7,Agenda!$M$5:$M$1204,Config!$B$5))</f>
        <v>2</v>
      </c>
      <c r="F36" s="26">
        <f>IF(A36="","",COUNTIFS(Agenda!$C$5:$C$1204,A36,Agenda!$H$5:$H$1204,"Remarcado",Agenda!$L$5:$L$1204,Config!$B$7,Agenda!$M$5:$M$1204,Config!$B$5))</f>
        <v>0</v>
      </c>
      <c r="G36" s="28" t="str">
        <f>IF(D36="","",REPT("█",ROUND(MIN(1,D36/0.25)*24,0)))</f>
        <v>██████████</v>
      </c>
      <c r="H36" s="23" t="n"/>
      <c r="I36" s="24" t="n"/>
    </row>
    <row r="37">
      <c r="A37" s="25" t="str">
        <f>IF(Config!$D$7="","",Config!$D$7)</f>
        <v>Dra. Renata Sousa</v>
      </c>
      <c r="B37" s="26">
        <f>IF(A37="","",COUNTIFS(Agenda!$C$5:$C$1204,A37,Agenda!$H$5:$H$1204,"Realizado",Agenda!$L$5:$L$1204,Config!$B$7,Agenda!$M$5:$M$1204,Config!$B$5))</f>
        <v>24</v>
      </c>
      <c r="C37" s="26">
        <f>IF(A37="","",COUNTIFS(Agenda!$C$5:$C$1204,A37,Agenda!$H$5:$H$1204,"Falta",Agenda!$L$5:$L$1204,Config!$B$7,Agenda!$M$5:$M$1204,Config!$B$5))</f>
        <v>1</v>
      </c>
      <c r="D37" s="27">
        <f>IF(A37="","",IF(B37+C37=0,"",C37/(B37+C37)))</f>
        <v>0.04</v>
      </c>
      <c r="E37" s="26">
        <f>IF(A37="","",COUNTIFS(Agenda!$C$5:$C$1204,A37,Agenda!$H$5:$H$1204,"Cancelado",Agenda!$L$5:$L$1204,Config!$B$7,Agenda!$M$5:$M$1204,Config!$B$5))</f>
        <v>0</v>
      </c>
      <c r="F37" s="26">
        <f>IF(A37="","",COUNTIFS(Agenda!$C$5:$C$1204,A37,Agenda!$H$5:$H$1204,"Remarcado",Agenda!$L$5:$L$1204,Config!$B$7,Agenda!$M$5:$M$1204,Config!$B$5))</f>
        <v>0</v>
      </c>
      <c r="G37" s="28" t="str">
        <f>IF(D37="","",REPT("█",ROUND(MIN(1,D37/0.25)*24,0)))</f>
        <v>████</v>
      </c>
      <c r="H37" s="23" t="n"/>
      <c r="I37" s="24" t="n"/>
    </row>
    <row r="38">
      <c r="A38" s="25">
        <f>IF(Config!$D$8="","",Config!$D$8)</f>
        <v/>
      </c>
      <c r="B38" s="26">
        <f>IF(A38="","",COUNTIFS(Agenda!$C$5:$C$1204,A38,Agenda!$H$5:$H$1204,"Realizado",Agenda!$L$5:$L$1204,Config!$B$7,Agenda!$M$5:$M$1204,Config!$B$5))</f>
        <v/>
      </c>
      <c r="C38" s="26">
        <f>IF(A38="","",COUNTIFS(Agenda!$C$5:$C$1204,A38,Agenda!$H$5:$H$1204,"Falta",Agenda!$L$5:$L$1204,Config!$B$7,Agenda!$M$5:$M$1204,Config!$B$5))</f>
        <v/>
      </c>
      <c r="D38" s="27">
        <f>IF(A38="","",IF(B38+C38=0,"",C38/(B38+C38)))</f>
        <v/>
      </c>
      <c r="E38" s="26">
        <f>IF(A38="","",COUNTIFS(Agenda!$C$5:$C$1204,A38,Agenda!$H$5:$H$1204,"Cancelado",Agenda!$L$5:$L$1204,Config!$B$7,Agenda!$M$5:$M$1204,Config!$B$5))</f>
        <v/>
      </c>
      <c r="F38" s="26">
        <f>IF(A38="","",COUNTIFS(Agenda!$C$5:$C$1204,A38,Agenda!$H$5:$H$1204,"Remarcado",Agenda!$L$5:$L$1204,Config!$B$7,Agenda!$M$5:$M$1204,Config!$B$5))</f>
        <v/>
      </c>
      <c r="G38" s="28">
        <f>IF(D38="","",REPT("█",ROUND(MIN(1,D38/0.25)*24,0)))</f>
        <v/>
      </c>
      <c r="H38" s="23" t="n"/>
      <c r="I38" s="24" t="n"/>
    </row>
    <row r="39">
      <c r="A39" s="25">
        <f>IF(Config!$D$9="","",Config!$D$9)</f>
        <v/>
      </c>
      <c r="B39" s="26">
        <f>IF(A39="","",COUNTIFS(Agenda!$C$5:$C$1204,A39,Agenda!$H$5:$H$1204,"Realizado",Agenda!$L$5:$L$1204,Config!$B$7,Agenda!$M$5:$M$1204,Config!$B$5))</f>
        <v/>
      </c>
      <c r="C39" s="26">
        <f>IF(A39="","",COUNTIFS(Agenda!$C$5:$C$1204,A39,Agenda!$H$5:$H$1204,"Falta",Agenda!$L$5:$L$1204,Config!$B$7,Agenda!$M$5:$M$1204,Config!$B$5))</f>
        <v/>
      </c>
      <c r="D39" s="27">
        <f>IF(A39="","",IF(B39+C39=0,"",C39/(B39+C39)))</f>
        <v/>
      </c>
      <c r="E39" s="26">
        <f>IF(A39="","",COUNTIFS(Agenda!$C$5:$C$1204,A39,Agenda!$H$5:$H$1204,"Cancelado",Agenda!$L$5:$L$1204,Config!$B$7,Agenda!$M$5:$M$1204,Config!$B$5))</f>
        <v/>
      </c>
      <c r="F39" s="26">
        <f>IF(A39="","",COUNTIFS(Agenda!$C$5:$C$1204,A39,Agenda!$H$5:$H$1204,"Remarcado",Agenda!$L$5:$L$1204,Config!$B$7,Agenda!$M$5:$M$1204,Config!$B$5))</f>
        <v/>
      </c>
      <c r="G39" s="28">
        <f>IF(D39="","",REPT("█",ROUND(MIN(1,D39/0.25)*24,0)))</f>
        <v/>
      </c>
      <c r="H39" s="23" t="n"/>
      <c r="I39" s="24" t="n"/>
    </row>
    <row r="40">
      <c r="A40" s="25">
        <f>IF(Config!$D$10="","",Config!$D$10)</f>
        <v/>
      </c>
      <c r="B40" s="26">
        <f>IF(A40="","",COUNTIFS(Agenda!$C$5:$C$1204,A40,Agenda!$H$5:$H$1204,"Realizado",Agenda!$L$5:$L$1204,Config!$B$7,Agenda!$M$5:$M$1204,Config!$B$5))</f>
        <v/>
      </c>
      <c r="C40" s="26">
        <f>IF(A40="","",COUNTIFS(Agenda!$C$5:$C$1204,A40,Agenda!$H$5:$H$1204,"Falta",Agenda!$L$5:$L$1204,Config!$B$7,Agenda!$M$5:$M$1204,Config!$B$5))</f>
        <v/>
      </c>
      <c r="D40" s="27">
        <f>IF(A40="","",IF(B40+C40=0,"",C40/(B40+C40)))</f>
        <v/>
      </c>
      <c r="E40" s="26">
        <f>IF(A40="","",COUNTIFS(Agenda!$C$5:$C$1204,A40,Agenda!$H$5:$H$1204,"Cancelado",Agenda!$L$5:$L$1204,Config!$B$7,Agenda!$M$5:$M$1204,Config!$B$5))</f>
        <v/>
      </c>
      <c r="F40" s="26">
        <f>IF(A40="","",COUNTIFS(Agenda!$C$5:$C$1204,A40,Agenda!$H$5:$H$1204,"Remarcado",Agenda!$L$5:$L$1204,Config!$B$7,Agenda!$M$5:$M$1204,Config!$B$5))</f>
        <v/>
      </c>
      <c r="G40" s="28">
        <f>IF(D40="","",REPT("█",ROUND(MIN(1,D40/0.25)*24,0)))</f>
        <v/>
      </c>
      <c r="H40" s="23" t="n"/>
      <c r="I40" s="24" t="n"/>
    </row>
    <row r="41">
      <c r="A41" s="25">
        <f>IF(Config!$D$11="","",Config!$D$11)</f>
        <v/>
      </c>
      <c r="B41" s="26">
        <f>IF(A41="","",COUNTIFS(Agenda!$C$5:$C$1204,A41,Agenda!$H$5:$H$1204,"Realizado",Agenda!$L$5:$L$1204,Config!$B$7,Agenda!$M$5:$M$1204,Config!$B$5))</f>
        <v/>
      </c>
      <c r="C41" s="26">
        <f>IF(A41="","",COUNTIFS(Agenda!$C$5:$C$1204,A41,Agenda!$H$5:$H$1204,"Falta",Agenda!$L$5:$L$1204,Config!$B$7,Agenda!$M$5:$M$1204,Config!$B$5))</f>
        <v/>
      </c>
      <c r="D41" s="27">
        <f>IF(A41="","",IF(B41+C41=0,"",C41/(B41+C41)))</f>
        <v/>
      </c>
      <c r="E41" s="26">
        <f>IF(A41="","",COUNTIFS(Agenda!$C$5:$C$1204,A41,Agenda!$H$5:$H$1204,"Cancelado",Agenda!$L$5:$L$1204,Config!$B$7,Agenda!$M$5:$M$1204,Config!$B$5))</f>
        <v/>
      </c>
      <c r="F41" s="26">
        <f>IF(A41="","",COUNTIFS(Agenda!$C$5:$C$1204,A41,Agenda!$H$5:$H$1204,"Remarcado",Agenda!$L$5:$L$1204,Config!$B$7,Agenda!$M$5:$M$1204,Config!$B$5))</f>
        <v/>
      </c>
      <c r="G41" s="28">
        <f>IF(D41="","",REPT("█",ROUND(MIN(1,D41/0.25)*24,0)))</f>
        <v/>
      </c>
      <c r="H41" s="23" t="n"/>
      <c r="I41" s="24" t="n"/>
    </row>
    <row r="42">
      <c r="A42" s="25">
        <f>IF(Config!$D$12="","",Config!$D$12)</f>
        <v/>
      </c>
      <c r="B42" s="26">
        <f>IF(A42="","",COUNTIFS(Agenda!$C$5:$C$1204,A42,Agenda!$H$5:$H$1204,"Realizado",Agenda!$L$5:$L$1204,Config!$B$7,Agenda!$M$5:$M$1204,Config!$B$5))</f>
        <v/>
      </c>
      <c r="C42" s="26">
        <f>IF(A42="","",COUNTIFS(Agenda!$C$5:$C$1204,A42,Agenda!$H$5:$H$1204,"Falta",Agenda!$L$5:$L$1204,Config!$B$7,Agenda!$M$5:$M$1204,Config!$B$5))</f>
        <v/>
      </c>
      <c r="D42" s="27">
        <f>IF(A42="","",IF(B42+C42=0,"",C42/(B42+C42)))</f>
        <v/>
      </c>
      <c r="E42" s="26">
        <f>IF(A42="","",COUNTIFS(Agenda!$C$5:$C$1204,A42,Agenda!$H$5:$H$1204,"Cancelado",Agenda!$L$5:$L$1204,Config!$B$7,Agenda!$M$5:$M$1204,Config!$B$5))</f>
        <v/>
      </c>
      <c r="F42" s="26">
        <f>IF(A42="","",COUNTIFS(Agenda!$C$5:$C$1204,A42,Agenda!$H$5:$H$1204,"Remarcado",Agenda!$L$5:$L$1204,Config!$B$7,Agenda!$M$5:$M$1204,Config!$B$5))</f>
        <v/>
      </c>
      <c r="G42" s="28">
        <f>IF(D42="","",REPT("█",ROUND(MIN(1,D42/0.25)*24,0)))</f>
        <v/>
      </c>
      <c r="H42" s="23" t="n"/>
      <c r="I42" s="24" t="n"/>
    </row>
    <row r="43" ht="30" customHeight="1">
      <c r="A43" s="29" t="inlineStr">
        <is>
          <t>Taxa acima de 10 % em vermelho. A barra vai até 25 %. Compare pagadores e dias antes de decidir a regra de confirmação (mensagem de véspera, lista de espera, política de remarcação).</t>
        </is>
      </c>
    </row>
    <row r="44"/>
    <row r="45">
      <c r="A45" s="21" t="inlineStr">
        <is>
          <t>Últimas 8 semanas (segunda a domingo)</t>
        </is>
      </c>
    </row>
    <row r="46" ht="26" customHeight="1">
      <c r="A46" s="22" t="inlineStr">
        <is>
          <t>Semana</t>
        </is>
      </c>
      <c r="B46" s="22" t="inlineStr">
        <is>
          <t>Segunda-feira</t>
        </is>
      </c>
      <c r="C46" s="22" t="inlineStr">
        <is>
          <t>Realizados</t>
        </is>
      </c>
      <c r="D46" s="22" t="inlineStr">
        <is>
          <t>Faltas</t>
        </is>
      </c>
      <c r="E46" s="22" t="inlineStr">
        <is>
          <t>Taxa de falta</t>
        </is>
      </c>
      <c r="F46" s="22" t="inlineStr">
        <is>
          <t>Cancelamentos</t>
        </is>
      </c>
      <c r="G46" s="22" t="inlineStr">
        <is>
          <t>Remarcações</t>
        </is>
      </c>
      <c r="H46" s="22" t="inlineStr">
        <is>
          <t>Barra</t>
        </is>
      </c>
    </row>
    <row r="47">
      <c r="A47" s="26" t="str">
        <f>"S"&amp;TEXT(B47,"dd/mm")</f>
        <v>S27/07</v>
      </c>
      <c r="B47" s="30">
        <f>Config!$B$8-WEEKDAY(Config!$B$8,2)+1-49</f>
        <v>46230.0</v>
      </c>
      <c r="C47" s="26">
        <f>COUNTIFS(Agenda!$A$5:$A$1204,"&gt;="&amp;B47,Agenda!$A$5:$A$1204,"&lt;="&amp;B47+6,Agenda!$H$5:$H$1204,"Realizado")</f>
        <v>57</v>
      </c>
      <c r="D47" s="26">
        <f>COUNTIFS(Agenda!$A$5:$A$1204,"&gt;="&amp;B47,Agenda!$A$5:$A$1204,"&lt;="&amp;B47+6,Agenda!$H$5:$H$1204,"Falta")</f>
        <v>7</v>
      </c>
      <c r="E47" s="27">
        <f>IF(C47+D47=0,"",D47/(C47+D47))</f>
        <v>0.109375</v>
      </c>
      <c r="F47" s="26">
        <f>COUNTIFS(Agenda!$A$5:$A$1204,"&gt;="&amp;B47,Agenda!$A$5:$A$1204,"&lt;="&amp;B47+6,Agenda!$H$5:$H$1204,"Cancelado")</f>
        <v>2</v>
      </c>
      <c r="G47" s="26">
        <f>COUNTIFS(Agenda!$A$5:$A$1204,"&gt;="&amp;B47,Agenda!$A$5:$A$1204,"&lt;="&amp;B47+6,Agenda!$H$5:$H$1204,"Remarcado")</f>
        <v>1</v>
      </c>
      <c r="H47" s="28" t="str">
        <f>IF(E47="","",REPT("█",ROUND(MIN(1,E47/0.25)*24,0)))</f>
        <v>███████████</v>
      </c>
      <c r="I47" s="23" t="n"/>
      <c r="J47" s="24" t="n"/>
    </row>
    <row r="48">
      <c r="A48" s="26" t="str">
        <f>"S"&amp;TEXT(B48,"dd/mm")</f>
        <v>S03/08</v>
      </c>
      <c r="B48" s="30">
        <f>Config!$B$8-WEEKDAY(Config!$B$8,2)+1-42</f>
        <v>46237.0</v>
      </c>
      <c r="C48" s="26">
        <f>COUNTIFS(Agenda!$A$5:$A$1204,"&gt;="&amp;B48,Agenda!$A$5:$A$1204,"&lt;="&amp;B48+6,Agenda!$H$5:$H$1204,"Realizado")</f>
        <v>58</v>
      </c>
      <c r="D48" s="26">
        <f>COUNTIFS(Agenda!$A$5:$A$1204,"&gt;="&amp;B48,Agenda!$A$5:$A$1204,"&lt;="&amp;B48+6,Agenda!$H$5:$H$1204,"Falta")</f>
        <v>6</v>
      </c>
      <c r="E48" s="27">
        <f>IF(C48+D48=0,"",D48/(C48+D48))</f>
        <v>0.09375</v>
      </c>
      <c r="F48" s="26">
        <f>COUNTIFS(Agenda!$A$5:$A$1204,"&gt;="&amp;B48,Agenda!$A$5:$A$1204,"&lt;="&amp;B48+6,Agenda!$H$5:$H$1204,"Cancelado")</f>
        <v>4</v>
      </c>
      <c r="G48" s="26">
        <f>COUNTIFS(Agenda!$A$5:$A$1204,"&gt;="&amp;B48,Agenda!$A$5:$A$1204,"&lt;="&amp;B48+6,Agenda!$H$5:$H$1204,"Remarcado")</f>
        <v>0</v>
      </c>
      <c r="H48" s="28" t="str">
        <f>IF(E48="","",REPT("█",ROUND(MIN(1,E48/0.25)*24,0)))</f>
        <v>█████████</v>
      </c>
      <c r="I48" s="23" t="n"/>
      <c r="J48" s="24" t="n"/>
    </row>
    <row r="49">
      <c r="A49" s="26" t="str">
        <f>"S"&amp;TEXT(B49,"dd/mm")</f>
        <v>S10/08</v>
      </c>
      <c r="B49" s="30">
        <f>Config!$B$8-WEEKDAY(Config!$B$8,2)+1-35</f>
        <v>46244.0</v>
      </c>
      <c r="C49" s="26">
        <f>COUNTIFS(Agenda!$A$5:$A$1204,"&gt;="&amp;B49,Agenda!$A$5:$A$1204,"&lt;="&amp;B49+6,Agenda!$H$5:$H$1204,"Realizado")</f>
        <v>64</v>
      </c>
      <c r="D49" s="26">
        <f>COUNTIFS(Agenda!$A$5:$A$1204,"&gt;="&amp;B49,Agenda!$A$5:$A$1204,"&lt;="&amp;B49+6,Agenda!$H$5:$H$1204,"Falta")</f>
        <v>5</v>
      </c>
      <c r="E49" s="27">
        <f>IF(C49+D49=0,"",D49/(C49+D49))</f>
        <v>0.072463768115942</v>
      </c>
      <c r="F49" s="26">
        <f>COUNTIFS(Agenda!$A$5:$A$1204,"&gt;="&amp;B49,Agenda!$A$5:$A$1204,"&lt;="&amp;B49+6,Agenda!$H$5:$H$1204,"Cancelado")</f>
        <v>2</v>
      </c>
      <c r="G49" s="26">
        <f>COUNTIFS(Agenda!$A$5:$A$1204,"&gt;="&amp;B49,Agenda!$A$5:$A$1204,"&lt;="&amp;B49+6,Agenda!$H$5:$H$1204,"Remarcado")</f>
        <v>1</v>
      </c>
      <c r="H49" s="28" t="str">
        <f>IF(E49="","",REPT("█",ROUND(MIN(1,E49/0.25)*24,0)))</f>
        <v>███████</v>
      </c>
      <c r="I49" s="23" t="n"/>
      <c r="J49" s="24" t="n"/>
    </row>
    <row r="50">
      <c r="A50" s="26" t="str">
        <f>"S"&amp;TEXT(B50,"dd/mm")</f>
        <v>S17/08</v>
      </c>
      <c r="B50" s="30">
        <f>Config!$B$8-WEEKDAY(Config!$B$8,2)+1-28</f>
        <v>46251.0</v>
      </c>
      <c r="C50" s="26">
        <f>COUNTIFS(Agenda!$A$5:$A$1204,"&gt;="&amp;B50,Agenda!$A$5:$A$1204,"&lt;="&amp;B50+6,Agenda!$H$5:$H$1204,"Realizado")</f>
        <v>52</v>
      </c>
      <c r="D50" s="26">
        <f>COUNTIFS(Agenda!$A$5:$A$1204,"&gt;="&amp;B50,Agenda!$A$5:$A$1204,"&lt;="&amp;B50+6,Agenda!$H$5:$H$1204,"Falta")</f>
        <v>6</v>
      </c>
      <c r="E50" s="27">
        <f>IF(C50+D50=0,"",D50/(C50+D50))</f>
        <v>0.103448275862069</v>
      </c>
      <c r="F50" s="26">
        <f>COUNTIFS(Agenda!$A$5:$A$1204,"&gt;="&amp;B50,Agenda!$A$5:$A$1204,"&lt;="&amp;B50+6,Agenda!$H$5:$H$1204,"Cancelado")</f>
        <v>5</v>
      </c>
      <c r="G50" s="26">
        <f>COUNTIFS(Agenda!$A$5:$A$1204,"&gt;="&amp;B50,Agenda!$A$5:$A$1204,"&lt;="&amp;B50+6,Agenda!$H$5:$H$1204,"Remarcado")</f>
        <v>2</v>
      </c>
      <c r="H50" s="28" t="str">
        <f>IF(E50="","",REPT("█",ROUND(MIN(1,E50/0.25)*24,0)))</f>
        <v>██████████</v>
      </c>
      <c r="I50" s="23" t="n"/>
      <c r="J50" s="24" t="n"/>
    </row>
    <row r="51">
      <c r="A51" s="26" t="str">
        <f>"S"&amp;TEXT(B51,"dd/mm")</f>
        <v>S24/08</v>
      </c>
      <c r="B51" s="30">
        <f>Config!$B$8-WEEKDAY(Config!$B$8,2)+1-21</f>
        <v>46258.0</v>
      </c>
      <c r="C51" s="26">
        <f>COUNTIFS(Agenda!$A$5:$A$1204,"&gt;="&amp;B51,Agenda!$A$5:$A$1204,"&lt;="&amp;B51+6,Agenda!$H$5:$H$1204,"Realizado")</f>
        <v>64</v>
      </c>
      <c r="D51" s="26">
        <f>COUNTIFS(Agenda!$A$5:$A$1204,"&gt;="&amp;B51,Agenda!$A$5:$A$1204,"&lt;="&amp;B51+6,Agenda!$H$5:$H$1204,"Falta")</f>
        <v>6</v>
      </c>
      <c r="E51" s="27">
        <f>IF(C51+D51=0,"",D51/(C51+D51))</f>
        <v>0.0857142857142857</v>
      </c>
      <c r="F51" s="26">
        <f>COUNTIFS(Agenda!$A$5:$A$1204,"&gt;="&amp;B51,Agenda!$A$5:$A$1204,"&lt;="&amp;B51+6,Agenda!$H$5:$H$1204,"Cancelado")</f>
        <v>1</v>
      </c>
      <c r="G51" s="26">
        <f>COUNTIFS(Agenda!$A$5:$A$1204,"&gt;="&amp;B51,Agenda!$A$5:$A$1204,"&lt;="&amp;B51+6,Agenda!$H$5:$H$1204,"Remarcado")</f>
        <v>1</v>
      </c>
      <c r="H51" s="28" t="str">
        <f>IF(E51="","",REPT("█",ROUND(MIN(1,E51/0.25)*24,0)))</f>
        <v>████████</v>
      </c>
      <c r="I51" s="23" t="n"/>
      <c r="J51" s="24" t="n"/>
    </row>
    <row r="52">
      <c r="A52" s="26" t="str">
        <f>"S"&amp;TEXT(B52,"dd/mm")</f>
        <v>S31/08</v>
      </c>
      <c r="B52" s="30">
        <f>Config!$B$8-WEEKDAY(Config!$B$8,2)+1-14</f>
        <v>46265.0</v>
      </c>
      <c r="C52" s="26">
        <f>COUNTIFS(Agenda!$A$5:$A$1204,"&gt;="&amp;B52,Agenda!$A$5:$A$1204,"&lt;="&amp;B52+6,Agenda!$H$5:$H$1204,"Realizado")</f>
        <v>72</v>
      </c>
      <c r="D52" s="26">
        <f>COUNTIFS(Agenda!$A$5:$A$1204,"&gt;="&amp;B52,Agenda!$A$5:$A$1204,"&lt;="&amp;B52+6,Agenda!$H$5:$H$1204,"Falta")</f>
        <v>3</v>
      </c>
      <c r="E52" s="27">
        <f>IF(C52+D52=0,"",D52/(C52+D52))</f>
        <v>0.04</v>
      </c>
      <c r="F52" s="26">
        <f>COUNTIFS(Agenda!$A$5:$A$1204,"&gt;="&amp;B52,Agenda!$A$5:$A$1204,"&lt;="&amp;B52+6,Agenda!$H$5:$H$1204,"Cancelado")</f>
        <v>1</v>
      </c>
      <c r="G52" s="26">
        <f>COUNTIFS(Agenda!$A$5:$A$1204,"&gt;="&amp;B52,Agenda!$A$5:$A$1204,"&lt;="&amp;B52+6,Agenda!$H$5:$H$1204,"Remarcado")</f>
        <v>0</v>
      </c>
      <c r="H52" s="28" t="str">
        <f>IF(E52="","",REPT("█",ROUND(MIN(1,E52/0.25)*24,0)))</f>
        <v>████</v>
      </c>
      <c r="I52" s="23" t="n"/>
      <c r="J52" s="24" t="n"/>
    </row>
    <row r="53">
      <c r="A53" s="26" t="str">
        <f>"S"&amp;TEXT(B53,"dd/mm")</f>
        <v>S07/09</v>
      </c>
      <c r="B53" s="30">
        <f>Config!$B$8-WEEKDAY(Config!$B$8,2)+1-7</f>
        <v>46272.0</v>
      </c>
      <c r="C53" s="26">
        <f>COUNTIFS(Agenda!$A$5:$A$1204,"&gt;="&amp;B53,Agenda!$A$5:$A$1204,"&lt;="&amp;B53+6,Agenda!$H$5:$H$1204,"Realizado")</f>
        <v>49</v>
      </c>
      <c r="D53" s="26">
        <f>COUNTIFS(Agenda!$A$5:$A$1204,"&gt;="&amp;B53,Agenda!$A$5:$A$1204,"&lt;="&amp;B53+6,Agenda!$H$5:$H$1204,"Falta")</f>
        <v>3</v>
      </c>
      <c r="E53" s="27">
        <f>IF(C53+D53=0,"",D53/(C53+D53))</f>
        <v>0.0576923076923077</v>
      </c>
      <c r="F53" s="26">
        <f>COUNTIFS(Agenda!$A$5:$A$1204,"&gt;="&amp;B53,Agenda!$A$5:$A$1204,"&lt;="&amp;B53+6,Agenda!$H$5:$H$1204,"Cancelado")</f>
        <v>3</v>
      </c>
      <c r="G53" s="26">
        <f>COUNTIFS(Agenda!$A$5:$A$1204,"&gt;="&amp;B53,Agenda!$A$5:$A$1204,"&lt;="&amp;B53+6,Agenda!$H$5:$H$1204,"Remarcado")</f>
        <v>0</v>
      </c>
      <c r="H53" s="28" t="str">
        <f>IF(E53="","",REPT("█",ROUND(MIN(1,E53/0.25)*24,0)))</f>
        <v>██████</v>
      </c>
      <c r="I53" s="23" t="n"/>
      <c r="J53" s="24" t="n"/>
    </row>
    <row r="54">
      <c r="A54" s="26" t="str">
        <f>"S"&amp;TEXT(B54,"dd/mm")</f>
        <v>S14/09</v>
      </c>
      <c r="B54" s="30">
        <f>Config!$B$8-WEEKDAY(Config!$B$8,2)+1-0</f>
        <v>46279.0</v>
      </c>
      <c r="C54" s="26">
        <f>COUNTIFS(Agenda!$A$5:$A$1204,"&gt;="&amp;B54,Agenda!$A$5:$A$1204,"&lt;="&amp;B54+6,Agenda!$H$5:$H$1204,"Realizado")</f>
        <v>0</v>
      </c>
      <c r="D54" s="26">
        <f>COUNTIFS(Agenda!$A$5:$A$1204,"&gt;="&amp;B54,Agenda!$A$5:$A$1204,"&lt;="&amp;B54+6,Agenda!$H$5:$H$1204,"Falta")</f>
        <v>0</v>
      </c>
      <c r="E54" s="27">
        <f>IF(C54+D54=0,"",D54/(C54+D54))</f>
        <v/>
      </c>
      <c r="F54" s="26">
        <f>COUNTIFS(Agenda!$A$5:$A$1204,"&gt;="&amp;B54,Agenda!$A$5:$A$1204,"&lt;="&amp;B54+6,Agenda!$H$5:$H$1204,"Cancelado")</f>
        <v>0</v>
      </c>
      <c r="G54" s="26">
        <f>COUNTIFS(Agenda!$A$5:$A$1204,"&gt;="&amp;B54,Agenda!$A$5:$A$1204,"&lt;="&amp;B54+6,Agenda!$H$5:$H$1204,"Remarcado")</f>
        <v>0</v>
      </c>
      <c r="H54" s="28">
        <f>IF(E54="","",REPT("█",ROUND(MIN(1,E54/0.25)*24,0)))</f>
        <v/>
      </c>
      <c r="I54" s="23" t="n"/>
      <c r="J54" s="24" t="n"/>
    </row>
    <row r="55">
      <c r="A55" s="29" t="inlineStr">
        <is>
          <t>A semana atual (destacada) ainda está em andamento. A mensagem de confirmação de véspera costuma derrubar a taxa de falta; meça aqui se derrubou.</t>
        </is>
      </c>
    </row>
    <row r="56"/>
    <row r="57"/>
    <row r="58">
      <c r="A58" s="21" t="inlineStr">
        <is>
          <t>Lista de retorno: quem passou do retorno previsto e não tem horário marcado</t>
        </is>
      </c>
    </row>
    <row r="59">
      <c r="A59" s="31" t="inlineStr">
        <is>
          <t>Quem está há mais tempo sem voltar primeiro. Mostra os 25 primeiros; os demais ficam na aba Agenda (filtre "Na lista de retorno?" = Sim). Ligar ou mandar mensagem é decisão da clínica; a planilha só avisa.</t>
        </is>
      </c>
    </row>
    <row r="60" ht="26" customHeight="1">
      <c r="A60" s="22" t="inlineStr">
        <is>
          <t>#</t>
        </is>
      </c>
      <c r="B60" s="22" t="inlineStr">
        <is>
          <t>Paciente</t>
        </is>
      </c>
      <c r="C60" s="22" t="inlineStr">
        <is>
          <t>Profissional</t>
        </is>
      </c>
      <c r="D60" s="22" t="inlineStr">
        <is>
          <t>Pagador</t>
        </is>
      </c>
      <c r="E60" s="22" t="inlineStr">
        <is>
          <t>Último atendimento</t>
        </is>
      </c>
      <c r="F60" s="22" t="inlineStr">
        <is>
          <t>Procedimento</t>
        </is>
      </c>
      <c r="G60" s="22" t="inlineStr">
        <is>
          <t>Retorno previsto</t>
        </is>
      </c>
      <c r="H60" s="22" t="inlineStr">
        <is>
          <t>Dias além do previsto</t>
        </is>
      </c>
    </row>
    <row r="61">
      <c r="A61" s="26" t="n">
        <v>1</v>
      </c>
      <c r="B61" s="25" t="str">
        <f>IFERROR(IF(LARGE(Agenda!$U$5:$U$1204,1)&gt;0,INDEX(Agenda!$E$5:$E$1204,MATCH(LARGE(Agenda!$U$5:$U$1204,1),Agenda!$U$5:$U$1204,0)),""),"")</f>
        <v>Priscila Pinto</v>
      </c>
      <c r="C61" s="25" t="str">
        <f>IFERROR(IF(LARGE(Agenda!$U$5:$U$1204,1)&gt;0,INDEX(Agenda!$C$5:$C$1204,MATCH(LARGE(Agenda!$U$5:$U$1204,1),Agenda!$U$5:$U$1204,0)),""),"")</f>
        <v>Dr. Paulo Andrade</v>
      </c>
      <c r="D61" s="26" t="str">
        <f>IFERROR(IF(LARGE(Agenda!$U$5:$U$1204,1)&gt;0,INDEX(Agenda!$F$5:$F$1204,MATCH(LARGE(Agenda!$U$5:$U$1204,1),Agenda!$U$5:$U$1204,0)),""),"")</f>
        <v>Saúde Total</v>
      </c>
      <c r="E61" s="30">
        <f>IFERROR(IF(LARGE(Agenda!$U$5:$U$1204,1)&gt;0,INDEX(Agenda!$A$5:$A$1204,MATCH(LARGE(Agenda!$U$5:$U$1204,1),Agenda!$U$5:$U$1204,0)),""),"")</f>
        <v>46212.0</v>
      </c>
      <c r="F61" s="25" t="str">
        <f>IFERROR(IF(LARGE(Agenda!$U$5:$U$1204,1)&gt;0,INDEX(Agenda!$G$5:$G$1204,MATCH(LARGE(Agenda!$U$5:$U$1204,1),Agenda!$U$5:$U$1204,0)),""),"")</f>
        <v>Consulta</v>
      </c>
      <c r="G61" s="30">
        <f>IFERROR(IF(LARGE(Agenda!$U$5:$U$1204,1)&gt;0,INDEX(Agenda!$Q$5:$Q$1204,MATCH(LARGE(Agenda!$U$5:$U$1204,1),Agenda!$U$5:$U$1204,0)),""),"")</f>
        <v>46242.0</v>
      </c>
      <c r="H61" s="32">
        <f>IFERROR(IF(LARGE(Agenda!$U$5:$U$1204,1)&gt;0,INDEX(Agenda!$S$5:$S$1204,MATCH(LARGE(Agenda!$U$5:$U$1204,1),Agenda!$U$5:$U$1204,0)),""),"")</f>
        <v>37</v>
      </c>
    </row>
    <row r="62">
      <c r="A62" s="26" t="n">
        <v>2</v>
      </c>
      <c r="B62" s="25" t="str">
        <f>IFERROR(IF(LARGE(Agenda!$U$5:$U$1204,2)&gt;0,INDEX(Agenda!$E$5:$E$1204,MATCH(LARGE(Agenda!$U$5:$U$1204,2),Agenda!$U$5:$U$1204,0)),""),"")</f>
        <v>Roberta Almeida</v>
      </c>
      <c r="C62" s="25" t="str">
        <f>IFERROR(IF(LARGE(Agenda!$U$5:$U$1204,2)&gt;0,INDEX(Agenda!$C$5:$C$1204,MATCH(LARGE(Agenda!$U$5:$U$1204,2),Agenda!$U$5:$U$1204,0)),""),"")</f>
        <v>Dr. Paulo Andrade</v>
      </c>
      <c r="D62" s="26" t="str">
        <f>IFERROR(IF(LARGE(Agenda!$U$5:$U$1204,2)&gt;0,INDEX(Agenda!$F$5:$F$1204,MATCH(LARGE(Agenda!$U$5:$U$1204,2),Agenda!$U$5:$U$1204,0)),""),"")</f>
        <v>Saúde Total</v>
      </c>
      <c r="E62" s="30">
        <f>IFERROR(IF(LARGE(Agenda!$U$5:$U$1204,2)&gt;0,INDEX(Agenda!$A$5:$A$1204,MATCH(LARGE(Agenda!$U$5:$U$1204,2),Agenda!$U$5:$U$1204,0)),""),"")</f>
        <v>46230.0</v>
      </c>
      <c r="F62" s="25" t="str">
        <f>IFERROR(IF(LARGE(Agenda!$U$5:$U$1204,2)&gt;0,INDEX(Agenda!$G$5:$G$1204,MATCH(LARGE(Agenda!$U$5:$U$1204,2),Agenda!$U$5:$U$1204,0)),""),"")</f>
        <v>Consulta</v>
      </c>
      <c r="G62" s="30">
        <f>IFERROR(IF(LARGE(Agenda!$U$5:$U$1204,2)&gt;0,INDEX(Agenda!$Q$5:$Q$1204,MATCH(LARGE(Agenda!$U$5:$U$1204,2),Agenda!$U$5:$U$1204,0)),""),"")</f>
        <v>46260.0</v>
      </c>
      <c r="H62" s="32">
        <f>IFERROR(IF(LARGE(Agenda!$U$5:$U$1204,2)&gt;0,INDEX(Agenda!$S$5:$S$1204,MATCH(LARGE(Agenda!$U$5:$U$1204,2),Agenda!$U$5:$U$1204,0)),""),"")</f>
        <v>19</v>
      </c>
    </row>
    <row r="63">
      <c r="A63" s="26" t="n">
        <v>3</v>
      </c>
      <c r="B63" s="25" t="str">
        <f>IFERROR(IF(LARGE(Agenda!$U$5:$U$1204,3)&gt;0,INDEX(Agenda!$E$5:$E$1204,MATCH(LARGE(Agenda!$U$5:$U$1204,3),Agenda!$U$5:$U$1204,0)),""),"")</f>
        <v>Rafael Araújo</v>
      </c>
      <c r="C63" s="25" t="str">
        <f>IFERROR(IF(LARGE(Agenda!$U$5:$U$1204,3)&gt;0,INDEX(Agenda!$C$5:$C$1204,MATCH(LARGE(Agenda!$U$5:$U$1204,3),Agenda!$U$5:$U$1204,0)),""),"")</f>
        <v>Dr. Paulo Andrade</v>
      </c>
      <c r="D63" s="26" t="str">
        <f>IFERROR(IF(LARGE(Agenda!$U$5:$U$1204,3)&gt;0,INDEX(Agenda!$F$5:$F$1204,MATCH(LARGE(Agenda!$U$5:$U$1204,3),Agenda!$U$5:$U$1204,0)),""),"")</f>
        <v>MediPlan</v>
      </c>
      <c r="E63" s="30">
        <f>IFERROR(IF(LARGE(Agenda!$U$5:$U$1204,3)&gt;0,INDEX(Agenda!$A$5:$A$1204,MATCH(LARGE(Agenda!$U$5:$U$1204,3),Agenda!$U$5:$U$1204,0)),""),"")</f>
        <v>46234.0</v>
      </c>
      <c r="F63" s="25" t="str">
        <f>IFERROR(IF(LARGE(Agenda!$U$5:$U$1204,3)&gt;0,INDEX(Agenda!$G$5:$G$1204,MATCH(LARGE(Agenda!$U$5:$U$1204,3),Agenda!$U$5:$U$1204,0)),""),"")</f>
        <v>Consulta</v>
      </c>
      <c r="G63" s="30">
        <f>IFERROR(IF(LARGE(Agenda!$U$5:$U$1204,3)&gt;0,INDEX(Agenda!$Q$5:$Q$1204,MATCH(LARGE(Agenda!$U$5:$U$1204,3),Agenda!$U$5:$U$1204,0)),""),"")</f>
        <v>46264.0</v>
      </c>
      <c r="H63" s="32">
        <f>IFERROR(IF(LARGE(Agenda!$U$5:$U$1204,3)&gt;0,INDEX(Agenda!$S$5:$S$1204,MATCH(LARGE(Agenda!$U$5:$U$1204,3),Agenda!$U$5:$U$1204,0)),""),"")</f>
        <v>15</v>
      </c>
    </row>
    <row r="64">
      <c r="A64" s="26" t="n">
        <v>4</v>
      </c>
      <c r="B64" s="25" t="str">
        <f>IFERROR(IF(LARGE(Agenda!$U$5:$U$1204,4)&gt;0,INDEX(Agenda!$E$5:$E$1204,MATCH(LARGE(Agenda!$U$5:$U$1204,4),Agenda!$U$5:$U$1204,0)),""),"")</f>
        <v>Viviane Teixeira</v>
      </c>
      <c r="C64" s="25" t="str">
        <f>IFERROR(IF(LARGE(Agenda!$U$5:$U$1204,4)&gt;0,INDEX(Agenda!$C$5:$C$1204,MATCH(LARGE(Agenda!$U$5:$U$1204,4),Agenda!$U$5:$U$1204,0)),""),"")</f>
        <v>Dr. Paulo Andrade</v>
      </c>
      <c r="D64" s="26" t="str">
        <f>IFERROR(IF(LARGE(Agenda!$U$5:$U$1204,4)&gt;0,INDEX(Agenda!$F$5:$F$1204,MATCH(LARGE(Agenda!$U$5:$U$1204,4),Agenda!$U$5:$U$1204,0)),""),"")</f>
        <v>Particular</v>
      </c>
      <c r="E64" s="30">
        <f>IFERROR(IF(LARGE(Agenda!$U$5:$U$1204,4)&gt;0,INDEX(Agenda!$A$5:$A$1204,MATCH(LARGE(Agenda!$U$5:$U$1204,4),Agenda!$U$5:$U$1204,0)),""),"")</f>
        <v>46238.0</v>
      </c>
      <c r="F64" s="25" t="str">
        <f>IFERROR(IF(LARGE(Agenda!$U$5:$U$1204,4)&gt;0,INDEX(Agenda!$G$5:$G$1204,MATCH(LARGE(Agenda!$U$5:$U$1204,4),Agenda!$U$5:$U$1204,0)),""),"")</f>
        <v>Consulta</v>
      </c>
      <c r="G64" s="30">
        <f>IFERROR(IF(LARGE(Agenda!$U$5:$U$1204,4)&gt;0,INDEX(Agenda!$Q$5:$Q$1204,MATCH(LARGE(Agenda!$U$5:$U$1204,4),Agenda!$U$5:$U$1204,0)),""),"")</f>
        <v>46268.0</v>
      </c>
      <c r="H64" s="32">
        <f>IFERROR(IF(LARGE(Agenda!$U$5:$U$1204,4)&gt;0,INDEX(Agenda!$S$5:$S$1204,MATCH(LARGE(Agenda!$U$5:$U$1204,4),Agenda!$U$5:$U$1204,0)),""),"")</f>
        <v>11</v>
      </c>
    </row>
    <row r="65">
      <c r="A65" s="26" t="n">
        <v>5</v>
      </c>
      <c r="B65" s="25" t="str">
        <f>IFERROR(IF(LARGE(Agenda!$U$5:$U$1204,5)&gt;0,INDEX(Agenda!$E$5:$E$1204,MATCH(LARGE(Agenda!$U$5:$U$1204,5),Agenda!$U$5:$U$1204,0)),""),"")</f>
        <v>Patrícia Vieira</v>
      </c>
      <c r="C65" s="25" t="str">
        <f>IFERROR(IF(LARGE(Agenda!$U$5:$U$1204,5)&gt;0,INDEX(Agenda!$C$5:$C$1204,MATCH(LARGE(Agenda!$U$5:$U$1204,5),Agenda!$U$5:$U$1204,0)),""),"")</f>
        <v>Dr. Paulo Andrade</v>
      </c>
      <c r="D65" s="26" t="str">
        <f>IFERROR(IF(LARGE(Agenda!$U$5:$U$1204,5)&gt;0,INDEX(Agenda!$F$5:$F$1204,MATCH(LARGE(Agenda!$U$5:$U$1204,5),Agenda!$U$5:$U$1204,0)),""),"")</f>
        <v>Saúde Total</v>
      </c>
      <c r="E65" s="30">
        <f>IFERROR(IF(LARGE(Agenda!$U$5:$U$1204,5)&gt;0,INDEX(Agenda!$A$5:$A$1204,MATCH(LARGE(Agenda!$U$5:$U$1204,5),Agenda!$U$5:$U$1204,0)),""),"")</f>
        <v>46241.0</v>
      </c>
      <c r="F65" s="25" t="str">
        <f>IFERROR(IF(LARGE(Agenda!$U$5:$U$1204,5)&gt;0,INDEX(Agenda!$G$5:$G$1204,MATCH(LARGE(Agenda!$U$5:$U$1204,5),Agenda!$U$5:$U$1204,0)),""),"")</f>
        <v>Consulta</v>
      </c>
      <c r="G65" s="30">
        <f>IFERROR(IF(LARGE(Agenda!$U$5:$U$1204,5)&gt;0,INDEX(Agenda!$Q$5:$Q$1204,MATCH(LARGE(Agenda!$U$5:$U$1204,5),Agenda!$U$5:$U$1204,0)),""),"")</f>
        <v>46271.0</v>
      </c>
      <c r="H65" s="32">
        <f>IFERROR(IF(LARGE(Agenda!$U$5:$U$1204,5)&gt;0,INDEX(Agenda!$S$5:$S$1204,MATCH(LARGE(Agenda!$U$5:$U$1204,5),Agenda!$U$5:$U$1204,0)),""),"")</f>
        <v>8</v>
      </c>
    </row>
    <row r="66">
      <c r="A66" s="26" t="n">
        <v>6</v>
      </c>
      <c r="B66" s="25" t="str">
        <f>IFERROR(IF(LARGE(Agenda!$U$5:$U$1204,6)&gt;0,INDEX(Agenda!$E$5:$E$1204,MATCH(LARGE(Agenda!$U$5:$U$1204,6),Agenda!$U$5:$U$1204,0)),""),"")</f>
        <v>Tatiana Rocha</v>
      </c>
      <c r="C66" s="25" t="str">
        <f>IFERROR(IF(LARGE(Agenda!$U$5:$U$1204,6)&gt;0,INDEX(Agenda!$C$5:$C$1204,MATCH(LARGE(Agenda!$U$5:$U$1204,6),Agenda!$U$5:$U$1204,0)),""),"")</f>
        <v>Dra. Carolina Mendes</v>
      </c>
      <c r="D66" s="26" t="str">
        <f>IFERROR(IF(LARGE(Agenda!$U$5:$U$1204,6)&gt;0,INDEX(Agenda!$F$5:$F$1204,MATCH(LARGE(Agenda!$U$5:$U$1204,6),Agenda!$U$5:$U$1204,0)),""),"")</f>
        <v>Vida Care</v>
      </c>
      <c r="E66" s="30">
        <f>IFERROR(IF(LARGE(Agenda!$U$5:$U$1204,6)&gt;0,INDEX(Agenda!$A$5:$A$1204,MATCH(LARGE(Agenda!$U$5:$U$1204,6),Agenda!$U$5:$U$1204,0)),""),"")</f>
        <v>46245.0</v>
      </c>
      <c r="F66" s="25" t="str">
        <f>IFERROR(IF(LARGE(Agenda!$U$5:$U$1204,6)&gt;0,INDEX(Agenda!$G$5:$G$1204,MATCH(LARGE(Agenda!$U$5:$U$1204,6),Agenda!$U$5:$U$1204,0)),""),"")</f>
        <v>Consulta</v>
      </c>
      <c r="G66" s="30">
        <f>IFERROR(IF(LARGE(Agenda!$U$5:$U$1204,6)&gt;0,INDEX(Agenda!$Q$5:$Q$1204,MATCH(LARGE(Agenda!$U$5:$U$1204,6),Agenda!$U$5:$U$1204,0)),""),"")</f>
        <v>46275.0</v>
      </c>
      <c r="H66" s="32">
        <f>IFERROR(IF(LARGE(Agenda!$U$5:$U$1204,6)&gt;0,INDEX(Agenda!$S$5:$S$1204,MATCH(LARGE(Agenda!$U$5:$U$1204,6),Agenda!$U$5:$U$1204,0)),""),"")</f>
        <v>4</v>
      </c>
    </row>
    <row r="67">
      <c r="A67" s="26" t="n">
        <v>7</v>
      </c>
      <c r="B67" s="25" t="str">
        <f>IFERROR(IF(LARGE(Agenda!$U$5:$U$1204,7)&gt;0,INDEX(Agenda!$E$5:$E$1204,MATCH(LARGE(Agenda!$U$5:$U$1204,7),Agenda!$U$5:$U$1204,0)),""),"")</f>
        <v>Paulo Freitas</v>
      </c>
      <c r="C67" s="25" t="str">
        <f>IFERROR(IF(LARGE(Agenda!$U$5:$U$1204,7)&gt;0,INDEX(Agenda!$C$5:$C$1204,MATCH(LARGE(Agenda!$U$5:$U$1204,7),Agenda!$U$5:$U$1204,0)),""),"")</f>
        <v>Dra. Renata Sousa</v>
      </c>
      <c r="D67" s="26" t="str">
        <f>IFERROR(IF(LARGE(Agenda!$U$5:$U$1204,7)&gt;0,INDEX(Agenda!$F$5:$F$1204,MATCH(LARGE(Agenda!$U$5:$U$1204,7),Agenda!$U$5:$U$1204,0)),""),"")</f>
        <v>Saúde Total</v>
      </c>
      <c r="E67" s="30">
        <f>IFERROR(IF(LARGE(Agenda!$U$5:$U$1204,7)&gt;0,INDEX(Agenda!$A$5:$A$1204,MATCH(LARGE(Agenda!$U$5:$U$1204,7),Agenda!$U$5:$U$1204,0)),""),"")</f>
        <v>46233.0</v>
      </c>
      <c r="F67" s="25" t="str">
        <f>IFERROR(IF(LARGE(Agenda!$U$5:$U$1204,7)&gt;0,INDEX(Agenda!$G$5:$G$1204,MATCH(LARGE(Agenda!$U$5:$U$1204,7),Agenda!$U$5:$U$1204,0)),""),"")</f>
        <v>Avaliação endócrina</v>
      </c>
      <c r="G67" s="30">
        <f>IFERROR(IF(LARGE(Agenda!$U$5:$U$1204,7)&gt;0,INDEX(Agenda!$Q$5:$Q$1204,MATCH(LARGE(Agenda!$U$5:$U$1204,7),Agenda!$U$5:$U$1204,0)),""),"")</f>
        <v>46278.0</v>
      </c>
      <c r="H67" s="32">
        <f>IFERROR(IF(LARGE(Agenda!$U$5:$U$1204,7)&gt;0,INDEX(Agenda!$S$5:$S$1204,MATCH(LARGE(Agenda!$U$5:$U$1204,7),Agenda!$U$5:$U$1204,0)),""),"")</f>
        <v>1</v>
      </c>
    </row>
    <row r="68">
      <c r="A68" s="26" t="n">
        <v>8</v>
      </c>
      <c r="B68" s="25">
        <f>IFERROR(IF(LARGE(Agenda!$U$5:$U$1204,8)&gt;0,INDEX(Agenda!$E$5:$E$1204,MATCH(LARGE(Agenda!$U$5:$U$1204,8),Agenda!$U$5:$U$1204,0)),""),"")</f>
        <v/>
      </c>
      <c r="C68" s="25">
        <f>IFERROR(IF(LARGE(Agenda!$U$5:$U$1204,8)&gt;0,INDEX(Agenda!$C$5:$C$1204,MATCH(LARGE(Agenda!$U$5:$U$1204,8),Agenda!$U$5:$U$1204,0)),""),"")</f>
        <v/>
      </c>
      <c r="D68" s="26">
        <f>IFERROR(IF(LARGE(Agenda!$U$5:$U$1204,8)&gt;0,INDEX(Agenda!$F$5:$F$1204,MATCH(LARGE(Agenda!$U$5:$U$1204,8),Agenda!$U$5:$U$1204,0)),""),"")</f>
        <v/>
      </c>
      <c r="E68" s="30">
        <f>IFERROR(IF(LARGE(Agenda!$U$5:$U$1204,8)&gt;0,INDEX(Agenda!$A$5:$A$1204,MATCH(LARGE(Agenda!$U$5:$U$1204,8),Agenda!$U$5:$U$1204,0)),""),"")</f>
        <v/>
      </c>
      <c r="F68" s="25">
        <f>IFERROR(IF(LARGE(Agenda!$U$5:$U$1204,8)&gt;0,INDEX(Agenda!$G$5:$G$1204,MATCH(LARGE(Agenda!$U$5:$U$1204,8),Agenda!$U$5:$U$1204,0)),""),"")</f>
        <v/>
      </c>
      <c r="G68" s="30">
        <f>IFERROR(IF(LARGE(Agenda!$U$5:$U$1204,8)&gt;0,INDEX(Agenda!$Q$5:$Q$1204,MATCH(LARGE(Agenda!$U$5:$U$1204,8),Agenda!$U$5:$U$1204,0)),""),"")</f>
        <v/>
      </c>
      <c r="H68" s="32">
        <f>IFERROR(IF(LARGE(Agenda!$U$5:$U$1204,8)&gt;0,INDEX(Agenda!$S$5:$S$1204,MATCH(LARGE(Agenda!$U$5:$U$1204,8),Agenda!$U$5:$U$1204,0)),""),"")</f>
        <v/>
      </c>
    </row>
    <row r="69">
      <c r="A69" s="26" t="n">
        <v>9</v>
      </c>
      <c r="B69" s="25">
        <f>IFERROR(IF(LARGE(Agenda!$U$5:$U$1204,9)&gt;0,INDEX(Agenda!$E$5:$E$1204,MATCH(LARGE(Agenda!$U$5:$U$1204,9),Agenda!$U$5:$U$1204,0)),""),"")</f>
        <v/>
      </c>
      <c r="C69" s="25">
        <f>IFERROR(IF(LARGE(Agenda!$U$5:$U$1204,9)&gt;0,INDEX(Agenda!$C$5:$C$1204,MATCH(LARGE(Agenda!$U$5:$U$1204,9),Agenda!$U$5:$U$1204,0)),""),"")</f>
        <v/>
      </c>
      <c r="D69" s="26">
        <f>IFERROR(IF(LARGE(Agenda!$U$5:$U$1204,9)&gt;0,INDEX(Agenda!$F$5:$F$1204,MATCH(LARGE(Agenda!$U$5:$U$1204,9),Agenda!$U$5:$U$1204,0)),""),"")</f>
        <v/>
      </c>
      <c r="E69" s="30">
        <f>IFERROR(IF(LARGE(Agenda!$U$5:$U$1204,9)&gt;0,INDEX(Agenda!$A$5:$A$1204,MATCH(LARGE(Agenda!$U$5:$U$1204,9),Agenda!$U$5:$U$1204,0)),""),"")</f>
        <v/>
      </c>
      <c r="F69" s="25">
        <f>IFERROR(IF(LARGE(Agenda!$U$5:$U$1204,9)&gt;0,INDEX(Agenda!$G$5:$G$1204,MATCH(LARGE(Agenda!$U$5:$U$1204,9),Agenda!$U$5:$U$1204,0)),""),"")</f>
        <v/>
      </c>
      <c r="G69" s="30">
        <f>IFERROR(IF(LARGE(Agenda!$U$5:$U$1204,9)&gt;0,INDEX(Agenda!$Q$5:$Q$1204,MATCH(LARGE(Agenda!$U$5:$U$1204,9),Agenda!$U$5:$U$1204,0)),""),"")</f>
        <v/>
      </c>
      <c r="H69" s="32">
        <f>IFERROR(IF(LARGE(Agenda!$U$5:$U$1204,9)&gt;0,INDEX(Agenda!$S$5:$S$1204,MATCH(LARGE(Agenda!$U$5:$U$1204,9),Agenda!$U$5:$U$1204,0)),""),"")</f>
        <v/>
      </c>
    </row>
    <row r="70">
      <c r="A70" s="26" t="n">
        <v>10</v>
      </c>
      <c r="B70" s="25">
        <f>IFERROR(IF(LARGE(Agenda!$U$5:$U$1204,10)&gt;0,INDEX(Agenda!$E$5:$E$1204,MATCH(LARGE(Agenda!$U$5:$U$1204,10),Agenda!$U$5:$U$1204,0)),""),"")</f>
        <v/>
      </c>
      <c r="C70" s="25">
        <f>IFERROR(IF(LARGE(Agenda!$U$5:$U$1204,10)&gt;0,INDEX(Agenda!$C$5:$C$1204,MATCH(LARGE(Agenda!$U$5:$U$1204,10),Agenda!$U$5:$U$1204,0)),""),"")</f>
        <v/>
      </c>
      <c r="D70" s="26">
        <f>IFERROR(IF(LARGE(Agenda!$U$5:$U$1204,10)&gt;0,INDEX(Agenda!$F$5:$F$1204,MATCH(LARGE(Agenda!$U$5:$U$1204,10),Agenda!$U$5:$U$1204,0)),""),"")</f>
        <v/>
      </c>
      <c r="E70" s="30">
        <f>IFERROR(IF(LARGE(Agenda!$U$5:$U$1204,10)&gt;0,INDEX(Agenda!$A$5:$A$1204,MATCH(LARGE(Agenda!$U$5:$U$1204,10),Agenda!$U$5:$U$1204,0)),""),"")</f>
        <v/>
      </c>
      <c r="F70" s="25">
        <f>IFERROR(IF(LARGE(Agenda!$U$5:$U$1204,10)&gt;0,INDEX(Agenda!$G$5:$G$1204,MATCH(LARGE(Agenda!$U$5:$U$1204,10),Agenda!$U$5:$U$1204,0)),""),"")</f>
        <v/>
      </c>
      <c r="G70" s="30">
        <f>IFERROR(IF(LARGE(Agenda!$U$5:$U$1204,10)&gt;0,INDEX(Agenda!$Q$5:$Q$1204,MATCH(LARGE(Agenda!$U$5:$U$1204,10),Agenda!$U$5:$U$1204,0)),""),"")</f>
        <v/>
      </c>
      <c r="H70" s="32">
        <f>IFERROR(IF(LARGE(Agenda!$U$5:$U$1204,10)&gt;0,INDEX(Agenda!$S$5:$S$1204,MATCH(LARGE(Agenda!$U$5:$U$1204,10),Agenda!$U$5:$U$1204,0)),""),"")</f>
        <v/>
      </c>
    </row>
    <row r="71">
      <c r="A71" s="26" t="n">
        <v>11</v>
      </c>
      <c r="B71" s="25">
        <f>IFERROR(IF(LARGE(Agenda!$U$5:$U$1204,11)&gt;0,INDEX(Agenda!$E$5:$E$1204,MATCH(LARGE(Agenda!$U$5:$U$1204,11),Agenda!$U$5:$U$1204,0)),""),"")</f>
        <v/>
      </c>
      <c r="C71" s="25">
        <f>IFERROR(IF(LARGE(Agenda!$U$5:$U$1204,11)&gt;0,INDEX(Agenda!$C$5:$C$1204,MATCH(LARGE(Agenda!$U$5:$U$1204,11),Agenda!$U$5:$U$1204,0)),""),"")</f>
        <v/>
      </c>
      <c r="D71" s="26">
        <f>IFERROR(IF(LARGE(Agenda!$U$5:$U$1204,11)&gt;0,INDEX(Agenda!$F$5:$F$1204,MATCH(LARGE(Agenda!$U$5:$U$1204,11),Agenda!$U$5:$U$1204,0)),""),"")</f>
        <v/>
      </c>
      <c r="E71" s="30">
        <f>IFERROR(IF(LARGE(Agenda!$U$5:$U$1204,11)&gt;0,INDEX(Agenda!$A$5:$A$1204,MATCH(LARGE(Agenda!$U$5:$U$1204,11),Agenda!$U$5:$U$1204,0)),""),"")</f>
        <v/>
      </c>
      <c r="F71" s="25">
        <f>IFERROR(IF(LARGE(Agenda!$U$5:$U$1204,11)&gt;0,INDEX(Agenda!$G$5:$G$1204,MATCH(LARGE(Agenda!$U$5:$U$1204,11),Agenda!$U$5:$U$1204,0)),""),"")</f>
        <v/>
      </c>
      <c r="G71" s="30">
        <f>IFERROR(IF(LARGE(Agenda!$U$5:$U$1204,11)&gt;0,INDEX(Agenda!$Q$5:$Q$1204,MATCH(LARGE(Agenda!$U$5:$U$1204,11),Agenda!$U$5:$U$1204,0)),""),"")</f>
        <v/>
      </c>
      <c r="H71" s="32">
        <f>IFERROR(IF(LARGE(Agenda!$U$5:$U$1204,11)&gt;0,INDEX(Agenda!$S$5:$S$1204,MATCH(LARGE(Agenda!$U$5:$U$1204,11),Agenda!$U$5:$U$1204,0)),""),"")</f>
        <v/>
      </c>
    </row>
    <row r="72">
      <c r="A72" s="26" t="n">
        <v>12</v>
      </c>
      <c r="B72" s="25">
        <f>IFERROR(IF(LARGE(Agenda!$U$5:$U$1204,12)&gt;0,INDEX(Agenda!$E$5:$E$1204,MATCH(LARGE(Agenda!$U$5:$U$1204,12),Agenda!$U$5:$U$1204,0)),""),"")</f>
        <v/>
      </c>
      <c r="C72" s="25">
        <f>IFERROR(IF(LARGE(Agenda!$U$5:$U$1204,12)&gt;0,INDEX(Agenda!$C$5:$C$1204,MATCH(LARGE(Agenda!$U$5:$U$1204,12),Agenda!$U$5:$U$1204,0)),""),"")</f>
        <v/>
      </c>
      <c r="D72" s="26">
        <f>IFERROR(IF(LARGE(Agenda!$U$5:$U$1204,12)&gt;0,INDEX(Agenda!$F$5:$F$1204,MATCH(LARGE(Agenda!$U$5:$U$1204,12),Agenda!$U$5:$U$1204,0)),""),"")</f>
        <v/>
      </c>
      <c r="E72" s="30">
        <f>IFERROR(IF(LARGE(Agenda!$U$5:$U$1204,12)&gt;0,INDEX(Agenda!$A$5:$A$1204,MATCH(LARGE(Agenda!$U$5:$U$1204,12),Agenda!$U$5:$U$1204,0)),""),"")</f>
        <v/>
      </c>
      <c r="F72" s="25">
        <f>IFERROR(IF(LARGE(Agenda!$U$5:$U$1204,12)&gt;0,INDEX(Agenda!$G$5:$G$1204,MATCH(LARGE(Agenda!$U$5:$U$1204,12),Agenda!$U$5:$U$1204,0)),""),"")</f>
        <v/>
      </c>
      <c r="G72" s="30">
        <f>IFERROR(IF(LARGE(Agenda!$U$5:$U$1204,12)&gt;0,INDEX(Agenda!$Q$5:$Q$1204,MATCH(LARGE(Agenda!$U$5:$U$1204,12),Agenda!$U$5:$U$1204,0)),""),"")</f>
        <v/>
      </c>
      <c r="H72" s="32">
        <f>IFERROR(IF(LARGE(Agenda!$U$5:$U$1204,12)&gt;0,INDEX(Agenda!$S$5:$S$1204,MATCH(LARGE(Agenda!$U$5:$U$1204,12),Agenda!$U$5:$U$1204,0)),""),"")</f>
        <v/>
      </c>
    </row>
    <row r="73">
      <c r="A73" s="26" t="n">
        <v>13</v>
      </c>
      <c r="B73" s="25">
        <f>IFERROR(IF(LARGE(Agenda!$U$5:$U$1204,13)&gt;0,INDEX(Agenda!$E$5:$E$1204,MATCH(LARGE(Agenda!$U$5:$U$1204,13),Agenda!$U$5:$U$1204,0)),""),"")</f>
        <v/>
      </c>
      <c r="C73" s="25">
        <f>IFERROR(IF(LARGE(Agenda!$U$5:$U$1204,13)&gt;0,INDEX(Agenda!$C$5:$C$1204,MATCH(LARGE(Agenda!$U$5:$U$1204,13),Agenda!$U$5:$U$1204,0)),""),"")</f>
        <v/>
      </c>
      <c r="D73" s="26">
        <f>IFERROR(IF(LARGE(Agenda!$U$5:$U$1204,13)&gt;0,INDEX(Agenda!$F$5:$F$1204,MATCH(LARGE(Agenda!$U$5:$U$1204,13),Agenda!$U$5:$U$1204,0)),""),"")</f>
        <v/>
      </c>
      <c r="E73" s="30">
        <f>IFERROR(IF(LARGE(Agenda!$U$5:$U$1204,13)&gt;0,INDEX(Agenda!$A$5:$A$1204,MATCH(LARGE(Agenda!$U$5:$U$1204,13),Agenda!$U$5:$U$1204,0)),""),"")</f>
        <v/>
      </c>
      <c r="F73" s="25">
        <f>IFERROR(IF(LARGE(Agenda!$U$5:$U$1204,13)&gt;0,INDEX(Agenda!$G$5:$G$1204,MATCH(LARGE(Agenda!$U$5:$U$1204,13),Agenda!$U$5:$U$1204,0)),""),"")</f>
        <v/>
      </c>
      <c r="G73" s="30">
        <f>IFERROR(IF(LARGE(Agenda!$U$5:$U$1204,13)&gt;0,INDEX(Agenda!$Q$5:$Q$1204,MATCH(LARGE(Agenda!$U$5:$U$1204,13),Agenda!$U$5:$U$1204,0)),""),"")</f>
        <v/>
      </c>
      <c r="H73" s="32">
        <f>IFERROR(IF(LARGE(Agenda!$U$5:$U$1204,13)&gt;0,INDEX(Agenda!$S$5:$S$1204,MATCH(LARGE(Agenda!$U$5:$U$1204,13),Agenda!$U$5:$U$1204,0)),""),"")</f>
        <v/>
      </c>
    </row>
    <row r="74">
      <c r="A74" s="26" t="n">
        <v>14</v>
      </c>
      <c r="B74" s="25">
        <f>IFERROR(IF(LARGE(Agenda!$U$5:$U$1204,14)&gt;0,INDEX(Agenda!$E$5:$E$1204,MATCH(LARGE(Agenda!$U$5:$U$1204,14),Agenda!$U$5:$U$1204,0)),""),"")</f>
        <v/>
      </c>
      <c r="C74" s="25">
        <f>IFERROR(IF(LARGE(Agenda!$U$5:$U$1204,14)&gt;0,INDEX(Agenda!$C$5:$C$1204,MATCH(LARGE(Agenda!$U$5:$U$1204,14),Agenda!$U$5:$U$1204,0)),""),"")</f>
        <v/>
      </c>
      <c r="D74" s="26">
        <f>IFERROR(IF(LARGE(Agenda!$U$5:$U$1204,14)&gt;0,INDEX(Agenda!$F$5:$F$1204,MATCH(LARGE(Agenda!$U$5:$U$1204,14),Agenda!$U$5:$U$1204,0)),""),"")</f>
        <v/>
      </c>
      <c r="E74" s="30">
        <f>IFERROR(IF(LARGE(Agenda!$U$5:$U$1204,14)&gt;0,INDEX(Agenda!$A$5:$A$1204,MATCH(LARGE(Agenda!$U$5:$U$1204,14),Agenda!$U$5:$U$1204,0)),""),"")</f>
        <v/>
      </c>
      <c r="F74" s="25">
        <f>IFERROR(IF(LARGE(Agenda!$U$5:$U$1204,14)&gt;0,INDEX(Agenda!$G$5:$G$1204,MATCH(LARGE(Agenda!$U$5:$U$1204,14),Agenda!$U$5:$U$1204,0)),""),"")</f>
        <v/>
      </c>
      <c r="G74" s="30">
        <f>IFERROR(IF(LARGE(Agenda!$U$5:$U$1204,14)&gt;0,INDEX(Agenda!$Q$5:$Q$1204,MATCH(LARGE(Agenda!$U$5:$U$1204,14),Agenda!$U$5:$U$1204,0)),""),"")</f>
        <v/>
      </c>
      <c r="H74" s="32">
        <f>IFERROR(IF(LARGE(Agenda!$U$5:$U$1204,14)&gt;0,INDEX(Agenda!$S$5:$S$1204,MATCH(LARGE(Agenda!$U$5:$U$1204,14),Agenda!$U$5:$U$1204,0)),""),"")</f>
        <v/>
      </c>
    </row>
    <row r="75">
      <c r="A75" s="26" t="n">
        <v>15</v>
      </c>
      <c r="B75" s="25">
        <f>IFERROR(IF(LARGE(Agenda!$U$5:$U$1204,15)&gt;0,INDEX(Agenda!$E$5:$E$1204,MATCH(LARGE(Agenda!$U$5:$U$1204,15),Agenda!$U$5:$U$1204,0)),""),"")</f>
        <v/>
      </c>
      <c r="C75" s="25">
        <f>IFERROR(IF(LARGE(Agenda!$U$5:$U$1204,15)&gt;0,INDEX(Agenda!$C$5:$C$1204,MATCH(LARGE(Agenda!$U$5:$U$1204,15),Agenda!$U$5:$U$1204,0)),""),"")</f>
        <v/>
      </c>
      <c r="D75" s="26">
        <f>IFERROR(IF(LARGE(Agenda!$U$5:$U$1204,15)&gt;0,INDEX(Agenda!$F$5:$F$1204,MATCH(LARGE(Agenda!$U$5:$U$1204,15),Agenda!$U$5:$U$1204,0)),""),"")</f>
        <v/>
      </c>
      <c r="E75" s="30">
        <f>IFERROR(IF(LARGE(Agenda!$U$5:$U$1204,15)&gt;0,INDEX(Agenda!$A$5:$A$1204,MATCH(LARGE(Agenda!$U$5:$U$1204,15),Agenda!$U$5:$U$1204,0)),""),"")</f>
        <v/>
      </c>
      <c r="F75" s="25">
        <f>IFERROR(IF(LARGE(Agenda!$U$5:$U$1204,15)&gt;0,INDEX(Agenda!$G$5:$G$1204,MATCH(LARGE(Agenda!$U$5:$U$1204,15),Agenda!$U$5:$U$1204,0)),""),"")</f>
        <v/>
      </c>
      <c r="G75" s="30">
        <f>IFERROR(IF(LARGE(Agenda!$U$5:$U$1204,15)&gt;0,INDEX(Agenda!$Q$5:$Q$1204,MATCH(LARGE(Agenda!$U$5:$U$1204,15),Agenda!$U$5:$U$1204,0)),""),"")</f>
        <v/>
      </c>
      <c r="H75" s="32">
        <f>IFERROR(IF(LARGE(Agenda!$U$5:$U$1204,15)&gt;0,INDEX(Agenda!$S$5:$S$1204,MATCH(LARGE(Agenda!$U$5:$U$1204,15),Agenda!$U$5:$U$1204,0)),""),"")</f>
        <v/>
      </c>
    </row>
    <row r="76">
      <c r="A76" s="26" t="n">
        <v>16</v>
      </c>
      <c r="B76" s="25">
        <f>IFERROR(IF(LARGE(Agenda!$U$5:$U$1204,16)&gt;0,INDEX(Agenda!$E$5:$E$1204,MATCH(LARGE(Agenda!$U$5:$U$1204,16),Agenda!$U$5:$U$1204,0)),""),"")</f>
        <v/>
      </c>
      <c r="C76" s="25">
        <f>IFERROR(IF(LARGE(Agenda!$U$5:$U$1204,16)&gt;0,INDEX(Agenda!$C$5:$C$1204,MATCH(LARGE(Agenda!$U$5:$U$1204,16),Agenda!$U$5:$U$1204,0)),""),"")</f>
        <v/>
      </c>
      <c r="D76" s="26">
        <f>IFERROR(IF(LARGE(Agenda!$U$5:$U$1204,16)&gt;0,INDEX(Agenda!$F$5:$F$1204,MATCH(LARGE(Agenda!$U$5:$U$1204,16),Agenda!$U$5:$U$1204,0)),""),"")</f>
        <v/>
      </c>
      <c r="E76" s="30">
        <f>IFERROR(IF(LARGE(Agenda!$U$5:$U$1204,16)&gt;0,INDEX(Agenda!$A$5:$A$1204,MATCH(LARGE(Agenda!$U$5:$U$1204,16),Agenda!$U$5:$U$1204,0)),""),"")</f>
        <v/>
      </c>
      <c r="F76" s="25">
        <f>IFERROR(IF(LARGE(Agenda!$U$5:$U$1204,16)&gt;0,INDEX(Agenda!$G$5:$G$1204,MATCH(LARGE(Agenda!$U$5:$U$1204,16),Agenda!$U$5:$U$1204,0)),""),"")</f>
        <v/>
      </c>
      <c r="G76" s="30">
        <f>IFERROR(IF(LARGE(Agenda!$U$5:$U$1204,16)&gt;0,INDEX(Agenda!$Q$5:$Q$1204,MATCH(LARGE(Agenda!$U$5:$U$1204,16),Agenda!$U$5:$U$1204,0)),""),"")</f>
        <v/>
      </c>
      <c r="H76" s="32">
        <f>IFERROR(IF(LARGE(Agenda!$U$5:$U$1204,16)&gt;0,INDEX(Agenda!$S$5:$S$1204,MATCH(LARGE(Agenda!$U$5:$U$1204,16),Agenda!$U$5:$U$1204,0)),""),"")</f>
        <v/>
      </c>
    </row>
    <row r="77">
      <c r="A77" s="26" t="n">
        <v>17</v>
      </c>
      <c r="B77" s="25">
        <f>IFERROR(IF(LARGE(Agenda!$U$5:$U$1204,17)&gt;0,INDEX(Agenda!$E$5:$E$1204,MATCH(LARGE(Agenda!$U$5:$U$1204,17),Agenda!$U$5:$U$1204,0)),""),"")</f>
        <v/>
      </c>
      <c r="C77" s="25">
        <f>IFERROR(IF(LARGE(Agenda!$U$5:$U$1204,17)&gt;0,INDEX(Agenda!$C$5:$C$1204,MATCH(LARGE(Agenda!$U$5:$U$1204,17),Agenda!$U$5:$U$1204,0)),""),"")</f>
        <v/>
      </c>
      <c r="D77" s="26">
        <f>IFERROR(IF(LARGE(Agenda!$U$5:$U$1204,17)&gt;0,INDEX(Agenda!$F$5:$F$1204,MATCH(LARGE(Agenda!$U$5:$U$1204,17),Agenda!$U$5:$U$1204,0)),""),"")</f>
        <v/>
      </c>
      <c r="E77" s="30">
        <f>IFERROR(IF(LARGE(Agenda!$U$5:$U$1204,17)&gt;0,INDEX(Agenda!$A$5:$A$1204,MATCH(LARGE(Agenda!$U$5:$U$1204,17),Agenda!$U$5:$U$1204,0)),""),"")</f>
        <v/>
      </c>
      <c r="F77" s="25">
        <f>IFERROR(IF(LARGE(Agenda!$U$5:$U$1204,17)&gt;0,INDEX(Agenda!$G$5:$G$1204,MATCH(LARGE(Agenda!$U$5:$U$1204,17),Agenda!$U$5:$U$1204,0)),""),"")</f>
        <v/>
      </c>
      <c r="G77" s="30">
        <f>IFERROR(IF(LARGE(Agenda!$U$5:$U$1204,17)&gt;0,INDEX(Agenda!$Q$5:$Q$1204,MATCH(LARGE(Agenda!$U$5:$U$1204,17),Agenda!$U$5:$U$1204,0)),""),"")</f>
        <v/>
      </c>
      <c r="H77" s="32">
        <f>IFERROR(IF(LARGE(Agenda!$U$5:$U$1204,17)&gt;0,INDEX(Agenda!$S$5:$S$1204,MATCH(LARGE(Agenda!$U$5:$U$1204,17),Agenda!$U$5:$U$1204,0)),""),"")</f>
        <v/>
      </c>
    </row>
    <row r="78">
      <c r="A78" s="26" t="n">
        <v>18</v>
      </c>
      <c r="B78" s="25">
        <f>IFERROR(IF(LARGE(Agenda!$U$5:$U$1204,18)&gt;0,INDEX(Agenda!$E$5:$E$1204,MATCH(LARGE(Agenda!$U$5:$U$1204,18),Agenda!$U$5:$U$1204,0)),""),"")</f>
        <v/>
      </c>
      <c r="C78" s="25">
        <f>IFERROR(IF(LARGE(Agenda!$U$5:$U$1204,18)&gt;0,INDEX(Agenda!$C$5:$C$1204,MATCH(LARGE(Agenda!$U$5:$U$1204,18),Agenda!$U$5:$U$1204,0)),""),"")</f>
        <v/>
      </c>
      <c r="D78" s="26">
        <f>IFERROR(IF(LARGE(Agenda!$U$5:$U$1204,18)&gt;0,INDEX(Agenda!$F$5:$F$1204,MATCH(LARGE(Agenda!$U$5:$U$1204,18),Agenda!$U$5:$U$1204,0)),""),"")</f>
        <v/>
      </c>
      <c r="E78" s="30">
        <f>IFERROR(IF(LARGE(Agenda!$U$5:$U$1204,18)&gt;0,INDEX(Agenda!$A$5:$A$1204,MATCH(LARGE(Agenda!$U$5:$U$1204,18),Agenda!$U$5:$U$1204,0)),""),"")</f>
        <v/>
      </c>
      <c r="F78" s="25">
        <f>IFERROR(IF(LARGE(Agenda!$U$5:$U$1204,18)&gt;0,INDEX(Agenda!$G$5:$G$1204,MATCH(LARGE(Agenda!$U$5:$U$1204,18),Agenda!$U$5:$U$1204,0)),""),"")</f>
        <v/>
      </c>
      <c r="G78" s="30">
        <f>IFERROR(IF(LARGE(Agenda!$U$5:$U$1204,18)&gt;0,INDEX(Agenda!$Q$5:$Q$1204,MATCH(LARGE(Agenda!$U$5:$U$1204,18),Agenda!$U$5:$U$1204,0)),""),"")</f>
        <v/>
      </c>
      <c r="H78" s="32">
        <f>IFERROR(IF(LARGE(Agenda!$U$5:$U$1204,18)&gt;0,INDEX(Agenda!$S$5:$S$1204,MATCH(LARGE(Agenda!$U$5:$U$1204,18),Agenda!$U$5:$U$1204,0)),""),"")</f>
        <v/>
      </c>
    </row>
    <row r="79">
      <c r="A79" s="26" t="n">
        <v>19</v>
      </c>
      <c r="B79" s="25">
        <f>IFERROR(IF(LARGE(Agenda!$U$5:$U$1204,19)&gt;0,INDEX(Agenda!$E$5:$E$1204,MATCH(LARGE(Agenda!$U$5:$U$1204,19),Agenda!$U$5:$U$1204,0)),""),"")</f>
        <v/>
      </c>
      <c r="C79" s="25">
        <f>IFERROR(IF(LARGE(Agenda!$U$5:$U$1204,19)&gt;0,INDEX(Agenda!$C$5:$C$1204,MATCH(LARGE(Agenda!$U$5:$U$1204,19),Agenda!$U$5:$U$1204,0)),""),"")</f>
        <v/>
      </c>
      <c r="D79" s="26">
        <f>IFERROR(IF(LARGE(Agenda!$U$5:$U$1204,19)&gt;0,INDEX(Agenda!$F$5:$F$1204,MATCH(LARGE(Agenda!$U$5:$U$1204,19),Agenda!$U$5:$U$1204,0)),""),"")</f>
        <v/>
      </c>
      <c r="E79" s="30">
        <f>IFERROR(IF(LARGE(Agenda!$U$5:$U$1204,19)&gt;0,INDEX(Agenda!$A$5:$A$1204,MATCH(LARGE(Agenda!$U$5:$U$1204,19),Agenda!$U$5:$U$1204,0)),""),"")</f>
        <v/>
      </c>
      <c r="F79" s="25">
        <f>IFERROR(IF(LARGE(Agenda!$U$5:$U$1204,19)&gt;0,INDEX(Agenda!$G$5:$G$1204,MATCH(LARGE(Agenda!$U$5:$U$1204,19),Agenda!$U$5:$U$1204,0)),""),"")</f>
        <v/>
      </c>
      <c r="G79" s="30">
        <f>IFERROR(IF(LARGE(Agenda!$U$5:$U$1204,19)&gt;0,INDEX(Agenda!$Q$5:$Q$1204,MATCH(LARGE(Agenda!$U$5:$U$1204,19),Agenda!$U$5:$U$1204,0)),""),"")</f>
        <v/>
      </c>
      <c r="H79" s="32">
        <f>IFERROR(IF(LARGE(Agenda!$U$5:$U$1204,19)&gt;0,INDEX(Agenda!$S$5:$S$1204,MATCH(LARGE(Agenda!$U$5:$U$1204,19),Agenda!$U$5:$U$1204,0)),""),"")</f>
        <v/>
      </c>
    </row>
    <row r="80">
      <c r="A80" s="26" t="n">
        <v>20</v>
      </c>
      <c r="B80" s="25">
        <f>IFERROR(IF(LARGE(Agenda!$U$5:$U$1204,20)&gt;0,INDEX(Agenda!$E$5:$E$1204,MATCH(LARGE(Agenda!$U$5:$U$1204,20),Agenda!$U$5:$U$1204,0)),""),"")</f>
        <v/>
      </c>
      <c r="C80" s="25">
        <f>IFERROR(IF(LARGE(Agenda!$U$5:$U$1204,20)&gt;0,INDEX(Agenda!$C$5:$C$1204,MATCH(LARGE(Agenda!$U$5:$U$1204,20),Agenda!$U$5:$U$1204,0)),""),"")</f>
        <v/>
      </c>
      <c r="D80" s="26">
        <f>IFERROR(IF(LARGE(Agenda!$U$5:$U$1204,20)&gt;0,INDEX(Agenda!$F$5:$F$1204,MATCH(LARGE(Agenda!$U$5:$U$1204,20),Agenda!$U$5:$U$1204,0)),""),"")</f>
        <v/>
      </c>
      <c r="E80" s="30">
        <f>IFERROR(IF(LARGE(Agenda!$U$5:$U$1204,20)&gt;0,INDEX(Agenda!$A$5:$A$1204,MATCH(LARGE(Agenda!$U$5:$U$1204,20),Agenda!$U$5:$U$1204,0)),""),"")</f>
        <v/>
      </c>
      <c r="F80" s="25">
        <f>IFERROR(IF(LARGE(Agenda!$U$5:$U$1204,20)&gt;0,INDEX(Agenda!$G$5:$G$1204,MATCH(LARGE(Agenda!$U$5:$U$1204,20),Agenda!$U$5:$U$1204,0)),""),"")</f>
        <v/>
      </c>
      <c r="G80" s="30">
        <f>IFERROR(IF(LARGE(Agenda!$U$5:$U$1204,20)&gt;0,INDEX(Agenda!$Q$5:$Q$1204,MATCH(LARGE(Agenda!$U$5:$U$1204,20),Agenda!$U$5:$U$1204,0)),""),"")</f>
        <v/>
      </c>
      <c r="H80" s="32">
        <f>IFERROR(IF(LARGE(Agenda!$U$5:$U$1204,20)&gt;0,INDEX(Agenda!$S$5:$S$1204,MATCH(LARGE(Agenda!$U$5:$U$1204,20),Agenda!$U$5:$U$1204,0)),""),"")</f>
        <v/>
      </c>
    </row>
    <row r="81">
      <c r="A81" s="26" t="n">
        <v>21</v>
      </c>
      <c r="B81" s="25">
        <f>IFERROR(IF(LARGE(Agenda!$U$5:$U$1204,21)&gt;0,INDEX(Agenda!$E$5:$E$1204,MATCH(LARGE(Agenda!$U$5:$U$1204,21),Agenda!$U$5:$U$1204,0)),""),"")</f>
        <v/>
      </c>
      <c r="C81" s="25">
        <f>IFERROR(IF(LARGE(Agenda!$U$5:$U$1204,21)&gt;0,INDEX(Agenda!$C$5:$C$1204,MATCH(LARGE(Agenda!$U$5:$U$1204,21),Agenda!$U$5:$U$1204,0)),""),"")</f>
        <v/>
      </c>
      <c r="D81" s="26">
        <f>IFERROR(IF(LARGE(Agenda!$U$5:$U$1204,21)&gt;0,INDEX(Agenda!$F$5:$F$1204,MATCH(LARGE(Agenda!$U$5:$U$1204,21),Agenda!$U$5:$U$1204,0)),""),"")</f>
        <v/>
      </c>
      <c r="E81" s="30">
        <f>IFERROR(IF(LARGE(Agenda!$U$5:$U$1204,21)&gt;0,INDEX(Agenda!$A$5:$A$1204,MATCH(LARGE(Agenda!$U$5:$U$1204,21),Agenda!$U$5:$U$1204,0)),""),"")</f>
        <v/>
      </c>
      <c r="F81" s="25">
        <f>IFERROR(IF(LARGE(Agenda!$U$5:$U$1204,21)&gt;0,INDEX(Agenda!$G$5:$G$1204,MATCH(LARGE(Agenda!$U$5:$U$1204,21),Agenda!$U$5:$U$1204,0)),""),"")</f>
        <v/>
      </c>
      <c r="G81" s="30">
        <f>IFERROR(IF(LARGE(Agenda!$U$5:$U$1204,21)&gt;0,INDEX(Agenda!$Q$5:$Q$1204,MATCH(LARGE(Agenda!$U$5:$U$1204,21),Agenda!$U$5:$U$1204,0)),""),"")</f>
        <v/>
      </c>
      <c r="H81" s="32">
        <f>IFERROR(IF(LARGE(Agenda!$U$5:$U$1204,21)&gt;0,INDEX(Agenda!$S$5:$S$1204,MATCH(LARGE(Agenda!$U$5:$U$1204,21),Agenda!$U$5:$U$1204,0)),""),"")</f>
        <v/>
      </c>
    </row>
    <row r="82">
      <c r="A82" s="26" t="n">
        <v>22</v>
      </c>
      <c r="B82" s="25">
        <f>IFERROR(IF(LARGE(Agenda!$U$5:$U$1204,22)&gt;0,INDEX(Agenda!$E$5:$E$1204,MATCH(LARGE(Agenda!$U$5:$U$1204,22),Agenda!$U$5:$U$1204,0)),""),"")</f>
        <v/>
      </c>
      <c r="C82" s="25">
        <f>IFERROR(IF(LARGE(Agenda!$U$5:$U$1204,22)&gt;0,INDEX(Agenda!$C$5:$C$1204,MATCH(LARGE(Agenda!$U$5:$U$1204,22),Agenda!$U$5:$U$1204,0)),""),"")</f>
        <v/>
      </c>
      <c r="D82" s="26">
        <f>IFERROR(IF(LARGE(Agenda!$U$5:$U$1204,22)&gt;0,INDEX(Agenda!$F$5:$F$1204,MATCH(LARGE(Agenda!$U$5:$U$1204,22),Agenda!$U$5:$U$1204,0)),""),"")</f>
        <v/>
      </c>
      <c r="E82" s="30">
        <f>IFERROR(IF(LARGE(Agenda!$U$5:$U$1204,22)&gt;0,INDEX(Agenda!$A$5:$A$1204,MATCH(LARGE(Agenda!$U$5:$U$1204,22),Agenda!$U$5:$U$1204,0)),""),"")</f>
        <v/>
      </c>
      <c r="F82" s="25">
        <f>IFERROR(IF(LARGE(Agenda!$U$5:$U$1204,22)&gt;0,INDEX(Agenda!$G$5:$G$1204,MATCH(LARGE(Agenda!$U$5:$U$1204,22),Agenda!$U$5:$U$1204,0)),""),"")</f>
        <v/>
      </c>
      <c r="G82" s="30">
        <f>IFERROR(IF(LARGE(Agenda!$U$5:$U$1204,22)&gt;0,INDEX(Agenda!$Q$5:$Q$1204,MATCH(LARGE(Agenda!$U$5:$U$1204,22),Agenda!$U$5:$U$1204,0)),""),"")</f>
        <v/>
      </c>
      <c r="H82" s="32">
        <f>IFERROR(IF(LARGE(Agenda!$U$5:$U$1204,22)&gt;0,INDEX(Agenda!$S$5:$S$1204,MATCH(LARGE(Agenda!$U$5:$U$1204,22),Agenda!$U$5:$U$1204,0)),""),"")</f>
        <v/>
      </c>
    </row>
    <row r="83">
      <c r="A83" s="26" t="n">
        <v>23</v>
      </c>
      <c r="B83" s="25">
        <f>IFERROR(IF(LARGE(Agenda!$U$5:$U$1204,23)&gt;0,INDEX(Agenda!$E$5:$E$1204,MATCH(LARGE(Agenda!$U$5:$U$1204,23),Agenda!$U$5:$U$1204,0)),""),"")</f>
        <v/>
      </c>
      <c r="C83" s="25">
        <f>IFERROR(IF(LARGE(Agenda!$U$5:$U$1204,23)&gt;0,INDEX(Agenda!$C$5:$C$1204,MATCH(LARGE(Agenda!$U$5:$U$1204,23),Agenda!$U$5:$U$1204,0)),""),"")</f>
        <v/>
      </c>
      <c r="D83" s="26">
        <f>IFERROR(IF(LARGE(Agenda!$U$5:$U$1204,23)&gt;0,INDEX(Agenda!$F$5:$F$1204,MATCH(LARGE(Agenda!$U$5:$U$1204,23),Agenda!$U$5:$U$1204,0)),""),"")</f>
        <v/>
      </c>
      <c r="E83" s="30">
        <f>IFERROR(IF(LARGE(Agenda!$U$5:$U$1204,23)&gt;0,INDEX(Agenda!$A$5:$A$1204,MATCH(LARGE(Agenda!$U$5:$U$1204,23),Agenda!$U$5:$U$1204,0)),""),"")</f>
        <v/>
      </c>
      <c r="F83" s="25">
        <f>IFERROR(IF(LARGE(Agenda!$U$5:$U$1204,23)&gt;0,INDEX(Agenda!$G$5:$G$1204,MATCH(LARGE(Agenda!$U$5:$U$1204,23),Agenda!$U$5:$U$1204,0)),""),"")</f>
        <v/>
      </c>
      <c r="G83" s="30">
        <f>IFERROR(IF(LARGE(Agenda!$U$5:$U$1204,23)&gt;0,INDEX(Agenda!$Q$5:$Q$1204,MATCH(LARGE(Agenda!$U$5:$U$1204,23),Agenda!$U$5:$U$1204,0)),""),"")</f>
        <v/>
      </c>
      <c r="H83" s="32">
        <f>IFERROR(IF(LARGE(Agenda!$U$5:$U$1204,23)&gt;0,INDEX(Agenda!$S$5:$S$1204,MATCH(LARGE(Agenda!$U$5:$U$1204,23),Agenda!$U$5:$U$1204,0)),""),"")</f>
        <v/>
      </c>
    </row>
    <row r="84">
      <c r="A84" s="26" t="n">
        <v>24</v>
      </c>
      <c r="B84" s="25">
        <f>IFERROR(IF(LARGE(Agenda!$U$5:$U$1204,24)&gt;0,INDEX(Agenda!$E$5:$E$1204,MATCH(LARGE(Agenda!$U$5:$U$1204,24),Agenda!$U$5:$U$1204,0)),""),"")</f>
        <v/>
      </c>
      <c r="C84" s="25">
        <f>IFERROR(IF(LARGE(Agenda!$U$5:$U$1204,24)&gt;0,INDEX(Agenda!$C$5:$C$1204,MATCH(LARGE(Agenda!$U$5:$U$1204,24),Agenda!$U$5:$U$1204,0)),""),"")</f>
        <v/>
      </c>
      <c r="D84" s="26">
        <f>IFERROR(IF(LARGE(Agenda!$U$5:$U$1204,24)&gt;0,INDEX(Agenda!$F$5:$F$1204,MATCH(LARGE(Agenda!$U$5:$U$1204,24),Agenda!$U$5:$U$1204,0)),""),"")</f>
        <v/>
      </c>
      <c r="E84" s="30">
        <f>IFERROR(IF(LARGE(Agenda!$U$5:$U$1204,24)&gt;0,INDEX(Agenda!$A$5:$A$1204,MATCH(LARGE(Agenda!$U$5:$U$1204,24),Agenda!$U$5:$U$1204,0)),""),"")</f>
        <v/>
      </c>
      <c r="F84" s="25">
        <f>IFERROR(IF(LARGE(Agenda!$U$5:$U$1204,24)&gt;0,INDEX(Agenda!$G$5:$G$1204,MATCH(LARGE(Agenda!$U$5:$U$1204,24),Agenda!$U$5:$U$1204,0)),""),"")</f>
        <v/>
      </c>
      <c r="G84" s="30">
        <f>IFERROR(IF(LARGE(Agenda!$U$5:$U$1204,24)&gt;0,INDEX(Agenda!$Q$5:$Q$1204,MATCH(LARGE(Agenda!$U$5:$U$1204,24),Agenda!$U$5:$U$1204,0)),""),"")</f>
        <v/>
      </c>
      <c r="H84" s="32">
        <f>IFERROR(IF(LARGE(Agenda!$U$5:$U$1204,24)&gt;0,INDEX(Agenda!$S$5:$S$1204,MATCH(LARGE(Agenda!$U$5:$U$1204,24),Agenda!$U$5:$U$1204,0)),""),"")</f>
        <v/>
      </c>
    </row>
    <row r="85">
      <c r="A85" s="26" t="n">
        <v>25</v>
      </c>
      <c r="B85" s="25">
        <f>IFERROR(IF(LARGE(Agenda!$U$5:$U$1204,25)&gt;0,INDEX(Agenda!$E$5:$E$1204,MATCH(LARGE(Agenda!$U$5:$U$1204,25),Agenda!$U$5:$U$1204,0)),""),"")</f>
        <v/>
      </c>
      <c r="C85" s="25">
        <f>IFERROR(IF(LARGE(Agenda!$U$5:$U$1204,25)&gt;0,INDEX(Agenda!$C$5:$C$1204,MATCH(LARGE(Agenda!$U$5:$U$1204,25),Agenda!$U$5:$U$1204,0)),""),"")</f>
        <v/>
      </c>
      <c r="D85" s="26">
        <f>IFERROR(IF(LARGE(Agenda!$U$5:$U$1204,25)&gt;0,INDEX(Agenda!$F$5:$F$1204,MATCH(LARGE(Agenda!$U$5:$U$1204,25),Agenda!$U$5:$U$1204,0)),""),"")</f>
        <v/>
      </c>
      <c r="E85" s="30">
        <f>IFERROR(IF(LARGE(Agenda!$U$5:$U$1204,25)&gt;0,INDEX(Agenda!$A$5:$A$1204,MATCH(LARGE(Agenda!$U$5:$U$1204,25),Agenda!$U$5:$U$1204,0)),""),"")</f>
        <v/>
      </c>
      <c r="F85" s="25">
        <f>IFERROR(IF(LARGE(Agenda!$U$5:$U$1204,25)&gt;0,INDEX(Agenda!$G$5:$G$1204,MATCH(LARGE(Agenda!$U$5:$U$1204,25),Agenda!$U$5:$U$1204,0)),""),"")</f>
        <v/>
      </c>
      <c r="G85" s="30">
        <f>IFERROR(IF(LARGE(Agenda!$U$5:$U$1204,25)&gt;0,INDEX(Agenda!$Q$5:$Q$1204,MATCH(LARGE(Agenda!$U$5:$U$1204,25),Agenda!$U$5:$U$1204,0)),""),"")</f>
        <v/>
      </c>
      <c r="H85" s="32">
        <f>IFERROR(IF(LARGE(Agenda!$U$5:$U$1204,25)&gt;0,INDEX(Agenda!$S$5:$S$1204,MATCH(LARGE(Agenda!$U$5:$U$1204,25),Agenda!$U$5:$U$1204,0)),""),"")</f>
        <v/>
      </c>
    </row>
    <row r="86"/>
    <row r="87"/>
    <row r="88">
      <c r="A88" s="21" t="inlineStr">
        <is>
          <t>Faltaram mais de uma vez no mês</t>
        </is>
      </c>
    </row>
    <row r="89" ht="26" customHeight="1">
      <c r="A89" s="22" t="inlineStr">
        <is>
          <t>#</t>
        </is>
      </c>
      <c r="B89" s="22" t="inlineStr">
        <is>
          <t>Paciente</t>
        </is>
      </c>
      <c r="C89" s="22" t="inlineStr">
        <is>
          <t>Faltas no mês</t>
        </is>
      </c>
      <c r="D89" s="22" t="inlineStr">
        <is>
          <t>Pagador</t>
        </is>
      </c>
      <c r="E89" s="22" t="inlineStr">
        <is>
          <t>Profissional</t>
        </is>
      </c>
    </row>
    <row r="90">
      <c r="A90" s="26" t="n">
        <v>1</v>
      </c>
      <c r="B90" s="25">
        <f>IFERROR(IF(LARGE(Agenda!$V$5:$V$1204,1)&gt;=2000,INDEX(Agenda!$E$5:$E$1204,MATCH(LARGE(Agenda!$V$5:$V$1204,1),Agenda!$V$5:$V$1204,0)),""),"")</f>
        <v/>
      </c>
      <c r="C90" s="26">
        <f>IFERROR(IF(LARGE(Agenda!$V$5:$V$1204,1)&gt;=2000,INT(LARGE(Agenda!$V$5:$V$1204,1)/1000),""),"")</f>
        <v/>
      </c>
      <c r="D90" s="26">
        <f>IFERROR(IF(LARGE(Agenda!$V$5:$V$1204,1)&gt;=2000,INDEX(Agenda!$F$5:$F$1204,MATCH(LARGE(Agenda!$V$5:$V$1204,1),Agenda!$V$5:$V$1204,0)),""),"")</f>
        <v/>
      </c>
      <c r="E90" s="25">
        <f>IFERROR(IF(LARGE(Agenda!$V$5:$V$1204,1)&gt;=2000,INDEX(Agenda!$C$5:$C$1204,MATCH(LARGE(Agenda!$V$5:$V$1204,1),Agenda!$V$5:$V$1204,0)),""),"")</f>
        <v/>
      </c>
    </row>
    <row r="91">
      <c r="A91" s="26" t="n">
        <v>2</v>
      </c>
      <c r="B91" s="25">
        <f>IFERROR(IF(LARGE(Agenda!$V$5:$V$1204,2)&gt;=2000,INDEX(Agenda!$E$5:$E$1204,MATCH(LARGE(Agenda!$V$5:$V$1204,2),Agenda!$V$5:$V$1204,0)),""),"")</f>
        <v/>
      </c>
      <c r="C91" s="26">
        <f>IFERROR(IF(LARGE(Agenda!$V$5:$V$1204,2)&gt;=2000,INT(LARGE(Agenda!$V$5:$V$1204,2)/1000),""),"")</f>
        <v/>
      </c>
      <c r="D91" s="26">
        <f>IFERROR(IF(LARGE(Agenda!$V$5:$V$1204,2)&gt;=2000,INDEX(Agenda!$F$5:$F$1204,MATCH(LARGE(Agenda!$V$5:$V$1204,2),Agenda!$V$5:$V$1204,0)),""),"")</f>
        <v/>
      </c>
      <c r="E91" s="25">
        <f>IFERROR(IF(LARGE(Agenda!$V$5:$V$1204,2)&gt;=2000,INDEX(Agenda!$C$5:$C$1204,MATCH(LARGE(Agenda!$V$5:$V$1204,2),Agenda!$V$5:$V$1204,0)),""),"")</f>
        <v/>
      </c>
    </row>
    <row r="92">
      <c r="A92" s="26" t="n">
        <v>3</v>
      </c>
      <c r="B92" s="25">
        <f>IFERROR(IF(LARGE(Agenda!$V$5:$V$1204,3)&gt;=2000,INDEX(Agenda!$E$5:$E$1204,MATCH(LARGE(Agenda!$V$5:$V$1204,3),Agenda!$V$5:$V$1204,0)),""),"")</f>
        <v/>
      </c>
      <c r="C92" s="26">
        <f>IFERROR(IF(LARGE(Agenda!$V$5:$V$1204,3)&gt;=2000,INT(LARGE(Agenda!$V$5:$V$1204,3)/1000),""),"")</f>
        <v/>
      </c>
      <c r="D92" s="26">
        <f>IFERROR(IF(LARGE(Agenda!$V$5:$V$1204,3)&gt;=2000,INDEX(Agenda!$F$5:$F$1204,MATCH(LARGE(Agenda!$V$5:$V$1204,3),Agenda!$V$5:$V$1204,0)),""),"")</f>
        <v/>
      </c>
      <c r="E92" s="25">
        <f>IFERROR(IF(LARGE(Agenda!$V$5:$V$1204,3)&gt;=2000,INDEX(Agenda!$C$5:$C$1204,MATCH(LARGE(Agenda!$V$5:$V$1204,3),Agenda!$V$5:$V$1204,0)),""),"")</f>
        <v/>
      </c>
    </row>
    <row r="93">
      <c r="A93" s="26" t="n">
        <v>4</v>
      </c>
      <c r="B93" s="25">
        <f>IFERROR(IF(LARGE(Agenda!$V$5:$V$1204,4)&gt;=2000,INDEX(Agenda!$E$5:$E$1204,MATCH(LARGE(Agenda!$V$5:$V$1204,4),Agenda!$V$5:$V$1204,0)),""),"")</f>
        <v/>
      </c>
      <c r="C93" s="26">
        <f>IFERROR(IF(LARGE(Agenda!$V$5:$V$1204,4)&gt;=2000,INT(LARGE(Agenda!$V$5:$V$1204,4)/1000),""),"")</f>
        <v/>
      </c>
      <c r="D93" s="26">
        <f>IFERROR(IF(LARGE(Agenda!$V$5:$V$1204,4)&gt;=2000,INDEX(Agenda!$F$5:$F$1204,MATCH(LARGE(Agenda!$V$5:$V$1204,4),Agenda!$V$5:$V$1204,0)),""),"")</f>
        <v/>
      </c>
      <c r="E93" s="25">
        <f>IFERROR(IF(LARGE(Agenda!$V$5:$V$1204,4)&gt;=2000,INDEX(Agenda!$C$5:$C$1204,MATCH(LARGE(Agenda!$V$5:$V$1204,4),Agenda!$V$5:$V$1204,0)),""),"")</f>
        <v/>
      </c>
    </row>
    <row r="94">
      <c r="A94" s="26" t="n">
        <v>5</v>
      </c>
      <c r="B94" s="25">
        <f>IFERROR(IF(LARGE(Agenda!$V$5:$V$1204,5)&gt;=2000,INDEX(Agenda!$E$5:$E$1204,MATCH(LARGE(Agenda!$V$5:$V$1204,5),Agenda!$V$5:$V$1204,0)),""),"")</f>
        <v/>
      </c>
      <c r="C94" s="26">
        <f>IFERROR(IF(LARGE(Agenda!$V$5:$V$1204,5)&gt;=2000,INT(LARGE(Agenda!$V$5:$V$1204,5)/1000),""),"")</f>
        <v/>
      </c>
      <c r="D94" s="26">
        <f>IFERROR(IF(LARGE(Agenda!$V$5:$V$1204,5)&gt;=2000,INDEX(Agenda!$F$5:$F$1204,MATCH(LARGE(Agenda!$V$5:$V$1204,5),Agenda!$V$5:$V$1204,0)),""),"")</f>
        <v/>
      </c>
      <c r="E94" s="25">
        <f>IFERROR(IF(LARGE(Agenda!$V$5:$V$1204,5)&gt;=2000,INDEX(Agenda!$C$5:$C$1204,MATCH(LARGE(Agenda!$V$5:$V$1204,5),Agenda!$V$5:$V$1204,0)),""),"")</f>
        <v/>
      </c>
    </row>
    <row r="95">
      <c r="A95" s="26" t="n">
        <v>6</v>
      </c>
      <c r="B95" s="25">
        <f>IFERROR(IF(LARGE(Agenda!$V$5:$V$1204,6)&gt;=2000,INDEX(Agenda!$E$5:$E$1204,MATCH(LARGE(Agenda!$V$5:$V$1204,6),Agenda!$V$5:$V$1204,0)),""),"")</f>
        <v/>
      </c>
      <c r="C95" s="26">
        <f>IFERROR(IF(LARGE(Agenda!$V$5:$V$1204,6)&gt;=2000,INT(LARGE(Agenda!$V$5:$V$1204,6)/1000),""),"")</f>
        <v/>
      </c>
      <c r="D95" s="26">
        <f>IFERROR(IF(LARGE(Agenda!$V$5:$V$1204,6)&gt;=2000,INDEX(Agenda!$F$5:$F$1204,MATCH(LARGE(Agenda!$V$5:$V$1204,6),Agenda!$V$5:$V$1204,0)),""),"")</f>
        <v/>
      </c>
      <c r="E95" s="25">
        <f>IFERROR(IF(LARGE(Agenda!$V$5:$V$1204,6)&gt;=2000,INDEX(Agenda!$C$5:$C$1204,MATCH(LARGE(Agenda!$V$5:$V$1204,6),Agenda!$V$5:$V$1204,0)),""),"")</f>
        <v/>
      </c>
    </row>
    <row r="96">
      <c r="A96" s="26" t="n">
        <v>7</v>
      </c>
      <c r="B96" s="25">
        <f>IFERROR(IF(LARGE(Agenda!$V$5:$V$1204,7)&gt;=2000,INDEX(Agenda!$E$5:$E$1204,MATCH(LARGE(Agenda!$V$5:$V$1204,7),Agenda!$V$5:$V$1204,0)),""),"")</f>
        <v/>
      </c>
      <c r="C96" s="26">
        <f>IFERROR(IF(LARGE(Agenda!$V$5:$V$1204,7)&gt;=2000,INT(LARGE(Agenda!$V$5:$V$1204,7)/1000),""),"")</f>
        <v/>
      </c>
      <c r="D96" s="26">
        <f>IFERROR(IF(LARGE(Agenda!$V$5:$V$1204,7)&gt;=2000,INDEX(Agenda!$F$5:$F$1204,MATCH(LARGE(Agenda!$V$5:$V$1204,7),Agenda!$V$5:$V$1204,0)),""),"")</f>
        <v/>
      </c>
      <c r="E96" s="25">
        <f>IFERROR(IF(LARGE(Agenda!$V$5:$V$1204,7)&gt;=2000,INDEX(Agenda!$C$5:$C$1204,MATCH(LARGE(Agenda!$V$5:$V$1204,7),Agenda!$V$5:$V$1204,0)),""),"")</f>
        <v/>
      </c>
    </row>
    <row r="97">
      <c r="A97" s="26" t="n">
        <v>8</v>
      </c>
      <c r="B97" s="25">
        <f>IFERROR(IF(LARGE(Agenda!$V$5:$V$1204,8)&gt;=2000,INDEX(Agenda!$E$5:$E$1204,MATCH(LARGE(Agenda!$V$5:$V$1204,8),Agenda!$V$5:$V$1204,0)),""),"")</f>
        <v/>
      </c>
      <c r="C97" s="26">
        <f>IFERROR(IF(LARGE(Agenda!$V$5:$V$1204,8)&gt;=2000,INT(LARGE(Agenda!$V$5:$V$1204,8)/1000),""),"")</f>
        <v/>
      </c>
      <c r="D97" s="26">
        <f>IFERROR(IF(LARGE(Agenda!$V$5:$V$1204,8)&gt;=2000,INDEX(Agenda!$F$5:$F$1204,MATCH(LARGE(Agenda!$V$5:$V$1204,8),Agenda!$V$5:$V$1204,0)),""),"")</f>
        <v/>
      </c>
      <c r="E97" s="25">
        <f>IFERROR(IF(LARGE(Agenda!$V$5:$V$1204,8)&gt;=2000,INDEX(Agenda!$C$5:$C$1204,MATCH(LARGE(Agenda!$V$5:$V$1204,8),Agenda!$V$5:$V$1204,0)),""),"")</f>
        <v/>
      </c>
    </row>
    <row r="98">
      <c r="A98" s="26" t="n">
        <v>9</v>
      </c>
      <c r="B98" s="25">
        <f>IFERROR(IF(LARGE(Agenda!$V$5:$V$1204,9)&gt;=2000,INDEX(Agenda!$E$5:$E$1204,MATCH(LARGE(Agenda!$V$5:$V$1204,9),Agenda!$V$5:$V$1204,0)),""),"")</f>
        <v/>
      </c>
      <c r="C98" s="26">
        <f>IFERROR(IF(LARGE(Agenda!$V$5:$V$1204,9)&gt;=2000,INT(LARGE(Agenda!$V$5:$V$1204,9)/1000),""),"")</f>
        <v/>
      </c>
      <c r="D98" s="26">
        <f>IFERROR(IF(LARGE(Agenda!$V$5:$V$1204,9)&gt;=2000,INDEX(Agenda!$F$5:$F$1204,MATCH(LARGE(Agenda!$V$5:$V$1204,9),Agenda!$V$5:$V$1204,0)),""),"")</f>
        <v/>
      </c>
      <c r="E98" s="25">
        <f>IFERROR(IF(LARGE(Agenda!$V$5:$V$1204,9)&gt;=2000,INDEX(Agenda!$C$5:$C$1204,MATCH(LARGE(Agenda!$V$5:$V$1204,9),Agenda!$V$5:$V$1204,0)),""),"")</f>
        <v/>
      </c>
    </row>
    <row r="99">
      <c r="A99" s="26" t="n">
        <v>10</v>
      </c>
      <c r="B99" s="25">
        <f>IFERROR(IF(LARGE(Agenda!$V$5:$V$1204,10)&gt;=2000,INDEX(Agenda!$E$5:$E$1204,MATCH(LARGE(Agenda!$V$5:$V$1204,10),Agenda!$V$5:$V$1204,0)),""),"")</f>
        <v/>
      </c>
      <c r="C99" s="26">
        <f>IFERROR(IF(LARGE(Agenda!$V$5:$V$1204,10)&gt;=2000,INT(LARGE(Agenda!$V$5:$V$1204,10)/1000),""),"")</f>
        <v/>
      </c>
      <c r="D99" s="26">
        <f>IFERROR(IF(LARGE(Agenda!$V$5:$V$1204,10)&gt;=2000,INDEX(Agenda!$F$5:$F$1204,MATCH(LARGE(Agenda!$V$5:$V$1204,10),Agenda!$V$5:$V$1204,0)),""),"")</f>
        <v/>
      </c>
      <c r="E99" s="25">
        <f>IFERROR(IF(LARGE(Agenda!$V$5:$V$1204,10)&gt;=2000,INDEX(Agenda!$C$5:$C$1204,MATCH(LARGE(Agenda!$V$5:$V$1204,10),Agenda!$V$5:$V$1204,0)),""),"")</f>
        <v/>
      </c>
    </row>
    <row r="100">
      <c r="A100" s="31" t="inlineStr">
        <is>
          <t>Duas faltas no mesmo mês pedem uma conversa antes do próximo agendamento (confirmação obrigatória, horário de encaixe). Sem cobrança de multa aqui: é decisão da clínica e tem regras próprias.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1">
    <mergeCell ref="G38:I38"/>
    <mergeCell ref="H49:J49"/>
    <mergeCell ref="H51:J51"/>
    <mergeCell ref="A7:L7"/>
    <mergeCell ref="G10:I10"/>
    <mergeCell ref="G28:I28"/>
    <mergeCell ref="G13:I13"/>
    <mergeCell ref="G19:I19"/>
    <mergeCell ref="G37:I37"/>
    <mergeCell ref="H52:J52"/>
    <mergeCell ref="C5:D5"/>
    <mergeCell ref="E5:F5"/>
    <mergeCell ref="K5:L5"/>
    <mergeCell ref="G34:I34"/>
    <mergeCell ref="A43:J43"/>
    <mergeCell ref="G30:I30"/>
    <mergeCell ref="G15:I15"/>
    <mergeCell ref="C4:D4"/>
    <mergeCell ref="A2:L2"/>
    <mergeCell ref="E4:F4"/>
    <mergeCell ref="G14:I14"/>
    <mergeCell ref="A58:J58"/>
    <mergeCell ref="A9:J9"/>
    <mergeCell ref="H47:J47"/>
    <mergeCell ref="G35:I35"/>
    <mergeCell ref="G20:I20"/>
    <mergeCell ref="G26:I26"/>
    <mergeCell ref="A24:J24"/>
    <mergeCell ref="G29:I29"/>
    <mergeCell ref="H48:J48"/>
    <mergeCell ref="G25:I25"/>
    <mergeCell ref="A100:L100"/>
    <mergeCell ref="G16:I16"/>
    <mergeCell ref="A45:J45"/>
    <mergeCell ref="G41:I41"/>
    <mergeCell ref="G22:I22"/>
    <mergeCell ref="A88:J88"/>
    <mergeCell ref="G31:I31"/>
    <mergeCell ref="A5:B5"/>
    <mergeCell ref="G5:H5"/>
    <mergeCell ref="G40:I40"/>
    <mergeCell ref="I5:J5"/>
    <mergeCell ref="G12:I12"/>
    <mergeCell ref="G21:I21"/>
    <mergeCell ref="H53:J53"/>
    <mergeCell ref="A59:L59"/>
    <mergeCell ref="G11:I11"/>
    <mergeCell ref="A4:B4"/>
    <mergeCell ref="G4:H4"/>
    <mergeCell ref="I4:J4"/>
    <mergeCell ref="G36:I36"/>
    <mergeCell ref="G42:I42"/>
    <mergeCell ref="H54:J54"/>
    <mergeCell ref="G27:I27"/>
    <mergeCell ref="H50:J50"/>
    <mergeCell ref="A18:J18"/>
    <mergeCell ref="A1:L1"/>
    <mergeCell ref="G39:I39"/>
    <mergeCell ref="A55:J55"/>
    <mergeCell ref="K4:L4"/>
    <mergeCell ref="A33:J33"/>
  </mergeCells>
  <conditionalFormatting sqref="D11:D16">
    <cfRule type="expression" priority="1" dxfId="0">
      <formula>AND(ISNUMBER(D11),D11&gt;0.1)</formula>
    </cfRule>
  </conditionalFormatting>
  <conditionalFormatting sqref="D20:D22">
    <cfRule type="expression" priority="2" dxfId="0">
      <formula>AND(ISNUMBER(D20),D20&gt;0.1)</formula>
    </cfRule>
  </conditionalFormatting>
  <conditionalFormatting sqref="D26:D31">
    <cfRule type="expression" priority="3" dxfId="0">
      <formula>AND(ISNUMBER(D26),D26&gt;0.1)</formula>
    </cfRule>
  </conditionalFormatting>
  <conditionalFormatting sqref="D35:D42">
    <cfRule type="expression" priority="4" dxfId="0">
      <formula>AND(ISNUMBER(D35),D35&gt;0.1)</formula>
    </cfRule>
  </conditionalFormatting>
  <conditionalFormatting sqref="A47:H54">
    <cfRule type="expression" priority="5" dxfId="1">
      <formula>$B47&gt;Config!$B$8-7</formula>
    </cfRule>
  </conditionalFormatting>
  <conditionalFormatting sqref="A61:H85">
    <cfRule type="expression" priority="6" dxfId="2">
      <formula>AND(ISNUMBER($H61),$H61&gt;=30)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" customWidth="1" min="3" max="3"/>
    <col width="26" customWidth="1" min="4" max="4"/>
    <col width="3" customWidth="1" min="5" max="5"/>
    <col width="16" customWidth="1" min="6" max="6"/>
    <col width="3" customWidth="1" min="7" max="7"/>
    <col width="22" customWidth="1" min="8" max="8"/>
    <col width="14" customWidth="1" min="9" max="9"/>
    <col width="3" customWidth="1" min="10" max="10"/>
    <col width="3" customWidth="1" min="11" max="11"/>
    <col width="12" customWidth="1" min="12" max="12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Listas iguais às da planilha 01; o retorno esperado por procedimento monta a lista de retorno.</t>
        </is>
      </c>
    </row>
    <row r="4">
      <c r="A4" s="33" t="inlineStr">
        <is>
          <t>Clínica</t>
        </is>
      </c>
      <c r="B4" s="34" t="inlineStr">
        <is>
          <t>Clínica Vida Plena (exemplo fictício)</t>
        </is>
      </c>
      <c r="D4" s="33" t="inlineStr">
        <is>
          <t>Profissionais (até 8)</t>
        </is>
      </c>
      <c r="F4" s="33" t="inlineStr">
        <is>
          <t>Pagadores (até 6)</t>
        </is>
      </c>
      <c r="H4" s="33" t="inlineStr">
        <is>
          <t>Procedimentos (até 12)</t>
        </is>
      </c>
      <c r="I4" s="33" t="inlineStr">
        <is>
          <t>Retorno em (dias)</t>
        </is>
      </c>
      <c r="L4" s="33" t="inlineStr">
        <is>
          <t>Meses</t>
        </is>
      </c>
    </row>
    <row r="5">
      <c r="A5" s="33" t="inlineStr">
        <is>
          <t>Ano do painel</t>
        </is>
      </c>
      <c r="B5" s="35" t="n">
        <v>2026</v>
      </c>
      <c r="D5" s="34" t="inlineStr">
        <is>
          <t>Dra. Carolina Mendes</t>
        </is>
      </c>
      <c r="F5" s="34" t="inlineStr">
        <is>
          <t>Particular</t>
        </is>
      </c>
      <c r="H5" s="34" t="inlineStr">
        <is>
          <t>Consulta</t>
        </is>
      </c>
      <c r="I5" s="36" t="n">
        <v>30</v>
      </c>
      <c r="L5" s="37" t="inlineStr">
        <is>
          <t>Janeiro</t>
        </is>
      </c>
    </row>
    <row r="6">
      <c r="A6" s="33" t="inlineStr">
        <is>
          <t>Mês do painel</t>
        </is>
      </c>
      <c r="B6" s="35" t="inlineStr">
        <is>
          <t>Setembro</t>
        </is>
      </c>
      <c r="D6" s="34" t="inlineStr">
        <is>
          <t>Dr. Paulo Andrade</t>
        </is>
      </c>
      <c r="F6" s="34" t="inlineStr">
        <is>
          <t>Saúde Total</t>
        </is>
      </c>
      <c r="H6" s="34" t="inlineStr">
        <is>
          <t>Retorno</t>
        </is>
      </c>
      <c r="I6" s="36" t="n">
        <v>0</v>
      </c>
      <c r="L6" s="37" t="inlineStr">
        <is>
          <t>Fevereiro</t>
        </is>
      </c>
    </row>
    <row r="7">
      <c r="A7" s="33" t="inlineStr">
        <is>
          <t>Número do mês</t>
        </is>
      </c>
      <c r="B7" s="26">
        <f>MATCH(B6,$L$5:$L$16,0)</f>
        <v>9</v>
      </c>
      <c r="D7" s="34" t="inlineStr">
        <is>
          <t>Dra. Renata Sousa</t>
        </is>
      </c>
      <c r="F7" s="34" t="inlineStr">
        <is>
          <t>MediPlan</t>
        </is>
      </c>
      <c r="H7" s="34" t="inlineStr">
        <is>
          <t>ECG</t>
        </is>
      </c>
      <c r="I7" s="36" t="n">
        <v>0</v>
      </c>
      <c r="L7" s="37" t="inlineStr">
        <is>
          <t>Março</t>
        </is>
      </c>
    </row>
    <row r="8">
      <c r="A8" s="33" t="inlineStr">
        <is>
          <t>Data de referência (hoje)</t>
        </is>
      </c>
      <c r="B8" s="38">
        <f>TODAY()</f>
        <v>46279.0</v>
      </c>
      <c r="D8" s="34" t="n"/>
      <c r="F8" s="34" t="inlineStr">
        <is>
          <t>Vida Care</t>
        </is>
      </c>
      <c r="H8" s="34" t="inlineStr">
        <is>
          <t>MAPA</t>
        </is>
      </c>
      <c r="I8" s="36" t="n">
        <v>0</v>
      </c>
      <c r="L8" s="37" t="inlineStr">
        <is>
          <t>Abril</t>
        </is>
      </c>
    </row>
    <row r="9">
      <c r="A9" s="33" t="inlineStr">
        <is>
          <t>Lista de retorno: incluir quem passou do prazo há mais de (dias)</t>
        </is>
      </c>
      <c r="B9" s="36" t="n">
        <v>0</v>
      </c>
      <c r="C9" s="31" t="inlineStr">
        <is>
          <t>0 = entra na lista no dia em que o retorno previsto passa. 7 = só uma semana depois.</t>
        </is>
      </c>
      <c r="D9" s="34" t="n"/>
      <c r="F9" s="34" t="n"/>
      <c r="H9" s="34" t="inlineStr">
        <is>
          <t>Holter</t>
        </is>
      </c>
      <c r="I9" s="36" t="n">
        <v>0</v>
      </c>
      <c r="L9" s="37" t="inlineStr">
        <is>
          <t>Maio</t>
        </is>
      </c>
    </row>
    <row r="10">
      <c r="D10" s="34" t="n"/>
      <c r="F10" s="34" t="n"/>
      <c r="H10" s="34" t="inlineStr">
        <is>
          <t>Teste ergométrico</t>
        </is>
      </c>
      <c r="I10" s="36" t="n">
        <v>0</v>
      </c>
      <c r="L10" s="37" t="inlineStr">
        <is>
          <t>Junho</t>
        </is>
      </c>
    </row>
    <row r="11">
      <c r="D11" s="34" t="n"/>
      <c r="H11" s="34" t="inlineStr">
        <is>
          <t>Avaliação endócrina</t>
        </is>
      </c>
      <c r="I11" s="36" t="n">
        <v>45</v>
      </c>
      <c r="L11" s="37" t="inlineStr">
        <is>
          <t>Julho</t>
        </is>
      </c>
    </row>
    <row r="12">
      <c r="D12" s="34" t="n"/>
      <c r="H12" s="34" t="n"/>
      <c r="I12" s="36" t="n"/>
      <c r="L12" s="37" t="inlineStr">
        <is>
          <t>Agosto</t>
        </is>
      </c>
    </row>
    <row r="13">
      <c r="H13" s="34" t="n"/>
      <c r="I13" s="36" t="n"/>
      <c r="L13" s="37" t="inlineStr">
        <is>
          <t>Setembro</t>
        </is>
      </c>
    </row>
    <row r="14">
      <c r="H14" s="34" t="n"/>
      <c r="I14" s="36" t="n"/>
      <c r="L14" s="37" t="inlineStr">
        <is>
          <t>Outubro</t>
        </is>
      </c>
    </row>
    <row r="15">
      <c r="H15" s="34" t="n"/>
      <c r="I15" s="36" t="n"/>
      <c r="L15" s="37" t="inlineStr">
        <is>
          <t>Novembro</t>
        </is>
      </c>
    </row>
    <row r="16">
      <c r="H16" s="34" t="n"/>
      <c r="I16" s="36" t="n"/>
      <c r="L16" s="37" t="inlineStr">
        <is>
          <t>Dezembro</t>
        </is>
      </c>
    </row>
    <row r="18">
      <c r="D18" s="31" t="inlineStr">
        <is>
          <t>Copie as listas da planilha 01 (Config). Retorno em (dias): em quantos dias se espera o paciente de volta depois desse procedimento (0 = não gera retorno). Preencha de cima para baixo, sem pular linha.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L2"/>
    <mergeCell ref="A1:L1"/>
  </mergeCells>
  <dataValidations count="1">
    <dataValidation sqref="B6" showDropDown="0" showInputMessage="0" showErrorMessage="1" allowBlank="0" type="list">
      <formula1>=Config!$L$5:$L$16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06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22" customWidth="1" min="3" max="3"/>
    <col width="8" customWidth="1" min="4" max="4"/>
    <col width="26" customWidth="1" min="5" max="5"/>
    <col width="12" customWidth="1" min="6" max="6"/>
    <col width="18" customWidth="1" min="7" max="7"/>
    <col width="11" customWidth="1" min="8" max="8"/>
    <col width="16" customWidth="1" min="9" max="9"/>
    <col width="9" customWidth="1" min="10" max="10"/>
    <col width="24" customWidth="1" min="11" max="11"/>
    <col width="6" customWidth="1" min="12" max="12"/>
    <col width="6" customWidth="1" min="13" max="13"/>
    <col width="11" customWidth="1" min="14" max="14"/>
    <col width="8" customWidth="1" min="15" max="15"/>
    <col width="9" customWidth="1" min="16" max="16"/>
    <col width="12" customWidth="1" min="17" max="17"/>
    <col width="12" customWidth="1" min="18" max="18"/>
    <col width="11" customWidth="1" min="19" max="19"/>
    <col width="11" customWidth="1" min="20" max="20"/>
    <col hidden="1" width="13" customWidth="1" min="21" max="21"/>
    <col hidden="1" width="13" customWidth="1" min="22" max="22"/>
  </cols>
  <sheetData>
    <row r="1" ht="28" customHeight="1">
      <c r="A1" s="5" t="inlineStr">
        <is>
          <t>Agenda (cópia da planilha 01)</t>
        </is>
      </c>
    </row>
    <row r="2">
      <c r="A2" s="6" t="inlineStr">
        <is>
          <t>Cole aqui as colunas A a K da Agenda da planilha 01 (a 01 é a fonte). As colunas brancas calculam faltas, retorno previsto e a lista de retorno.</t>
        </is>
      </c>
    </row>
    <row r="4" ht="40" customHeight="1">
      <c r="A4" s="22" t="inlineStr">
        <is>
          <t>Data</t>
        </is>
      </c>
      <c r="B4" s="22" t="inlineStr">
        <is>
          <t>Hora</t>
        </is>
      </c>
      <c r="C4" s="22" t="inlineStr">
        <is>
          <t>Profissional</t>
        </is>
      </c>
      <c r="D4" s="22" t="inlineStr">
        <is>
          <t>Sala</t>
        </is>
      </c>
      <c r="E4" s="22" t="inlineStr">
        <is>
          <t>Paciente</t>
        </is>
      </c>
      <c r="F4" s="22" t="inlineStr">
        <is>
          <t>Pagador</t>
        </is>
      </c>
      <c r="G4" s="22" t="inlineStr">
        <is>
          <t>Procedimento</t>
        </is>
      </c>
      <c r="H4" s="22" t="inlineStr">
        <is>
          <t>Situação</t>
        </is>
      </c>
      <c r="I4" s="22" t="inlineStr">
        <is>
          <t>Forma de pagamento</t>
        </is>
      </c>
      <c r="J4" s="22" t="inlineStr">
        <is>
          <t>Parcelas (cartão)</t>
        </is>
      </c>
      <c r="K4" s="22" t="inlineStr">
        <is>
          <t>Observação</t>
        </is>
      </c>
      <c r="L4" s="22" t="inlineStr">
        <is>
          <t>Mês</t>
        </is>
      </c>
      <c r="M4" s="22" t="inlineStr">
        <is>
          <t>Ano</t>
        </is>
      </c>
      <c r="N4" s="22" t="inlineStr">
        <is>
          <t>Dia da semana</t>
        </is>
      </c>
      <c r="O4" s="22" t="inlineStr">
        <is>
          <t>Período</t>
        </is>
      </c>
      <c r="P4" s="22" t="inlineStr">
        <is>
          <t>Retorno em (dias)</t>
        </is>
      </c>
      <c r="Q4" s="22" t="inlineStr">
        <is>
          <t>Retorno previsto</t>
        </is>
      </c>
      <c r="R4" s="22" t="inlineStr">
        <is>
          <t>Voltou ou tem horário?</t>
        </is>
      </c>
      <c r="S4" s="22" t="inlineStr">
        <is>
          <t>Dias além do previsto</t>
        </is>
      </c>
      <c r="T4" s="22" t="inlineStr">
        <is>
          <t>Na lista de retorno?</t>
        </is>
      </c>
    </row>
    <row r="5">
      <c r="A5" s="39" t="n">
        <v>46204</v>
      </c>
      <c r="B5" s="40" t="n">
        <v>0.5833333333333334</v>
      </c>
      <c r="C5" s="35" t="inlineStr">
        <is>
          <t>Dra. Carolina Mendes</t>
        </is>
      </c>
      <c r="D5" s="35" t="inlineStr">
        <is>
          <t>Sala 1</t>
        </is>
      </c>
      <c r="E5" s="34" t="inlineStr">
        <is>
          <t>Cláudia Santos</t>
        </is>
      </c>
      <c r="F5" s="35" t="inlineStr">
        <is>
          <t>Particular</t>
        </is>
      </c>
      <c r="G5" s="35" t="inlineStr">
        <is>
          <t>Consulta</t>
        </is>
      </c>
      <c r="H5" s="35" t="inlineStr">
        <is>
          <t>Realizado</t>
        </is>
      </c>
      <c r="I5" s="35" t="inlineStr">
        <is>
          <t>Pix</t>
        </is>
      </c>
      <c r="J5" s="35" t="n"/>
      <c r="K5" s="34" t="n"/>
      <c r="L5" s="26">
        <f>IF(A5="","",MONTH(A5))</f>
        <v>7</v>
      </c>
      <c r="M5" s="26">
        <f>IF(A5="","",YEAR(A5))</f>
        <v>2026</v>
      </c>
      <c r="N5" s="26" t="str">
        <f>IF(A5="","",CHOOSE(WEEKDAY(A5,2),"Segunda","Terça","Quarta","Quinta","Sexta","Sábado","Domingo"))</f>
        <v>Quarta</v>
      </c>
      <c r="O5" s="26" t="str">
        <f>IF(B5="","",IF(B5&lt;TIME(12,0,0),"Manhã",IF(B5&lt;TIME(18,0,0),"Tarde","Noite")))</f>
        <v>Tarde</v>
      </c>
      <c r="P5" s="32">
        <f>IF(G5="","",IFERROR(INDEX(Config!$I$5:$I$16,MATCH(G5,Config!$H$5:$H$16,0)),0))</f>
        <v>30</v>
      </c>
      <c r="Q5" s="30">
        <f>IF(OR(H5&lt;&gt;"Realizado",P5="",P5=0),"",A5+P5)</f>
        <v>46234.0</v>
      </c>
      <c r="R5" s="26" t="str">
        <f>IF(Q5="","",IF(COUNTIFS($E$5:$E$1204,E5,$A$5:$A$1204,"&gt;"&amp;A5,$H$5:$H$1204,"&lt;&gt;Falta",$H$5:$H$1204,"&lt;&gt;Cancelado",$H$5:$H$1204,"&lt;&gt;Remarcado")&gt;0,"Sim","Não"))</f>
        <v>Sim</v>
      </c>
      <c r="S5" s="32">
        <f>IF(R5&lt;&gt;"Não","",IF(Q5+Config!$B$9&lt;=Config!$B$8,Config!$B$8-Q5,""))</f>
        <v/>
      </c>
      <c r="T5" s="26">
        <f>IF(S5="","","Sim")</f>
        <v/>
      </c>
      <c r="U5" s="41">
        <f>IF(T5="Sim",S5+ROW()/100000,0)</f>
        <v>0</v>
      </c>
      <c r="V5" s="41">
        <f>IF(AND(H5="Falta",L5=Config!$B$7,M5=Config!$B$5,COUNTIFS($E$5:E5,E5,$H$5:H5,"Falta",$L$5:L5,Config!$B$7,$M$5:M5,Config!$B$5)=1),COUNTIFS($E$5:$E$1204,E5,$H$5:$H$1204,"Falta",$L$5:$L$1204,Config!$B$7,$M$5:$M$1204,Config!$B$5)*1000-ROW()/100000,0)</f>
        <v>0</v>
      </c>
    </row>
    <row r="6">
      <c r="A6" s="39" t="n">
        <v>46204</v>
      </c>
      <c r="B6" s="40" t="n">
        <v>0.6041666666666666</v>
      </c>
      <c r="C6" s="35" t="inlineStr">
        <is>
          <t>Dra. Carolina Mendes</t>
        </is>
      </c>
      <c r="D6" s="35" t="inlineStr">
        <is>
          <t>Sala 1</t>
        </is>
      </c>
      <c r="E6" s="34" t="inlineStr">
        <is>
          <t>Lucas Lopes</t>
        </is>
      </c>
      <c r="F6" s="35" t="inlineStr">
        <is>
          <t>Particular</t>
        </is>
      </c>
      <c r="G6" s="35" t="inlineStr">
        <is>
          <t>Consulta</t>
        </is>
      </c>
      <c r="H6" s="35" t="inlineStr">
        <is>
          <t>Realizado</t>
        </is>
      </c>
      <c r="I6" s="35" t="inlineStr">
        <is>
          <t>Cartão de débito</t>
        </is>
      </c>
      <c r="J6" s="35" t="n"/>
      <c r="K6" s="34" t="n"/>
      <c r="L6" s="26">
        <f>IF(A6="","",MONTH(A6))</f>
        <v>7</v>
      </c>
      <c r="M6" s="26">
        <f>IF(A6="","",YEAR(A6))</f>
        <v>2026</v>
      </c>
      <c r="N6" s="26" t="str">
        <f>IF(A6="","",CHOOSE(WEEKDAY(A6,2),"Segunda","Terça","Quarta","Quinta","Sexta","Sábado","Domingo"))</f>
        <v>Quarta</v>
      </c>
      <c r="O6" s="26" t="str">
        <f>IF(B6="","",IF(B6&lt;TIME(12,0,0),"Manhã",IF(B6&lt;TIME(18,0,0),"Tarde","Noite")))</f>
        <v>Tarde</v>
      </c>
      <c r="P6" s="32">
        <f>IF(G6="","",IFERROR(INDEX(Config!$I$5:$I$16,MATCH(G6,Config!$H$5:$H$16,0)),0))</f>
        <v>30</v>
      </c>
      <c r="Q6" s="30">
        <f>IF(OR(H6&lt;&gt;"Realizado",P6="",P6=0),"",A6+P6)</f>
        <v>46234.0</v>
      </c>
      <c r="R6" s="26" t="str">
        <f>IF(Q6="","",IF(COUNTIFS($E$5:$E$1204,E6,$A$5:$A$1204,"&gt;"&amp;A6,$H$5:$H$1204,"&lt;&gt;Falta",$H$5:$H$1204,"&lt;&gt;Cancelado",$H$5:$H$1204,"&lt;&gt;Remarcado")&gt;0,"Sim","Não"))</f>
        <v>Sim</v>
      </c>
      <c r="S6" s="32">
        <f>IF(R6&lt;&gt;"Não","",IF(Q6+Config!$B$9&lt;=Config!$B$8,Config!$B$8-Q6,""))</f>
        <v/>
      </c>
      <c r="T6" s="26">
        <f>IF(S6="","","Sim")</f>
        <v/>
      </c>
      <c r="U6" s="41">
        <f>IF(T6="Sim",S6+ROW()/100000,0)</f>
        <v>0</v>
      </c>
      <c r="V6" s="41">
        <f>IF(AND(H6="Falta",L6=Config!$B$7,M6=Config!$B$5,COUNTIFS($E$5:E6,E6,$H$5:H6,"Falta",$L$5:L6,Config!$B$7,$M$5:M6,Config!$B$5)=1),COUNTIFS($E$5:$E$1204,E6,$H$5:$H$1204,"Falta",$L$5:$L$1204,Config!$B$7,$M$5:$M$1204,Config!$B$5)*1000-ROW()/100000,0)</f>
        <v>0</v>
      </c>
    </row>
    <row r="7">
      <c r="A7" s="39" t="n">
        <v>46204</v>
      </c>
      <c r="B7" s="40" t="n">
        <v>0.625</v>
      </c>
      <c r="C7" s="35" t="inlineStr">
        <is>
          <t>Dra. Carolina Mendes</t>
        </is>
      </c>
      <c r="D7" s="35" t="inlineStr">
        <is>
          <t>Sala 1</t>
        </is>
      </c>
      <c r="E7" s="34" t="inlineStr">
        <is>
          <t>Eduardo Nunes</t>
        </is>
      </c>
      <c r="F7" s="35" t="inlineStr">
        <is>
          <t>MediPlan</t>
        </is>
      </c>
      <c r="G7" s="35" t="inlineStr">
        <is>
          <t>Consulta</t>
        </is>
      </c>
      <c r="H7" s="35" t="inlineStr">
        <is>
          <t>Realizado</t>
        </is>
      </c>
      <c r="I7" s="35" t="inlineStr">
        <is>
          <t>Convênio</t>
        </is>
      </c>
      <c r="J7" s="35" t="n"/>
      <c r="K7" s="34" t="n"/>
      <c r="L7" s="26">
        <f>IF(A7="","",MONTH(A7))</f>
        <v>7</v>
      </c>
      <c r="M7" s="26">
        <f>IF(A7="","",YEAR(A7))</f>
        <v>2026</v>
      </c>
      <c r="N7" s="26" t="str">
        <f>IF(A7="","",CHOOSE(WEEKDAY(A7,2),"Segunda","Terça","Quarta","Quinta","Sexta","Sábado","Domingo"))</f>
        <v>Quarta</v>
      </c>
      <c r="O7" s="26" t="str">
        <f>IF(B7="","",IF(B7&lt;TIME(12,0,0),"Manhã",IF(B7&lt;TIME(18,0,0),"Tarde","Noite")))</f>
        <v>Tarde</v>
      </c>
      <c r="P7" s="32">
        <f>IF(G7="","",IFERROR(INDEX(Config!$I$5:$I$16,MATCH(G7,Config!$H$5:$H$16,0)),0))</f>
        <v>30</v>
      </c>
      <c r="Q7" s="30">
        <f>IF(OR(H7&lt;&gt;"Realizado",P7="",P7=0),"",A7+P7)</f>
        <v>46234.0</v>
      </c>
      <c r="R7" s="26" t="str">
        <f>IF(Q7="","",IF(COUNTIFS($E$5:$E$1204,E7,$A$5:$A$1204,"&gt;"&amp;A7,$H$5:$H$1204,"&lt;&gt;Falta",$H$5:$H$1204,"&lt;&gt;Cancelado",$H$5:$H$1204,"&lt;&gt;Remarcado")&gt;0,"Sim","Não"))</f>
        <v>Sim</v>
      </c>
      <c r="S7" s="32">
        <f>IF(R7&lt;&gt;"Não","",IF(Q7+Config!$B$9&lt;=Config!$B$8,Config!$B$8-Q7,""))</f>
        <v/>
      </c>
      <c r="T7" s="26">
        <f>IF(S7="","","Sim")</f>
        <v/>
      </c>
      <c r="U7" s="41">
        <f>IF(T7="Sim",S7+ROW()/100000,0)</f>
        <v>0</v>
      </c>
      <c r="V7" s="41">
        <f>IF(AND(H7="Falta",L7=Config!$B$7,M7=Config!$B$5,COUNTIFS($E$5:E7,E7,$H$5:H7,"Falta",$L$5:L7,Config!$B$7,$M$5:M7,Config!$B$5)=1),COUNTIFS($E$5:$E$1204,E7,$H$5:$H$1204,"Falta",$L$5:$L$1204,Config!$B$7,$M$5:$M$1204,Config!$B$5)*1000-ROW()/100000,0)</f>
        <v>0</v>
      </c>
    </row>
    <row r="8">
      <c r="A8" s="39" t="n">
        <v>46204</v>
      </c>
      <c r="B8" s="40" t="n">
        <v>0.6458333333333334</v>
      </c>
      <c r="C8" s="35" t="inlineStr">
        <is>
          <t>Dra. Carolina Mendes</t>
        </is>
      </c>
      <c r="D8" s="35" t="inlineStr">
        <is>
          <t>Sala 1</t>
        </is>
      </c>
      <c r="E8" s="34" t="inlineStr">
        <is>
          <t>Priscila Carvalho</t>
        </is>
      </c>
      <c r="F8" s="35" t="inlineStr">
        <is>
          <t>Vida Care</t>
        </is>
      </c>
      <c r="G8" s="35" t="inlineStr">
        <is>
          <t>Consulta</t>
        </is>
      </c>
      <c r="H8" s="35" t="inlineStr">
        <is>
          <t>Falta</t>
        </is>
      </c>
      <c r="I8" s="35" t="n"/>
      <c r="J8" s="35" t="n"/>
      <c r="K8" s="34" t="n"/>
      <c r="L8" s="26">
        <f>IF(A8="","",MONTH(A8))</f>
        <v>7</v>
      </c>
      <c r="M8" s="26">
        <f>IF(A8="","",YEAR(A8))</f>
        <v>2026</v>
      </c>
      <c r="N8" s="26" t="str">
        <f>IF(A8="","",CHOOSE(WEEKDAY(A8,2),"Segunda","Terça","Quarta","Quinta","Sexta","Sábado","Domingo"))</f>
        <v>Quarta</v>
      </c>
      <c r="O8" s="26" t="str">
        <f>IF(B8="","",IF(B8&lt;TIME(12,0,0),"Manhã",IF(B8&lt;TIME(18,0,0),"Tarde","Noite")))</f>
        <v>Tarde</v>
      </c>
      <c r="P8" s="32">
        <f>IF(G8="","",IFERROR(INDEX(Config!$I$5:$I$16,MATCH(G8,Config!$H$5:$H$16,0)),0))</f>
        <v>30</v>
      </c>
      <c r="Q8" s="30">
        <f>IF(OR(H8&lt;&gt;"Realizado",P8="",P8=0),"",A8+P8)</f>
        <v/>
      </c>
      <c r="R8" s="26">
        <f>IF(Q8="","",IF(COUNTIFS($E$5:$E$1204,E8,$A$5:$A$1204,"&gt;"&amp;A8,$H$5:$H$1204,"&lt;&gt;Falta",$H$5:$H$1204,"&lt;&gt;Cancelado",$H$5:$H$1204,"&lt;&gt;Remarcado")&gt;0,"Sim","Não"))</f>
        <v/>
      </c>
      <c r="S8" s="32">
        <f>IF(R8&lt;&gt;"Não","",IF(Q8+Config!$B$9&lt;=Config!$B$8,Config!$B$8-Q8,""))</f>
        <v/>
      </c>
      <c r="T8" s="26">
        <f>IF(S8="","","Sim")</f>
        <v/>
      </c>
      <c r="U8" s="41">
        <f>IF(T8="Sim",S8+ROW()/100000,0)</f>
        <v>0</v>
      </c>
      <c r="V8" s="41">
        <f>IF(AND(H8="Falta",L8=Config!$B$7,M8=Config!$B$5,COUNTIFS($E$5:E8,E8,$H$5:H8,"Falta",$L$5:L8,Config!$B$7,$M$5:M8,Config!$B$5)=1),COUNTIFS($E$5:$E$1204,E8,$H$5:$H$1204,"Falta",$L$5:$L$1204,Config!$B$7,$M$5:$M$1204,Config!$B$5)*1000-ROW()/100000,0)</f>
        <v>0</v>
      </c>
    </row>
    <row r="9">
      <c r="A9" s="39" t="n">
        <v>46204</v>
      </c>
      <c r="B9" s="40" t="n">
        <v>0.6666666666666666</v>
      </c>
      <c r="C9" s="35" t="inlineStr">
        <is>
          <t>Dra. Carolina Mendes</t>
        </is>
      </c>
      <c r="D9" s="35" t="inlineStr">
        <is>
          <t>Sala 1</t>
        </is>
      </c>
      <c r="E9" s="34" t="inlineStr">
        <is>
          <t>Tatiana Cunha</t>
        </is>
      </c>
      <c r="F9" s="35" t="inlineStr">
        <is>
          <t>Saúde Total</t>
        </is>
      </c>
      <c r="G9" s="35" t="inlineStr">
        <is>
          <t>Consulta</t>
        </is>
      </c>
      <c r="H9" s="35" t="inlineStr">
        <is>
          <t>Realizado</t>
        </is>
      </c>
      <c r="I9" s="35" t="inlineStr">
        <is>
          <t>Convênio</t>
        </is>
      </c>
      <c r="J9" s="35" t="n"/>
      <c r="K9" s="34" t="n"/>
      <c r="L9" s="26">
        <f>IF(A9="","",MONTH(A9))</f>
        <v>7</v>
      </c>
      <c r="M9" s="26">
        <f>IF(A9="","",YEAR(A9))</f>
        <v>2026</v>
      </c>
      <c r="N9" s="26" t="str">
        <f>IF(A9="","",CHOOSE(WEEKDAY(A9,2),"Segunda","Terça","Quarta","Quinta","Sexta","Sábado","Domingo"))</f>
        <v>Quarta</v>
      </c>
      <c r="O9" s="26" t="str">
        <f>IF(B9="","",IF(B9&lt;TIME(12,0,0),"Manhã",IF(B9&lt;TIME(18,0,0),"Tarde","Noite")))</f>
        <v>Tarde</v>
      </c>
      <c r="P9" s="32">
        <f>IF(G9="","",IFERROR(INDEX(Config!$I$5:$I$16,MATCH(G9,Config!$H$5:$H$16,0)),0))</f>
        <v>30</v>
      </c>
      <c r="Q9" s="30">
        <f>IF(OR(H9&lt;&gt;"Realizado",P9="",P9=0),"",A9+P9)</f>
        <v>46234.0</v>
      </c>
      <c r="R9" s="26" t="str">
        <f>IF(Q9="","",IF(COUNTIFS($E$5:$E$1204,E9,$A$5:$A$1204,"&gt;"&amp;A9,$H$5:$H$1204,"&lt;&gt;Falta",$H$5:$H$1204,"&lt;&gt;Cancelado",$H$5:$H$1204,"&lt;&gt;Remarcado")&gt;0,"Sim","Não"))</f>
        <v>Sim</v>
      </c>
      <c r="S9" s="32">
        <f>IF(R9&lt;&gt;"Não","",IF(Q9+Config!$B$9&lt;=Config!$B$8,Config!$B$8-Q9,""))</f>
        <v/>
      </c>
      <c r="T9" s="26">
        <f>IF(S9="","","Sim")</f>
        <v/>
      </c>
      <c r="U9" s="41">
        <f>IF(T9="Sim",S9+ROW()/100000,0)</f>
        <v>0</v>
      </c>
      <c r="V9" s="41">
        <f>IF(AND(H9="Falta",L9=Config!$B$7,M9=Config!$B$5,COUNTIFS($E$5:E9,E9,$H$5:H9,"Falta",$L$5:L9,Config!$B$7,$M$5:M9,Config!$B$5)=1),COUNTIFS($E$5:$E$1204,E9,$H$5:$H$1204,"Falta",$L$5:$L$1204,Config!$B$7,$M$5:$M$1204,Config!$B$5)*1000-ROW()/100000,0)</f>
        <v>0</v>
      </c>
    </row>
    <row r="10">
      <c r="A10" s="39" t="n">
        <v>46204</v>
      </c>
      <c r="B10" s="40" t="n">
        <v>0.6875</v>
      </c>
      <c r="C10" s="35" t="inlineStr">
        <is>
          <t>Dra. Carolina Mendes</t>
        </is>
      </c>
      <c r="D10" s="35" t="inlineStr">
        <is>
          <t>Sala 1</t>
        </is>
      </c>
      <c r="E10" s="34" t="inlineStr">
        <is>
          <t>Priscila Castro</t>
        </is>
      </c>
      <c r="F10" s="35" t="inlineStr">
        <is>
          <t>Saúde Total</t>
        </is>
      </c>
      <c r="G10" s="35" t="inlineStr">
        <is>
          <t>Consulta</t>
        </is>
      </c>
      <c r="H10" s="35" t="inlineStr">
        <is>
          <t>Falta</t>
        </is>
      </c>
      <c r="I10" s="35" t="n"/>
      <c r="J10" s="35" t="n"/>
      <c r="K10" s="34" t="n"/>
      <c r="L10" s="26">
        <f>IF(A10="","",MONTH(A10))</f>
        <v>7</v>
      </c>
      <c r="M10" s="26">
        <f>IF(A10="","",YEAR(A10))</f>
        <v>2026</v>
      </c>
      <c r="N10" s="26" t="str">
        <f>IF(A10="","",CHOOSE(WEEKDAY(A10,2),"Segunda","Terça","Quarta","Quinta","Sexta","Sábado","Domingo"))</f>
        <v>Quarta</v>
      </c>
      <c r="O10" s="26" t="str">
        <f>IF(B10="","",IF(B10&lt;TIME(12,0,0),"Manhã",IF(B10&lt;TIME(18,0,0),"Tarde","Noite")))</f>
        <v>Tarde</v>
      </c>
      <c r="P10" s="32">
        <f>IF(G10="","",IFERROR(INDEX(Config!$I$5:$I$16,MATCH(G10,Config!$H$5:$H$16,0)),0))</f>
        <v>30</v>
      </c>
      <c r="Q10" s="30">
        <f>IF(OR(H10&lt;&gt;"Realizado",P10="",P10=0),"",A10+P10)</f>
        <v/>
      </c>
      <c r="R10" s="26">
        <f>IF(Q10="","",IF(COUNTIFS($E$5:$E$1204,E10,$A$5:$A$1204,"&gt;"&amp;A10,$H$5:$H$1204,"&lt;&gt;Falta",$H$5:$H$1204,"&lt;&gt;Cancelado",$H$5:$H$1204,"&lt;&gt;Remarcado")&gt;0,"Sim","Não"))</f>
        <v/>
      </c>
      <c r="S10" s="32">
        <f>IF(R10&lt;&gt;"Não","",IF(Q10+Config!$B$9&lt;=Config!$B$8,Config!$B$8-Q10,""))</f>
        <v/>
      </c>
      <c r="T10" s="26">
        <f>IF(S10="","","Sim")</f>
        <v/>
      </c>
      <c r="U10" s="41">
        <f>IF(T10="Sim",S10+ROW()/100000,0)</f>
        <v>0</v>
      </c>
      <c r="V10" s="41">
        <f>IF(AND(H10="Falta",L10=Config!$B$7,M10=Config!$B$5,COUNTIFS($E$5:E10,E10,$H$5:H10,"Falta",$L$5:L10,Config!$B$7,$M$5:M10,Config!$B$5)=1),COUNTIFS($E$5:$E$1204,E10,$H$5:$H$1204,"Falta",$L$5:$L$1204,Config!$B$7,$M$5:$M$1204,Config!$B$5)*1000-ROW()/100000,0)</f>
        <v>0</v>
      </c>
    </row>
    <row r="11">
      <c r="A11" s="39" t="n">
        <v>46204</v>
      </c>
      <c r="B11" s="40" t="n">
        <v>0.7083333333333334</v>
      </c>
      <c r="C11" s="35" t="inlineStr">
        <is>
          <t>Dra. Carolina Mendes</t>
        </is>
      </c>
      <c r="D11" s="35" t="inlineStr">
        <is>
          <t>Sala 1</t>
        </is>
      </c>
      <c r="E11" s="34" t="inlineStr">
        <is>
          <t>Mônica Martins</t>
        </is>
      </c>
      <c r="F11" s="35" t="inlineStr">
        <is>
          <t>Particular</t>
        </is>
      </c>
      <c r="G11" s="35" t="inlineStr">
        <is>
          <t>Consulta</t>
        </is>
      </c>
      <c r="H11" s="35" t="inlineStr">
        <is>
          <t>Realizado</t>
        </is>
      </c>
      <c r="I11" s="35" t="inlineStr">
        <is>
          <t>Pix</t>
        </is>
      </c>
      <c r="J11" s="35" t="n"/>
      <c r="K11" s="34" t="n"/>
      <c r="L11" s="26">
        <f>IF(A11="","",MONTH(A11))</f>
        <v>7</v>
      </c>
      <c r="M11" s="26">
        <f>IF(A11="","",YEAR(A11))</f>
        <v>2026</v>
      </c>
      <c r="N11" s="26" t="str">
        <f>IF(A11="","",CHOOSE(WEEKDAY(A11,2),"Segunda","Terça","Quarta","Quinta","Sexta","Sábado","Domingo"))</f>
        <v>Quarta</v>
      </c>
      <c r="O11" s="26" t="str">
        <f>IF(B11="","",IF(B11&lt;TIME(12,0,0),"Manhã",IF(B11&lt;TIME(18,0,0),"Tarde","Noite")))</f>
        <v>Tarde</v>
      </c>
      <c r="P11" s="32">
        <f>IF(G11="","",IFERROR(INDEX(Config!$I$5:$I$16,MATCH(G11,Config!$H$5:$H$16,0)),0))</f>
        <v>30</v>
      </c>
      <c r="Q11" s="30">
        <f>IF(OR(H11&lt;&gt;"Realizado",P11="",P11=0),"",A11+P11)</f>
        <v>46234.0</v>
      </c>
      <c r="R11" s="26" t="str">
        <f>IF(Q11="","",IF(COUNTIFS($E$5:$E$1204,E11,$A$5:$A$1204,"&gt;"&amp;A11,$H$5:$H$1204,"&lt;&gt;Falta",$H$5:$H$1204,"&lt;&gt;Cancelado",$H$5:$H$1204,"&lt;&gt;Remarcado")&gt;0,"Sim","Não"))</f>
        <v>Sim</v>
      </c>
      <c r="S11" s="32">
        <f>IF(R11&lt;&gt;"Não","",IF(Q11+Config!$B$9&lt;=Config!$B$8,Config!$B$8-Q11,""))</f>
        <v/>
      </c>
      <c r="T11" s="26">
        <f>IF(S11="","","Sim")</f>
        <v/>
      </c>
      <c r="U11" s="41">
        <f>IF(T11="Sim",S11+ROW()/100000,0)</f>
        <v>0</v>
      </c>
      <c r="V11" s="41">
        <f>IF(AND(H11="Falta",L11=Config!$B$7,M11=Config!$B$5,COUNTIFS($E$5:E11,E11,$H$5:H11,"Falta",$L$5:L11,Config!$B$7,$M$5:M11,Config!$B$5)=1),COUNTIFS($E$5:$E$1204,E11,$H$5:$H$1204,"Falta",$L$5:$L$1204,Config!$B$7,$M$5:$M$1204,Config!$B$5)*1000-ROW()/100000,0)</f>
        <v>0</v>
      </c>
    </row>
    <row r="12">
      <c r="A12" s="39" t="n">
        <v>46204</v>
      </c>
      <c r="B12" s="40" t="n">
        <v>0.7291666666666666</v>
      </c>
      <c r="C12" s="35" t="inlineStr">
        <is>
          <t>Dra. Carolina Mendes</t>
        </is>
      </c>
      <c r="D12" s="35" t="inlineStr">
        <is>
          <t>Sala 1</t>
        </is>
      </c>
      <c r="E12" s="34" t="inlineStr">
        <is>
          <t>Débora Machado</t>
        </is>
      </c>
      <c r="F12" s="35" t="inlineStr">
        <is>
          <t>Saúde Total</t>
        </is>
      </c>
      <c r="G12" s="35" t="inlineStr">
        <is>
          <t>Consulta</t>
        </is>
      </c>
      <c r="H12" s="35" t="inlineStr">
        <is>
          <t>Realizado</t>
        </is>
      </c>
      <c r="I12" s="35" t="inlineStr">
        <is>
          <t>Convênio</t>
        </is>
      </c>
      <c r="J12" s="35" t="n"/>
      <c r="K12" s="34" t="n"/>
      <c r="L12" s="26">
        <f>IF(A12="","",MONTH(A12))</f>
        <v>7</v>
      </c>
      <c r="M12" s="26">
        <f>IF(A12="","",YEAR(A12))</f>
        <v>2026</v>
      </c>
      <c r="N12" s="26" t="str">
        <f>IF(A12="","",CHOOSE(WEEKDAY(A12,2),"Segunda","Terça","Quarta","Quinta","Sexta","Sábado","Domingo"))</f>
        <v>Quarta</v>
      </c>
      <c r="O12" s="26" t="str">
        <f>IF(B12="","",IF(B12&lt;TIME(12,0,0),"Manhã",IF(B12&lt;TIME(18,0,0),"Tarde","Noite")))</f>
        <v>Tarde</v>
      </c>
      <c r="P12" s="32">
        <f>IF(G12="","",IFERROR(INDEX(Config!$I$5:$I$16,MATCH(G12,Config!$H$5:$H$16,0)),0))</f>
        <v>30</v>
      </c>
      <c r="Q12" s="30">
        <f>IF(OR(H12&lt;&gt;"Realizado",P12="",P12=0),"",A12+P12)</f>
        <v>46234.0</v>
      </c>
      <c r="R12" s="26" t="str">
        <f>IF(Q12="","",IF(COUNTIFS($E$5:$E$1204,E12,$A$5:$A$1204,"&gt;"&amp;A12,$H$5:$H$1204,"&lt;&gt;Falta",$H$5:$H$1204,"&lt;&gt;Cancelado",$H$5:$H$1204,"&lt;&gt;Remarcado")&gt;0,"Sim","Não"))</f>
        <v>Sim</v>
      </c>
      <c r="S12" s="32">
        <f>IF(R12&lt;&gt;"Não","",IF(Q12+Config!$B$9&lt;=Config!$B$8,Config!$B$8-Q12,""))</f>
        <v/>
      </c>
      <c r="T12" s="26">
        <f>IF(S12="","","Sim")</f>
        <v/>
      </c>
      <c r="U12" s="41">
        <f>IF(T12="Sim",S12+ROW()/100000,0)</f>
        <v>0</v>
      </c>
      <c r="V12" s="41">
        <f>IF(AND(H12="Falta",L12=Config!$B$7,M12=Config!$B$5,COUNTIFS($E$5:E12,E12,$H$5:H12,"Falta",$L$5:L12,Config!$B$7,$M$5:M12,Config!$B$5)=1),COUNTIFS($E$5:$E$1204,E12,$H$5:$H$1204,"Falta",$L$5:$L$1204,Config!$B$7,$M$5:$M$1204,Config!$B$5)*1000-ROW()/100000,0)</f>
        <v>0</v>
      </c>
    </row>
    <row r="13">
      <c r="A13" s="39" t="n">
        <v>46205</v>
      </c>
      <c r="B13" s="40" t="n">
        <v>0.3333333333333333</v>
      </c>
      <c r="C13" s="35" t="inlineStr">
        <is>
          <t>Dra. Carolina Mendes</t>
        </is>
      </c>
      <c r="D13" s="35" t="inlineStr">
        <is>
          <t>Sala 1</t>
        </is>
      </c>
      <c r="E13" s="34" t="inlineStr">
        <is>
          <t>Débora Ramos</t>
        </is>
      </c>
      <c r="F13" s="35" t="inlineStr">
        <is>
          <t>Particular</t>
        </is>
      </c>
      <c r="G13" s="35" t="inlineStr">
        <is>
          <t>Consulta</t>
        </is>
      </c>
      <c r="H13" s="35" t="inlineStr">
        <is>
          <t>Realizado</t>
        </is>
      </c>
      <c r="I13" s="35" t="inlineStr">
        <is>
          <t>Cartão de crédito</t>
        </is>
      </c>
      <c r="J13" s="35" t="n"/>
      <c r="K13" s="34" t="n"/>
      <c r="L13" s="26">
        <f>IF(A13="","",MONTH(A13))</f>
        <v>7</v>
      </c>
      <c r="M13" s="26">
        <f>IF(A13="","",YEAR(A13))</f>
        <v>2026</v>
      </c>
      <c r="N13" s="26" t="str">
        <f>IF(A13="","",CHOOSE(WEEKDAY(A13,2),"Segunda","Terça","Quarta","Quinta","Sexta","Sábado","Domingo"))</f>
        <v>Quinta</v>
      </c>
      <c r="O13" s="26" t="str">
        <f>IF(B13="","",IF(B13&lt;TIME(12,0,0),"Manhã",IF(B13&lt;TIME(18,0,0),"Tarde","Noite")))</f>
        <v>Manhã</v>
      </c>
      <c r="P13" s="32">
        <f>IF(G13="","",IFERROR(INDEX(Config!$I$5:$I$16,MATCH(G13,Config!$H$5:$H$16,0)),0))</f>
        <v>30</v>
      </c>
      <c r="Q13" s="30">
        <f>IF(OR(H13&lt;&gt;"Realizado",P13="",P13=0),"",A13+P13)</f>
        <v>46235.0</v>
      </c>
      <c r="R13" s="26" t="str">
        <f>IF(Q13="","",IF(COUNTIFS($E$5:$E$1204,E13,$A$5:$A$1204,"&gt;"&amp;A13,$H$5:$H$1204,"&lt;&gt;Falta",$H$5:$H$1204,"&lt;&gt;Cancelado",$H$5:$H$1204,"&lt;&gt;Remarcado")&gt;0,"Sim","Não"))</f>
        <v>Sim</v>
      </c>
      <c r="S13" s="32">
        <f>IF(R13&lt;&gt;"Não","",IF(Q13+Config!$B$9&lt;=Config!$B$8,Config!$B$8-Q13,""))</f>
        <v/>
      </c>
      <c r="T13" s="26">
        <f>IF(S13="","","Sim")</f>
        <v/>
      </c>
      <c r="U13" s="41">
        <f>IF(T13="Sim",S13+ROW()/100000,0)</f>
        <v>0</v>
      </c>
      <c r="V13" s="41">
        <f>IF(AND(H13="Falta",L13=Config!$B$7,M13=Config!$B$5,COUNTIFS($E$5:E13,E13,$H$5:H13,"Falta",$L$5:L13,Config!$B$7,$M$5:M13,Config!$B$5)=1),COUNTIFS($E$5:$E$1204,E13,$H$5:$H$1204,"Falta",$L$5:$L$1204,Config!$B$7,$M$5:$M$1204,Config!$B$5)*1000-ROW()/100000,0)</f>
        <v>0</v>
      </c>
    </row>
    <row r="14">
      <c r="A14" s="39" t="n">
        <v>46205</v>
      </c>
      <c r="B14" s="40" t="n">
        <v>0.3541666666666667</v>
      </c>
      <c r="C14" s="35" t="inlineStr">
        <is>
          <t>Dra. Carolina Mendes</t>
        </is>
      </c>
      <c r="D14" s="35" t="inlineStr">
        <is>
          <t>Sala 1</t>
        </is>
      </c>
      <c r="E14" s="34" t="inlineStr">
        <is>
          <t>Juliana Ribeiro</t>
        </is>
      </c>
      <c r="F14" s="35" t="inlineStr">
        <is>
          <t>Saúde Total</t>
        </is>
      </c>
      <c r="G14" s="35" t="inlineStr">
        <is>
          <t>Retorno</t>
        </is>
      </c>
      <c r="H14" s="35" t="inlineStr">
        <is>
          <t>Realizado</t>
        </is>
      </c>
      <c r="I14" s="35" t="inlineStr">
        <is>
          <t>Sem cobrança</t>
        </is>
      </c>
      <c r="J14" s="35" t="n"/>
      <c r="K14" s="34" t="n"/>
      <c r="L14" s="26">
        <f>IF(A14="","",MONTH(A14))</f>
        <v>7</v>
      </c>
      <c r="M14" s="26">
        <f>IF(A14="","",YEAR(A14))</f>
        <v>2026</v>
      </c>
      <c r="N14" s="26" t="str">
        <f>IF(A14="","",CHOOSE(WEEKDAY(A14,2),"Segunda","Terça","Quarta","Quinta","Sexta","Sábado","Domingo"))</f>
        <v>Quinta</v>
      </c>
      <c r="O14" s="26" t="str">
        <f>IF(B14="","",IF(B14&lt;TIME(12,0,0),"Manhã",IF(B14&lt;TIME(18,0,0),"Tarde","Noite")))</f>
        <v>Manhã</v>
      </c>
      <c r="P14" s="32">
        <f>IF(G14="","",IFERROR(INDEX(Config!$I$5:$I$16,MATCH(G14,Config!$H$5:$H$16,0)),0))</f>
        <v>0</v>
      </c>
      <c r="Q14" s="30">
        <f>IF(OR(H14&lt;&gt;"Realizado",P14="",P14=0),"",A14+P14)</f>
        <v/>
      </c>
      <c r="R14" s="26">
        <f>IF(Q14="","",IF(COUNTIFS($E$5:$E$1204,E14,$A$5:$A$1204,"&gt;"&amp;A14,$H$5:$H$1204,"&lt;&gt;Falta",$H$5:$H$1204,"&lt;&gt;Cancelado",$H$5:$H$1204,"&lt;&gt;Remarcado")&gt;0,"Sim","Não"))</f>
        <v/>
      </c>
      <c r="S14" s="32">
        <f>IF(R14&lt;&gt;"Não","",IF(Q14+Config!$B$9&lt;=Config!$B$8,Config!$B$8-Q14,""))</f>
        <v/>
      </c>
      <c r="T14" s="26">
        <f>IF(S14="","","Sim")</f>
        <v/>
      </c>
      <c r="U14" s="41">
        <f>IF(T14="Sim",S14+ROW()/100000,0)</f>
        <v>0</v>
      </c>
      <c r="V14" s="41">
        <f>IF(AND(H14="Falta",L14=Config!$B$7,M14=Config!$B$5,COUNTIFS($E$5:E14,E14,$H$5:H14,"Falta",$L$5:L14,Config!$B$7,$M$5:M14,Config!$B$5)=1),COUNTIFS($E$5:$E$1204,E14,$H$5:$H$1204,"Falta",$L$5:$L$1204,Config!$B$7,$M$5:$M$1204,Config!$B$5)*1000-ROW()/100000,0)</f>
        <v>0</v>
      </c>
    </row>
    <row r="15">
      <c r="A15" s="39" t="n">
        <v>46205</v>
      </c>
      <c r="B15" s="40" t="n">
        <v>0.3680555555555556</v>
      </c>
      <c r="C15" s="35" t="inlineStr">
        <is>
          <t>Dra. Carolina Mendes</t>
        </is>
      </c>
      <c r="D15" s="35" t="inlineStr">
        <is>
          <t>Sala 1</t>
        </is>
      </c>
      <c r="E15" s="34" t="inlineStr">
        <is>
          <t>Mariana Nascimento</t>
        </is>
      </c>
      <c r="F15" s="35" t="inlineStr">
        <is>
          <t>Particular</t>
        </is>
      </c>
      <c r="G15" s="35" t="inlineStr">
        <is>
          <t>Consulta</t>
        </is>
      </c>
      <c r="H15" s="35" t="inlineStr">
        <is>
          <t>Remarcado</t>
        </is>
      </c>
      <c r="I15" s="35" t="n"/>
      <c r="J15" s="35" t="n"/>
      <c r="K15" s="34" t="inlineStr">
        <is>
          <t>Paciente pediu outra data</t>
        </is>
      </c>
      <c r="L15" s="26">
        <f>IF(A15="","",MONTH(A15))</f>
        <v>7</v>
      </c>
      <c r="M15" s="26">
        <f>IF(A15="","",YEAR(A15))</f>
        <v>2026</v>
      </c>
      <c r="N15" s="26" t="str">
        <f>IF(A15="","",CHOOSE(WEEKDAY(A15,2),"Segunda","Terça","Quarta","Quinta","Sexta","Sábado","Domingo"))</f>
        <v>Quinta</v>
      </c>
      <c r="O15" s="26" t="str">
        <f>IF(B15="","",IF(B15&lt;TIME(12,0,0),"Manhã",IF(B15&lt;TIME(18,0,0),"Tarde","Noite")))</f>
        <v>Manhã</v>
      </c>
      <c r="P15" s="32">
        <f>IF(G15="","",IFERROR(INDEX(Config!$I$5:$I$16,MATCH(G15,Config!$H$5:$H$16,0)),0))</f>
        <v>30</v>
      </c>
      <c r="Q15" s="30">
        <f>IF(OR(H15&lt;&gt;"Realizado",P15="",P15=0),"",A15+P15)</f>
        <v/>
      </c>
      <c r="R15" s="26">
        <f>IF(Q15="","",IF(COUNTIFS($E$5:$E$1204,E15,$A$5:$A$1204,"&gt;"&amp;A15,$H$5:$H$1204,"&lt;&gt;Falta",$H$5:$H$1204,"&lt;&gt;Cancelado",$H$5:$H$1204,"&lt;&gt;Remarcado")&gt;0,"Sim","Não"))</f>
        <v/>
      </c>
      <c r="S15" s="32">
        <f>IF(R15&lt;&gt;"Não","",IF(Q15+Config!$B$9&lt;=Config!$B$8,Config!$B$8-Q15,""))</f>
        <v/>
      </c>
      <c r="T15" s="26">
        <f>IF(S15="","","Sim")</f>
        <v/>
      </c>
      <c r="U15" s="41">
        <f>IF(T15="Sim",S15+ROW()/100000,0)</f>
        <v>0</v>
      </c>
      <c r="V15" s="41">
        <f>IF(AND(H15="Falta",L15=Config!$B$7,M15=Config!$B$5,COUNTIFS($E$5:E15,E15,$H$5:H15,"Falta",$L$5:L15,Config!$B$7,$M$5:M15,Config!$B$5)=1),COUNTIFS($E$5:$E$1204,E15,$H$5:$H$1204,"Falta",$L$5:$L$1204,Config!$B$7,$M$5:$M$1204,Config!$B$5)*1000-ROW()/100000,0)</f>
        <v>0</v>
      </c>
    </row>
    <row r="16">
      <c r="A16" s="39" t="n">
        <v>46205</v>
      </c>
      <c r="B16" s="40" t="n">
        <v>0.3888888888888889</v>
      </c>
      <c r="C16" s="35" t="inlineStr">
        <is>
          <t>Dra. Carolina Mendes</t>
        </is>
      </c>
      <c r="D16" s="35" t="inlineStr">
        <is>
          <t>Sala 1</t>
        </is>
      </c>
      <c r="E16" s="34" t="inlineStr">
        <is>
          <t>Priscila Castro</t>
        </is>
      </c>
      <c r="F16" s="35" t="inlineStr">
        <is>
          <t>Saúde Total</t>
        </is>
      </c>
      <c r="G16" s="35" t="inlineStr">
        <is>
          <t>Consulta</t>
        </is>
      </c>
      <c r="H16" s="35" t="inlineStr">
        <is>
          <t>Realizado</t>
        </is>
      </c>
      <c r="I16" s="35" t="inlineStr">
        <is>
          <t>Convênio</t>
        </is>
      </c>
      <c r="J16" s="35" t="n"/>
      <c r="K16" s="34" t="n"/>
      <c r="L16" s="26">
        <f>IF(A16="","",MONTH(A16))</f>
        <v>7</v>
      </c>
      <c r="M16" s="26">
        <f>IF(A16="","",YEAR(A16))</f>
        <v>2026</v>
      </c>
      <c r="N16" s="26" t="str">
        <f>IF(A16="","",CHOOSE(WEEKDAY(A16,2),"Segunda","Terça","Quarta","Quinta","Sexta","Sábado","Domingo"))</f>
        <v>Quinta</v>
      </c>
      <c r="O16" s="26" t="str">
        <f>IF(B16="","",IF(B16&lt;TIME(12,0,0),"Manhã",IF(B16&lt;TIME(18,0,0),"Tarde","Noite")))</f>
        <v>Manhã</v>
      </c>
      <c r="P16" s="32">
        <f>IF(G16="","",IFERROR(INDEX(Config!$I$5:$I$16,MATCH(G16,Config!$H$5:$H$16,0)),0))</f>
        <v>30</v>
      </c>
      <c r="Q16" s="30">
        <f>IF(OR(H16&lt;&gt;"Realizado",P16="",P16=0),"",A16+P16)</f>
        <v>46235.0</v>
      </c>
      <c r="R16" s="26" t="str">
        <f>IF(Q16="","",IF(COUNTIFS($E$5:$E$1204,E16,$A$5:$A$1204,"&gt;"&amp;A16,$H$5:$H$1204,"&lt;&gt;Falta",$H$5:$H$1204,"&lt;&gt;Cancelado",$H$5:$H$1204,"&lt;&gt;Remarcado")&gt;0,"Sim","Não"))</f>
        <v>Sim</v>
      </c>
      <c r="S16" s="32">
        <f>IF(R16&lt;&gt;"Não","",IF(Q16+Config!$B$9&lt;=Config!$B$8,Config!$B$8-Q16,""))</f>
        <v/>
      </c>
      <c r="T16" s="26">
        <f>IF(S16="","","Sim")</f>
        <v/>
      </c>
      <c r="U16" s="41">
        <f>IF(T16="Sim",S16+ROW()/100000,0)</f>
        <v>0</v>
      </c>
      <c r="V16" s="41">
        <f>IF(AND(H16="Falta",L16=Config!$B$7,M16=Config!$B$5,COUNTIFS($E$5:E16,E16,$H$5:H16,"Falta",$L$5:L16,Config!$B$7,$M$5:M16,Config!$B$5)=1),COUNTIFS($E$5:$E$1204,E16,$H$5:$H$1204,"Falta",$L$5:$L$1204,Config!$B$7,$M$5:$M$1204,Config!$B$5)*1000-ROW()/100000,0)</f>
        <v>0</v>
      </c>
    </row>
    <row r="17">
      <c r="A17" s="39" t="n">
        <v>46205</v>
      </c>
      <c r="B17" s="40" t="n">
        <v>0.4097222222222222</v>
      </c>
      <c r="C17" s="35" t="inlineStr">
        <is>
          <t>Dra. Carolina Mendes</t>
        </is>
      </c>
      <c r="D17" s="35" t="inlineStr">
        <is>
          <t>Sala 1</t>
        </is>
      </c>
      <c r="E17" s="34" t="inlineStr">
        <is>
          <t>Letícia Vieira</t>
        </is>
      </c>
      <c r="F17" s="35" t="inlineStr">
        <is>
          <t>Saúde Total</t>
        </is>
      </c>
      <c r="G17" s="35" t="inlineStr">
        <is>
          <t>Consulta</t>
        </is>
      </c>
      <c r="H17" s="35" t="inlineStr">
        <is>
          <t>Realizado</t>
        </is>
      </c>
      <c r="I17" s="35" t="inlineStr">
        <is>
          <t>Convênio</t>
        </is>
      </c>
      <c r="J17" s="35" t="n"/>
      <c r="K17" s="34" t="n"/>
      <c r="L17" s="26">
        <f>IF(A17="","",MONTH(A17))</f>
        <v>7</v>
      </c>
      <c r="M17" s="26">
        <f>IF(A17="","",YEAR(A17))</f>
        <v>2026</v>
      </c>
      <c r="N17" s="26" t="str">
        <f>IF(A17="","",CHOOSE(WEEKDAY(A17,2),"Segunda","Terça","Quarta","Quinta","Sexta","Sábado","Domingo"))</f>
        <v>Quinta</v>
      </c>
      <c r="O17" s="26" t="str">
        <f>IF(B17="","",IF(B17&lt;TIME(12,0,0),"Manhã",IF(B17&lt;TIME(18,0,0),"Tarde","Noite")))</f>
        <v>Manhã</v>
      </c>
      <c r="P17" s="32">
        <f>IF(G17="","",IFERROR(INDEX(Config!$I$5:$I$16,MATCH(G17,Config!$H$5:$H$16,0)),0))</f>
        <v>30</v>
      </c>
      <c r="Q17" s="30">
        <f>IF(OR(H17&lt;&gt;"Realizado",P17="",P17=0),"",A17+P17)</f>
        <v>46235.0</v>
      </c>
      <c r="R17" s="26" t="str">
        <f>IF(Q17="","",IF(COUNTIFS($E$5:$E$1204,E17,$A$5:$A$1204,"&gt;"&amp;A17,$H$5:$H$1204,"&lt;&gt;Falta",$H$5:$H$1204,"&lt;&gt;Cancelado",$H$5:$H$1204,"&lt;&gt;Remarcado")&gt;0,"Sim","Não"))</f>
        <v>Sim</v>
      </c>
      <c r="S17" s="32">
        <f>IF(R17&lt;&gt;"Não","",IF(Q17+Config!$B$9&lt;=Config!$B$8,Config!$B$8-Q17,""))</f>
        <v/>
      </c>
      <c r="T17" s="26">
        <f>IF(S17="","","Sim")</f>
        <v/>
      </c>
      <c r="U17" s="41">
        <f>IF(T17="Sim",S17+ROW()/100000,0)</f>
        <v>0</v>
      </c>
      <c r="V17" s="41">
        <f>IF(AND(H17="Falta",L17=Config!$B$7,M17=Config!$B$5,COUNTIFS($E$5:E17,E17,$H$5:H17,"Falta",$L$5:L17,Config!$B$7,$M$5:M17,Config!$B$5)=1),COUNTIFS($E$5:$E$1204,E17,$H$5:$H$1204,"Falta",$L$5:$L$1204,Config!$B$7,$M$5:$M$1204,Config!$B$5)*1000-ROW()/100000,0)</f>
        <v>0</v>
      </c>
    </row>
    <row r="18">
      <c r="A18" s="39" t="n">
        <v>46205</v>
      </c>
      <c r="B18" s="40" t="n">
        <v>0.4305555555555556</v>
      </c>
      <c r="C18" s="35" t="inlineStr">
        <is>
          <t>Dra. Carolina Mendes</t>
        </is>
      </c>
      <c r="D18" s="35" t="inlineStr">
        <is>
          <t>Sala 1</t>
        </is>
      </c>
      <c r="E18" s="34" t="inlineStr">
        <is>
          <t>Mônica Batista</t>
        </is>
      </c>
      <c r="F18" s="35" t="inlineStr">
        <is>
          <t>MediPlan</t>
        </is>
      </c>
      <c r="G18" s="35" t="inlineStr">
        <is>
          <t>Consulta</t>
        </is>
      </c>
      <c r="H18" s="35" t="inlineStr">
        <is>
          <t>Realizado</t>
        </is>
      </c>
      <c r="I18" s="35" t="inlineStr">
        <is>
          <t>Convênio</t>
        </is>
      </c>
      <c r="J18" s="35" t="n"/>
      <c r="K18" s="34" t="n"/>
      <c r="L18" s="26">
        <f>IF(A18="","",MONTH(A18))</f>
        <v>7</v>
      </c>
      <c r="M18" s="26">
        <f>IF(A18="","",YEAR(A18))</f>
        <v>2026</v>
      </c>
      <c r="N18" s="26" t="str">
        <f>IF(A18="","",CHOOSE(WEEKDAY(A18,2),"Segunda","Terça","Quarta","Quinta","Sexta","Sábado","Domingo"))</f>
        <v>Quinta</v>
      </c>
      <c r="O18" s="26" t="str">
        <f>IF(B18="","",IF(B18&lt;TIME(12,0,0),"Manhã",IF(B18&lt;TIME(18,0,0),"Tarde","Noite")))</f>
        <v>Manhã</v>
      </c>
      <c r="P18" s="32">
        <f>IF(G18="","",IFERROR(INDEX(Config!$I$5:$I$16,MATCH(G18,Config!$H$5:$H$16,0)),0))</f>
        <v>30</v>
      </c>
      <c r="Q18" s="30">
        <f>IF(OR(H18&lt;&gt;"Realizado",P18="",P18=0),"",A18+P18)</f>
        <v>46235.0</v>
      </c>
      <c r="R18" s="26" t="str">
        <f>IF(Q18="","",IF(COUNTIFS($E$5:$E$1204,E18,$A$5:$A$1204,"&gt;"&amp;A18,$H$5:$H$1204,"&lt;&gt;Falta",$H$5:$H$1204,"&lt;&gt;Cancelado",$H$5:$H$1204,"&lt;&gt;Remarcado")&gt;0,"Sim","Não"))</f>
        <v>Sim</v>
      </c>
      <c r="S18" s="32">
        <f>IF(R18&lt;&gt;"Não","",IF(Q18+Config!$B$9&lt;=Config!$B$8,Config!$B$8-Q18,""))</f>
        <v/>
      </c>
      <c r="T18" s="26">
        <f>IF(S18="","","Sim")</f>
        <v/>
      </c>
      <c r="U18" s="41">
        <f>IF(T18="Sim",S18+ROW()/100000,0)</f>
        <v>0</v>
      </c>
      <c r="V18" s="41">
        <f>IF(AND(H18="Falta",L18=Config!$B$7,M18=Config!$B$5,COUNTIFS($E$5:E18,E18,$H$5:H18,"Falta",$L$5:L18,Config!$B$7,$M$5:M18,Config!$B$5)=1),COUNTIFS($E$5:$E$1204,E18,$H$5:$H$1204,"Falta",$L$5:$L$1204,Config!$B$7,$M$5:$M$1204,Config!$B$5)*1000-ROW()/100000,0)</f>
        <v>0</v>
      </c>
    </row>
    <row r="19">
      <c r="A19" s="39" t="n">
        <v>46205</v>
      </c>
      <c r="B19" s="40" t="n">
        <v>0.4513888888888889</v>
      </c>
      <c r="C19" s="35" t="inlineStr">
        <is>
          <t>Dra. Carolina Mendes</t>
        </is>
      </c>
      <c r="D19" s="35" t="inlineStr">
        <is>
          <t>Sala 1</t>
        </is>
      </c>
      <c r="E19" s="34" t="inlineStr">
        <is>
          <t>Mariana Nascimento</t>
        </is>
      </c>
      <c r="F19" s="35" t="inlineStr">
        <is>
          <t>Particular</t>
        </is>
      </c>
      <c r="G19" s="35" t="inlineStr">
        <is>
          <t>Consulta</t>
        </is>
      </c>
      <c r="H19" s="35" t="inlineStr">
        <is>
          <t>Realizado</t>
        </is>
      </c>
      <c r="I19" s="35" t="inlineStr">
        <is>
          <t>Cartão de crédito</t>
        </is>
      </c>
      <c r="J19" s="35" t="n"/>
      <c r="K19" s="34" t="n"/>
      <c r="L19" s="26">
        <f>IF(A19="","",MONTH(A19))</f>
        <v>7</v>
      </c>
      <c r="M19" s="26">
        <f>IF(A19="","",YEAR(A19))</f>
        <v>2026</v>
      </c>
      <c r="N19" s="26" t="str">
        <f>IF(A19="","",CHOOSE(WEEKDAY(A19,2),"Segunda","Terça","Quarta","Quinta","Sexta","Sábado","Domingo"))</f>
        <v>Quinta</v>
      </c>
      <c r="O19" s="26" t="str">
        <f>IF(B19="","",IF(B19&lt;TIME(12,0,0),"Manhã",IF(B19&lt;TIME(18,0,0),"Tarde","Noite")))</f>
        <v>Manhã</v>
      </c>
      <c r="P19" s="32">
        <f>IF(G19="","",IFERROR(INDEX(Config!$I$5:$I$16,MATCH(G19,Config!$H$5:$H$16,0)),0))</f>
        <v>30</v>
      </c>
      <c r="Q19" s="30">
        <f>IF(OR(H19&lt;&gt;"Realizado",P19="",P19=0),"",A19+P19)</f>
        <v>46235.0</v>
      </c>
      <c r="R19" s="26" t="str">
        <f>IF(Q19="","",IF(COUNTIFS($E$5:$E$1204,E19,$A$5:$A$1204,"&gt;"&amp;A19,$H$5:$H$1204,"&lt;&gt;Falta",$H$5:$H$1204,"&lt;&gt;Cancelado",$H$5:$H$1204,"&lt;&gt;Remarcado")&gt;0,"Sim","Não"))</f>
        <v>Sim</v>
      </c>
      <c r="S19" s="32">
        <f>IF(R19&lt;&gt;"Não","",IF(Q19+Config!$B$9&lt;=Config!$B$8,Config!$B$8-Q19,""))</f>
        <v/>
      </c>
      <c r="T19" s="26">
        <f>IF(S19="","","Sim")</f>
        <v/>
      </c>
      <c r="U19" s="41">
        <f>IF(T19="Sim",S19+ROW()/100000,0)</f>
        <v>0</v>
      </c>
      <c r="V19" s="41">
        <f>IF(AND(H19="Falta",L19=Config!$B$7,M19=Config!$B$5,COUNTIFS($E$5:E19,E19,$H$5:H19,"Falta",$L$5:L19,Config!$B$7,$M$5:M19,Config!$B$5)=1),COUNTIFS($E$5:$E$1204,E19,$H$5:$H$1204,"Falta",$L$5:$L$1204,Config!$B$7,$M$5:$M$1204,Config!$B$5)*1000-ROW()/100000,0)</f>
        <v>0</v>
      </c>
    </row>
    <row r="20">
      <c r="A20" s="39" t="n">
        <v>46205</v>
      </c>
      <c r="B20" s="40" t="n">
        <v>0.4722222222222222</v>
      </c>
      <c r="C20" s="35" t="inlineStr">
        <is>
          <t>Dra. Carolina Mendes</t>
        </is>
      </c>
      <c r="D20" s="35" t="inlineStr">
        <is>
          <t>Sala 1</t>
        </is>
      </c>
      <c r="E20" s="34" t="inlineStr">
        <is>
          <t>Helena Moreira</t>
        </is>
      </c>
      <c r="F20" s="35" t="inlineStr">
        <is>
          <t>Particular</t>
        </is>
      </c>
      <c r="G20" s="35" t="inlineStr">
        <is>
          <t>Consulta</t>
        </is>
      </c>
      <c r="H20" s="35" t="inlineStr">
        <is>
          <t>Realizado</t>
        </is>
      </c>
      <c r="I20" s="35" t="inlineStr">
        <is>
          <t>Cartão de crédito</t>
        </is>
      </c>
      <c r="J20" s="35" t="n"/>
      <c r="K20" s="34" t="n"/>
      <c r="L20" s="26">
        <f>IF(A20="","",MONTH(A20))</f>
        <v>7</v>
      </c>
      <c r="M20" s="26">
        <f>IF(A20="","",YEAR(A20))</f>
        <v>2026</v>
      </c>
      <c r="N20" s="26" t="str">
        <f>IF(A20="","",CHOOSE(WEEKDAY(A20,2),"Segunda","Terça","Quarta","Quinta","Sexta","Sábado","Domingo"))</f>
        <v>Quinta</v>
      </c>
      <c r="O20" s="26" t="str">
        <f>IF(B20="","",IF(B20&lt;TIME(12,0,0),"Manhã",IF(B20&lt;TIME(18,0,0),"Tarde","Noite")))</f>
        <v>Manhã</v>
      </c>
      <c r="P20" s="32">
        <f>IF(G20="","",IFERROR(INDEX(Config!$I$5:$I$16,MATCH(G20,Config!$H$5:$H$16,0)),0))</f>
        <v>30</v>
      </c>
      <c r="Q20" s="30">
        <f>IF(OR(H20&lt;&gt;"Realizado",P20="",P20=0),"",A20+P20)</f>
        <v>46235.0</v>
      </c>
      <c r="R20" s="26" t="str">
        <f>IF(Q20="","",IF(COUNTIFS($E$5:$E$1204,E20,$A$5:$A$1204,"&gt;"&amp;A20,$H$5:$H$1204,"&lt;&gt;Falta",$H$5:$H$1204,"&lt;&gt;Cancelado",$H$5:$H$1204,"&lt;&gt;Remarcado")&gt;0,"Sim","Não"))</f>
        <v>Sim</v>
      </c>
      <c r="S20" s="32">
        <f>IF(R20&lt;&gt;"Não","",IF(Q20+Config!$B$9&lt;=Config!$B$8,Config!$B$8-Q20,""))</f>
        <v/>
      </c>
      <c r="T20" s="26">
        <f>IF(S20="","","Sim")</f>
        <v/>
      </c>
      <c r="U20" s="41">
        <f>IF(T20="Sim",S20+ROW()/100000,0)</f>
        <v>0</v>
      </c>
      <c r="V20" s="41">
        <f>IF(AND(H20="Falta",L20=Config!$B$7,M20=Config!$B$5,COUNTIFS($E$5:E20,E20,$H$5:H20,"Falta",$L$5:L20,Config!$B$7,$M$5:M20,Config!$B$5)=1),COUNTIFS($E$5:$E$1204,E20,$H$5:$H$1204,"Falta",$L$5:$L$1204,Config!$B$7,$M$5:$M$1204,Config!$B$5)*1000-ROW()/100000,0)</f>
        <v>0</v>
      </c>
    </row>
    <row r="21">
      <c r="A21" s="39" t="n">
        <v>46205</v>
      </c>
      <c r="B21" s="40" t="n">
        <v>0.5833333333333334</v>
      </c>
      <c r="C21" s="35" t="inlineStr">
        <is>
          <t>Dra. Renata Sousa</t>
        </is>
      </c>
      <c r="D21" s="35" t="inlineStr">
        <is>
          <t>Sala 1</t>
        </is>
      </c>
      <c r="E21" s="34" t="inlineStr">
        <is>
          <t>Gisele Lopes</t>
        </is>
      </c>
      <c r="F21" s="35" t="inlineStr">
        <is>
          <t>Saúde Total</t>
        </is>
      </c>
      <c r="G21" s="35" t="inlineStr">
        <is>
          <t>Avaliação endócrina</t>
        </is>
      </c>
      <c r="H21" s="35" t="inlineStr">
        <is>
          <t>Realizado</t>
        </is>
      </c>
      <c r="I21" s="35" t="inlineStr">
        <is>
          <t>Convênio</t>
        </is>
      </c>
      <c r="J21" s="35" t="n"/>
      <c r="K21" s="34" t="n"/>
      <c r="L21" s="26">
        <f>IF(A21="","",MONTH(A21))</f>
        <v>7</v>
      </c>
      <c r="M21" s="26">
        <f>IF(A21="","",YEAR(A21))</f>
        <v>2026</v>
      </c>
      <c r="N21" s="26" t="str">
        <f>IF(A21="","",CHOOSE(WEEKDAY(A21,2),"Segunda","Terça","Quarta","Quinta","Sexta","Sábado","Domingo"))</f>
        <v>Quinta</v>
      </c>
      <c r="O21" s="26" t="str">
        <f>IF(B21="","",IF(B21&lt;TIME(12,0,0),"Manhã",IF(B21&lt;TIME(18,0,0),"Tarde","Noite")))</f>
        <v>Tarde</v>
      </c>
      <c r="P21" s="32">
        <f>IF(G21="","",IFERROR(INDEX(Config!$I$5:$I$16,MATCH(G21,Config!$H$5:$H$16,0)),0))</f>
        <v>45</v>
      </c>
      <c r="Q21" s="30">
        <f>IF(OR(H21&lt;&gt;"Realizado",P21="",P21=0),"",A21+P21)</f>
        <v>46250.0</v>
      </c>
      <c r="R21" s="26" t="str">
        <f>IF(Q21="","",IF(COUNTIFS($E$5:$E$1204,E21,$A$5:$A$1204,"&gt;"&amp;A21,$H$5:$H$1204,"&lt;&gt;Falta",$H$5:$H$1204,"&lt;&gt;Cancelado",$H$5:$H$1204,"&lt;&gt;Remarcado")&gt;0,"Sim","Não"))</f>
        <v>Sim</v>
      </c>
      <c r="S21" s="32">
        <f>IF(R21&lt;&gt;"Não","",IF(Q21+Config!$B$9&lt;=Config!$B$8,Config!$B$8-Q21,""))</f>
        <v/>
      </c>
      <c r="T21" s="26">
        <f>IF(S21="","","Sim")</f>
        <v/>
      </c>
      <c r="U21" s="41">
        <f>IF(T21="Sim",S21+ROW()/100000,0)</f>
        <v>0</v>
      </c>
      <c r="V21" s="41">
        <f>IF(AND(H21="Falta",L21=Config!$B$7,M21=Config!$B$5,COUNTIFS($E$5:E21,E21,$H$5:H21,"Falta",$L$5:L21,Config!$B$7,$M$5:M21,Config!$B$5)=1),COUNTIFS($E$5:$E$1204,E21,$H$5:$H$1204,"Falta",$L$5:$L$1204,Config!$B$7,$M$5:$M$1204,Config!$B$5)*1000-ROW()/100000,0)</f>
        <v>0</v>
      </c>
    </row>
    <row r="22">
      <c r="A22" s="39" t="n">
        <v>46205</v>
      </c>
      <c r="B22" s="40" t="n">
        <v>0.5833333333333334</v>
      </c>
      <c r="C22" s="35" t="inlineStr">
        <is>
          <t>Dr. Paulo Andrade</t>
        </is>
      </c>
      <c r="D22" s="35" t="inlineStr">
        <is>
          <t>Sala 2</t>
        </is>
      </c>
      <c r="E22" s="34" t="inlineStr">
        <is>
          <t>Priscila Pinto</t>
        </is>
      </c>
      <c r="F22" s="35" t="inlineStr">
        <is>
          <t>Saúde Total</t>
        </is>
      </c>
      <c r="G22" s="35" t="inlineStr">
        <is>
          <t>Retorno</t>
        </is>
      </c>
      <c r="H22" s="35" t="inlineStr">
        <is>
          <t>Realizado</t>
        </is>
      </c>
      <c r="I22" s="35" t="inlineStr">
        <is>
          <t>Sem cobrança</t>
        </is>
      </c>
      <c r="J22" s="35" t="n"/>
      <c r="K22" s="34" t="n"/>
      <c r="L22" s="26">
        <f>IF(A22="","",MONTH(A22))</f>
        <v>7</v>
      </c>
      <c r="M22" s="26">
        <f>IF(A22="","",YEAR(A22))</f>
        <v>2026</v>
      </c>
      <c r="N22" s="26" t="str">
        <f>IF(A22="","",CHOOSE(WEEKDAY(A22,2),"Segunda","Terça","Quarta","Quinta","Sexta","Sábado","Domingo"))</f>
        <v>Quinta</v>
      </c>
      <c r="O22" s="26" t="str">
        <f>IF(B22="","",IF(B22&lt;TIME(12,0,0),"Manhã",IF(B22&lt;TIME(18,0,0),"Tarde","Noite")))</f>
        <v>Tarde</v>
      </c>
      <c r="P22" s="32">
        <f>IF(G22="","",IFERROR(INDEX(Config!$I$5:$I$16,MATCH(G22,Config!$H$5:$H$16,0)),0))</f>
        <v>0</v>
      </c>
      <c r="Q22" s="30">
        <f>IF(OR(H22&lt;&gt;"Realizado",P22="",P22=0),"",A22+P22)</f>
        <v/>
      </c>
      <c r="R22" s="26">
        <f>IF(Q22="","",IF(COUNTIFS($E$5:$E$1204,E22,$A$5:$A$1204,"&gt;"&amp;A22,$H$5:$H$1204,"&lt;&gt;Falta",$H$5:$H$1204,"&lt;&gt;Cancelado",$H$5:$H$1204,"&lt;&gt;Remarcado")&gt;0,"Sim","Não"))</f>
        <v/>
      </c>
      <c r="S22" s="32">
        <f>IF(R22&lt;&gt;"Não","",IF(Q22+Config!$B$9&lt;=Config!$B$8,Config!$B$8-Q22,""))</f>
        <v/>
      </c>
      <c r="T22" s="26">
        <f>IF(S22="","","Sim")</f>
        <v/>
      </c>
      <c r="U22" s="41">
        <f>IF(T22="Sim",S22+ROW()/100000,0)</f>
        <v>0</v>
      </c>
      <c r="V22" s="41">
        <f>IF(AND(H22="Falta",L22=Config!$B$7,M22=Config!$B$5,COUNTIFS($E$5:E22,E22,$H$5:H22,"Falta",$L$5:L22,Config!$B$7,$M$5:M22,Config!$B$5)=1),COUNTIFS($E$5:$E$1204,E22,$H$5:$H$1204,"Falta",$L$5:$L$1204,Config!$B$7,$M$5:$M$1204,Config!$B$5)*1000-ROW()/100000,0)</f>
        <v>0</v>
      </c>
    </row>
    <row r="23">
      <c r="A23" s="39" t="n">
        <v>46205</v>
      </c>
      <c r="B23" s="40" t="n">
        <v>0.6111111111111112</v>
      </c>
      <c r="C23" s="35" t="inlineStr">
        <is>
          <t>Dra. Renata Sousa</t>
        </is>
      </c>
      <c r="D23" s="35" t="inlineStr">
        <is>
          <t>Sala 1</t>
        </is>
      </c>
      <c r="E23" s="34" t="inlineStr">
        <is>
          <t>Thiago Melo</t>
        </is>
      </c>
      <c r="F23" s="35" t="inlineStr">
        <is>
          <t>Particular</t>
        </is>
      </c>
      <c r="G23" s="35" t="inlineStr">
        <is>
          <t>Retorno</t>
        </is>
      </c>
      <c r="H23" s="35" t="inlineStr">
        <is>
          <t>Realizado</t>
        </is>
      </c>
      <c r="I23" s="35" t="inlineStr">
        <is>
          <t>Sem cobrança</t>
        </is>
      </c>
      <c r="J23" s="35" t="n"/>
      <c r="K23" s="34" t="n"/>
      <c r="L23" s="26">
        <f>IF(A23="","",MONTH(A23))</f>
        <v>7</v>
      </c>
      <c r="M23" s="26">
        <f>IF(A23="","",YEAR(A23))</f>
        <v>2026</v>
      </c>
      <c r="N23" s="26" t="str">
        <f>IF(A23="","",CHOOSE(WEEKDAY(A23,2),"Segunda","Terça","Quarta","Quinta","Sexta","Sábado","Domingo"))</f>
        <v>Quinta</v>
      </c>
      <c r="O23" s="26" t="str">
        <f>IF(B23="","",IF(B23&lt;TIME(12,0,0),"Manhã",IF(B23&lt;TIME(18,0,0),"Tarde","Noite")))</f>
        <v>Tarde</v>
      </c>
      <c r="P23" s="32">
        <f>IF(G23="","",IFERROR(INDEX(Config!$I$5:$I$16,MATCH(G23,Config!$H$5:$H$16,0)),0))</f>
        <v>0</v>
      </c>
      <c r="Q23" s="30">
        <f>IF(OR(H23&lt;&gt;"Realizado",P23="",P23=0),"",A23+P23)</f>
        <v/>
      </c>
      <c r="R23" s="26">
        <f>IF(Q23="","",IF(COUNTIFS($E$5:$E$1204,E23,$A$5:$A$1204,"&gt;"&amp;A23,$H$5:$H$1204,"&lt;&gt;Falta",$H$5:$H$1204,"&lt;&gt;Cancelado",$H$5:$H$1204,"&lt;&gt;Remarcado")&gt;0,"Sim","Não"))</f>
        <v/>
      </c>
      <c r="S23" s="32">
        <f>IF(R23&lt;&gt;"Não","",IF(Q23+Config!$B$9&lt;=Config!$B$8,Config!$B$8-Q23,""))</f>
        <v/>
      </c>
      <c r="T23" s="26">
        <f>IF(S23="","","Sim")</f>
        <v/>
      </c>
      <c r="U23" s="41">
        <f>IF(T23="Sim",S23+ROW()/100000,0)</f>
        <v>0</v>
      </c>
      <c r="V23" s="41">
        <f>IF(AND(H23="Falta",L23=Config!$B$7,M23=Config!$B$5,COUNTIFS($E$5:E23,E23,$H$5:H23,"Falta",$L$5:L23,Config!$B$7,$M$5:M23,Config!$B$5)=1),COUNTIFS($E$5:$E$1204,E23,$H$5:$H$1204,"Falta",$L$5:$L$1204,Config!$B$7,$M$5:$M$1204,Config!$B$5)*1000-ROW()/100000,0)</f>
        <v>0</v>
      </c>
    </row>
    <row r="24">
      <c r="A24" s="39" t="n">
        <v>46205</v>
      </c>
      <c r="B24" s="40" t="n">
        <v>0.6180555555555556</v>
      </c>
      <c r="C24" s="35" t="inlineStr">
        <is>
          <t>Dr. Paulo Andrade</t>
        </is>
      </c>
      <c r="D24" s="35" t="inlineStr">
        <is>
          <t>Sala 2</t>
        </is>
      </c>
      <c r="E24" s="34" t="inlineStr">
        <is>
          <t>Gabriel Oliveira</t>
        </is>
      </c>
      <c r="F24" s="35" t="inlineStr">
        <is>
          <t>Particular</t>
        </is>
      </c>
      <c r="G24" s="35" t="inlineStr">
        <is>
          <t>ECG</t>
        </is>
      </c>
      <c r="H24" s="35" t="inlineStr">
        <is>
          <t>Realizado</t>
        </is>
      </c>
      <c r="I24" s="35" t="inlineStr">
        <is>
          <t>Pix</t>
        </is>
      </c>
      <c r="J24" s="35" t="n"/>
      <c r="K24" s="34" t="n"/>
      <c r="L24" s="26">
        <f>IF(A24="","",MONTH(A24))</f>
        <v>7</v>
      </c>
      <c r="M24" s="26">
        <f>IF(A24="","",YEAR(A24))</f>
        <v>2026</v>
      </c>
      <c r="N24" s="26" t="str">
        <f>IF(A24="","",CHOOSE(WEEKDAY(A24,2),"Segunda","Terça","Quarta","Quinta","Sexta","Sábado","Domingo"))</f>
        <v>Quinta</v>
      </c>
      <c r="O24" s="26" t="str">
        <f>IF(B24="","",IF(B24&lt;TIME(12,0,0),"Manhã",IF(B24&lt;TIME(18,0,0),"Tarde","Noite")))</f>
        <v>Tarde</v>
      </c>
      <c r="P24" s="32">
        <f>IF(G24="","",IFERROR(INDEX(Config!$I$5:$I$16,MATCH(G24,Config!$H$5:$H$16,0)),0))</f>
        <v>0</v>
      </c>
      <c r="Q24" s="30">
        <f>IF(OR(H24&lt;&gt;"Realizado",P24="",P24=0),"",A24+P24)</f>
        <v/>
      </c>
      <c r="R24" s="26">
        <f>IF(Q24="","",IF(COUNTIFS($E$5:$E$1204,E24,$A$5:$A$1204,"&gt;"&amp;A24,$H$5:$H$1204,"&lt;&gt;Falta",$H$5:$H$1204,"&lt;&gt;Cancelado",$H$5:$H$1204,"&lt;&gt;Remarcado")&gt;0,"Sim","Não"))</f>
        <v/>
      </c>
      <c r="S24" s="32">
        <f>IF(R24&lt;&gt;"Não","",IF(Q24+Config!$B$9&lt;=Config!$B$8,Config!$B$8-Q24,""))</f>
        <v/>
      </c>
      <c r="T24" s="26">
        <f>IF(S24="","","Sim")</f>
        <v/>
      </c>
      <c r="U24" s="41">
        <f>IF(T24="Sim",S24+ROW()/100000,0)</f>
        <v>0</v>
      </c>
      <c r="V24" s="41">
        <f>IF(AND(H24="Falta",L24=Config!$B$7,M24=Config!$B$5,COUNTIFS($E$5:E24,E24,$H$5:H24,"Falta",$L$5:L24,Config!$B$7,$M$5:M24,Config!$B$5)=1),COUNTIFS($E$5:$E$1204,E24,$H$5:$H$1204,"Falta",$L$5:$L$1204,Config!$B$7,$M$5:$M$1204,Config!$B$5)*1000-ROW()/100000,0)</f>
        <v>0</v>
      </c>
    </row>
    <row r="25">
      <c r="A25" s="39" t="n">
        <v>46205</v>
      </c>
      <c r="B25" s="40" t="n">
        <v>0.6319444444444444</v>
      </c>
      <c r="C25" s="35" t="inlineStr">
        <is>
          <t>Dr. Paulo Andrade</t>
        </is>
      </c>
      <c r="D25" s="35" t="inlineStr">
        <is>
          <t>Sala 2</t>
        </is>
      </c>
      <c r="E25" s="34" t="inlineStr">
        <is>
          <t>Helena Ribeiro</t>
        </is>
      </c>
      <c r="F25" s="35" t="inlineStr">
        <is>
          <t>MediPlan</t>
        </is>
      </c>
      <c r="G25" s="35" t="inlineStr">
        <is>
          <t>Consulta</t>
        </is>
      </c>
      <c r="H25" s="35" t="inlineStr">
        <is>
          <t>Realizado</t>
        </is>
      </c>
      <c r="I25" s="35" t="inlineStr">
        <is>
          <t>Convênio</t>
        </is>
      </c>
      <c r="J25" s="35" t="n"/>
      <c r="K25" s="34" t="n"/>
      <c r="L25" s="26">
        <f>IF(A25="","",MONTH(A25))</f>
        <v>7</v>
      </c>
      <c r="M25" s="26">
        <f>IF(A25="","",YEAR(A25))</f>
        <v>2026</v>
      </c>
      <c r="N25" s="26" t="str">
        <f>IF(A25="","",CHOOSE(WEEKDAY(A25,2),"Segunda","Terça","Quarta","Quinta","Sexta","Sábado","Domingo"))</f>
        <v>Quinta</v>
      </c>
      <c r="O25" s="26" t="str">
        <f>IF(B25="","",IF(B25&lt;TIME(12,0,0),"Manhã",IF(B25&lt;TIME(18,0,0),"Tarde","Noite")))</f>
        <v>Tarde</v>
      </c>
      <c r="P25" s="32">
        <f>IF(G25="","",IFERROR(INDEX(Config!$I$5:$I$16,MATCH(G25,Config!$H$5:$H$16,0)),0))</f>
        <v>30</v>
      </c>
      <c r="Q25" s="30">
        <f>IF(OR(H25&lt;&gt;"Realizado",P25="",P25=0),"",A25+P25)</f>
        <v>46235.0</v>
      </c>
      <c r="R25" s="26" t="str">
        <f>IF(Q25="","",IF(COUNTIFS($E$5:$E$1204,E25,$A$5:$A$1204,"&gt;"&amp;A25,$H$5:$H$1204,"&lt;&gt;Falta",$H$5:$H$1204,"&lt;&gt;Cancelado",$H$5:$H$1204,"&lt;&gt;Remarcado")&gt;0,"Sim","Não"))</f>
        <v>Sim</v>
      </c>
      <c r="S25" s="32">
        <f>IF(R25&lt;&gt;"Não","",IF(Q25+Config!$B$9&lt;=Config!$B$8,Config!$B$8-Q25,""))</f>
        <v/>
      </c>
      <c r="T25" s="26">
        <f>IF(S25="","","Sim")</f>
        <v/>
      </c>
      <c r="U25" s="41">
        <f>IF(T25="Sim",S25+ROW()/100000,0)</f>
        <v>0</v>
      </c>
      <c r="V25" s="41">
        <f>IF(AND(H25="Falta",L25=Config!$B$7,M25=Config!$B$5,COUNTIFS($E$5:E25,E25,$H$5:H25,"Falta",$L$5:L25,Config!$B$7,$M$5:M25,Config!$B$5)=1),COUNTIFS($E$5:$E$1204,E25,$H$5:$H$1204,"Falta",$L$5:$L$1204,Config!$B$7,$M$5:$M$1204,Config!$B$5)*1000-ROW()/100000,0)</f>
        <v>0</v>
      </c>
    </row>
    <row r="26">
      <c r="A26" s="39" t="n">
        <v>46205</v>
      </c>
      <c r="B26" s="40" t="n">
        <v>0.6527777777777778</v>
      </c>
      <c r="C26" s="35" t="inlineStr">
        <is>
          <t>Dr. Paulo Andrade</t>
        </is>
      </c>
      <c r="D26" s="35" t="inlineStr">
        <is>
          <t>Sala 2</t>
        </is>
      </c>
      <c r="E26" s="34" t="inlineStr">
        <is>
          <t>Gabriel Oliveira</t>
        </is>
      </c>
      <c r="F26" s="35" t="inlineStr">
        <is>
          <t>Particular</t>
        </is>
      </c>
      <c r="G26" s="35" t="inlineStr">
        <is>
          <t>Retorno</t>
        </is>
      </c>
      <c r="H26" s="35" t="inlineStr">
        <is>
          <t>Realizado</t>
        </is>
      </c>
      <c r="I26" s="35" t="inlineStr">
        <is>
          <t>Sem cobrança</t>
        </is>
      </c>
      <c r="J26" s="35" t="n"/>
      <c r="K26" s="34" t="n"/>
      <c r="L26" s="26">
        <f>IF(A26="","",MONTH(A26))</f>
        <v>7</v>
      </c>
      <c r="M26" s="26">
        <f>IF(A26="","",YEAR(A26))</f>
        <v>2026</v>
      </c>
      <c r="N26" s="26" t="str">
        <f>IF(A26="","",CHOOSE(WEEKDAY(A26,2),"Segunda","Terça","Quarta","Quinta","Sexta","Sábado","Domingo"))</f>
        <v>Quinta</v>
      </c>
      <c r="O26" s="26" t="str">
        <f>IF(B26="","",IF(B26&lt;TIME(12,0,0),"Manhã",IF(B26&lt;TIME(18,0,0),"Tarde","Noite")))</f>
        <v>Tarde</v>
      </c>
      <c r="P26" s="32">
        <f>IF(G26="","",IFERROR(INDEX(Config!$I$5:$I$16,MATCH(G26,Config!$H$5:$H$16,0)),0))</f>
        <v>0</v>
      </c>
      <c r="Q26" s="30">
        <f>IF(OR(H26&lt;&gt;"Realizado",P26="",P26=0),"",A26+P26)</f>
        <v/>
      </c>
      <c r="R26" s="26">
        <f>IF(Q26="","",IF(COUNTIFS($E$5:$E$1204,E26,$A$5:$A$1204,"&gt;"&amp;A26,$H$5:$H$1204,"&lt;&gt;Falta",$H$5:$H$1204,"&lt;&gt;Cancelado",$H$5:$H$1204,"&lt;&gt;Remarcado")&gt;0,"Sim","Não"))</f>
        <v/>
      </c>
      <c r="S26" s="32">
        <f>IF(R26&lt;&gt;"Não","",IF(Q26+Config!$B$9&lt;=Config!$B$8,Config!$B$8-Q26,""))</f>
        <v/>
      </c>
      <c r="T26" s="26">
        <f>IF(S26="","","Sim")</f>
        <v/>
      </c>
      <c r="U26" s="41">
        <f>IF(T26="Sim",S26+ROW()/100000,0)</f>
        <v>0</v>
      </c>
      <c r="V26" s="41">
        <f>IF(AND(H26="Falta",L26=Config!$B$7,M26=Config!$B$5,COUNTIFS($E$5:E26,E26,$H$5:H26,"Falta",$L$5:L26,Config!$B$7,$M$5:M26,Config!$B$5)=1),COUNTIFS($E$5:$E$1204,E26,$H$5:$H$1204,"Falta",$L$5:$L$1204,Config!$B$7,$M$5:$M$1204,Config!$B$5)*1000-ROW()/100000,0)</f>
        <v>0</v>
      </c>
    </row>
    <row r="27">
      <c r="A27" s="39" t="n">
        <v>46205</v>
      </c>
      <c r="B27" s="40" t="n">
        <v>0.6666666666666666</v>
      </c>
      <c r="C27" s="35" t="inlineStr">
        <is>
          <t>Dra. Renata Sousa</t>
        </is>
      </c>
      <c r="D27" s="35" t="inlineStr">
        <is>
          <t>Sala 1</t>
        </is>
      </c>
      <c r="E27" s="34" t="inlineStr">
        <is>
          <t>Camila Dias</t>
        </is>
      </c>
      <c r="F27" s="35" t="inlineStr">
        <is>
          <t>Particular</t>
        </is>
      </c>
      <c r="G27" s="35" t="inlineStr">
        <is>
          <t>Retorno</t>
        </is>
      </c>
      <c r="H27" s="35" t="inlineStr">
        <is>
          <t>Realizado</t>
        </is>
      </c>
      <c r="I27" s="35" t="inlineStr">
        <is>
          <t>Sem cobrança</t>
        </is>
      </c>
      <c r="J27" s="35" t="n"/>
      <c r="K27" s="34" t="n"/>
      <c r="L27" s="26">
        <f>IF(A27="","",MONTH(A27))</f>
        <v>7</v>
      </c>
      <c r="M27" s="26">
        <f>IF(A27="","",YEAR(A27))</f>
        <v>2026</v>
      </c>
      <c r="N27" s="26" t="str">
        <f>IF(A27="","",CHOOSE(WEEKDAY(A27,2),"Segunda","Terça","Quarta","Quinta","Sexta","Sábado","Domingo"))</f>
        <v>Quinta</v>
      </c>
      <c r="O27" s="26" t="str">
        <f>IF(B27="","",IF(B27&lt;TIME(12,0,0),"Manhã",IF(B27&lt;TIME(18,0,0),"Tarde","Noite")))</f>
        <v>Tarde</v>
      </c>
      <c r="P27" s="32">
        <f>IF(G27="","",IFERROR(INDEX(Config!$I$5:$I$16,MATCH(G27,Config!$H$5:$H$16,0)),0))</f>
        <v>0</v>
      </c>
      <c r="Q27" s="30">
        <f>IF(OR(H27&lt;&gt;"Realizado",P27="",P27=0),"",A27+P27)</f>
        <v/>
      </c>
      <c r="R27" s="26">
        <f>IF(Q27="","",IF(COUNTIFS($E$5:$E$1204,E27,$A$5:$A$1204,"&gt;"&amp;A27,$H$5:$H$1204,"&lt;&gt;Falta",$H$5:$H$1204,"&lt;&gt;Cancelado",$H$5:$H$1204,"&lt;&gt;Remarcado")&gt;0,"Sim","Não"))</f>
        <v/>
      </c>
      <c r="S27" s="32">
        <f>IF(R27&lt;&gt;"Não","",IF(Q27+Config!$B$9&lt;=Config!$B$8,Config!$B$8-Q27,""))</f>
        <v/>
      </c>
      <c r="T27" s="26">
        <f>IF(S27="","","Sim")</f>
        <v/>
      </c>
      <c r="U27" s="41">
        <f>IF(T27="Sim",S27+ROW()/100000,0)</f>
        <v>0</v>
      </c>
      <c r="V27" s="41">
        <f>IF(AND(H27="Falta",L27=Config!$B$7,M27=Config!$B$5,COUNTIFS($E$5:E27,E27,$H$5:H27,"Falta",$L$5:L27,Config!$B$7,$M$5:M27,Config!$B$5)=1),COUNTIFS($E$5:$E$1204,E27,$H$5:$H$1204,"Falta",$L$5:$L$1204,Config!$B$7,$M$5:$M$1204,Config!$B$5)*1000-ROW()/100000,0)</f>
        <v>0</v>
      </c>
    </row>
    <row r="28">
      <c r="A28" s="39" t="n">
        <v>46205</v>
      </c>
      <c r="B28" s="40" t="n">
        <v>0.6666666666666666</v>
      </c>
      <c r="C28" s="35" t="inlineStr">
        <is>
          <t>Dr. Paulo Andrade</t>
        </is>
      </c>
      <c r="D28" s="35" t="inlineStr">
        <is>
          <t>Sala 2</t>
        </is>
      </c>
      <c r="E28" s="34" t="inlineStr">
        <is>
          <t>Eduardo Nunes</t>
        </is>
      </c>
      <c r="F28" s="35" t="inlineStr">
        <is>
          <t>MediPlan</t>
        </is>
      </c>
      <c r="G28" s="35" t="inlineStr">
        <is>
          <t>ECG</t>
        </is>
      </c>
      <c r="H28" s="35" t="inlineStr">
        <is>
          <t>Realizado</t>
        </is>
      </c>
      <c r="I28" s="35" t="inlineStr">
        <is>
          <t>Convênio</t>
        </is>
      </c>
      <c r="J28" s="35" t="n"/>
      <c r="K28" s="34" t="n"/>
      <c r="L28" s="26">
        <f>IF(A28="","",MONTH(A28))</f>
        <v>7</v>
      </c>
      <c r="M28" s="26">
        <f>IF(A28="","",YEAR(A28))</f>
        <v>2026</v>
      </c>
      <c r="N28" s="26" t="str">
        <f>IF(A28="","",CHOOSE(WEEKDAY(A28,2),"Segunda","Terça","Quarta","Quinta","Sexta","Sábado","Domingo"))</f>
        <v>Quinta</v>
      </c>
      <c r="O28" s="26" t="str">
        <f>IF(B28="","",IF(B28&lt;TIME(12,0,0),"Manhã",IF(B28&lt;TIME(18,0,0),"Tarde","Noite")))</f>
        <v>Tarde</v>
      </c>
      <c r="P28" s="32">
        <f>IF(G28="","",IFERROR(INDEX(Config!$I$5:$I$16,MATCH(G28,Config!$H$5:$H$16,0)),0))</f>
        <v>0</v>
      </c>
      <c r="Q28" s="30">
        <f>IF(OR(H28&lt;&gt;"Realizado",P28="",P28=0),"",A28+P28)</f>
        <v/>
      </c>
      <c r="R28" s="26">
        <f>IF(Q28="","",IF(COUNTIFS($E$5:$E$1204,E28,$A$5:$A$1204,"&gt;"&amp;A28,$H$5:$H$1204,"&lt;&gt;Falta",$H$5:$H$1204,"&lt;&gt;Cancelado",$H$5:$H$1204,"&lt;&gt;Remarcado")&gt;0,"Sim","Não"))</f>
        <v/>
      </c>
      <c r="S28" s="32">
        <f>IF(R28&lt;&gt;"Não","",IF(Q28+Config!$B$9&lt;=Config!$B$8,Config!$B$8-Q28,""))</f>
        <v/>
      </c>
      <c r="T28" s="26">
        <f>IF(S28="","","Sim")</f>
        <v/>
      </c>
      <c r="U28" s="41">
        <f>IF(T28="Sim",S28+ROW()/100000,0)</f>
        <v>0</v>
      </c>
      <c r="V28" s="41">
        <f>IF(AND(H28="Falta",L28=Config!$B$7,M28=Config!$B$5,COUNTIFS($E$5:E28,E28,$H$5:H28,"Falta",$L$5:L28,Config!$B$7,$M$5:M28,Config!$B$5)=1),COUNTIFS($E$5:$E$1204,E28,$H$5:$H$1204,"Falta",$L$5:$L$1204,Config!$B$7,$M$5:$M$1204,Config!$B$5)*1000-ROW()/100000,0)</f>
        <v>0</v>
      </c>
    </row>
    <row r="29">
      <c r="A29" s="39" t="n">
        <v>46205</v>
      </c>
      <c r="B29" s="40" t="n">
        <v>0.6805555555555556</v>
      </c>
      <c r="C29" s="35" t="inlineStr">
        <is>
          <t>Dra. Renata Sousa</t>
        </is>
      </c>
      <c r="D29" s="35" t="inlineStr">
        <is>
          <t>Sala 1</t>
        </is>
      </c>
      <c r="E29" s="34" t="inlineStr">
        <is>
          <t>Cláudia Melo</t>
        </is>
      </c>
      <c r="F29" s="35" t="inlineStr">
        <is>
          <t>Particular</t>
        </is>
      </c>
      <c r="G29" s="35" t="inlineStr">
        <is>
          <t>Retorno</t>
        </is>
      </c>
      <c r="H29" s="35" t="inlineStr">
        <is>
          <t>Realizado</t>
        </is>
      </c>
      <c r="I29" s="35" t="inlineStr">
        <is>
          <t>Sem cobrança</t>
        </is>
      </c>
      <c r="J29" s="35" t="n"/>
      <c r="K29" s="34" t="n"/>
      <c r="L29" s="26">
        <f>IF(A29="","",MONTH(A29))</f>
        <v>7</v>
      </c>
      <c r="M29" s="26">
        <f>IF(A29="","",YEAR(A29))</f>
        <v>2026</v>
      </c>
      <c r="N29" s="26" t="str">
        <f>IF(A29="","",CHOOSE(WEEKDAY(A29,2),"Segunda","Terça","Quarta","Quinta","Sexta","Sábado","Domingo"))</f>
        <v>Quinta</v>
      </c>
      <c r="O29" s="26" t="str">
        <f>IF(B29="","",IF(B29&lt;TIME(12,0,0),"Manhã",IF(B29&lt;TIME(18,0,0),"Tarde","Noite")))</f>
        <v>Tarde</v>
      </c>
      <c r="P29" s="32">
        <f>IF(G29="","",IFERROR(INDEX(Config!$I$5:$I$16,MATCH(G29,Config!$H$5:$H$16,0)),0))</f>
        <v>0</v>
      </c>
      <c r="Q29" s="30">
        <f>IF(OR(H29&lt;&gt;"Realizado",P29="",P29=0),"",A29+P29)</f>
        <v/>
      </c>
      <c r="R29" s="26">
        <f>IF(Q29="","",IF(COUNTIFS($E$5:$E$1204,E29,$A$5:$A$1204,"&gt;"&amp;A29,$H$5:$H$1204,"&lt;&gt;Falta",$H$5:$H$1204,"&lt;&gt;Cancelado",$H$5:$H$1204,"&lt;&gt;Remarcado")&gt;0,"Sim","Não"))</f>
        <v/>
      </c>
      <c r="S29" s="32">
        <f>IF(R29&lt;&gt;"Não","",IF(Q29+Config!$B$9&lt;=Config!$B$8,Config!$B$8-Q29,""))</f>
        <v/>
      </c>
      <c r="T29" s="26">
        <f>IF(S29="","","Sim")</f>
        <v/>
      </c>
      <c r="U29" s="41">
        <f>IF(T29="Sim",S29+ROW()/100000,0)</f>
        <v>0</v>
      </c>
      <c r="V29" s="41">
        <f>IF(AND(H29="Falta",L29=Config!$B$7,M29=Config!$B$5,COUNTIFS($E$5:E29,E29,$H$5:H29,"Falta",$L$5:L29,Config!$B$7,$M$5:M29,Config!$B$5)=1),COUNTIFS($E$5:$E$1204,E29,$H$5:$H$1204,"Falta",$L$5:$L$1204,Config!$B$7,$M$5:$M$1204,Config!$B$5)*1000-ROW()/100000,0)</f>
        <v>0</v>
      </c>
    </row>
    <row r="30">
      <c r="A30" s="39" t="n">
        <v>46205</v>
      </c>
      <c r="B30" s="40" t="n">
        <v>0.6805555555555556</v>
      </c>
      <c r="C30" s="35" t="inlineStr">
        <is>
          <t>Dr. Paulo Andrade</t>
        </is>
      </c>
      <c r="D30" s="35" t="inlineStr">
        <is>
          <t>Sala 2</t>
        </is>
      </c>
      <c r="E30" s="34" t="inlineStr">
        <is>
          <t>Patrícia Vieira</t>
        </is>
      </c>
      <c r="F30" s="35" t="inlineStr">
        <is>
          <t>Saúde Total</t>
        </is>
      </c>
      <c r="G30" s="35" t="inlineStr">
        <is>
          <t>Consulta</t>
        </is>
      </c>
      <c r="H30" s="35" t="inlineStr">
        <is>
          <t>Realizado</t>
        </is>
      </c>
      <c r="I30" s="35" t="inlineStr">
        <is>
          <t>Convênio</t>
        </is>
      </c>
      <c r="J30" s="35" t="n"/>
      <c r="K30" s="34" t="n"/>
      <c r="L30" s="26">
        <f>IF(A30="","",MONTH(A30))</f>
        <v>7</v>
      </c>
      <c r="M30" s="26">
        <f>IF(A30="","",YEAR(A30))</f>
        <v>2026</v>
      </c>
      <c r="N30" s="26" t="str">
        <f>IF(A30="","",CHOOSE(WEEKDAY(A30,2),"Segunda","Terça","Quarta","Quinta","Sexta","Sábado","Domingo"))</f>
        <v>Quinta</v>
      </c>
      <c r="O30" s="26" t="str">
        <f>IF(B30="","",IF(B30&lt;TIME(12,0,0),"Manhã",IF(B30&lt;TIME(18,0,0),"Tarde","Noite")))</f>
        <v>Tarde</v>
      </c>
      <c r="P30" s="32">
        <f>IF(G30="","",IFERROR(INDEX(Config!$I$5:$I$16,MATCH(G30,Config!$H$5:$H$16,0)),0))</f>
        <v>30</v>
      </c>
      <c r="Q30" s="30">
        <f>IF(OR(H30&lt;&gt;"Realizado",P30="",P30=0),"",A30+P30)</f>
        <v>46235.0</v>
      </c>
      <c r="R30" s="26" t="str">
        <f>IF(Q30="","",IF(COUNTIFS($E$5:$E$1204,E30,$A$5:$A$1204,"&gt;"&amp;A30,$H$5:$H$1204,"&lt;&gt;Falta",$H$5:$H$1204,"&lt;&gt;Cancelado",$H$5:$H$1204,"&lt;&gt;Remarcado")&gt;0,"Sim","Não"))</f>
        <v>Sim</v>
      </c>
      <c r="S30" s="32">
        <f>IF(R30&lt;&gt;"Não","",IF(Q30+Config!$B$9&lt;=Config!$B$8,Config!$B$8-Q30,""))</f>
        <v/>
      </c>
      <c r="T30" s="26">
        <f>IF(S30="","","Sim")</f>
        <v/>
      </c>
      <c r="U30" s="41">
        <f>IF(T30="Sim",S30+ROW()/100000,0)</f>
        <v>0</v>
      </c>
      <c r="V30" s="41">
        <f>IF(AND(H30="Falta",L30=Config!$B$7,M30=Config!$B$5,COUNTIFS($E$5:E30,E30,$H$5:H30,"Falta",$L$5:L30,Config!$B$7,$M$5:M30,Config!$B$5)=1),COUNTIFS($E$5:$E$1204,E30,$H$5:$H$1204,"Falta",$L$5:$L$1204,Config!$B$7,$M$5:$M$1204,Config!$B$5)*1000-ROW()/100000,0)</f>
        <v>0</v>
      </c>
    </row>
    <row r="31">
      <c r="A31" s="39" t="n">
        <v>46205</v>
      </c>
      <c r="B31" s="40" t="n">
        <v>0.6944444444444444</v>
      </c>
      <c r="C31" s="35" t="inlineStr">
        <is>
          <t>Dra. Renata Sousa</t>
        </is>
      </c>
      <c r="D31" s="35" t="inlineStr">
        <is>
          <t>Sala 1</t>
        </is>
      </c>
      <c r="E31" s="34" t="inlineStr">
        <is>
          <t>Beatriz Monteiro</t>
        </is>
      </c>
      <c r="F31" s="35" t="inlineStr">
        <is>
          <t>Particular</t>
        </is>
      </c>
      <c r="G31" s="35" t="inlineStr">
        <is>
          <t>Avaliação endócrina</t>
        </is>
      </c>
      <c r="H31" s="35" t="inlineStr">
        <is>
          <t>Realizado</t>
        </is>
      </c>
      <c r="I31" s="35" t="inlineStr">
        <is>
          <t>Cartão de crédito</t>
        </is>
      </c>
      <c r="J31" s="35" t="n">
        <v>2</v>
      </c>
      <c r="K31" s="34" t="n"/>
      <c r="L31" s="26">
        <f>IF(A31="","",MONTH(A31))</f>
        <v>7</v>
      </c>
      <c r="M31" s="26">
        <f>IF(A31="","",YEAR(A31))</f>
        <v>2026</v>
      </c>
      <c r="N31" s="26" t="str">
        <f>IF(A31="","",CHOOSE(WEEKDAY(A31,2),"Segunda","Terça","Quarta","Quinta","Sexta","Sábado","Domingo"))</f>
        <v>Quinta</v>
      </c>
      <c r="O31" s="26" t="str">
        <f>IF(B31="","",IF(B31&lt;TIME(12,0,0),"Manhã",IF(B31&lt;TIME(18,0,0),"Tarde","Noite")))</f>
        <v>Tarde</v>
      </c>
      <c r="P31" s="32">
        <f>IF(G31="","",IFERROR(INDEX(Config!$I$5:$I$16,MATCH(G31,Config!$H$5:$H$16,0)),0))</f>
        <v>45</v>
      </c>
      <c r="Q31" s="30">
        <f>IF(OR(H31&lt;&gt;"Realizado",P31="",P31=0),"",A31+P31)</f>
        <v>46250.0</v>
      </c>
      <c r="R31" s="26" t="str">
        <f>IF(Q31="","",IF(COUNTIFS($E$5:$E$1204,E31,$A$5:$A$1204,"&gt;"&amp;A31,$H$5:$H$1204,"&lt;&gt;Falta",$H$5:$H$1204,"&lt;&gt;Cancelado",$H$5:$H$1204,"&lt;&gt;Remarcado")&gt;0,"Sim","Não"))</f>
        <v>Sim</v>
      </c>
      <c r="S31" s="32">
        <f>IF(R31&lt;&gt;"Não","",IF(Q31+Config!$B$9&lt;=Config!$B$8,Config!$B$8-Q31,""))</f>
        <v/>
      </c>
      <c r="T31" s="26">
        <f>IF(S31="","","Sim")</f>
        <v/>
      </c>
      <c r="U31" s="41">
        <f>IF(T31="Sim",S31+ROW()/100000,0)</f>
        <v>0</v>
      </c>
      <c r="V31" s="41">
        <f>IF(AND(H31="Falta",L31=Config!$B$7,M31=Config!$B$5,COUNTIFS($E$5:E31,E31,$H$5:H31,"Falta",$L$5:L31,Config!$B$7,$M$5:M31,Config!$B$5)=1),COUNTIFS($E$5:$E$1204,E31,$H$5:$H$1204,"Falta",$L$5:$L$1204,Config!$B$7,$M$5:$M$1204,Config!$B$5)*1000-ROW()/100000,0)</f>
        <v>0</v>
      </c>
    </row>
    <row r="32">
      <c r="A32" s="39" t="n">
        <v>46205</v>
      </c>
      <c r="B32" s="40" t="n">
        <v>0.7222222222222222</v>
      </c>
      <c r="C32" s="35" t="inlineStr">
        <is>
          <t>Dra. Renata Sousa</t>
        </is>
      </c>
      <c r="D32" s="35" t="inlineStr">
        <is>
          <t>Sala 1</t>
        </is>
      </c>
      <c r="E32" s="34" t="inlineStr">
        <is>
          <t>Daniel Moreira</t>
        </is>
      </c>
      <c r="F32" s="35" t="inlineStr">
        <is>
          <t>Saúde Total</t>
        </is>
      </c>
      <c r="G32" s="35" t="inlineStr">
        <is>
          <t>Avaliação endócrina</t>
        </is>
      </c>
      <c r="H32" s="35" t="inlineStr">
        <is>
          <t>Realizado</t>
        </is>
      </c>
      <c r="I32" s="35" t="inlineStr">
        <is>
          <t>Convênio</t>
        </is>
      </c>
      <c r="J32" s="35" t="n"/>
      <c r="K32" s="34" t="n"/>
      <c r="L32" s="26">
        <f>IF(A32="","",MONTH(A32))</f>
        <v>7</v>
      </c>
      <c r="M32" s="26">
        <f>IF(A32="","",YEAR(A32))</f>
        <v>2026</v>
      </c>
      <c r="N32" s="26" t="str">
        <f>IF(A32="","",CHOOSE(WEEKDAY(A32,2),"Segunda","Terça","Quarta","Quinta","Sexta","Sábado","Domingo"))</f>
        <v>Quinta</v>
      </c>
      <c r="O32" s="26" t="str">
        <f>IF(B32="","",IF(B32&lt;TIME(12,0,0),"Manhã",IF(B32&lt;TIME(18,0,0),"Tarde","Noite")))</f>
        <v>Tarde</v>
      </c>
      <c r="P32" s="32">
        <f>IF(G32="","",IFERROR(INDEX(Config!$I$5:$I$16,MATCH(G32,Config!$H$5:$H$16,0)),0))</f>
        <v>45</v>
      </c>
      <c r="Q32" s="30">
        <f>IF(OR(H32&lt;&gt;"Realizado",P32="",P32=0),"",A32+P32)</f>
        <v>46250.0</v>
      </c>
      <c r="R32" s="26" t="str">
        <f>IF(Q32="","",IF(COUNTIFS($E$5:$E$1204,E32,$A$5:$A$1204,"&gt;"&amp;A32,$H$5:$H$1204,"&lt;&gt;Falta",$H$5:$H$1204,"&lt;&gt;Cancelado",$H$5:$H$1204,"&lt;&gt;Remarcado")&gt;0,"Sim","Não"))</f>
        <v>Sim</v>
      </c>
      <c r="S32" s="32">
        <f>IF(R32&lt;&gt;"Não","",IF(Q32+Config!$B$9&lt;=Config!$B$8,Config!$B$8-Q32,""))</f>
        <v/>
      </c>
      <c r="T32" s="26">
        <f>IF(S32="","","Sim")</f>
        <v/>
      </c>
      <c r="U32" s="41">
        <f>IF(T32="Sim",S32+ROW()/100000,0)</f>
        <v>0</v>
      </c>
      <c r="V32" s="41">
        <f>IF(AND(H32="Falta",L32=Config!$B$7,M32=Config!$B$5,COUNTIFS($E$5:E32,E32,$H$5:H32,"Falta",$L$5:L32,Config!$B$7,$M$5:M32,Config!$B$5)=1),COUNTIFS($E$5:$E$1204,E32,$H$5:$H$1204,"Falta",$L$5:$L$1204,Config!$B$7,$M$5:$M$1204,Config!$B$5)*1000-ROW()/100000,0)</f>
        <v>0</v>
      </c>
    </row>
    <row r="33">
      <c r="A33" s="39" t="n">
        <v>46206</v>
      </c>
      <c r="B33" s="40" t="n">
        <v>0.3333333333333333</v>
      </c>
      <c r="C33" s="35" t="inlineStr">
        <is>
          <t>Dr. Paulo Andrade</t>
        </is>
      </c>
      <c r="D33" s="35" t="inlineStr">
        <is>
          <t>Sala 2</t>
        </is>
      </c>
      <c r="E33" s="34" t="inlineStr">
        <is>
          <t>Renato Dias</t>
        </is>
      </c>
      <c r="F33" s="35" t="inlineStr">
        <is>
          <t>Particular</t>
        </is>
      </c>
      <c r="G33" s="35" t="inlineStr">
        <is>
          <t>ECG</t>
        </is>
      </c>
      <c r="H33" s="35" t="inlineStr">
        <is>
          <t>Realizado</t>
        </is>
      </c>
      <c r="I33" s="35" t="inlineStr">
        <is>
          <t>Pix</t>
        </is>
      </c>
      <c r="J33" s="35" t="n"/>
      <c r="K33" s="34" t="n"/>
      <c r="L33" s="26">
        <f>IF(A33="","",MONTH(A33))</f>
        <v>7</v>
      </c>
      <c r="M33" s="26">
        <f>IF(A33="","",YEAR(A33))</f>
        <v>2026</v>
      </c>
      <c r="N33" s="26" t="str">
        <f>IF(A33="","",CHOOSE(WEEKDAY(A33,2),"Segunda","Terça","Quarta","Quinta","Sexta","Sábado","Domingo"))</f>
        <v>Sexta</v>
      </c>
      <c r="O33" s="26" t="str">
        <f>IF(B33="","",IF(B33&lt;TIME(12,0,0),"Manhã",IF(B33&lt;TIME(18,0,0),"Tarde","Noite")))</f>
        <v>Manhã</v>
      </c>
      <c r="P33" s="32">
        <f>IF(G33="","",IFERROR(INDEX(Config!$I$5:$I$16,MATCH(G33,Config!$H$5:$H$16,0)),0))</f>
        <v>0</v>
      </c>
      <c r="Q33" s="30">
        <f>IF(OR(H33&lt;&gt;"Realizado",P33="",P33=0),"",A33+P33)</f>
        <v/>
      </c>
      <c r="R33" s="26">
        <f>IF(Q33="","",IF(COUNTIFS($E$5:$E$1204,E33,$A$5:$A$1204,"&gt;"&amp;A33,$H$5:$H$1204,"&lt;&gt;Falta",$H$5:$H$1204,"&lt;&gt;Cancelado",$H$5:$H$1204,"&lt;&gt;Remarcado")&gt;0,"Sim","Não"))</f>
        <v/>
      </c>
      <c r="S33" s="32">
        <f>IF(R33&lt;&gt;"Não","",IF(Q33+Config!$B$9&lt;=Config!$B$8,Config!$B$8-Q33,""))</f>
        <v/>
      </c>
      <c r="T33" s="26">
        <f>IF(S33="","","Sim")</f>
        <v/>
      </c>
      <c r="U33" s="41">
        <f>IF(T33="Sim",S33+ROW()/100000,0)</f>
        <v>0</v>
      </c>
      <c r="V33" s="41">
        <f>IF(AND(H33="Falta",L33=Config!$B$7,M33=Config!$B$5,COUNTIFS($E$5:E33,E33,$H$5:H33,"Falta",$L$5:L33,Config!$B$7,$M$5:M33,Config!$B$5)=1),COUNTIFS($E$5:$E$1204,E33,$H$5:$H$1204,"Falta",$L$5:$L$1204,Config!$B$7,$M$5:$M$1204,Config!$B$5)*1000-ROW()/100000,0)</f>
        <v>0</v>
      </c>
    </row>
    <row r="34">
      <c r="A34" s="39" t="n">
        <v>46206</v>
      </c>
      <c r="B34" s="40" t="n">
        <v>0.3472222222222222</v>
      </c>
      <c r="C34" s="35" t="inlineStr">
        <is>
          <t>Dr. Paulo Andrade</t>
        </is>
      </c>
      <c r="D34" s="35" t="inlineStr">
        <is>
          <t>Sala 2</t>
        </is>
      </c>
      <c r="E34" s="34" t="inlineStr">
        <is>
          <t>Wagner Costa</t>
        </is>
      </c>
      <c r="F34" s="35" t="inlineStr">
        <is>
          <t>Particular</t>
        </is>
      </c>
      <c r="G34" s="35" t="inlineStr">
        <is>
          <t>Consulta</t>
        </is>
      </c>
      <c r="H34" s="35" t="inlineStr">
        <is>
          <t>Realizado</t>
        </is>
      </c>
      <c r="I34" s="35" t="inlineStr">
        <is>
          <t>Pix</t>
        </is>
      </c>
      <c r="J34" s="35" t="n"/>
      <c r="K34" s="34" t="n"/>
      <c r="L34" s="26">
        <f>IF(A34="","",MONTH(A34))</f>
        <v>7</v>
      </c>
      <c r="M34" s="26">
        <f>IF(A34="","",YEAR(A34))</f>
        <v>2026</v>
      </c>
      <c r="N34" s="26" t="str">
        <f>IF(A34="","",CHOOSE(WEEKDAY(A34,2),"Segunda","Terça","Quarta","Quinta","Sexta","Sábado","Domingo"))</f>
        <v>Sexta</v>
      </c>
      <c r="O34" s="26" t="str">
        <f>IF(B34="","",IF(B34&lt;TIME(12,0,0),"Manhã",IF(B34&lt;TIME(18,0,0),"Tarde","Noite")))</f>
        <v>Manhã</v>
      </c>
      <c r="P34" s="32">
        <f>IF(G34="","",IFERROR(INDEX(Config!$I$5:$I$16,MATCH(G34,Config!$H$5:$H$16,0)),0))</f>
        <v>30</v>
      </c>
      <c r="Q34" s="30">
        <f>IF(OR(H34&lt;&gt;"Realizado",P34="",P34=0),"",A34+P34)</f>
        <v>46236.0</v>
      </c>
      <c r="R34" s="26" t="str">
        <f>IF(Q34="","",IF(COUNTIFS($E$5:$E$1204,E34,$A$5:$A$1204,"&gt;"&amp;A34,$H$5:$H$1204,"&lt;&gt;Falta",$H$5:$H$1204,"&lt;&gt;Cancelado",$H$5:$H$1204,"&lt;&gt;Remarcado")&gt;0,"Sim","Não"))</f>
        <v>Sim</v>
      </c>
      <c r="S34" s="32">
        <f>IF(R34&lt;&gt;"Não","",IF(Q34+Config!$B$9&lt;=Config!$B$8,Config!$B$8-Q34,""))</f>
        <v/>
      </c>
      <c r="T34" s="26">
        <f>IF(S34="","","Sim")</f>
        <v/>
      </c>
      <c r="U34" s="41">
        <f>IF(T34="Sim",S34+ROW()/100000,0)</f>
        <v>0</v>
      </c>
      <c r="V34" s="41">
        <f>IF(AND(H34="Falta",L34=Config!$B$7,M34=Config!$B$5,COUNTIFS($E$5:E34,E34,$H$5:H34,"Falta",$L$5:L34,Config!$B$7,$M$5:M34,Config!$B$5)=1),COUNTIFS($E$5:$E$1204,E34,$H$5:$H$1204,"Falta",$L$5:$L$1204,Config!$B$7,$M$5:$M$1204,Config!$B$5)*1000-ROW()/100000,0)</f>
        <v>0</v>
      </c>
    </row>
    <row r="35">
      <c r="A35" s="39" t="n">
        <v>46206</v>
      </c>
      <c r="B35" s="40" t="n">
        <v>0.4097222222222222</v>
      </c>
      <c r="C35" s="35" t="inlineStr">
        <is>
          <t>Dr. Paulo Andrade</t>
        </is>
      </c>
      <c r="D35" s="35" t="inlineStr">
        <is>
          <t>Sala 2</t>
        </is>
      </c>
      <c r="E35" s="34" t="inlineStr">
        <is>
          <t>Fábio Martins</t>
        </is>
      </c>
      <c r="F35" s="35" t="inlineStr">
        <is>
          <t>MediPlan</t>
        </is>
      </c>
      <c r="G35" s="35" t="inlineStr">
        <is>
          <t>Consulta</t>
        </is>
      </c>
      <c r="H35" s="35" t="inlineStr">
        <is>
          <t>Realizado</t>
        </is>
      </c>
      <c r="I35" s="35" t="inlineStr">
        <is>
          <t>Convênio</t>
        </is>
      </c>
      <c r="J35" s="35" t="n"/>
      <c r="K35" s="34" t="n"/>
      <c r="L35" s="26">
        <f>IF(A35="","",MONTH(A35))</f>
        <v>7</v>
      </c>
      <c r="M35" s="26">
        <f>IF(A35="","",YEAR(A35))</f>
        <v>2026</v>
      </c>
      <c r="N35" s="26" t="str">
        <f>IF(A35="","",CHOOSE(WEEKDAY(A35,2),"Segunda","Terça","Quarta","Quinta","Sexta","Sábado","Domingo"))</f>
        <v>Sexta</v>
      </c>
      <c r="O35" s="26" t="str">
        <f>IF(B35="","",IF(B35&lt;TIME(12,0,0),"Manhã",IF(B35&lt;TIME(18,0,0),"Tarde","Noite")))</f>
        <v>Manhã</v>
      </c>
      <c r="P35" s="32">
        <f>IF(G35="","",IFERROR(INDEX(Config!$I$5:$I$16,MATCH(G35,Config!$H$5:$H$16,0)),0))</f>
        <v>30</v>
      </c>
      <c r="Q35" s="30">
        <f>IF(OR(H35&lt;&gt;"Realizado",P35="",P35=0),"",A35+P35)</f>
        <v>46236.0</v>
      </c>
      <c r="R35" s="26" t="str">
        <f>IF(Q35="","",IF(COUNTIFS($E$5:$E$1204,E35,$A$5:$A$1204,"&gt;"&amp;A35,$H$5:$H$1204,"&lt;&gt;Falta",$H$5:$H$1204,"&lt;&gt;Cancelado",$H$5:$H$1204,"&lt;&gt;Remarcado")&gt;0,"Sim","Não"))</f>
        <v>Sim</v>
      </c>
      <c r="S35" s="32">
        <f>IF(R35&lt;&gt;"Não","",IF(Q35+Config!$B$9&lt;=Config!$B$8,Config!$B$8-Q35,""))</f>
        <v/>
      </c>
      <c r="T35" s="26">
        <f>IF(S35="","","Sim")</f>
        <v/>
      </c>
      <c r="U35" s="41">
        <f>IF(T35="Sim",S35+ROW()/100000,0)</f>
        <v>0</v>
      </c>
      <c r="V35" s="41">
        <f>IF(AND(H35="Falta",L35=Config!$B$7,M35=Config!$B$5,COUNTIFS($E$5:E35,E35,$H$5:H35,"Falta",$L$5:L35,Config!$B$7,$M$5:M35,Config!$B$5)=1),COUNTIFS($E$5:$E$1204,E35,$H$5:$H$1204,"Falta",$L$5:$L$1204,Config!$B$7,$M$5:$M$1204,Config!$B$5)*1000-ROW()/100000,0)</f>
        <v>0</v>
      </c>
    </row>
    <row r="36">
      <c r="A36" s="39" t="n">
        <v>46206</v>
      </c>
      <c r="B36" s="40" t="n">
        <v>0.4305555555555556</v>
      </c>
      <c r="C36" s="35" t="inlineStr">
        <is>
          <t>Dr. Paulo Andrade</t>
        </is>
      </c>
      <c r="D36" s="35" t="inlineStr">
        <is>
          <t>Sala 2</t>
        </is>
      </c>
      <c r="E36" s="34" t="inlineStr">
        <is>
          <t>Rafael Araújo</t>
        </is>
      </c>
      <c r="F36" s="35" t="inlineStr">
        <is>
          <t>MediPlan</t>
        </is>
      </c>
      <c r="G36" s="35" t="inlineStr">
        <is>
          <t>Consulta</t>
        </is>
      </c>
      <c r="H36" s="35" t="inlineStr">
        <is>
          <t>Realizado</t>
        </is>
      </c>
      <c r="I36" s="35" t="inlineStr">
        <is>
          <t>Convênio</t>
        </is>
      </c>
      <c r="J36" s="35" t="n"/>
      <c r="K36" s="34" t="n"/>
      <c r="L36" s="26">
        <f>IF(A36="","",MONTH(A36))</f>
        <v>7</v>
      </c>
      <c r="M36" s="26">
        <f>IF(A36="","",YEAR(A36))</f>
        <v>2026</v>
      </c>
      <c r="N36" s="26" t="str">
        <f>IF(A36="","",CHOOSE(WEEKDAY(A36,2),"Segunda","Terça","Quarta","Quinta","Sexta","Sábado","Domingo"))</f>
        <v>Sexta</v>
      </c>
      <c r="O36" s="26" t="str">
        <f>IF(B36="","",IF(B36&lt;TIME(12,0,0),"Manhã",IF(B36&lt;TIME(18,0,0),"Tarde","Noite")))</f>
        <v>Manhã</v>
      </c>
      <c r="P36" s="32">
        <f>IF(G36="","",IFERROR(INDEX(Config!$I$5:$I$16,MATCH(G36,Config!$H$5:$H$16,0)),0))</f>
        <v>30</v>
      </c>
      <c r="Q36" s="30">
        <f>IF(OR(H36&lt;&gt;"Realizado",P36="",P36=0),"",A36+P36)</f>
        <v>46236.0</v>
      </c>
      <c r="R36" s="26" t="str">
        <f>IF(Q36="","",IF(COUNTIFS($E$5:$E$1204,E36,$A$5:$A$1204,"&gt;"&amp;A36,$H$5:$H$1204,"&lt;&gt;Falta",$H$5:$H$1204,"&lt;&gt;Cancelado",$H$5:$H$1204,"&lt;&gt;Remarcado")&gt;0,"Sim","Não"))</f>
        <v>Sim</v>
      </c>
      <c r="S36" s="32">
        <f>IF(R36&lt;&gt;"Não","",IF(Q36+Config!$B$9&lt;=Config!$B$8,Config!$B$8-Q36,""))</f>
        <v/>
      </c>
      <c r="T36" s="26">
        <f>IF(S36="","","Sim")</f>
        <v/>
      </c>
      <c r="U36" s="41">
        <f>IF(T36="Sim",S36+ROW()/100000,0)</f>
        <v>0</v>
      </c>
      <c r="V36" s="41">
        <f>IF(AND(H36="Falta",L36=Config!$B$7,M36=Config!$B$5,COUNTIFS($E$5:E36,E36,$H$5:H36,"Falta",$L$5:L36,Config!$B$7,$M$5:M36,Config!$B$5)=1),COUNTIFS($E$5:$E$1204,E36,$H$5:$H$1204,"Falta",$L$5:$L$1204,Config!$B$7,$M$5:$M$1204,Config!$B$5)*1000-ROW()/100000,0)</f>
        <v>0</v>
      </c>
    </row>
    <row r="37">
      <c r="A37" s="39" t="n">
        <v>46206</v>
      </c>
      <c r="B37" s="40" t="n">
        <v>0.4722222222222222</v>
      </c>
      <c r="C37" s="35" t="inlineStr">
        <is>
          <t>Dr. Paulo Andrade</t>
        </is>
      </c>
      <c r="D37" s="35" t="inlineStr">
        <is>
          <t>Sala 2</t>
        </is>
      </c>
      <c r="E37" s="34" t="inlineStr">
        <is>
          <t>Mônica Teixeira</t>
        </is>
      </c>
      <c r="F37" s="35" t="inlineStr">
        <is>
          <t>Vida Care</t>
        </is>
      </c>
      <c r="G37" s="35" t="inlineStr">
        <is>
          <t>ECG</t>
        </is>
      </c>
      <c r="H37" s="35" t="inlineStr">
        <is>
          <t>Realizado</t>
        </is>
      </c>
      <c r="I37" s="35" t="inlineStr">
        <is>
          <t>Convênio</t>
        </is>
      </c>
      <c r="J37" s="35" t="n"/>
      <c r="K37" s="34" t="n"/>
      <c r="L37" s="26">
        <f>IF(A37="","",MONTH(A37))</f>
        <v>7</v>
      </c>
      <c r="M37" s="26">
        <f>IF(A37="","",YEAR(A37))</f>
        <v>2026</v>
      </c>
      <c r="N37" s="26" t="str">
        <f>IF(A37="","",CHOOSE(WEEKDAY(A37,2),"Segunda","Terça","Quarta","Quinta","Sexta","Sábado","Domingo"))</f>
        <v>Sexta</v>
      </c>
      <c r="O37" s="26" t="str">
        <f>IF(B37="","",IF(B37&lt;TIME(12,0,0),"Manhã",IF(B37&lt;TIME(18,0,0),"Tarde","Noite")))</f>
        <v>Manhã</v>
      </c>
      <c r="P37" s="32">
        <f>IF(G37="","",IFERROR(INDEX(Config!$I$5:$I$16,MATCH(G37,Config!$H$5:$H$16,0)),0))</f>
        <v>0</v>
      </c>
      <c r="Q37" s="30">
        <f>IF(OR(H37&lt;&gt;"Realizado",P37="",P37=0),"",A37+P37)</f>
        <v/>
      </c>
      <c r="R37" s="26">
        <f>IF(Q37="","",IF(COUNTIFS($E$5:$E$1204,E37,$A$5:$A$1204,"&gt;"&amp;A37,$H$5:$H$1204,"&lt;&gt;Falta",$H$5:$H$1204,"&lt;&gt;Cancelado",$H$5:$H$1204,"&lt;&gt;Remarcado")&gt;0,"Sim","Não"))</f>
        <v/>
      </c>
      <c r="S37" s="32">
        <f>IF(R37&lt;&gt;"Não","",IF(Q37+Config!$B$9&lt;=Config!$B$8,Config!$B$8-Q37,""))</f>
        <v/>
      </c>
      <c r="T37" s="26">
        <f>IF(S37="","","Sim")</f>
        <v/>
      </c>
      <c r="U37" s="41">
        <f>IF(T37="Sim",S37+ROW()/100000,0)</f>
        <v>0</v>
      </c>
      <c r="V37" s="41">
        <f>IF(AND(H37="Falta",L37=Config!$B$7,M37=Config!$B$5,COUNTIFS($E$5:E37,E37,$H$5:H37,"Falta",$L$5:L37,Config!$B$7,$M$5:M37,Config!$B$5)=1),COUNTIFS($E$5:$E$1204,E37,$H$5:$H$1204,"Falta",$L$5:$L$1204,Config!$B$7,$M$5:$M$1204,Config!$B$5)*1000-ROW()/100000,0)</f>
        <v>0</v>
      </c>
    </row>
    <row r="38">
      <c r="A38" s="39" t="n">
        <v>46206</v>
      </c>
      <c r="B38" s="40" t="n">
        <v>0.4861111111111111</v>
      </c>
      <c r="C38" s="35" t="inlineStr">
        <is>
          <t>Dr. Paulo Andrade</t>
        </is>
      </c>
      <c r="D38" s="35" t="inlineStr">
        <is>
          <t>Sala 2</t>
        </is>
      </c>
      <c r="E38" s="34" t="inlineStr">
        <is>
          <t>Natália Xavier</t>
        </is>
      </c>
      <c r="F38" s="35" t="inlineStr">
        <is>
          <t>MediPlan</t>
        </is>
      </c>
      <c r="G38" s="35" t="inlineStr">
        <is>
          <t>Consulta</t>
        </is>
      </c>
      <c r="H38" s="35" t="inlineStr">
        <is>
          <t>Realizado</t>
        </is>
      </c>
      <c r="I38" s="35" t="inlineStr">
        <is>
          <t>Convênio</t>
        </is>
      </c>
      <c r="J38" s="35" t="n"/>
      <c r="K38" s="34" t="n"/>
      <c r="L38" s="26">
        <f>IF(A38="","",MONTH(A38))</f>
        <v>7</v>
      </c>
      <c r="M38" s="26">
        <f>IF(A38="","",YEAR(A38))</f>
        <v>2026</v>
      </c>
      <c r="N38" s="26" t="str">
        <f>IF(A38="","",CHOOSE(WEEKDAY(A38,2),"Segunda","Terça","Quarta","Quinta","Sexta","Sábado","Domingo"))</f>
        <v>Sexta</v>
      </c>
      <c r="O38" s="26" t="str">
        <f>IF(B38="","",IF(B38&lt;TIME(12,0,0),"Manhã",IF(B38&lt;TIME(18,0,0),"Tarde","Noite")))</f>
        <v>Manhã</v>
      </c>
      <c r="P38" s="32">
        <f>IF(G38="","",IFERROR(INDEX(Config!$I$5:$I$16,MATCH(G38,Config!$H$5:$H$16,0)),0))</f>
        <v>30</v>
      </c>
      <c r="Q38" s="30">
        <f>IF(OR(H38&lt;&gt;"Realizado",P38="",P38=0),"",A38+P38)</f>
        <v>46236.0</v>
      </c>
      <c r="R38" s="26" t="str">
        <f>IF(Q38="","",IF(COUNTIFS($E$5:$E$1204,E38,$A$5:$A$1204,"&gt;"&amp;A38,$H$5:$H$1204,"&lt;&gt;Falta",$H$5:$H$1204,"&lt;&gt;Cancelado",$H$5:$H$1204,"&lt;&gt;Remarcado")&gt;0,"Sim","Não"))</f>
        <v>Sim</v>
      </c>
      <c r="S38" s="32">
        <f>IF(R38&lt;&gt;"Não","",IF(Q38+Config!$B$9&lt;=Config!$B$8,Config!$B$8-Q38,""))</f>
        <v/>
      </c>
      <c r="T38" s="26">
        <f>IF(S38="","","Sim")</f>
        <v/>
      </c>
      <c r="U38" s="41">
        <f>IF(T38="Sim",S38+ROW()/100000,0)</f>
        <v>0</v>
      </c>
      <c r="V38" s="41">
        <f>IF(AND(H38="Falta",L38=Config!$B$7,M38=Config!$B$5,COUNTIFS($E$5:E38,E38,$H$5:H38,"Falta",$L$5:L38,Config!$B$7,$M$5:M38,Config!$B$5)=1),COUNTIFS($E$5:$E$1204,E38,$H$5:$H$1204,"Falta",$L$5:$L$1204,Config!$B$7,$M$5:$M$1204,Config!$B$5)*1000-ROW()/100000,0)</f>
        <v>0</v>
      </c>
    </row>
    <row r="39">
      <c r="A39" s="39" t="n">
        <v>46209</v>
      </c>
      <c r="B39" s="40" t="n">
        <v>0.3333333333333333</v>
      </c>
      <c r="C39" s="35" t="inlineStr">
        <is>
          <t>Dra. Carolina Mendes</t>
        </is>
      </c>
      <c r="D39" s="35" t="inlineStr">
        <is>
          <t>Sala 1</t>
        </is>
      </c>
      <c r="E39" s="34" t="inlineStr">
        <is>
          <t>Wagner Lima</t>
        </is>
      </c>
      <c r="F39" s="35" t="inlineStr">
        <is>
          <t>Particular</t>
        </is>
      </c>
      <c r="G39" s="35" t="inlineStr">
        <is>
          <t>Consulta</t>
        </is>
      </c>
      <c r="H39" s="35" t="inlineStr">
        <is>
          <t>Realizado</t>
        </is>
      </c>
      <c r="I39" s="35" t="inlineStr">
        <is>
          <t>Cartão de crédito</t>
        </is>
      </c>
      <c r="J39" s="35" t="n">
        <v>2</v>
      </c>
      <c r="K39" s="34" t="n"/>
      <c r="L39" s="26">
        <f>IF(A39="","",MONTH(A39))</f>
        <v>7</v>
      </c>
      <c r="M39" s="26">
        <f>IF(A39="","",YEAR(A39))</f>
        <v>2026</v>
      </c>
      <c r="N39" s="26" t="str">
        <f>IF(A39="","",CHOOSE(WEEKDAY(A39,2),"Segunda","Terça","Quarta","Quinta","Sexta","Sábado","Domingo"))</f>
        <v>Segunda</v>
      </c>
      <c r="O39" s="26" t="str">
        <f>IF(B39="","",IF(B39&lt;TIME(12,0,0),"Manhã",IF(B39&lt;TIME(18,0,0),"Tarde","Noite")))</f>
        <v>Manhã</v>
      </c>
      <c r="P39" s="32">
        <f>IF(G39="","",IFERROR(INDEX(Config!$I$5:$I$16,MATCH(G39,Config!$H$5:$H$16,0)),0))</f>
        <v>30</v>
      </c>
      <c r="Q39" s="30">
        <f>IF(OR(H39&lt;&gt;"Realizado",P39="",P39=0),"",A39+P39)</f>
        <v>46239.0</v>
      </c>
      <c r="R39" s="26" t="str">
        <f>IF(Q39="","",IF(COUNTIFS($E$5:$E$1204,E39,$A$5:$A$1204,"&gt;"&amp;A39,$H$5:$H$1204,"&lt;&gt;Falta",$H$5:$H$1204,"&lt;&gt;Cancelado",$H$5:$H$1204,"&lt;&gt;Remarcado")&gt;0,"Sim","Não"))</f>
        <v>Sim</v>
      </c>
      <c r="S39" s="32">
        <f>IF(R39&lt;&gt;"Não","",IF(Q39+Config!$B$9&lt;=Config!$B$8,Config!$B$8-Q39,""))</f>
        <v/>
      </c>
      <c r="T39" s="26">
        <f>IF(S39="","","Sim")</f>
        <v/>
      </c>
      <c r="U39" s="41">
        <f>IF(T39="Sim",S39+ROW()/100000,0)</f>
        <v>0</v>
      </c>
      <c r="V39" s="41">
        <f>IF(AND(H39="Falta",L39=Config!$B$7,M39=Config!$B$5,COUNTIFS($E$5:E39,E39,$H$5:H39,"Falta",$L$5:L39,Config!$B$7,$M$5:M39,Config!$B$5)=1),COUNTIFS($E$5:$E$1204,E39,$H$5:$H$1204,"Falta",$L$5:$L$1204,Config!$B$7,$M$5:$M$1204,Config!$B$5)*1000-ROW()/100000,0)</f>
        <v>0</v>
      </c>
    </row>
    <row r="40">
      <c r="A40" s="39" t="n">
        <v>46209</v>
      </c>
      <c r="B40" s="40" t="n">
        <v>0.375</v>
      </c>
      <c r="C40" s="35" t="inlineStr">
        <is>
          <t>Dra. Carolina Mendes</t>
        </is>
      </c>
      <c r="D40" s="35" t="inlineStr">
        <is>
          <t>Sala 1</t>
        </is>
      </c>
      <c r="E40" s="34" t="inlineStr">
        <is>
          <t>Regina Teixeira</t>
        </is>
      </c>
      <c r="F40" s="35" t="inlineStr">
        <is>
          <t>Particular</t>
        </is>
      </c>
      <c r="G40" s="35" t="inlineStr">
        <is>
          <t>Retorno</t>
        </is>
      </c>
      <c r="H40" s="35" t="inlineStr">
        <is>
          <t>Remarcado</t>
        </is>
      </c>
      <c r="I40" s="35" t="n"/>
      <c r="J40" s="35" t="n"/>
      <c r="K40" s="34" t="inlineStr">
        <is>
          <t>Paciente pediu outra data</t>
        </is>
      </c>
      <c r="L40" s="26">
        <f>IF(A40="","",MONTH(A40))</f>
        <v>7</v>
      </c>
      <c r="M40" s="26">
        <f>IF(A40="","",YEAR(A40))</f>
        <v>2026</v>
      </c>
      <c r="N40" s="26" t="str">
        <f>IF(A40="","",CHOOSE(WEEKDAY(A40,2),"Segunda","Terça","Quarta","Quinta","Sexta","Sábado","Domingo"))</f>
        <v>Segunda</v>
      </c>
      <c r="O40" s="26" t="str">
        <f>IF(B40="","",IF(B40&lt;TIME(12,0,0),"Manhã",IF(B40&lt;TIME(18,0,0),"Tarde","Noite")))</f>
        <v>Manhã</v>
      </c>
      <c r="P40" s="32">
        <f>IF(G40="","",IFERROR(INDEX(Config!$I$5:$I$16,MATCH(G40,Config!$H$5:$H$16,0)),0))</f>
        <v>0</v>
      </c>
      <c r="Q40" s="30">
        <f>IF(OR(H40&lt;&gt;"Realizado",P40="",P40=0),"",A40+P40)</f>
        <v/>
      </c>
      <c r="R40" s="26">
        <f>IF(Q40="","",IF(COUNTIFS($E$5:$E$1204,E40,$A$5:$A$1204,"&gt;"&amp;A40,$H$5:$H$1204,"&lt;&gt;Falta",$H$5:$H$1204,"&lt;&gt;Cancelado",$H$5:$H$1204,"&lt;&gt;Remarcado")&gt;0,"Sim","Não"))</f>
        <v/>
      </c>
      <c r="S40" s="32">
        <f>IF(R40&lt;&gt;"Não","",IF(Q40+Config!$B$9&lt;=Config!$B$8,Config!$B$8-Q40,""))</f>
        <v/>
      </c>
      <c r="T40" s="26">
        <f>IF(S40="","","Sim")</f>
        <v/>
      </c>
      <c r="U40" s="41">
        <f>IF(T40="Sim",S40+ROW()/100000,0)</f>
        <v>0</v>
      </c>
      <c r="V40" s="41">
        <f>IF(AND(H40="Falta",L40=Config!$B$7,M40=Config!$B$5,COUNTIFS($E$5:E40,E40,$H$5:H40,"Falta",$L$5:L40,Config!$B$7,$M$5:M40,Config!$B$5)=1),COUNTIFS($E$5:$E$1204,E40,$H$5:$H$1204,"Falta",$L$5:$L$1204,Config!$B$7,$M$5:$M$1204,Config!$B$5)*1000-ROW()/100000,0)</f>
        <v>0</v>
      </c>
    </row>
    <row r="41">
      <c r="A41" s="39" t="n">
        <v>46209</v>
      </c>
      <c r="B41" s="40" t="n">
        <v>0.3888888888888889</v>
      </c>
      <c r="C41" s="35" t="inlineStr">
        <is>
          <t>Dra. Carolina Mendes</t>
        </is>
      </c>
      <c r="D41" s="35" t="inlineStr">
        <is>
          <t>Sala 1</t>
        </is>
      </c>
      <c r="E41" s="34" t="inlineStr">
        <is>
          <t>Isabela Pinto</t>
        </is>
      </c>
      <c r="F41" s="35" t="inlineStr">
        <is>
          <t>Saúde Total</t>
        </is>
      </c>
      <c r="G41" s="35" t="inlineStr">
        <is>
          <t>Retorno</t>
        </is>
      </c>
      <c r="H41" s="35" t="inlineStr">
        <is>
          <t>Realizado</t>
        </is>
      </c>
      <c r="I41" s="35" t="inlineStr">
        <is>
          <t>Sem cobrança</t>
        </is>
      </c>
      <c r="J41" s="35" t="n"/>
      <c r="K41" s="34" t="n"/>
      <c r="L41" s="26">
        <f>IF(A41="","",MONTH(A41))</f>
        <v>7</v>
      </c>
      <c r="M41" s="26">
        <f>IF(A41="","",YEAR(A41))</f>
        <v>2026</v>
      </c>
      <c r="N41" s="26" t="str">
        <f>IF(A41="","",CHOOSE(WEEKDAY(A41,2),"Segunda","Terça","Quarta","Quinta","Sexta","Sábado","Domingo"))</f>
        <v>Segunda</v>
      </c>
      <c r="O41" s="26" t="str">
        <f>IF(B41="","",IF(B41&lt;TIME(12,0,0),"Manhã",IF(B41&lt;TIME(18,0,0),"Tarde","Noite")))</f>
        <v>Manhã</v>
      </c>
      <c r="P41" s="32">
        <f>IF(G41="","",IFERROR(INDEX(Config!$I$5:$I$16,MATCH(G41,Config!$H$5:$H$16,0)),0))</f>
        <v>0</v>
      </c>
      <c r="Q41" s="30">
        <f>IF(OR(H41&lt;&gt;"Realizado",P41="",P41=0),"",A41+P41)</f>
        <v/>
      </c>
      <c r="R41" s="26">
        <f>IF(Q41="","",IF(COUNTIFS($E$5:$E$1204,E41,$A$5:$A$1204,"&gt;"&amp;A41,$H$5:$H$1204,"&lt;&gt;Falta",$H$5:$H$1204,"&lt;&gt;Cancelado",$H$5:$H$1204,"&lt;&gt;Remarcado")&gt;0,"Sim","Não"))</f>
        <v/>
      </c>
      <c r="S41" s="32">
        <f>IF(R41&lt;&gt;"Não","",IF(Q41+Config!$B$9&lt;=Config!$B$8,Config!$B$8-Q41,""))</f>
        <v/>
      </c>
      <c r="T41" s="26">
        <f>IF(S41="","","Sim")</f>
        <v/>
      </c>
      <c r="U41" s="41">
        <f>IF(T41="Sim",S41+ROW()/100000,0)</f>
        <v>0</v>
      </c>
      <c r="V41" s="41">
        <f>IF(AND(H41="Falta",L41=Config!$B$7,M41=Config!$B$5,COUNTIFS($E$5:E41,E41,$H$5:H41,"Falta",$L$5:L41,Config!$B$7,$M$5:M41,Config!$B$5)=1),COUNTIFS($E$5:$E$1204,E41,$H$5:$H$1204,"Falta",$L$5:$L$1204,Config!$B$7,$M$5:$M$1204,Config!$B$5)*1000-ROW()/100000,0)</f>
        <v>0</v>
      </c>
    </row>
    <row r="42">
      <c r="A42" s="39" t="n">
        <v>46209</v>
      </c>
      <c r="B42" s="40" t="n">
        <v>0.4027777777777778</v>
      </c>
      <c r="C42" s="35" t="inlineStr">
        <is>
          <t>Dra. Carolina Mendes</t>
        </is>
      </c>
      <c r="D42" s="35" t="inlineStr">
        <is>
          <t>Sala 1</t>
        </is>
      </c>
      <c r="E42" s="34" t="inlineStr">
        <is>
          <t>Carlos Fernandes</t>
        </is>
      </c>
      <c r="F42" s="35" t="inlineStr">
        <is>
          <t>Particular</t>
        </is>
      </c>
      <c r="G42" s="35" t="inlineStr">
        <is>
          <t>Consulta</t>
        </is>
      </c>
      <c r="H42" s="35" t="inlineStr">
        <is>
          <t>Falta</t>
        </is>
      </c>
      <c r="I42" s="35" t="n"/>
      <c r="J42" s="35" t="n"/>
      <c r="K42" s="34" t="n"/>
      <c r="L42" s="26">
        <f>IF(A42="","",MONTH(A42))</f>
        <v>7</v>
      </c>
      <c r="M42" s="26">
        <f>IF(A42="","",YEAR(A42))</f>
        <v>2026</v>
      </c>
      <c r="N42" s="26" t="str">
        <f>IF(A42="","",CHOOSE(WEEKDAY(A42,2),"Segunda","Terça","Quarta","Quinta","Sexta","Sábado","Domingo"))</f>
        <v>Segunda</v>
      </c>
      <c r="O42" s="26" t="str">
        <f>IF(B42="","",IF(B42&lt;TIME(12,0,0),"Manhã",IF(B42&lt;TIME(18,0,0),"Tarde","Noite")))</f>
        <v>Manhã</v>
      </c>
      <c r="P42" s="32">
        <f>IF(G42="","",IFERROR(INDEX(Config!$I$5:$I$16,MATCH(G42,Config!$H$5:$H$16,0)),0))</f>
        <v>30</v>
      </c>
      <c r="Q42" s="30">
        <f>IF(OR(H42&lt;&gt;"Realizado",P42="",P42=0),"",A42+P42)</f>
        <v/>
      </c>
      <c r="R42" s="26">
        <f>IF(Q42="","",IF(COUNTIFS($E$5:$E$1204,E42,$A$5:$A$1204,"&gt;"&amp;A42,$H$5:$H$1204,"&lt;&gt;Falta",$H$5:$H$1204,"&lt;&gt;Cancelado",$H$5:$H$1204,"&lt;&gt;Remarcado")&gt;0,"Sim","Não"))</f>
        <v/>
      </c>
      <c r="S42" s="32">
        <f>IF(R42&lt;&gt;"Não","",IF(Q42+Config!$B$9&lt;=Config!$B$8,Config!$B$8-Q42,""))</f>
        <v/>
      </c>
      <c r="T42" s="26">
        <f>IF(S42="","","Sim")</f>
        <v/>
      </c>
      <c r="U42" s="41">
        <f>IF(T42="Sim",S42+ROW()/100000,0)</f>
        <v>0</v>
      </c>
      <c r="V42" s="41">
        <f>IF(AND(H42="Falta",L42=Config!$B$7,M42=Config!$B$5,COUNTIFS($E$5:E42,E42,$H$5:H42,"Falta",$L$5:L42,Config!$B$7,$M$5:M42,Config!$B$5)=1),COUNTIFS($E$5:$E$1204,E42,$H$5:$H$1204,"Falta",$L$5:$L$1204,Config!$B$7,$M$5:$M$1204,Config!$B$5)*1000-ROW()/100000,0)</f>
        <v>0</v>
      </c>
    </row>
    <row r="43">
      <c r="A43" s="39" t="n">
        <v>46209</v>
      </c>
      <c r="B43" s="40" t="n">
        <v>0.4444444444444444</v>
      </c>
      <c r="C43" s="35" t="inlineStr">
        <is>
          <t>Dra. Carolina Mendes</t>
        </is>
      </c>
      <c r="D43" s="35" t="inlineStr">
        <is>
          <t>Sala 1</t>
        </is>
      </c>
      <c r="E43" s="34" t="inlineStr">
        <is>
          <t>Carlos Fernandes</t>
        </is>
      </c>
      <c r="F43" s="35" t="inlineStr">
        <is>
          <t>Particular</t>
        </is>
      </c>
      <c r="G43" s="35" t="inlineStr">
        <is>
          <t>Consulta</t>
        </is>
      </c>
      <c r="H43" s="35" t="inlineStr">
        <is>
          <t>Realizado</t>
        </is>
      </c>
      <c r="I43" s="35" t="inlineStr">
        <is>
          <t>A prazo</t>
        </is>
      </c>
      <c r="J43" s="35" t="n"/>
      <c r="K43" s="34" t="n"/>
      <c r="L43" s="26">
        <f>IF(A43="","",MONTH(A43))</f>
        <v>7</v>
      </c>
      <c r="M43" s="26">
        <f>IF(A43="","",YEAR(A43))</f>
        <v>2026</v>
      </c>
      <c r="N43" s="26" t="str">
        <f>IF(A43="","",CHOOSE(WEEKDAY(A43,2),"Segunda","Terça","Quarta","Quinta","Sexta","Sábado","Domingo"))</f>
        <v>Segunda</v>
      </c>
      <c r="O43" s="26" t="str">
        <f>IF(B43="","",IF(B43&lt;TIME(12,0,0),"Manhã",IF(B43&lt;TIME(18,0,0),"Tarde","Noite")))</f>
        <v>Manhã</v>
      </c>
      <c r="P43" s="32">
        <f>IF(G43="","",IFERROR(INDEX(Config!$I$5:$I$16,MATCH(G43,Config!$H$5:$H$16,0)),0))</f>
        <v>30</v>
      </c>
      <c r="Q43" s="30">
        <f>IF(OR(H43&lt;&gt;"Realizado",P43="",P43=0),"",A43+P43)</f>
        <v>46239.0</v>
      </c>
      <c r="R43" s="26" t="str">
        <f>IF(Q43="","",IF(COUNTIFS($E$5:$E$1204,E43,$A$5:$A$1204,"&gt;"&amp;A43,$H$5:$H$1204,"&lt;&gt;Falta",$H$5:$H$1204,"&lt;&gt;Cancelado",$H$5:$H$1204,"&lt;&gt;Remarcado")&gt;0,"Sim","Não"))</f>
        <v>Sim</v>
      </c>
      <c r="S43" s="32">
        <f>IF(R43&lt;&gt;"Não","",IF(Q43+Config!$B$9&lt;=Config!$B$8,Config!$B$8-Q43,""))</f>
        <v/>
      </c>
      <c r="T43" s="26">
        <f>IF(S43="","","Sim")</f>
        <v/>
      </c>
      <c r="U43" s="41">
        <f>IF(T43="Sim",S43+ROW()/100000,0)</f>
        <v>0</v>
      </c>
      <c r="V43" s="41">
        <f>IF(AND(H43="Falta",L43=Config!$B$7,M43=Config!$B$5,COUNTIFS($E$5:E43,E43,$H$5:H43,"Falta",$L$5:L43,Config!$B$7,$M$5:M43,Config!$B$5)=1),COUNTIFS($E$5:$E$1204,E43,$H$5:$H$1204,"Falta",$L$5:$L$1204,Config!$B$7,$M$5:$M$1204,Config!$B$5)*1000-ROW()/100000,0)</f>
        <v>0</v>
      </c>
    </row>
    <row r="44">
      <c r="A44" s="39" t="n">
        <v>46209</v>
      </c>
      <c r="B44" s="40" t="n">
        <v>0.4652777777777778</v>
      </c>
      <c r="C44" s="35" t="inlineStr">
        <is>
          <t>Dra. Carolina Mendes</t>
        </is>
      </c>
      <c r="D44" s="35" t="inlineStr">
        <is>
          <t>Sala 1</t>
        </is>
      </c>
      <c r="E44" s="34" t="inlineStr">
        <is>
          <t>Priscila Carvalho</t>
        </is>
      </c>
      <c r="F44" s="35" t="inlineStr">
        <is>
          <t>Vida Care</t>
        </is>
      </c>
      <c r="G44" s="35" t="inlineStr">
        <is>
          <t>Consulta</t>
        </is>
      </c>
      <c r="H44" s="35" t="inlineStr">
        <is>
          <t>Realizado</t>
        </is>
      </c>
      <c r="I44" s="35" t="inlineStr">
        <is>
          <t>Convênio</t>
        </is>
      </c>
      <c r="J44" s="35" t="n"/>
      <c r="K44" s="34" t="n"/>
      <c r="L44" s="26">
        <f>IF(A44="","",MONTH(A44))</f>
        <v>7</v>
      </c>
      <c r="M44" s="26">
        <f>IF(A44="","",YEAR(A44))</f>
        <v>2026</v>
      </c>
      <c r="N44" s="26" t="str">
        <f>IF(A44="","",CHOOSE(WEEKDAY(A44,2),"Segunda","Terça","Quarta","Quinta","Sexta","Sábado","Domingo"))</f>
        <v>Segunda</v>
      </c>
      <c r="O44" s="26" t="str">
        <f>IF(B44="","",IF(B44&lt;TIME(12,0,0),"Manhã",IF(B44&lt;TIME(18,0,0),"Tarde","Noite")))</f>
        <v>Manhã</v>
      </c>
      <c r="P44" s="32">
        <f>IF(G44="","",IFERROR(INDEX(Config!$I$5:$I$16,MATCH(G44,Config!$H$5:$H$16,0)),0))</f>
        <v>30</v>
      </c>
      <c r="Q44" s="30">
        <f>IF(OR(H44&lt;&gt;"Realizado",P44="",P44=0),"",A44+P44)</f>
        <v>46239.0</v>
      </c>
      <c r="R44" s="26" t="str">
        <f>IF(Q44="","",IF(COUNTIFS($E$5:$E$1204,E44,$A$5:$A$1204,"&gt;"&amp;A44,$H$5:$H$1204,"&lt;&gt;Falta",$H$5:$H$1204,"&lt;&gt;Cancelado",$H$5:$H$1204,"&lt;&gt;Remarcado")&gt;0,"Sim","Não"))</f>
        <v>Sim</v>
      </c>
      <c r="S44" s="32">
        <f>IF(R44&lt;&gt;"Não","",IF(Q44+Config!$B$9&lt;=Config!$B$8,Config!$B$8-Q44,""))</f>
        <v/>
      </c>
      <c r="T44" s="26">
        <f>IF(S44="","","Sim")</f>
        <v/>
      </c>
      <c r="U44" s="41">
        <f>IF(T44="Sim",S44+ROW()/100000,0)</f>
        <v>0</v>
      </c>
      <c r="V44" s="41">
        <f>IF(AND(H44="Falta",L44=Config!$B$7,M44=Config!$B$5,COUNTIFS($E$5:E44,E44,$H$5:H44,"Falta",$L$5:L44,Config!$B$7,$M$5:M44,Config!$B$5)=1),COUNTIFS($E$5:$E$1204,E44,$H$5:$H$1204,"Falta",$L$5:$L$1204,Config!$B$7,$M$5:$M$1204,Config!$B$5)*1000-ROW()/100000,0)</f>
        <v>0</v>
      </c>
    </row>
    <row r="45">
      <c r="A45" s="39" t="n">
        <v>46209</v>
      </c>
      <c r="B45" s="40" t="n">
        <v>0.5833333333333334</v>
      </c>
      <c r="C45" s="35" t="inlineStr">
        <is>
          <t>Dr. Paulo Andrade</t>
        </is>
      </c>
      <c r="D45" s="35" t="inlineStr">
        <is>
          <t>Sala 2</t>
        </is>
      </c>
      <c r="E45" s="34" t="inlineStr">
        <is>
          <t>Leandro Cardoso</t>
        </is>
      </c>
      <c r="F45" s="35" t="inlineStr">
        <is>
          <t>MediPlan</t>
        </is>
      </c>
      <c r="G45" s="35" t="inlineStr">
        <is>
          <t>Consulta</t>
        </is>
      </c>
      <c r="H45" s="35" t="inlineStr">
        <is>
          <t>Realizado</t>
        </is>
      </c>
      <c r="I45" s="35" t="inlineStr">
        <is>
          <t>Convênio</t>
        </is>
      </c>
      <c r="J45" s="35" t="n"/>
      <c r="K45" s="34" t="n"/>
      <c r="L45" s="26">
        <f>IF(A45="","",MONTH(A45))</f>
        <v>7</v>
      </c>
      <c r="M45" s="26">
        <f>IF(A45="","",YEAR(A45))</f>
        <v>2026</v>
      </c>
      <c r="N45" s="26" t="str">
        <f>IF(A45="","",CHOOSE(WEEKDAY(A45,2),"Segunda","Terça","Quarta","Quinta","Sexta","Sábado","Domingo"))</f>
        <v>Segunda</v>
      </c>
      <c r="O45" s="26" t="str">
        <f>IF(B45="","",IF(B45&lt;TIME(12,0,0),"Manhã",IF(B45&lt;TIME(18,0,0),"Tarde","Noite")))</f>
        <v>Tarde</v>
      </c>
      <c r="P45" s="32">
        <f>IF(G45="","",IFERROR(INDEX(Config!$I$5:$I$16,MATCH(G45,Config!$H$5:$H$16,0)),0))</f>
        <v>30</v>
      </c>
      <c r="Q45" s="30">
        <f>IF(OR(H45&lt;&gt;"Realizado",P45="",P45=0),"",A45+P45)</f>
        <v>46239.0</v>
      </c>
      <c r="R45" s="26" t="str">
        <f>IF(Q45="","",IF(COUNTIFS($E$5:$E$1204,E45,$A$5:$A$1204,"&gt;"&amp;A45,$H$5:$H$1204,"&lt;&gt;Falta",$H$5:$H$1204,"&lt;&gt;Cancelado",$H$5:$H$1204,"&lt;&gt;Remarcado")&gt;0,"Sim","Não"))</f>
        <v>Sim</v>
      </c>
      <c r="S45" s="32">
        <f>IF(R45&lt;&gt;"Não","",IF(Q45+Config!$B$9&lt;=Config!$B$8,Config!$B$8-Q45,""))</f>
        <v/>
      </c>
      <c r="T45" s="26">
        <f>IF(S45="","","Sim")</f>
        <v/>
      </c>
      <c r="U45" s="41">
        <f>IF(T45="Sim",S45+ROW()/100000,0)</f>
        <v>0</v>
      </c>
      <c r="V45" s="41">
        <f>IF(AND(H45="Falta",L45=Config!$B$7,M45=Config!$B$5,COUNTIFS($E$5:E45,E45,$H$5:H45,"Falta",$L$5:L45,Config!$B$7,$M$5:M45,Config!$B$5)=1),COUNTIFS($E$5:$E$1204,E45,$H$5:$H$1204,"Falta",$L$5:$L$1204,Config!$B$7,$M$5:$M$1204,Config!$B$5)*1000-ROW()/100000,0)</f>
        <v>0</v>
      </c>
    </row>
    <row r="46">
      <c r="A46" s="39" t="n">
        <v>46209</v>
      </c>
      <c r="B46" s="40" t="n">
        <v>0.6041666666666666</v>
      </c>
      <c r="C46" s="35" t="inlineStr">
        <is>
          <t>Dr. Paulo Andrade</t>
        </is>
      </c>
      <c r="D46" s="35" t="inlineStr">
        <is>
          <t>Sala 2</t>
        </is>
      </c>
      <c r="E46" s="34" t="inlineStr">
        <is>
          <t>Tatiana Rocha</t>
        </is>
      </c>
      <c r="F46" s="35" t="inlineStr">
        <is>
          <t>Vida Care</t>
        </is>
      </c>
      <c r="G46" s="35" t="inlineStr">
        <is>
          <t>Holter</t>
        </is>
      </c>
      <c r="H46" s="35" t="inlineStr">
        <is>
          <t>Realizado</t>
        </is>
      </c>
      <c r="I46" s="35" t="inlineStr">
        <is>
          <t>Convênio</t>
        </is>
      </c>
      <c r="J46" s="35" t="n"/>
      <c r="K46" s="34" t="n"/>
      <c r="L46" s="26">
        <f>IF(A46="","",MONTH(A46))</f>
        <v>7</v>
      </c>
      <c r="M46" s="26">
        <f>IF(A46="","",YEAR(A46))</f>
        <v>2026</v>
      </c>
      <c r="N46" s="26" t="str">
        <f>IF(A46="","",CHOOSE(WEEKDAY(A46,2),"Segunda","Terça","Quarta","Quinta","Sexta","Sábado","Domingo"))</f>
        <v>Segunda</v>
      </c>
      <c r="O46" s="26" t="str">
        <f>IF(B46="","",IF(B46&lt;TIME(12,0,0),"Manhã",IF(B46&lt;TIME(18,0,0),"Tarde","Noite")))</f>
        <v>Tarde</v>
      </c>
      <c r="P46" s="32">
        <f>IF(G46="","",IFERROR(INDEX(Config!$I$5:$I$16,MATCH(G46,Config!$H$5:$H$16,0)),0))</f>
        <v>0</v>
      </c>
      <c r="Q46" s="30">
        <f>IF(OR(H46&lt;&gt;"Realizado",P46="",P46=0),"",A46+P46)</f>
        <v/>
      </c>
      <c r="R46" s="26">
        <f>IF(Q46="","",IF(COUNTIFS($E$5:$E$1204,E46,$A$5:$A$1204,"&gt;"&amp;A46,$H$5:$H$1204,"&lt;&gt;Falta",$H$5:$H$1204,"&lt;&gt;Cancelado",$H$5:$H$1204,"&lt;&gt;Remarcado")&gt;0,"Sim","Não"))</f>
        <v/>
      </c>
      <c r="S46" s="32">
        <f>IF(R46&lt;&gt;"Não","",IF(Q46+Config!$B$9&lt;=Config!$B$8,Config!$B$8-Q46,""))</f>
        <v/>
      </c>
      <c r="T46" s="26">
        <f>IF(S46="","","Sim")</f>
        <v/>
      </c>
      <c r="U46" s="41">
        <f>IF(T46="Sim",S46+ROW()/100000,0)</f>
        <v>0</v>
      </c>
      <c r="V46" s="41">
        <f>IF(AND(H46="Falta",L46=Config!$B$7,M46=Config!$B$5,COUNTIFS($E$5:E46,E46,$H$5:H46,"Falta",$L$5:L46,Config!$B$7,$M$5:M46,Config!$B$5)=1),COUNTIFS($E$5:$E$1204,E46,$H$5:$H$1204,"Falta",$L$5:$L$1204,Config!$B$7,$M$5:$M$1204,Config!$B$5)*1000-ROW()/100000,0)</f>
        <v>0</v>
      </c>
    </row>
    <row r="47">
      <c r="A47" s="39" t="n">
        <v>46209</v>
      </c>
      <c r="B47" s="40" t="n">
        <v>0.6180555555555556</v>
      </c>
      <c r="C47" s="35" t="inlineStr">
        <is>
          <t>Dr. Paulo Andrade</t>
        </is>
      </c>
      <c r="D47" s="35" t="inlineStr">
        <is>
          <t>Sala 2</t>
        </is>
      </c>
      <c r="E47" s="34" t="inlineStr">
        <is>
          <t>Paulo Reis</t>
        </is>
      </c>
      <c r="F47" s="35" t="inlineStr">
        <is>
          <t>Particular</t>
        </is>
      </c>
      <c r="G47" s="35" t="inlineStr">
        <is>
          <t>Consulta</t>
        </is>
      </c>
      <c r="H47" s="35" t="inlineStr">
        <is>
          <t>Realizado</t>
        </is>
      </c>
      <c r="I47" s="35" t="inlineStr">
        <is>
          <t>Cartão de crédito</t>
        </is>
      </c>
      <c r="J47" s="35" t="n"/>
      <c r="K47" s="34" t="n"/>
      <c r="L47" s="26">
        <f>IF(A47="","",MONTH(A47))</f>
        <v>7</v>
      </c>
      <c r="M47" s="26">
        <f>IF(A47="","",YEAR(A47))</f>
        <v>2026</v>
      </c>
      <c r="N47" s="26" t="str">
        <f>IF(A47="","",CHOOSE(WEEKDAY(A47,2),"Segunda","Terça","Quarta","Quinta","Sexta","Sábado","Domingo"))</f>
        <v>Segunda</v>
      </c>
      <c r="O47" s="26" t="str">
        <f>IF(B47="","",IF(B47&lt;TIME(12,0,0),"Manhã",IF(B47&lt;TIME(18,0,0),"Tarde","Noite")))</f>
        <v>Tarde</v>
      </c>
      <c r="P47" s="32">
        <f>IF(G47="","",IFERROR(INDEX(Config!$I$5:$I$16,MATCH(G47,Config!$H$5:$H$16,0)),0))</f>
        <v>30</v>
      </c>
      <c r="Q47" s="30">
        <f>IF(OR(H47&lt;&gt;"Realizado",P47="",P47=0),"",A47+P47)</f>
        <v>46239.0</v>
      </c>
      <c r="R47" s="26" t="str">
        <f>IF(Q47="","",IF(COUNTIFS($E$5:$E$1204,E47,$A$5:$A$1204,"&gt;"&amp;A47,$H$5:$H$1204,"&lt;&gt;Falta",$H$5:$H$1204,"&lt;&gt;Cancelado",$H$5:$H$1204,"&lt;&gt;Remarcado")&gt;0,"Sim","Não"))</f>
        <v>Sim</v>
      </c>
      <c r="S47" s="32">
        <f>IF(R47&lt;&gt;"Não","",IF(Q47+Config!$B$9&lt;=Config!$B$8,Config!$B$8-Q47,""))</f>
        <v/>
      </c>
      <c r="T47" s="26">
        <f>IF(S47="","","Sim")</f>
        <v/>
      </c>
      <c r="U47" s="41">
        <f>IF(T47="Sim",S47+ROW()/100000,0)</f>
        <v>0</v>
      </c>
      <c r="V47" s="41">
        <f>IF(AND(H47="Falta",L47=Config!$B$7,M47=Config!$B$5,COUNTIFS($E$5:E47,E47,$H$5:H47,"Falta",$L$5:L47,Config!$B$7,$M$5:M47,Config!$B$5)=1),COUNTIFS($E$5:$E$1204,E47,$H$5:$H$1204,"Falta",$L$5:$L$1204,Config!$B$7,$M$5:$M$1204,Config!$B$5)*1000-ROW()/100000,0)</f>
        <v>0</v>
      </c>
    </row>
    <row r="48">
      <c r="A48" s="39" t="n">
        <v>46209</v>
      </c>
      <c r="B48" s="40" t="n">
        <v>0.6388888888888888</v>
      </c>
      <c r="C48" s="35" t="inlineStr">
        <is>
          <t>Dr. Paulo Andrade</t>
        </is>
      </c>
      <c r="D48" s="35" t="inlineStr">
        <is>
          <t>Sala 2</t>
        </is>
      </c>
      <c r="E48" s="34" t="inlineStr">
        <is>
          <t>Otávio Martins</t>
        </is>
      </c>
      <c r="F48" s="35" t="inlineStr">
        <is>
          <t>MediPlan</t>
        </is>
      </c>
      <c r="G48" s="35" t="inlineStr">
        <is>
          <t>Consulta</t>
        </is>
      </c>
      <c r="H48" s="35" t="inlineStr">
        <is>
          <t>Realizado</t>
        </is>
      </c>
      <c r="I48" s="35" t="inlineStr">
        <is>
          <t>Convênio</t>
        </is>
      </c>
      <c r="J48" s="35" t="n"/>
      <c r="K48" s="34" t="n"/>
      <c r="L48" s="26">
        <f>IF(A48="","",MONTH(A48))</f>
        <v>7</v>
      </c>
      <c r="M48" s="26">
        <f>IF(A48="","",YEAR(A48))</f>
        <v>2026</v>
      </c>
      <c r="N48" s="26" t="str">
        <f>IF(A48="","",CHOOSE(WEEKDAY(A48,2),"Segunda","Terça","Quarta","Quinta","Sexta","Sábado","Domingo"))</f>
        <v>Segunda</v>
      </c>
      <c r="O48" s="26" t="str">
        <f>IF(B48="","",IF(B48&lt;TIME(12,0,0),"Manhã",IF(B48&lt;TIME(18,0,0),"Tarde","Noite")))</f>
        <v>Tarde</v>
      </c>
      <c r="P48" s="32">
        <f>IF(G48="","",IFERROR(INDEX(Config!$I$5:$I$16,MATCH(G48,Config!$H$5:$H$16,0)),0))</f>
        <v>30</v>
      </c>
      <c r="Q48" s="30">
        <f>IF(OR(H48&lt;&gt;"Realizado",P48="",P48=0),"",A48+P48)</f>
        <v>46239.0</v>
      </c>
      <c r="R48" s="26" t="str">
        <f>IF(Q48="","",IF(COUNTIFS($E$5:$E$1204,E48,$A$5:$A$1204,"&gt;"&amp;A48,$H$5:$H$1204,"&lt;&gt;Falta",$H$5:$H$1204,"&lt;&gt;Cancelado",$H$5:$H$1204,"&lt;&gt;Remarcado")&gt;0,"Sim","Não"))</f>
        <v>Sim</v>
      </c>
      <c r="S48" s="32">
        <f>IF(R48&lt;&gt;"Não","",IF(Q48+Config!$B$9&lt;=Config!$B$8,Config!$B$8-Q48,""))</f>
        <v/>
      </c>
      <c r="T48" s="26">
        <f>IF(S48="","","Sim")</f>
        <v/>
      </c>
      <c r="U48" s="41">
        <f>IF(T48="Sim",S48+ROW()/100000,0)</f>
        <v>0</v>
      </c>
      <c r="V48" s="41">
        <f>IF(AND(H48="Falta",L48=Config!$B$7,M48=Config!$B$5,COUNTIFS($E$5:E48,E48,$H$5:H48,"Falta",$L$5:L48,Config!$B$7,$M$5:M48,Config!$B$5)=1),COUNTIFS($E$5:$E$1204,E48,$H$5:$H$1204,"Falta",$L$5:$L$1204,Config!$B$7,$M$5:$M$1204,Config!$B$5)*1000-ROW()/100000,0)</f>
        <v>0</v>
      </c>
    </row>
    <row r="49">
      <c r="A49" s="39" t="n">
        <v>46209</v>
      </c>
      <c r="B49" s="40" t="n">
        <v>0.6597222222222222</v>
      </c>
      <c r="C49" s="35" t="inlineStr">
        <is>
          <t>Dr. Paulo Andrade</t>
        </is>
      </c>
      <c r="D49" s="35" t="inlineStr">
        <is>
          <t>Sala 2</t>
        </is>
      </c>
      <c r="E49" s="34" t="inlineStr">
        <is>
          <t>Ricardo Melo</t>
        </is>
      </c>
      <c r="F49" s="35" t="inlineStr">
        <is>
          <t>Saúde Total</t>
        </is>
      </c>
      <c r="G49" s="35" t="inlineStr">
        <is>
          <t>Teste ergométrico</t>
        </is>
      </c>
      <c r="H49" s="35" t="inlineStr">
        <is>
          <t>Realizado</t>
        </is>
      </c>
      <c r="I49" s="35" t="inlineStr">
        <is>
          <t>Convênio</t>
        </is>
      </c>
      <c r="J49" s="35" t="n"/>
      <c r="K49" s="34" t="n"/>
      <c r="L49" s="26">
        <f>IF(A49="","",MONTH(A49))</f>
        <v>7</v>
      </c>
      <c r="M49" s="26">
        <f>IF(A49="","",YEAR(A49))</f>
        <v>2026</v>
      </c>
      <c r="N49" s="26" t="str">
        <f>IF(A49="","",CHOOSE(WEEKDAY(A49,2),"Segunda","Terça","Quarta","Quinta","Sexta","Sábado","Domingo"))</f>
        <v>Segunda</v>
      </c>
      <c r="O49" s="26" t="str">
        <f>IF(B49="","",IF(B49&lt;TIME(12,0,0),"Manhã",IF(B49&lt;TIME(18,0,0),"Tarde","Noite")))</f>
        <v>Tarde</v>
      </c>
      <c r="P49" s="32">
        <f>IF(G49="","",IFERROR(INDEX(Config!$I$5:$I$16,MATCH(G49,Config!$H$5:$H$16,0)),0))</f>
        <v>0</v>
      </c>
      <c r="Q49" s="30">
        <f>IF(OR(H49&lt;&gt;"Realizado",P49="",P49=0),"",A49+P49)</f>
        <v/>
      </c>
      <c r="R49" s="26">
        <f>IF(Q49="","",IF(COUNTIFS($E$5:$E$1204,E49,$A$5:$A$1204,"&gt;"&amp;A49,$H$5:$H$1204,"&lt;&gt;Falta",$H$5:$H$1204,"&lt;&gt;Cancelado",$H$5:$H$1204,"&lt;&gt;Remarcado")&gt;0,"Sim","Não"))</f>
        <v/>
      </c>
      <c r="S49" s="32">
        <f>IF(R49&lt;&gt;"Não","",IF(Q49+Config!$B$9&lt;=Config!$B$8,Config!$B$8-Q49,""))</f>
        <v/>
      </c>
      <c r="T49" s="26">
        <f>IF(S49="","","Sim")</f>
        <v/>
      </c>
      <c r="U49" s="41">
        <f>IF(T49="Sim",S49+ROW()/100000,0)</f>
        <v>0</v>
      </c>
      <c r="V49" s="41">
        <f>IF(AND(H49="Falta",L49=Config!$B$7,M49=Config!$B$5,COUNTIFS($E$5:E49,E49,$H$5:H49,"Falta",$L$5:L49,Config!$B$7,$M$5:M49,Config!$B$5)=1),COUNTIFS($E$5:$E$1204,E49,$H$5:$H$1204,"Falta",$L$5:$L$1204,Config!$B$7,$M$5:$M$1204,Config!$B$5)*1000-ROW()/100000,0)</f>
        <v>0</v>
      </c>
    </row>
    <row r="50">
      <c r="A50" s="39" t="n">
        <v>46209</v>
      </c>
      <c r="B50" s="40" t="n">
        <v>0.6875</v>
      </c>
      <c r="C50" s="35" t="inlineStr">
        <is>
          <t>Dr. Paulo Andrade</t>
        </is>
      </c>
      <c r="D50" s="35" t="inlineStr">
        <is>
          <t>Sala 2</t>
        </is>
      </c>
      <c r="E50" s="34" t="inlineStr">
        <is>
          <t>Camila Martins</t>
        </is>
      </c>
      <c r="F50" s="35" t="inlineStr">
        <is>
          <t>Vida Care</t>
        </is>
      </c>
      <c r="G50" s="35" t="inlineStr">
        <is>
          <t>Consulta</t>
        </is>
      </c>
      <c r="H50" s="35" t="inlineStr">
        <is>
          <t>Realizado</t>
        </is>
      </c>
      <c r="I50" s="35" t="inlineStr">
        <is>
          <t>Convênio</t>
        </is>
      </c>
      <c r="J50" s="35" t="n"/>
      <c r="K50" s="34" t="n"/>
      <c r="L50" s="26">
        <f>IF(A50="","",MONTH(A50))</f>
        <v>7</v>
      </c>
      <c r="M50" s="26">
        <f>IF(A50="","",YEAR(A50))</f>
        <v>2026</v>
      </c>
      <c r="N50" s="26" t="str">
        <f>IF(A50="","",CHOOSE(WEEKDAY(A50,2),"Segunda","Terça","Quarta","Quinta","Sexta","Sábado","Domingo"))</f>
        <v>Segunda</v>
      </c>
      <c r="O50" s="26" t="str">
        <f>IF(B50="","",IF(B50&lt;TIME(12,0,0),"Manhã",IF(B50&lt;TIME(18,0,0),"Tarde","Noite")))</f>
        <v>Tarde</v>
      </c>
      <c r="P50" s="32">
        <f>IF(G50="","",IFERROR(INDEX(Config!$I$5:$I$16,MATCH(G50,Config!$H$5:$H$16,0)),0))</f>
        <v>30</v>
      </c>
      <c r="Q50" s="30">
        <f>IF(OR(H50&lt;&gt;"Realizado",P50="",P50=0),"",A50+P50)</f>
        <v>46239.0</v>
      </c>
      <c r="R50" s="26" t="str">
        <f>IF(Q50="","",IF(COUNTIFS($E$5:$E$1204,E50,$A$5:$A$1204,"&gt;"&amp;A50,$H$5:$H$1204,"&lt;&gt;Falta",$H$5:$H$1204,"&lt;&gt;Cancelado",$H$5:$H$1204,"&lt;&gt;Remarcado")&gt;0,"Sim","Não"))</f>
        <v>Sim</v>
      </c>
      <c r="S50" s="32">
        <f>IF(R50&lt;&gt;"Não","",IF(Q50+Config!$B$9&lt;=Config!$B$8,Config!$B$8-Q50,""))</f>
        <v/>
      </c>
      <c r="T50" s="26">
        <f>IF(S50="","","Sim")</f>
        <v/>
      </c>
      <c r="U50" s="41">
        <f>IF(T50="Sim",S50+ROW()/100000,0)</f>
        <v>0</v>
      </c>
      <c r="V50" s="41">
        <f>IF(AND(H50="Falta",L50=Config!$B$7,M50=Config!$B$5,COUNTIFS($E$5:E50,E50,$H$5:H50,"Falta",$L$5:L50,Config!$B$7,$M$5:M50,Config!$B$5)=1),COUNTIFS($E$5:$E$1204,E50,$H$5:$H$1204,"Falta",$L$5:$L$1204,Config!$B$7,$M$5:$M$1204,Config!$B$5)*1000-ROW()/100000,0)</f>
        <v>0</v>
      </c>
    </row>
    <row r="51">
      <c r="A51" s="39" t="n">
        <v>46209</v>
      </c>
      <c r="B51" s="40" t="n">
        <v>0.7291666666666666</v>
      </c>
      <c r="C51" s="35" t="inlineStr">
        <is>
          <t>Dr. Paulo Andrade</t>
        </is>
      </c>
      <c r="D51" s="35" t="inlineStr">
        <is>
          <t>Sala 2</t>
        </is>
      </c>
      <c r="E51" s="34" t="inlineStr">
        <is>
          <t>Gisele Lima</t>
        </is>
      </c>
      <c r="F51" s="35" t="inlineStr">
        <is>
          <t>Saúde Total</t>
        </is>
      </c>
      <c r="G51" s="35" t="inlineStr">
        <is>
          <t>Consulta</t>
        </is>
      </c>
      <c r="H51" s="35" t="inlineStr">
        <is>
          <t>Realizado</t>
        </is>
      </c>
      <c r="I51" s="35" t="inlineStr">
        <is>
          <t>Convênio</t>
        </is>
      </c>
      <c r="J51" s="35" t="n"/>
      <c r="K51" s="34" t="n"/>
      <c r="L51" s="26">
        <f>IF(A51="","",MONTH(A51))</f>
        <v>7</v>
      </c>
      <c r="M51" s="26">
        <f>IF(A51="","",YEAR(A51))</f>
        <v>2026</v>
      </c>
      <c r="N51" s="26" t="str">
        <f>IF(A51="","",CHOOSE(WEEKDAY(A51,2),"Segunda","Terça","Quarta","Quinta","Sexta","Sábado","Domingo"))</f>
        <v>Segunda</v>
      </c>
      <c r="O51" s="26" t="str">
        <f>IF(B51="","",IF(B51&lt;TIME(12,0,0),"Manhã",IF(B51&lt;TIME(18,0,0),"Tarde","Noite")))</f>
        <v>Tarde</v>
      </c>
      <c r="P51" s="32">
        <f>IF(G51="","",IFERROR(INDEX(Config!$I$5:$I$16,MATCH(G51,Config!$H$5:$H$16,0)),0))</f>
        <v>30</v>
      </c>
      <c r="Q51" s="30">
        <f>IF(OR(H51&lt;&gt;"Realizado",P51="",P51=0),"",A51+P51)</f>
        <v>46239.0</v>
      </c>
      <c r="R51" s="26" t="str">
        <f>IF(Q51="","",IF(COUNTIFS($E$5:$E$1204,E51,$A$5:$A$1204,"&gt;"&amp;A51,$H$5:$H$1204,"&lt;&gt;Falta",$H$5:$H$1204,"&lt;&gt;Cancelado",$H$5:$H$1204,"&lt;&gt;Remarcado")&gt;0,"Sim","Não"))</f>
        <v>Sim</v>
      </c>
      <c r="S51" s="32">
        <f>IF(R51&lt;&gt;"Não","",IF(Q51+Config!$B$9&lt;=Config!$B$8,Config!$B$8-Q51,""))</f>
        <v/>
      </c>
      <c r="T51" s="26">
        <f>IF(S51="","","Sim")</f>
        <v/>
      </c>
      <c r="U51" s="41">
        <f>IF(T51="Sim",S51+ROW()/100000,0)</f>
        <v>0</v>
      </c>
      <c r="V51" s="41">
        <f>IF(AND(H51="Falta",L51=Config!$B$7,M51=Config!$B$5,COUNTIFS($E$5:E51,E51,$H$5:H51,"Falta",$L$5:L51,Config!$B$7,$M$5:M51,Config!$B$5)=1),COUNTIFS($E$5:$E$1204,E51,$H$5:$H$1204,"Falta",$L$5:$L$1204,Config!$B$7,$M$5:$M$1204,Config!$B$5)*1000-ROW()/100000,0)</f>
        <v>0</v>
      </c>
    </row>
    <row r="52">
      <c r="A52" s="39" t="n">
        <v>46210</v>
      </c>
      <c r="B52" s="40" t="n">
        <v>0.3333333333333333</v>
      </c>
      <c r="C52" s="35" t="inlineStr">
        <is>
          <t>Dra. Carolina Mendes</t>
        </is>
      </c>
      <c r="D52" s="35" t="inlineStr">
        <is>
          <t>Sala 1</t>
        </is>
      </c>
      <c r="E52" s="34" t="inlineStr">
        <is>
          <t>Marcelo Santos</t>
        </is>
      </c>
      <c r="F52" s="35" t="inlineStr">
        <is>
          <t>Particular</t>
        </is>
      </c>
      <c r="G52" s="35" t="inlineStr">
        <is>
          <t>Consulta</t>
        </is>
      </c>
      <c r="H52" s="35" t="inlineStr">
        <is>
          <t>Realizado</t>
        </is>
      </c>
      <c r="I52" s="35" t="inlineStr">
        <is>
          <t>Pix</t>
        </is>
      </c>
      <c r="J52" s="35" t="n"/>
      <c r="K52" s="34" t="n"/>
      <c r="L52" s="26">
        <f>IF(A52="","",MONTH(A52))</f>
        <v>7</v>
      </c>
      <c r="M52" s="26">
        <f>IF(A52="","",YEAR(A52))</f>
        <v>2026</v>
      </c>
      <c r="N52" s="26" t="str">
        <f>IF(A52="","",CHOOSE(WEEKDAY(A52,2),"Segunda","Terça","Quarta","Quinta","Sexta","Sábado","Domingo"))</f>
        <v>Terça</v>
      </c>
      <c r="O52" s="26" t="str">
        <f>IF(B52="","",IF(B52&lt;TIME(12,0,0),"Manhã",IF(B52&lt;TIME(18,0,0),"Tarde","Noite")))</f>
        <v>Manhã</v>
      </c>
      <c r="P52" s="32">
        <f>IF(G52="","",IFERROR(INDEX(Config!$I$5:$I$16,MATCH(G52,Config!$H$5:$H$16,0)),0))</f>
        <v>30</v>
      </c>
      <c r="Q52" s="30">
        <f>IF(OR(H52&lt;&gt;"Realizado",P52="",P52=0),"",A52+P52)</f>
        <v>46240.0</v>
      </c>
      <c r="R52" s="26" t="str">
        <f>IF(Q52="","",IF(COUNTIFS($E$5:$E$1204,E52,$A$5:$A$1204,"&gt;"&amp;A52,$H$5:$H$1204,"&lt;&gt;Falta",$H$5:$H$1204,"&lt;&gt;Cancelado",$H$5:$H$1204,"&lt;&gt;Remarcado")&gt;0,"Sim","Não"))</f>
        <v>Sim</v>
      </c>
      <c r="S52" s="32">
        <f>IF(R52&lt;&gt;"Não","",IF(Q52+Config!$B$9&lt;=Config!$B$8,Config!$B$8-Q52,""))</f>
        <v/>
      </c>
      <c r="T52" s="26">
        <f>IF(S52="","","Sim")</f>
        <v/>
      </c>
      <c r="U52" s="41">
        <f>IF(T52="Sim",S52+ROW()/100000,0)</f>
        <v>0</v>
      </c>
      <c r="V52" s="41">
        <f>IF(AND(H52="Falta",L52=Config!$B$7,M52=Config!$B$5,COUNTIFS($E$5:E52,E52,$H$5:H52,"Falta",$L$5:L52,Config!$B$7,$M$5:M52,Config!$B$5)=1),COUNTIFS($E$5:$E$1204,E52,$H$5:$H$1204,"Falta",$L$5:$L$1204,Config!$B$7,$M$5:$M$1204,Config!$B$5)*1000-ROW()/100000,0)</f>
        <v>0</v>
      </c>
    </row>
    <row r="53">
      <c r="A53" s="39" t="n">
        <v>46210</v>
      </c>
      <c r="B53" s="40" t="n">
        <v>0.3541666666666667</v>
      </c>
      <c r="C53" s="35" t="inlineStr">
        <is>
          <t>Dra. Carolina Mendes</t>
        </is>
      </c>
      <c r="D53" s="35" t="inlineStr">
        <is>
          <t>Sala 1</t>
        </is>
      </c>
      <c r="E53" s="34" t="inlineStr">
        <is>
          <t>Regina Teixeira</t>
        </is>
      </c>
      <c r="F53" s="35" t="inlineStr">
        <is>
          <t>Particular</t>
        </is>
      </c>
      <c r="G53" s="35" t="inlineStr">
        <is>
          <t>Consulta</t>
        </is>
      </c>
      <c r="H53" s="35" t="inlineStr">
        <is>
          <t>Realizado</t>
        </is>
      </c>
      <c r="I53" s="35" t="inlineStr">
        <is>
          <t>Pix</t>
        </is>
      </c>
      <c r="J53" s="35" t="n"/>
      <c r="K53" s="34" t="n"/>
      <c r="L53" s="26">
        <f>IF(A53="","",MONTH(A53))</f>
        <v>7</v>
      </c>
      <c r="M53" s="26">
        <f>IF(A53="","",YEAR(A53))</f>
        <v>2026</v>
      </c>
      <c r="N53" s="26" t="str">
        <f>IF(A53="","",CHOOSE(WEEKDAY(A53,2),"Segunda","Terça","Quarta","Quinta","Sexta","Sábado","Domingo"))</f>
        <v>Terça</v>
      </c>
      <c r="O53" s="26" t="str">
        <f>IF(B53="","",IF(B53&lt;TIME(12,0,0),"Manhã",IF(B53&lt;TIME(18,0,0),"Tarde","Noite")))</f>
        <v>Manhã</v>
      </c>
      <c r="P53" s="32">
        <f>IF(G53="","",IFERROR(INDEX(Config!$I$5:$I$16,MATCH(G53,Config!$H$5:$H$16,0)),0))</f>
        <v>30</v>
      </c>
      <c r="Q53" s="30">
        <f>IF(OR(H53&lt;&gt;"Realizado",P53="",P53=0),"",A53+P53)</f>
        <v>46240.0</v>
      </c>
      <c r="R53" s="26" t="str">
        <f>IF(Q53="","",IF(COUNTIFS($E$5:$E$1204,E53,$A$5:$A$1204,"&gt;"&amp;A53,$H$5:$H$1204,"&lt;&gt;Falta",$H$5:$H$1204,"&lt;&gt;Cancelado",$H$5:$H$1204,"&lt;&gt;Remarcado")&gt;0,"Sim","Não"))</f>
        <v>Sim</v>
      </c>
      <c r="S53" s="32">
        <f>IF(R53&lt;&gt;"Não","",IF(Q53+Config!$B$9&lt;=Config!$B$8,Config!$B$8-Q53,""))</f>
        <v/>
      </c>
      <c r="T53" s="26">
        <f>IF(S53="","","Sim")</f>
        <v/>
      </c>
      <c r="U53" s="41">
        <f>IF(T53="Sim",S53+ROW()/100000,0)</f>
        <v>0</v>
      </c>
      <c r="V53" s="41">
        <f>IF(AND(H53="Falta",L53=Config!$B$7,M53=Config!$B$5,COUNTIFS($E$5:E53,E53,$H$5:H53,"Falta",$L$5:L53,Config!$B$7,$M$5:M53,Config!$B$5)=1),COUNTIFS($E$5:$E$1204,E53,$H$5:$H$1204,"Falta",$L$5:$L$1204,Config!$B$7,$M$5:$M$1204,Config!$B$5)*1000-ROW()/100000,0)</f>
        <v>0</v>
      </c>
    </row>
    <row r="54">
      <c r="A54" s="39" t="n">
        <v>46210</v>
      </c>
      <c r="B54" s="40" t="n">
        <v>0.375</v>
      </c>
      <c r="C54" s="35" t="inlineStr">
        <is>
          <t>Dra. Carolina Mendes</t>
        </is>
      </c>
      <c r="D54" s="35" t="inlineStr">
        <is>
          <t>Sala 1</t>
        </is>
      </c>
      <c r="E54" s="34" t="inlineStr">
        <is>
          <t>Wagner Santos</t>
        </is>
      </c>
      <c r="F54" s="35" t="inlineStr">
        <is>
          <t>Particular</t>
        </is>
      </c>
      <c r="G54" s="35" t="inlineStr">
        <is>
          <t>Retorno</t>
        </is>
      </c>
      <c r="H54" s="35" t="inlineStr">
        <is>
          <t>Realizado</t>
        </is>
      </c>
      <c r="I54" s="35" t="inlineStr">
        <is>
          <t>Sem cobrança</t>
        </is>
      </c>
      <c r="J54" s="35" t="n"/>
      <c r="K54" s="34" t="n"/>
      <c r="L54" s="26">
        <f>IF(A54="","",MONTH(A54))</f>
        <v>7</v>
      </c>
      <c r="M54" s="26">
        <f>IF(A54="","",YEAR(A54))</f>
        <v>2026</v>
      </c>
      <c r="N54" s="26" t="str">
        <f>IF(A54="","",CHOOSE(WEEKDAY(A54,2),"Segunda","Terça","Quarta","Quinta","Sexta","Sábado","Domingo"))</f>
        <v>Terça</v>
      </c>
      <c r="O54" s="26" t="str">
        <f>IF(B54="","",IF(B54&lt;TIME(12,0,0),"Manhã",IF(B54&lt;TIME(18,0,0),"Tarde","Noite")))</f>
        <v>Manhã</v>
      </c>
      <c r="P54" s="32">
        <f>IF(G54="","",IFERROR(INDEX(Config!$I$5:$I$16,MATCH(G54,Config!$H$5:$H$16,0)),0))</f>
        <v>0</v>
      </c>
      <c r="Q54" s="30">
        <f>IF(OR(H54&lt;&gt;"Realizado",P54="",P54=0),"",A54+P54)</f>
        <v/>
      </c>
      <c r="R54" s="26">
        <f>IF(Q54="","",IF(COUNTIFS($E$5:$E$1204,E54,$A$5:$A$1204,"&gt;"&amp;A54,$H$5:$H$1204,"&lt;&gt;Falta",$H$5:$H$1204,"&lt;&gt;Cancelado",$H$5:$H$1204,"&lt;&gt;Remarcado")&gt;0,"Sim","Não"))</f>
        <v/>
      </c>
      <c r="S54" s="32">
        <f>IF(R54&lt;&gt;"Não","",IF(Q54+Config!$B$9&lt;=Config!$B$8,Config!$B$8-Q54,""))</f>
        <v/>
      </c>
      <c r="T54" s="26">
        <f>IF(S54="","","Sim")</f>
        <v/>
      </c>
      <c r="U54" s="41">
        <f>IF(T54="Sim",S54+ROW()/100000,0)</f>
        <v>0</v>
      </c>
      <c r="V54" s="41">
        <f>IF(AND(H54="Falta",L54=Config!$B$7,M54=Config!$B$5,COUNTIFS($E$5:E54,E54,$H$5:H54,"Falta",$L$5:L54,Config!$B$7,$M$5:M54,Config!$B$5)=1),COUNTIFS($E$5:$E$1204,E54,$H$5:$H$1204,"Falta",$L$5:$L$1204,Config!$B$7,$M$5:$M$1204,Config!$B$5)*1000-ROW()/100000,0)</f>
        <v>0</v>
      </c>
    </row>
    <row r="55">
      <c r="A55" s="39" t="n">
        <v>46210</v>
      </c>
      <c r="B55" s="40" t="n">
        <v>0.4097222222222222</v>
      </c>
      <c r="C55" s="35" t="inlineStr">
        <is>
          <t>Dra. Carolina Mendes</t>
        </is>
      </c>
      <c r="D55" s="35" t="inlineStr">
        <is>
          <t>Sala 1</t>
        </is>
      </c>
      <c r="E55" s="34" t="inlineStr">
        <is>
          <t>Gisele Ribeiro</t>
        </is>
      </c>
      <c r="F55" s="35" t="inlineStr">
        <is>
          <t>Particular</t>
        </is>
      </c>
      <c r="G55" s="35" t="inlineStr">
        <is>
          <t>Consulta</t>
        </is>
      </c>
      <c r="H55" s="35" t="inlineStr">
        <is>
          <t>Realizado</t>
        </is>
      </c>
      <c r="I55" s="35" t="inlineStr">
        <is>
          <t>Pix</t>
        </is>
      </c>
      <c r="J55" s="35" t="n"/>
      <c r="K55" s="34" t="n"/>
      <c r="L55" s="26">
        <f>IF(A55="","",MONTH(A55))</f>
        <v>7</v>
      </c>
      <c r="M55" s="26">
        <f>IF(A55="","",YEAR(A55))</f>
        <v>2026</v>
      </c>
      <c r="N55" s="26" t="str">
        <f>IF(A55="","",CHOOSE(WEEKDAY(A55,2),"Segunda","Terça","Quarta","Quinta","Sexta","Sábado","Domingo"))</f>
        <v>Terça</v>
      </c>
      <c r="O55" s="26" t="str">
        <f>IF(B55="","",IF(B55&lt;TIME(12,0,0),"Manhã",IF(B55&lt;TIME(18,0,0),"Tarde","Noite")))</f>
        <v>Manhã</v>
      </c>
      <c r="P55" s="32">
        <f>IF(G55="","",IFERROR(INDEX(Config!$I$5:$I$16,MATCH(G55,Config!$H$5:$H$16,0)),0))</f>
        <v>30</v>
      </c>
      <c r="Q55" s="30">
        <f>IF(OR(H55&lt;&gt;"Realizado",P55="",P55=0),"",A55+P55)</f>
        <v>46240.0</v>
      </c>
      <c r="R55" s="26" t="str">
        <f>IF(Q55="","",IF(COUNTIFS($E$5:$E$1204,E55,$A$5:$A$1204,"&gt;"&amp;A55,$H$5:$H$1204,"&lt;&gt;Falta",$H$5:$H$1204,"&lt;&gt;Cancelado",$H$5:$H$1204,"&lt;&gt;Remarcado")&gt;0,"Sim","Não"))</f>
        <v>Sim</v>
      </c>
      <c r="S55" s="32">
        <f>IF(R55&lt;&gt;"Não","",IF(Q55+Config!$B$9&lt;=Config!$B$8,Config!$B$8-Q55,""))</f>
        <v/>
      </c>
      <c r="T55" s="26">
        <f>IF(S55="","","Sim")</f>
        <v/>
      </c>
      <c r="U55" s="41">
        <f>IF(T55="Sim",S55+ROW()/100000,0)</f>
        <v>0</v>
      </c>
      <c r="V55" s="41">
        <f>IF(AND(H55="Falta",L55=Config!$B$7,M55=Config!$B$5,COUNTIFS($E$5:E55,E55,$H$5:H55,"Falta",$L$5:L55,Config!$B$7,$M$5:M55,Config!$B$5)=1),COUNTIFS($E$5:$E$1204,E55,$H$5:$H$1204,"Falta",$L$5:$L$1204,Config!$B$7,$M$5:$M$1204,Config!$B$5)*1000-ROW()/100000,0)</f>
        <v>0</v>
      </c>
    </row>
    <row r="56">
      <c r="A56" s="39" t="n">
        <v>46210</v>
      </c>
      <c r="B56" s="40" t="n">
        <v>0.4305555555555556</v>
      </c>
      <c r="C56" s="35" t="inlineStr">
        <is>
          <t>Dra. Carolina Mendes</t>
        </is>
      </c>
      <c r="D56" s="35" t="inlineStr">
        <is>
          <t>Sala 1</t>
        </is>
      </c>
      <c r="E56" s="34" t="inlineStr">
        <is>
          <t>Daniel Melo</t>
        </is>
      </c>
      <c r="F56" s="35" t="inlineStr">
        <is>
          <t>Saúde Total</t>
        </is>
      </c>
      <c r="G56" s="35" t="inlineStr">
        <is>
          <t>Consulta</t>
        </is>
      </c>
      <c r="H56" s="35" t="inlineStr">
        <is>
          <t>Realizado</t>
        </is>
      </c>
      <c r="I56" s="35" t="inlineStr">
        <is>
          <t>Convênio</t>
        </is>
      </c>
      <c r="J56" s="35" t="n"/>
      <c r="K56" s="34" t="n"/>
      <c r="L56" s="26">
        <f>IF(A56="","",MONTH(A56))</f>
        <v>7</v>
      </c>
      <c r="M56" s="26">
        <f>IF(A56="","",YEAR(A56))</f>
        <v>2026</v>
      </c>
      <c r="N56" s="26" t="str">
        <f>IF(A56="","",CHOOSE(WEEKDAY(A56,2),"Segunda","Terça","Quarta","Quinta","Sexta","Sábado","Domingo"))</f>
        <v>Terça</v>
      </c>
      <c r="O56" s="26" t="str">
        <f>IF(B56="","",IF(B56&lt;TIME(12,0,0),"Manhã",IF(B56&lt;TIME(18,0,0),"Tarde","Noite")))</f>
        <v>Manhã</v>
      </c>
      <c r="P56" s="32">
        <f>IF(G56="","",IFERROR(INDEX(Config!$I$5:$I$16,MATCH(G56,Config!$H$5:$H$16,0)),0))</f>
        <v>30</v>
      </c>
      <c r="Q56" s="30">
        <f>IF(OR(H56&lt;&gt;"Realizado",P56="",P56=0),"",A56+P56)</f>
        <v>46240.0</v>
      </c>
      <c r="R56" s="26" t="str">
        <f>IF(Q56="","",IF(COUNTIFS($E$5:$E$1204,E56,$A$5:$A$1204,"&gt;"&amp;A56,$H$5:$H$1204,"&lt;&gt;Falta",$H$5:$H$1204,"&lt;&gt;Cancelado",$H$5:$H$1204,"&lt;&gt;Remarcado")&gt;0,"Sim","Não"))</f>
        <v>Sim</v>
      </c>
      <c r="S56" s="32">
        <f>IF(R56&lt;&gt;"Não","",IF(Q56+Config!$B$9&lt;=Config!$B$8,Config!$B$8-Q56,""))</f>
        <v/>
      </c>
      <c r="T56" s="26">
        <f>IF(S56="","","Sim")</f>
        <v/>
      </c>
      <c r="U56" s="41">
        <f>IF(T56="Sim",S56+ROW()/100000,0)</f>
        <v>0</v>
      </c>
      <c r="V56" s="41">
        <f>IF(AND(H56="Falta",L56=Config!$B$7,M56=Config!$B$5,COUNTIFS($E$5:E56,E56,$H$5:H56,"Falta",$L$5:L56,Config!$B$7,$M$5:M56,Config!$B$5)=1),COUNTIFS($E$5:$E$1204,E56,$H$5:$H$1204,"Falta",$L$5:$L$1204,Config!$B$7,$M$5:$M$1204,Config!$B$5)*1000-ROW()/100000,0)</f>
        <v>0</v>
      </c>
    </row>
    <row r="57">
      <c r="A57" s="39" t="n">
        <v>46210</v>
      </c>
      <c r="B57" s="40" t="n">
        <v>0.4513888888888889</v>
      </c>
      <c r="C57" s="35" t="inlineStr">
        <is>
          <t>Dra. Carolina Mendes</t>
        </is>
      </c>
      <c r="D57" s="35" t="inlineStr">
        <is>
          <t>Sala 1</t>
        </is>
      </c>
      <c r="E57" s="34" t="inlineStr">
        <is>
          <t>Gustavo Ferreira</t>
        </is>
      </c>
      <c r="F57" s="35" t="inlineStr">
        <is>
          <t>Particular</t>
        </is>
      </c>
      <c r="G57" s="35" t="inlineStr">
        <is>
          <t>Consulta</t>
        </is>
      </c>
      <c r="H57" s="35" t="inlineStr">
        <is>
          <t>Realizado</t>
        </is>
      </c>
      <c r="I57" s="35" t="inlineStr">
        <is>
          <t>A prazo</t>
        </is>
      </c>
      <c r="J57" s="35" t="n"/>
      <c r="K57" s="34" t="n"/>
      <c r="L57" s="26">
        <f>IF(A57="","",MONTH(A57))</f>
        <v>7</v>
      </c>
      <c r="M57" s="26">
        <f>IF(A57="","",YEAR(A57))</f>
        <v>2026</v>
      </c>
      <c r="N57" s="26" t="str">
        <f>IF(A57="","",CHOOSE(WEEKDAY(A57,2),"Segunda","Terça","Quarta","Quinta","Sexta","Sábado","Domingo"))</f>
        <v>Terça</v>
      </c>
      <c r="O57" s="26" t="str">
        <f>IF(B57="","",IF(B57&lt;TIME(12,0,0),"Manhã",IF(B57&lt;TIME(18,0,0),"Tarde","Noite")))</f>
        <v>Manhã</v>
      </c>
      <c r="P57" s="32">
        <f>IF(G57="","",IFERROR(INDEX(Config!$I$5:$I$16,MATCH(G57,Config!$H$5:$H$16,0)),0))</f>
        <v>30</v>
      </c>
      <c r="Q57" s="30">
        <f>IF(OR(H57&lt;&gt;"Realizado",P57="",P57=0),"",A57+P57)</f>
        <v>46240.0</v>
      </c>
      <c r="R57" s="26" t="str">
        <f>IF(Q57="","",IF(COUNTIFS($E$5:$E$1204,E57,$A$5:$A$1204,"&gt;"&amp;A57,$H$5:$H$1204,"&lt;&gt;Falta",$H$5:$H$1204,"&lt;&gt;Cancelado",$H$5:$H$1204,"&lt;&gt;Remarcado")&gt;0,"Sim","Não"))</f>
        <v>Sim</v>
      </c>
      <c r="S57" s="32">
        <f>IF(R57&lt;&gt;"Não","",IF(Q57+Config!$B$9&lt;=Config!$B$8,Config!$B$8-Q57,""))</f>
        <v/>
      </c>
      <c r="T57" s="26">
        <f>IF(S57="","","Sim")</f>
        <v/>
      </c>
      <c r="U57" s="41">
        <f>IF(T57="Sim",S57+ROW()/100000,0)</f>
        <v>0</v>
      </c>
      <c r="V57" s="41">
        <f>IF(AND(H57="Falta",L57=Config!$B$7,M57=Config!$B$5,COUNTIFS($E$5:E57,E57,$H$5:H57,"Falta",$L$5:L57,Config!$B$7,$M$5:M57,Config!$B$5)=1),COUNTIFS($E$5:$E$1204,E57,$H$5:$H$1204,"Falta",$L$5:$L$1204,Config!$B$7,$M$5:$M$1204,Config!$B$5)*1000-ROW()/100000,0)</f>
        <v>0</v>
      </c>
    </row>
    <row r="58">
      <c r="A58" s="39" t="n">
        <v>46210</v>
      </c>
      <c r="B58" s="40" t="n">
        <v>0.5833333333333334</v>
      </c>
      <c r="C58" s="35" t="inlineStr">
        <is>
          <t>Dra. Renata Sousa</t>
        </is>
      </c>
      <c r="D58" s="35" t="inlineStr">
        <is>
          <t>Sala 1</t>
        </is>
      </c>
      <c r="E58" s="34" t="inlineStr">
        <is>
          <t>Paulo Freitas</t>
        </is>
      </c>
      <c r="F58" s="35" t="inlineStr">
        <is>
          <t>Saúde Total</t>
        </is>
      </c>
      <c r="G58" s="35" t="inlineStr">
        <is>
          <t>Retorno</t>
        </is>
      </c>
      <c r="H58" s="35" t="inlineStr">
        <is>
          <t>Realizado</t>
        </is>
      </c>
      <c r="I58" s="35" t="inlineStr">
        <is>
          <t>Sem cobrança</t>
        </is>
      </c>
      <c r="J58" s="35" t="n"/>
      <c r="K58" s="34" t="n"/>
      <c r="L58" s="26">
        <f>IF(A58="","",MONTH(A58))</f>
        <v>7</v>
      </c>
      <c r="M58" s="26">
        <f>IF(A58="","",YEAR(A58))</f>
        <v>2026</v>
      </c>
      <c r="N58" s="26" t="str">
        <f>IF(A58="","",CHOOSE(WEEKDAY(A58,2),"Segunda","Terça","Quarta","Quinta","Sexta","Sábado","Domingo"))</f>
        <v>Terça</v>
      </c>
      <c r="O58" s="26" t="str">
        <f>IF(B58="","",IF(B58&lt;TIME(12,0,0),"Manhã",IF(B58&lt;TIME(18,0,0),"Tarde","Noite")))</f>
        <v>Tarde</v>
      </c>
      <c r="P58" s="32">
        <f>IF(G58="","",IFERROR(INDEX(Config!$I$5:$I$16,MATCH(G58,Config!$H$5:$H$16,0)),0))</f>
        <v>0</v>
      </c>
      <c r="Q58" s="30">
        <f>IF(OR(H58&lt;&gt;"Realizado",P58="",P58=0),"",A58+P58)</f>
        <v/>
      </c>
      <c r="R58" s="26">
        <f>IF(Q58="","",IF(COUNTIFS($E$5:$E$1204,E58,$A$5:$A$1204,"&gt;"&amp;A58,$H$5:$H$1204,"&lt;&gt;Falta",$H$5:$H$1204,"&lt;&gt;Cancelado",$H$5:$H$1204,"&lt;&gt;Remarcado")&gt;0,"Sim","Não"))</f>
        <v/>
      </c>
      <c r="S58" s="32">
        <f>IF(R58&lt;&gt;"Não","",IF(Q58+Config!$B$9&lt;=Config!$B$8,Config!$B$8-Q58,""))</f>
        <v/>
      </c>
      <c r="T58" s="26">
        <f>IF(S58="","","Sim")</f>
        <v/>
      </c>
      <c r="U58" s="41">
        <f>IF(T58="Sim",S58+ROW()/100000,0)</f>
        <v>0</v>
      </c>
      <c r="V58" s="41">
        <f>IF(AND(H58="Falta",L58=Config!$B$7,M58=Config!$B$5,COUNTIFS($E$5:E58,E58,$H$5:H58,"Falta",$L$5:L58,Config!$B$7,$M$5:M58,Config!$B$5)=1),COUNTIFS($E$5:$E$1204,E58,$H$5:$H$1204,"Falta",$L$5:$L$1204,Config!$B$7,$M$5:$M$1204,Config!$B$5)*1000-ROW()/100000,0)</f>
        <v>0</v>
      </c>
    </row>
    <row r="59">
      <c r="A59" s="39" t="n">
        <v>46210</v>
      </c>
      <c r="B59" s="40" t="n">
        <v>0.5972222222222222</v>
      </c>
      <c r="C59" s="35" t="inlineStr">
        <is>
          <t>Dra. Renata Sousa</t>
        </is>
      </c>
      <c r="D59" s="35" t="inlineStr">
        <is>
          <t>Sala 1</t>
        </is>
      </c>
      <c r="E59" s="34" t="inlineStr">
        <is>
          <t>Carlos Gonçalves</t>
        </is>
      </c>
      <c r="F59" s="35" t="inlineStr">
        <is>
          <t>Saúde Total</t>
        </is>
      </c>
      <c r="G59" s="35" t="inlineStr">
        <is>
          <t>Avaliação endócrina</t>
        </is>
      </c>
      <c r="H59" s="35" t="inlineStr">
        <is>
          <t>Falta</t>
        </is>
      </c>
      <c r="I59" s="35" t="n"/>
      <c r="J59" s="35" t="n"/>
      <c r="K59" s="34" t="n"/>
      <c r="L59" s="26">
        <f>IF(A59="","",MONTH(A59))</f>
        <v>7</v>
      </c>
      <c r="M59" s="26">
        <f>IF(A59="","",YEAR(A59))</f>
        <v>2026</v>
      </c>
      <c r="N59" s="26" t="str">
        <f>IF(A59="","",CHOOSE(WEEKDAY(A59,2),"Segunda","Terça","Quarta","Quinta","Sexta","Sábado","Domingo"))</f>
        <v>Terça</v>
      </c>
      <c r="O59" s="26" t="str">
        <f>IF(B59="","",IF(B59&lt;TIME(12,0,0),"Manhã",IF(B59&lt;TIME(18,0,0),"Tarde","Noite")))</f>
        <v>Tarde</v>
      </c>
      <c r="P59" s="32">
        <f>IF(G59="","",IFERROR(INDEX(Config!$I$5:$I$16,MATCH(G59,Config!$H$5:$H$16,0)),0))</f>
        <v>45</v>
      </c>
      <c r="Q59" s="30">
        <f>IF(OR(H59&lt;&gt;"Realizado",P59="",P59=0),"",A59+P59)</f>
        <v/>
      </c>
      <c r="R59" s="26">
        <f>IF(Q59="","",IF(COUNTIFS($E$5:$E$1204,E59,$A$5:$A$1204,"&gt;"&amp;A59,$H$5:$H$1204,"&lt;&gt;Falta",$H$5:$H$1204,"&lt;&gt;Cancelado",$H$5:$H$1204,"&lt;&gt;Remarcado")&gt;0,"Sim","Não"))</f>
        <v/>
      </c>
      <c r="S59" s="32">
        <f>IF(R59&lt;&gt;"Não","",IF(Q59+Config!$B$9&lt;=Config!$B$8,Config!$B$8-Q59,""))</f>
        <v/>
      </c>
      <c r="T59" s="26">
        <f>IF(S59="","","Sim")</f>
        <v/>
      </c>
      <c r="U59" s="41">
        <f>IF(T59="Sim",S59+ROW()/100000,0)</f>
        <v>0</v>
      </c>
      <c r="V59" s="41">
        <f>IF(AND(H59="Falta",L59=Config!$B$7,M59=Config!$B$5,COUNTIFS($E$5:E59,E59,$H$5:H59,"Falta",$L$5:L59,Config!$B$7,$M$5:M59,Config!$B$5)=1),COUNTIFS($E$5:$E$1204,E59,$H$5:$H$1204,"Falta",$L$5:$L$1204,Config!$B$7,$M$5:$M$1204,Config!$B$5)*1000-ROW()/100000,0)</f>
        <v>0</v>
      </c>
    </row>
    <row r="60">
      <c r="A60" s="39" t="n">
        <v>46210</v>
      </c>
      <c r="B60" s="40" t="n">
        <v>0.6041666666666666</v>
      </c>
      <c r="C60" s="35" t="inlineStr">
        <is>
          <t>Dr. Paulo Andrade</t>
        </is>
      </c>
      <c r="D60" s="35" t="inlineStr">
        <is>
          <t>Sala 2</t>
        </is>
      </c>
      <c r="E60" s="34" t="inlineStr">
        <is>
          <t>Eduardo Reis</t>
        </is>
      </c>
      <c r="F60" s="35" t="inlineStr">
        <is>
          <t>Vida Care</t>
        </is>
      </c>
      <c r="G60" s="35" t="inlineStr">
        <is>
          <t>Teste ergométrico</t>
        </is>
      </c>
      <c r="H60" s="35" t="inlineStr">
        <is>
          <t>Realizado</t>
        </is>
      </c>
      <c r="I60" s="35" t="inlineStr">
        <is>
          <t>Convênio</t>
        </is>
      </c>
      <c r="J60" s="35" t="n"/>
      <c r="K60" s="34" t="n"/>
      <c r="L60" s="26">
        <f>IF(A60="","",MONTH(A60))</f>
        <v>7</v>
      </c>
      <c r="M60" s="26">
        <f>IF(A60="","",YEAR(A60))</f>
        <v>2026</v>
      </c>
      <c r="N60" s="26" t="str">
        <f>IF(A60="","",CHOOSE(WEEKDAY(A60,2),"Segunda","Terça","Quarta","Quinta","Sexta","Sábado","Domingo"))</f>
        <v>Terça</v>
      </c>
      <c r="O60" s="26" t="str">
        <f>IF(B60="","",IF(B60&lt;TIME(12,0,0),"Manhã",IF(B60&lt;TIME(18,0,0),"Tarde","Noite")))</f>
        <v>Tarde</v>
      </c>
      <c r="P60" s="32">
        <f>IF(G60="","",IFERROR(INDEX(Config!$I$5:$I$16,MATCH(G60,Config!$H$5:$H$16,0)),0))</f>
        <v>0</v>
      </c>
      <c r="Q60" s="30">
        <f>IF(OR(H60&lt;&gt;"Realizado",P60="",P60=0),"",A60+P60)</f>
        <v/>
      </c>
      <c r="R60" s="26">
        <f>IF(Q60="","",IF(COUNTIFS($E$5:$E$1204,E60,$A$5:$A$1204,"&gt;"&amp;A60,$H$5:$H$1204,"&lt;&gt;Falta",$H$5:$H$1204,"&lt;&gt;Cancelado",$H$5:$H$1204,"&lt;&gt;Remarcado")&gt;0,"Sim","Não"))</f>
        <v/>
      </c>
      <c r="S60" s="32">
        <f>IF(R60&lt;&gt;"Não","",IF(Q60+Config!$B$9&lt;=Config!$B$8,Config!$B$8-Q60,""))</f>
        <v/>
      </c>
      <c r="T60" s="26">
        <f>IF(S60="","","Sim")</f>
        <v/>
      </c>
      <c r="U60" s="41">
        <f>IF(T60="Sim",S60+ROW()/100000,0)</f>
        <v>0</v>
      </c>
      <c r="V60" s="41">
        <f>IF(AND(H60="Falta",L60=Config!$B$7,M60=Config!$B$5,COUNTIFS($E$5:E60,E60,$H$5:H60,"Falta",$L$5:L60,Config!$B$7,$M$5:M60,Config!$B$5)=1),COUNTIFS($E$5:$E$1204,E60,$H$5:$H$1204,"Falta",$L$5:$L$1204,Config!$B$7,$M$5:$M$1204,Config!$B$5)*1000-ROW()/100000,0)</f>
        <v>0</v>
      </c>
    </row>
    <row r="61">
      <c r="A61" s="39" t="n">
        <v>46210</v>
      </c>
      <c r="B61" s="40" t="n">
        <v>0.625</v>
      </c>
      <c r="C61" s="35" t="inlineStr">
        <is>
          <t>Dra. Renata Sousa</t>
        </is>
      </c>
      <c r="D61" s="35" t="inlineStr">
        <is>
          <t>Sala 1</t>
        </is>
      </c>
      <c r="E61" s="34" t="inlineStr">
        <is>
          <t>Gabriel Reis</t>
        </is>
      </c>
      <c r="F61" s="35" t="inlineStr">
        <is>
          <t>Particular</t>
        </is>
      </c>
      <c r="G61" s="35" t="inlineStr">
        <is>
          <t>Retorno</t>
        </is>
      </c>
      <c r="H61" s="35" t="inlineStr">
        <is>
          <t>Realizado</t>
        </is>
      </c>
      <c r="I61" s="35" t="inlineStr">
        <is>
          <t>Sem cobrança</t>
        </is>
      </c>
      <c r="J61" s="35" t="n"/>
      <c r="K61" s="34" t="n"/>
      <c r="L61" s="26">
        <f>IF(A61="","",MONTH(A61))</f>
        <v>7</v>
      </c>
      <c r="M61" s="26">
        <f>IF(A61="","",YEAR(A61))</f>
        <v>2026</v>
      </c>
      <c r="N61" s="26" t="str">
        <f>IF(A61="","",CHOOSE(WEEKDAY(A61,2),"Segunda","Terça","Quarta","Quinta","Sexta","Sábado","Domingo"))</f>
        <v>Terça</v>
      </c>
      <c r="O61" s="26" t="str">
        <f>IF(B61="","",IF(B61&lt;TIME(12,0,0),"Manhã",IF(B61&lt;TIME(18,0,0),"Tarde","Noite")))</f>
        <v>Tarde</v>
      </c>
      <c r="P61" s="32">
        <f>IF(G61="","",IFERROR(INDEX(Config!$I$5:$I$16,MATCH(G61,Config!$H$5:$H$16,0)),0))</f>
        <v>0</v>
      </c>
      <c r="Q61" s="30">
        <f>IF(OR(H61&lt;&gt;"Realizado",P61="",P61=0),"",A61+P61)</f>
        <v/>
      </c>
      <c r="R61" s="26">
        <f>IF(Q61="","",IF(COUNTIFS($E$5:$E$1204,E61,$A$5:$A$1204,"&gt;"&amp;A61,$H$5:$H$1204,"&lt;&gt;Falta",$H$5:$H$1204,"&lt;&gt;Cancelado",$H$5:$H$1204,"&lt;&gt;Remarcado")&gt;0,"Sim","Não"))</f>
        <v/>
      </c>
      <c r="S61" s="32">
        <f>IF(R61&lt;&gt;"Não","",IF(Q61+Config!$B$9&lt;=Config!$B$8,Config!$B$8-Q61,""))</f>
        <v/>
      </c>
      <c r="T61" s="26">
        <f>IF(S61="","","Sim")</f>
        <v/>
      </c>
      <c r="U61" s="41">
        <f>IF(T61="Sim",S61+ROW()/100000,0)</f>
        <v>0</v>
      </c>
      <c r="V61" s="41">
        <f>IF(AND(H61="Falta",L61=Config!$B$7,M61=Config!$B$5,COUNTIFS($E$5:E61,E61,$H$5:H61,"Falta",$L$5:L61,Config!$B$7,$M$5:M61,Config!$B$5)=1),COUNTIFS($E$5:$E$1204,E61,$H$5:$H$1204,"Falta",$L$5:$L$1204,Config!$B$7,$M$5:$M$1204,Config!$B$5)*1000-ROW()/100000,0)</f>
        <v>0</v>
      </c>
    </row>
    <row r="62">
      <c r="A62" s="39" t="n">
        <v>46210</v>
      </c>
      <c r="B62" s="40" t="n">
        <v>0.6319444444444444</v>
      </c>
      <c r="C62" s="35" t="inlineStr">
        <is>
          <t>Dr. Paulo Andrade</t>
        </is>
      </c>
      <c r="D62" s="35" t="inlineStr">
        <is>
          <t>Sala 2</t>
        </is>
      </c>
      <c r="E62" s="34" t="inlineStr">
        <is>
          <t>Rafael Barros</t>
        </is>
      </c>
      <c r="F62" s="35" t="inlineStr">
        <is>
          <t>Particular</t>
        </is>
      </c>
      <c r="G62" s="35" t="inlineStr">
        <is>
          <t>Retorno</t>
        </is>
      </c>
      <c r="H62" s="35" t="inlineStr">
        <is>
          <t>Realizado</t>
        </is>
      </c>
      <c r="I62" s="35" t="inlineStr">
        <is>
          <t>Sem cobrança</t>
        </is>
      </c>
      <c r="J62" s="35" t="n"/>
      <c r="K62" s="34" t="n"/>
      <c r="L62" s="26">
        <f>IF(A62="","",MONTH(A62))</f>
        <v>7</v>
      </c>
      <c r="M62" s="26">
        <f>IF(A62="","",YEAR(A62))</f>
        <v>2026</v>
      </c>
      <c r="N62" s="26" t="str">
        <f>IF(A62="","",CHOOSE(WEEKDAY(A62,2),"Segunda","Terça","Quarta","Quinta","Sexta","Sábado","Domingo"))</f>
        <v>Terça</v>
      </c>
      <c r="O62" s="26" t="str">
        <f>IF(B62="","",IF(B62&lt;TIME(12,0,0),"Manhã",IF(B62&lt;TIME(18,0,0),"Tarde","Noite")))</f>
        <v>Tarde</v>
      </c>
      <c r="P62" s="32">
        <f>IF(G62="","",IFERROR(INDEX(Config!$I$5:$I$16,MATCH(G62,Config!$H$5:$H$16,0)),0))</f>
        <v>0</v>
      </c>
      <c r="Q62" s="30">
        <f>IF(OR(H62&lt;&gt;"Realizado",P62="",P62=0),"",A62+P62)</f>
        <v/>
      </c>
      <c r="R62" s="26">
        <f>IF(Q62="","",IF(COUNTIFS($E$5:$E$1204,E62,$A$5:$A$1204,"&gt;"&amp;A62,$H$5:$H$1204,"&lt;&gt;Falta",$H$5:$H$1204,"&lt;&gt;Cancelado",$H$5:$H$1204,"&lt;&gt;Remarcado")&gt;0,"Sim","Não"))</f>
        <v/>
      </c>
      <c r="S62" s="32">
        <f>IF(R62&lt;&gt;"Não","",IF(Q62+Config!$B$9&lt;=Config!$B$8,Config!$B$8-Q62,""))</f>
        <v/>
      </c>
      <c r="T62" s="26">
        <f>IF(S62="","","Sim")</f>
        <v/>
      </c>
      <c r="U62" s="41">
        <f>IF(T62="Sim",S62+ROW()/100000,0)</f>
        <v>0</v>
      </c>
      <c r="V62" s="41">
        <f>IF(AND(H62="Falta",L62=Config!$B$7,M62=Config!$B$5,COUNTIFS($E$5:E62,E62,$H$5:H62,"Falta",$L$5:L62,Config!$B$7,$M$5:M62,Config!$B$5)=1),COUNTIFS($E$5:$E$1204,E62,$H$5:$H$1204,"Falta",$L$5:$L$1204,Config!$B$7,$M$5:$M$1204,Config!$B$5)*1000-ROW()/100000,0)</f>
        <v>0</v>
      </c>
    </row>
    <row r="63">
      <c r="A63" s="39" t="n">
        <v>46210</v>
      </c>
      <c r="B63" s="40" t="n">
        <v>0.6388888888888888</v>
      </c>
      <c r="C63" s="35" t="inlineStr">
        <is>
          <t>Dra. Renata Sousa</t>
        </is>
      </c>
      <c r="D63" s="35" t="inlineStr">
        <is>
          <t>Sala 1</t>
        </is>
      </c>
      <c r="E63" s="34" t="inlineStr">
        <is>
          <t>Beatriz Reis</t>
        </is>
      </c>
      <c r="F63" s="35" t="inlineStr">
        <is>
          <t>Particular</t>
        </is>
      </c>
      <c r="G63" s="35" t="inlineStr">
        <is>
          <t>Avaliação endócrina</t>
        </is>
      </c>
      <c r="H63" s="35" t="inlineStr">
        <is>
          <t>Realizado</t>
        </is>
      </c>
      <c r="I63" s="35" t="inlineStr">
        <is>
          <t>Pix</t>
        </is>
      </c>
      <c r="J63" s="35" t="n"/>
      <c r="K63" s="34" t="n"/>
      <c r="L63" s="26">
        <f>IF(A63="","",MONTH(A63))</f>
        <v>7</v>
      </c>
      <c r="M63" s="26">
        <f>IF(A63="","",YEAR(A63))</f>
        <v>2026</v>
      </c>
      <c r="N63" s="26" t="str">
        <f>IF(A63="","",CHOOSE(WEEKDAY(A63,2),"Segunda","Terça","Quarta","Quinta","Sexta","Sábado","Domingo"))</f>
        <v>Terça</v>
      </c>
      <c r="O63" s="26" t="str">
        <f>IF(B63="","",IF(B63&lt;TIME(12,0,0),"Manhã",IF(B63&lt;TIME(18,0,0),"Tarde","Noite")))</f>
        <v>Tarde</v>
      </c>
      <c r="P63" s="32">
        <f>IF(G63="","",IFERROR(INDEX(Config!$I$5:$I$16,MATCH(G63,Config!$H$5:$H$16,0)),0))</f>
        <v>45</v>
      </c>
      <c r="Q63" s="30">
        <f>IF(OR(H63&lt;&gt;"Realizado",P63="",P63=0),"",A63+P63)</f>
        <v>46255.0</v>
      </c>
      <c r="R63" s="26" t="str">
        <f>IF(Q63="","",IF(COUNTIFS($E$5:$E$1204,E63,$A$5:$A$1204,"&gt;"&amp;A63,$H$5:$H$1204,"&lt;&gt;Falta",$H$5:$H$1204,"&lt;&gt;Cancelado",$H$5:$H$1204,"&lt;&gt;Remarcado")&gt;0,"Sim","Não"))</f>
        <v>Sim</v>
      </c>
      <c r="S63" s="32">
        <f>IF(R63&lt;&gt;"Não","",IF(Q63+Config!$B$9&lt;=Config!$B$8,Config!$B$8-Q63,""))</f>
        <v/>
      </c>
      <c r="T63" s="26">
        <f>IF(S63="","","Sim")</f>
        <v/>
      </c>
      <c r="U63" s="41">
        <f>IF(T63="Sim",S63+ROW()/100000,0)</f>
        <v>0</v>
      </c>
      <c r="V63" s="41">
        <f>IF(AND(H63="Falta",L63=Config!$B$7,M63=Config!$B$5,COUNTIFS($E$5:E63,E63,$H$5:H63,"Falta",$L$5:L63,Config!$B$7,$M$5:M63,Config!$B$5)=1),COUNTIFS($E$5:$E$1204,E63,$H$5:$H$1204,"Falta",$L$5:$L$1204,Config!$B$7,$M$5:$M$1204,Config!$B$5)*1000-ROW()/100000,0)</f>
        <v>0</v>
      </c>
    </row>
    <row r="64">
      <c r="A64" s="39" t="n">
        <v>46210</v>
      </c>
      <c r="B64" s="40" t="n">
        <v>0.6458333333333334</v>
      </c>
      <c r="C64" s="35" t="inlineStr">
        <is>
          <t>Dr. Paulo Andrade</t>
        </is>
      </c>
      <c r="D64" s="35" t="inlineStr">
        <is>
          <t>Sala 2</t>
        </is>
      </c>
      <c r="E64" s="34" t="inlineStr">
        <is>
          <t>Marcelo Ferreira</t>
        </is>
      </c>
      <c r="F64" s="35" t="inlineStr">
        <is>
          <t>Particular</t>
        </is>
      </c>
      <c r="G64" s="35" t="inlineStr">
        <is>
          <t>Consulta</t>
        </is>
      </c>
      <c r="H64" s="35" t="inlineStr">
        <is>
          <t>Realizado</t>
        </is>
      </c>
      <c r="I64" s="35" t="inlineStr">
        <is>
          <t>Cartão de crédito</t>
        </is>
      </c>
      <c r="J64" s="35" t="n"/>
      <c r="K64" s="34" t="n"/>
      <c r="L64" s="26">
        <f>IF(A64="","",MONTH(A64))</f>
        <v>7</v>
      </c>
      <c r="M64" s="26">
        <f>IF(A64="","",YEAR(A64))</f>
        <v>2026</v>
      </c>
      <c r="N64" s="26" t="str">
        <f>IF(A64="","",CHOOSE(WEEKDAY(A64,2),"Segunda","Terça","Quarta","Quinta","Sexta","Sábado","Domingo"))</f>
        <v>Terça</v>
      </c>
      <c r="O64" s="26" t="str">
        <f>IF(B64="","",IF(B64&lt;TIME(12,0,0),"Manhã",IF(B64&lt;TIME(18,0,0),"Tarde","Noite")))</f>
        <v>Tarde</v>
      </c>
      <c r="P64" s="32">
        <f>IF(G64="","",IFERROR(INDEX(Config!$I$5:$I$16,MATCH(G64,Config!$H$5:$H$16,0)),0))</f>
        <v>30</v>
      </c>
      <c r="Q64" s="30">
        <f>IF(OR(H64&lt;&gt;"Realizado",P64="",P64=0),"",A64+P64)</f>
        <v>46240.0</v>
      </c>
      <c r="R64" s="26" t="str">
        <f>IF(Q64="","",IF(COUNTIFS($E$5:$E$1204,E64,$A$5:$A$1204,"&gt;"&amp;A64,$H$5:$H$1204,"&lt;&gt;Falta",$H$5:$H$1204,"&lt;&gt;Cancelado",$H$5:$H$1204,"&lt;&gt;Remarcado")&gt;0,"Sim","Não"))</f>
        <v>Sim</v>
      </c>
      <c r="S64" s="32">
        <f>IF(R64&lt;&gt;"Não","",IF(Q64+Config!$B$9&lt;=Config!$B$8,Config!$B$8-Q64,""))</f>
        <v/>
      </c>
      <c r="T64" s="26">
        <f>IF(S64="","","Sim")</f>
        <v/>
      </c>
      <c r="U64" s="41">
        <f>IF(T64="Sim",S64+ROW()/100000,0)</f>
        <v>0</v>
      </c>
      <c r="V64" s="41">
        <f>IF(AND(H64="Falta",L64=Config!$B$7,M64=Config!$B$5,COUNTIFS($E$5:E64,E64,$H$5:H64,"Falta",$L$5:L64,Config!$B$7,$M$5:M64,Config!$B$5)=1),COUNTIFS($E$5:$E$1204,E64,$H$5:$H$1204,"Falta",$L$5:$L$1204,Config!$B$7,$M$5:$M$1204,Config!$B$5)*1000-ROW()/100000,0)</f>
        <v>0</v>
      </c>
    </row>
    <row r="65">
      <c r="A65" s="39" t="n">
        <v>46210</v>
      </c>
      <c r="B65" s="40" t="n">
        <v>0.6666666666666666</v>
      </c>
      <c r="C65" s="35" t="inlineStr">
        <is>
          <t>Dra. Renata Sousa</t>
        </is>
      </c>
      <c r="D65" s="35" t="inlineStr">
        <is>
          <t>Sala 1</t>
        </is>
      </c>
      <c r="E65" s="34" t="inlineStr">
        <is>
          <t>Mariana Reis</t>
        </is>
      </c>
      <c r="F65" s="35" t="inlineStr">
        <is>
          <t>Particular</t>
        </is>
      </c>
      <c r="G65" s="35" t="inlineStr">
        <is>
          <t>Retorno</t>
        </is>
      </c>
      <c r="H65" s="35" t="inlineStr">
        <is>
          <t>Realizado</t>
        </is>
      </c>
      <c r="I65" s="35" t="inlineStr">
        <is>
          <t>Sem cobrança</t>
        </is>
      </c>
      <c r="J65" s="35" t="n"/>
      <c r="K65" s="34" t="n"/>
      <c r="L65" s="26">
        <f>IF(A65="","",MONTH(A65))</f>
        <v>7</v>
      </c>
      <c r="M65" s="26">
        <f>IF(A65="","",YEAR(A65))</f>
        <v>2026</v>
      </c>
      <c r="N65" s="26" t="str">
        <f>IF(A65="","",CHOOSE(WEEKDAY(A65,2),"Segunda","Terça","Quarta","Quinta","Sexta","Sábado","Domingo"))</f>
        <v>Terça</v>
      </c>
      <c r="O65" s="26" t="str">
        <f>IF(B65="","",IF(B65&lt;TIME(12,0,0),"Manhã",IF(B65&lt;TIME(18,0,0),"Tarde","Noite")))</f>
        <v>Tarde</v>
      </c>
      <c r="P65" s="32">
        <f>IF(G65="","",IFERROR(INDEX(Config!$I$5:$I$16,MATCH(G65,Config!$H$5:$H$16,0)),0))</f>
        <v>0</v>
      </c>
      <c r="Q65" s="30">
        <f>IF(OR(H65&lt;&gt;"Realizado",P65="",P65=0),"",A65+P65)</f>
        <v/>
      </c>
      <c r="R65" s="26">
        <f>IF(Q65="","",IF(COUNTIFS($E$5:$E$1204,E65,$A$5:$A$1204,"&gt;"&amp;A65,$H$5:$H$1204,"&lt;&gt;Falta",$H$5:$H$1204,"&lt;&gt;Cancelado",$H$5:$H$1204,"&lt;&gt;Remarcado")&gt;0,"Sim","Não"))</f>
        <v/>
      </c>
      <c r="S65" s="32">
        <f>IF(R65&lt;&gt;"Não","",IF(Q65+Config!$B$9&lt;=Config!$B$8,Config!$B$8-Q65,""))</f>
        <v/>
      </c>
      <c r="T65" s="26">
        <f>IF(S65="","","Sim")</f>
        <v/>
      </c>
      <c r="U65" s="41">
        <f>IF(T65="Sim",S65+ROW()/100000,0)</f>
        <v>0</v>
      </c>
      <c r="V65" s="41">
        <f>IF(AND(H65="Falta",L65=Config!$B$7,M65=Config!$B$5,COUNTIFS($E$5:E65,E65,$H$5:H65,"Falta",$L$5:L65,Config!$B$7,$M$5:M65,Config!$B$5)=1),COUNTIFS($E$5:$E$1204,E65,$H$5:$H$1204,"Falta",$L$5:$L$1204,Config!$B$7,$M$5:$M$1204,Config!$B$5)*1000-ROW()/100000,0)</f>
        <v>0</v>
      </c>
    </row>
    <row r="66">
      <c r="A66" s="39" t="n">
        <v>46210</v>
      </c>
      <c r="B66" s="40" t="n">
        <v>0.6666666666666666</v>
      </c>
      <c r="C66" s="35" t="inlineStr">
        <is>
          <t>Dr. Paulo Andrade</t>
        </is>
      </c>
      <c r="D66" s="35" t="inlineStr">
        <is>
          <t>Sala 2</t>
        </is>
      </c>
      <c r="E66" s="34" t="inlineStr">
        <is>
          <t>Lucas Cardoso</t>
        </is>
      </c>
      <c r="F66" s="35" t="inlineStr">
        <is>
          <t>Particular</t>
        </is>
      </c>
      <c r="G66" s="35" t="inlineStr">
        <is>
          <t>Consulta</t>
        </is>
      </c>
      <c r="H66" s="35" t="inlineStr">
        <is>
          <t>Realizado</t>
        </is>
      </c>
      <c r="I66" s="35" t="inlineStr">
        <is>
          <t>Cartão de crédito</t>
        </is>
      </c>
      <c r="J66" s="35" t="n"/>
      <c r="K66" s="34" t="n"/>
      <c r="L66" s="26">
        <f>IF(A66="","",MONTH(A66))</f>
        <v>7</v>
      </c>
      <c r="M66" s="26">
        <f>IF(A66="","",YEAR(A66))</f>
        <v>2026</v>
      </c>
      <c r="N66" s="26" t="str">
        <f>IF(A66="","",CHOOSE(WEEKDAY(A66,2),"Segunda","Terça","Quarta","Quinta","Sexta","Sábado","Domingo"))</f>
        <v>Terça</v>
      </c>
      <c r="O66" s="26" t="str">
        <f>IF(B66="","",IF(B66&lt;TIME(12,0,0),"Manhã",IF(B66&lt;TIME(18,0,0),"Tarde","Noite")))</f>
        <v>Tarde</v>
      </c>
      <c r="P66" s="32">
        <f>IF(G66="","",IFERROR(INDEX(Config!$I$5:$I$16,MATCH(G66,Config!$H$5:$H$16,0)),0))</f>
        <v>30</v>
      </c>
      <c r="Q66" s="30">
        <f>IF(OR(H66&lt;&gt;"Realizado",P66="",P66=0),"",A66+P66)</f>
        <v>46240.0</v>
      </c>
      <c r="R66" s="26" t="str">
        <f>IF(Q66="","",IF(COUNTIFS($E$5:$E$1204,E66,$A$5:$A$1204,"&gt;"&amp;A66,$H$5:$H$1204,"&lt;&gt;Falta",$H$5:$H$1204,"&lt;&gt;Cancelado",$H$5:$H$1204,"&lt;&gt;Remarcado")&gt;0,"Sim","Não"))</f>
        <v>Sim</v>
      </c>
      <c r="S66" s="32">
        <f>IF(R66&lt;&gt;"Não","",IF(Q66+Config!$B$9&lt;=Config!$B$8,Config!$B$8-Q66,""))</f>
        <v/>
      </c>
      <c r="T66" s="26">
        <f>IF(S66="","","Sim")</f>
        <v/>
      </c>
      <c r="U66" s="41">
        <f>IF(T66="Sim",S66+ROW()/100000,0)</f>
        <v>0</v>
      </c>
      <c r="V66" s="41">
        <f>IF(AND(H66="Falta",L66=Config!$B$7,M66=Config!$B$5,COUNTIFS($E$5:E66,E66,$H$5:H66,"Falta",$L$5:L66,Config!$B$7,$M$5:M66,Config!$B$5)=1),COUNTIFS($E$5:$E$1204,E66,$H$5:$H$1204,"Falta",$L$5:$L$1204,Config!$B$7,$M$5:$M$1204,Config!$B$5)*1000-ROW()/100000,0)</f>
        <v>0</v>
      </c>
    </row>
    <row r="67">
      <c r="A67" s="39" t="n">
        <v>46210</v>
      </c>
      <c r="B67" s="40" t="n">
        <v>0.6805555555555556</v>
      </c>
      <c r="C67" s="35" t="inlineStr">
        <is>
          <t>Dra. Renata Sousa</t>
        </is>
      </c>
      <c r="D67" s="35" t="inlineStr">
        <is>
          <t>Sala 1</t>
        </is>
      </c>
      <c r="E67" s="34" t="inlineStr">
        <is>
          <t>Fernanda Gonçalves</t>
        </is>
      </c>
      <c r="F67" s="35" t="inlineStr">
        <is>
          <t>Saúde Total</t>
        </is>
      </c>
      <c r="G67" s="35" t="inlineStr">
        <is>
          <t>Avaliação endócrina</t>
        </is>
      </c>
      <c r="H67" s="35" t="inlineStr">
        <is>
          <t>Realizado</t>
        </is>
      </c>
      <c r="I67" s="35" t="inlineStr">
        <is>
          <t>Convênio</t>
        </is>
      </c>
      <c r="J67" s="35" t="n"/>
      <c r="K67" s="34" t="n"/>
      <c r="L67" s="26">
        <f>IF(A67="","",MONTH(A67))</f>
        <v>7</v>
      </c>
      <c r="M67" s="26">
        <f>IF(A67="","",YEAR(A67))</f>
        <v>2026</v>
      </c>
      <c r="N67" s="26" t="str">
        <f>IF(A67="","",CHOOSE(WEEKDAY(A67,2),"Segunda","Terça","Quarta","Quinta","Sexta","Sábado","Domingo"))</f>
        <v>Terça</v>
      </c>
      <c r="O67" s="26" t="str">
        <f>IF(B67="","",IF(B67&lt;TIME(12,0,0),"Manhã",IF(B67&lt;TIME(18,0,0),"Tarde","Noite")))</f>
        <v>Tarde</v>
      </c>
      <c r="P67" s="32">
        <f>IF(G67="","",IFERROR(INDEX(Config!$I$5:$I$16,MATCH(G67,Config!$H$5:$H$16,0)),0))</f>
        <v>45</v>
      </c>
      <c r="Q67" s="30">
        <f>IF(OR(H67&lt;&gt;"Realizado",P67="",P67=0),"",A67+P67)</f>
        <v>46255.0</v>
      </c>
      <c r="R67" s="26" t="str">
        <f>IF(Q67="","",IF(COUNTIFS($E$5:$E$1204,E67,$A$5:$A$1204,"&gt;"&amp;A67,$H$5:$H$1204,"&lt;&gt;Falta",$H$5:$H$1204,"&lt;&gt;Cancelado",$H$5:$H$1204,"&lt;&gt;Remarcado")&gt;0,"Sim","Não"))</f>
        <v>Sim</v>
      </c>
      <c r="S67" s="32">
        <f>IF(R67&lt;&gt;"Não","",IF(Q67+Config!$B$9&lt;=Config!$B$8,Config!$B$8-Q67,""))</f>
        <v/>
      </c>
      <c r="T67" s="26">
        <f>IF(S67="","","Sim")</f>
        <v/>
      </c>
      <c r="U67" s="41">
        <f>IF(T67="Sim",S67+ROW()/100000,0)</f>
        <v>0</v>
      </c>
      <c r="V67" s="41">
        <f>IF(AND(H67="Falta",L67=Config!$B$7,M67=Config!$B$5,COUNTIFS($E$5:E67,E67,$H$5:H67,"Falta",$L$5:L67,Config!$B$7,$M$5:M67,Config!$B$5)=1),COUNTIFS($E$5:$E$1204,E67,$H$5:$H$1204,"Falta",$L$5:$L$1204,Config!$B$7,$M$5:$M$1204,Config!$B$5)*1000-ROW()/100000,0)</f>
        <v>0</v>
      </c>
    </row>
    <row r="68">
      <c r="A68" s="39" t="n">
        <v>46210</v>
      </c>
      <c r="B68" s="40" t="n">
        <v>0.7083333333333334</v>
      </c>
      <c r="C68" s="35" t="inlineStr">
        <is>
          <t>Dra. Renata Sousa</t>
        </is>
      </c>
      <c r="D68" s="35" t="inlineStr">
        <is>
          <t>Sala 1</t>
        </is>
      </c>
      <c r="E68" s="34" t="inlineStr">
        <is>
          <t>Roberta Lima</t>
        </is>
      </c>
      <c r="F68" s="35" t="inlineStr">
        <is>
          <t>Particular</t>
        </is>
      </c>
      <c r="G68" s="35" t="inlineStr">
        <is>
          <t>Avaliação endócrina</t>
        </is>
      </c>
      <c r="H68" s="35" t="inlineStr">
        <is>
          <t>Realizado</t>
        </is>
      </c>
      <c r="I68" s="35" t="inlineStr">
        <is>
          <t>Dinheiro</t>
        </is>
      </c>
      <c r="J68" s="35" t="n"/>
      <c r="K68" s="34" t="n"/>
      <c r="L68" s="26">
        <f>IF(A68="","",MONTH(A68))</f>
        <v>7</v>
      </c>
      <c r="M68" s="26">
        <f>IF(A68="","",YEAR(A68))</f>
        <v>2026</v>
      </c>
      <c r="N68" s="26" t="str">
        <f>IF(A68="","",CHOOSE(WEEKDAY(A68,2),"Segunda","Terça","Quarta","Quinta","Sexta","Sábado","Domingo"))</f>
        <v>Terça</v>
      </c>
      <c r="O68" s="26" t="str">
        <f>IF(B68="","",IF(B68&lt;TIME(12,0,0),"Manhã",IF(B68&lt;TIME(18,0,0),"Tarde","Noite")))</f>
        <v>Tarde</v>
      </c>
      <c r="P68" s="32">
        <f>IF(G68="","",IFERROR(INDEX(Config!$I$5:$I$16,MATCH(G68,Config!$H$5:$H$16,0)),0))</f>
        <v>45</v>
      </c>
      <c r="Q68" s="30">
        <f>IF(OR(H68&lt;&gt;"Realizado",P68="",P68=0),"",A68+P68)</f>
        <v>46255.0</v>
      </c>
      <c r="R68" s="26" t="str">
        <f>IF(Q68="","",IF(COUNTIFS($E$5:$E$1204,E68,$A$5:$A$1204,"&gt;"&amp;A68,$H$5:$H$1204,"&lt;&gt;Falta",$H$5:$H$1204,"&lt;&gt;Cancelado",$H$5:$H$1204,"&lt;&gt;Remarcado")&gt;0,"Sim","Não"))</f>
        <v>Sim</v>
      </c>
      <c r="S68" s="32">
        <f>IF(R68&lt;&gt;"Não","",IF(Q68+Config!$B$9&lt;=Config!$B$8,Config!$B$8-Q68,""))</f>
        <v/>
      </c>
      <c r="T68" s="26">
        <f>IF(S68="","","Sim")</f>
        <v/>
      </c>
      <c r="U68" s="41">
        <f>IF(T68="Sim",S68+ROW()/100000,0)</f>
        <v>0</v>
      </c>
      <c r="V68" s="41">
        <f>IF(AND(H68="Falta",L68=Config!$B$7,M68=Config!$B$5,COUNTIFS($E$5:E68,E68,$H$5:H68,"Falta",$L$5:L68,Config!$B$7,$M$5:M68,Config!$B$5)=1),COUNTIFS($E$5:$E$1204,E68,$H$5:$H$1204,"Falta",$L$5:$L$1204,Config!$B$7,$M$5:$M$1204,Config!$B$5)*1000-ROW()/100000,0)</f>
        <v>0</v>
      </c>
    </row>
    <row r="69">
      <c r="A69" s="39" t="n">
        <v>46210</v>
      </c>
      <c r="B69" s="40" t="n">
        <v>0.7083333333333334</v>
      </c>
      <c r="C69" s="35" t="inlineStr">
        <is>
          <t>Dr. Paulo Andrade</t>
        </is>
      </c>
      <c r="D69" s="35" t="inlineStr">
        <is>
          <t>Sala 2</t>
        </is>
      </c>
      <c r="E69" s="34" t="inlineStr">
        <is>
          <t>Priscila Rocha</t>
        </is>
      </c>
      <c r="F69" s="35" t="inlineStr">
        <is>
          <t>MediPlan</t>
        </is>
      </c>
      <c r="G69" s="35" t="inlineStr">
        <is>
          <t>Consulta</t>
        </is>
      </c>
      <c r="H69" s="35" t="inlineStr">
        <is>
          <t>Realizado</t>
        </is>
      </c>
      <c r="I69" s="35" t="inlineStr">
        <is>
          <t>Convênio</t>
        </is>
      </c>
      <c r="J69" s="35" t="n"/>
      <c r="K69" s="34" t="n"/>
      <c r="L69" s="26">
        <f>IF(A69="","",MONTH(A69))</f>
        <v>7</v>
      </c>
      <c r="M69" s="26">
        <f>IF(A69="","",YEAR(A69))</f>
        <v>2026</v>
      </c>
      <c r="N69" s="26" t="str">
        <f>IF(A69="","",CHOOSE(WEEKDAY(A69,2),"Segunda","Terça","Quarta","Quinta","Sexta","Sábado","Domingo"))</f>
        <v>Terça</v>
      </c>
      <c r="O69" s="26" t="str">
        <f>IF(B69="","",IF(B69&lt;TIME(12,0,0),"Manhã",IF(B69&lt;TIME(18,0,0),"Tarde","Noite")))</f>
        <v>Tarde</v>
      </c>
      <c r="P69" s="32">
        <f>IF(G69="","",IFERROR(INDEX(Config!$I$5:$I$16,MATCH(G69,Config!$H$5:$H$16,0)),0))</f>
        <v>30</v>
      </c>
      <c r="Q69" s="30">
        <f>IF(OR(H69&lt;&gt;"Realizado",P69="",P69=0),"",A69+P69)</f>
        <v>46240.0</v>
      </c>
      <c r="R69" s="26" t="str">
        <f>IF(Q69="","",IF(COUNTIFS($E$5:$E$1204,E69,$A$5:$A$1204,"&gt;"&amp;A69,$H$5:$H$1204,"&lt;&gt;Falta",$H$5:$H$1204,"&lt;&gt;Cancelado",$H$5:$H$1204,"&lt;&gt;Remarcado")&gt;0,"Sim","Não"))</f>
        <v>Sim</v>
      </c>
      <c r="S69" s="32">
        <f>IF(R69&lt;&gt;"Não","",IF(Q69+Config!$B$9&lt;=Config!$B$8,Config!$B$8-Q69,""))</f>
        <v/>
      </c>
      <c r="T69" s="26">
        <f>IF(S69="","","Sim")</f>
        <v/>
      </c>
      <c r="U69" s="41">
        <f>IF(T69="Sim",S69+ROW()/100000,0)</f>
        <v>0</v>
      </c>
      <c r="V69" s="41">
        <f>IF(AND(H69="Falta",L69=Config!$B$7,M69=Config!$B$5,COUNTIFS($E$5:E69,E69,$H$5:H69,"Falta",$L$5:L69,Config!$B$7,$M$5:M69,Config!$B$5)=1),COUNTIFS($E$5:$E$1204,E69,$H$5:$H$1204,"Falta",$L$5:$L$1204,Config!$B$7,$M$5:$M$1204,Config!$B$5)*1000-ROW()/100000,0)</f>
        <v>0</v>
      </c>
    </row>
    <row r="70">
      <c r="A70" s="39" t="n">
        <v>46210</v>
      </c>
      <c r="B70" s="40" t="n">
        <v>0.7291666666666666</v>
      </c>
      <c r="C70" s="35" t="inlineStr">
        <is>
          <t>Dr. Paulo Andrade</t>
        </is>
      </c>
      <c r="D70" s="35" t="inlineStr">
        <is>
          <t>Sala 2</t>
        </is>
      </c>
      <c r="E70" s="34" t="inlineStr">
        <is>
          <t>Sandra Cardoso</t>
        </is>
      </c>
      <c r="F70" s="35" t="inlineStr">
        <is>
          <t>Saúde Total</t>
        </is>
      </c>
      <c r="G70" s="35" t="inlineStr">
        <is>
          <t>Consulta</t>
        </is>
      </c>
      <c r="H70" s="35" t="inlineStr">
        <is>
          <t>Falta</t>
        </is>
      </c>
      <c r="I70" s="35" t="n"/>
      <c r="J70" s="35" t="n"/>
      <c r="K70" s="34" t="n"/>
      <c r="L70" s="26">
        <f>IF(A70="","",MONTH(A70))</f>
        <v>7</v>
      </c>
      <c r="M70" s="26">
        <f>IF(A70="","",YEAR(A70))</f>
        <v>2026</v>
      </c>
      <c r="N70" s="26" t="str">
        <f>IF(A70="","",CHOOSE(WEEKDAY(A70,2),"Segunda","Terça","Quarta","Quinta","Sexta","Sábado","Domingo"))</f>
        <v>Terça</v>
      </c>
      <c r="O70" s="26" t="str">
        <f>IF(B70="","",IF(B70&lt;TIME(12,0,0),"Manhã",IF(B70&lt;TIME(18,0,0),"Tarde","Noite")))</f>
        <v>Tarde</v>
      </c>
      <c r="P70" s="32">
        <f>IF(G70="","",IFERROR(INDEX(Config!$I$5:$I$16,MATCH(G70,Config!$H$5:$H$16,0)),0))</f>
        <v>30</v>
      </c>
      <c r="Q70" s="30">
        <f>IF(OR(H70&lt;&gt;"Realizado",P70="",P70=0),"",A70+P70)</f>
        <v/>
      </c>
      <c r="R70" s="26">
        <f>IF(Q70="","",IF(COUNTIFS($E$5:$E$1204,E70,$A$5:$A$1204,"&gt;"&amp;A70,$H$5:$H$1204,"&lt;&gt;Falta",$H$5:$H$1204,"&lt;&gt;Cancelado",$H$5:$H$1204,"&lt;&gt;Remarcado")&gt;0,"Sim","Não"))</f>
        <v/>
      </c>
      <c r="S70" s="32">
        <f>IF(R70&lt;&gt;"Não","",IF(Q70+Config!$B$9&lt;=Config!$B$8,Config!$B$8-Q70,""))</f>
        <v/>
      </c>
      <c r="T70" s="26">
        <f>IF(S70="","","Sim")</f>
        <v/>
      </c>
      <c r="U70" s="41">
        <f>IF(T70="Sim",S70+ROW()/100000,0)</f>
        <v>0</v>
      </c>
      <c r="V70" s="41">
        <f>IF(AND(H70="Falta",L70=Config!$B$7,M70=Config!$B$5,COUNTIFS($E$5:E70,E70,$H$5:H70,"Falta",$L$5:L70,Config!$B$7,$M$5:M70,Config!$B$5)=1),COUNTIFS($E$5:$E$1204,E70,$H$5:$H$1204,"Falta",$L$5:$L$1204,Config!$B$7,$M$5:$M$1204,Config!$B$5)*1000-ROW()/100000,0)</f>
        <v>0</v>
      </c>
    </row>
    <row r="71">
      <c r="A71" s="39" t="n">
        <v>46210</v>
      </c>
      <c r="B71" s="40" t="n">
        <v>0.7361111111111112</v>
      </c>
      <c r="C71" s="35" t="inlineStr">
        <is>
          <t>Dra. Renata Sousa</t>
        </is>
      </c>
      <c r="D71" s="35" t="inlineStr">
        <is>
          <t>Sala 1</t>
        </is>
      </c>
      <c r="E71" s="34" t="inlineStr">
        <is>
          <t>Carlos Gonçalves</t>
        </is>
      </c>
      <c r="F71" s="35" t="inlineStr">
        <is>
          <t>Saúde Total</t>
        </is>
      </c>
      <c r="G71" s="35" t="inlineStr">
        <is>
          <t>Avaliação endócrina</t>
        </is>
      </c>
      <c r="H71" s="35" t="inlineStr">
        <is>
          <t>Realizado</t>
        </is>
      </c>
      <c r="I71" s="35" t="inlineStr">
        <is>
          <t>Convênio</t>
        </is>
      </c>
      <c r="J71" s="35" t="n"/>
      <c r="K71" s="34" t="n"/>
      <c r="L71" s="26">
        <f>IF(A71="","",MONTH(A71))</f>
        <v>7</v>
      </c>
      <c r="M71" s="26">
        <f>IF(A71="","",YEAR(A71))</f>
        <v>2026</v>
      </c>
      <c r="N71" s="26" t="str">
        <f>IF(A71="","",CHOOSE(WEEKDAY(A71,2),"Segunda","Terça","Quarta","Quinta","Sexta","Sábado","Domingo"))</f>
        <v>Terça</v>
      </c>
      <c r="O71" s="26" t="str">
        <f>IF(B71="","",IF(B71&lt;TIME(12,0,0),"Manhã",IF(B71&lt;TIME(18,0,0),"Tarde","Noite")))</f>
        <v>Tarde</v>
      </c>
      <c r="P71" s="32">
        <f>IF(G71="","",IFERROR(INDEX(Config!$I$5:$I$16,MATCH(G71,Config!$H$5:$H$16,0)),0))</f>
        <v>45</v>
      </c>
      <c r="Q71" s="30">
        <f>IF(OR(H71&lt;&gt;"Realizado",P71="",P71=0),"",A71+P71)</f>
        <v>46255.0</v>
      </c>
      <c r="R71" s="26" t="str">
        <f>IF(Q71="","",IF(COUNTIFS($E$5:$E$1204,E71,$A$5:$A$1204,"&gt;"&amp;A71,$H$5:$H$1204,"&lt;&gt;Falta",$H$5:$H$1204,"&lt;&gt;Cancelado",$H$5:$H$1204,"&lt;&gt;Remarcado")&gt;0,"Sim","Não"))</f>
        <v>Sim</v>
      </c>
      <c r="S71" s="32">
        <f>IF(R71&lt;&gt;"Não","",IF(Q71+Config!$B$9&lt;=Config!$B$8,Config!$B$8-Q71,""))</f>
        <v/>
      </c>
      <c r="T71" s="26">
        <f>IF(S71="","","Sim")</f>
        <v/>
      </c>
      <c r="U71" s="41">
        <f>IF(T71="Sim",S71+ROW()/100000,0)</f>
        <v>0</v>
      </c>
      <c r="V71" s="41">
        <f>IF(AND(H71="Falta",L71=Config!$B$7,M71=Config!$B$5,COUNTIFS($E$5:E71,E71,$H$5:H71,"Falta",$L$5:L71,Config!$B$7,$M$5:M71,Config!$B$5)=1),COUNTIFS($E$5:$E$1204,E71,$H$5:$H$1204,"Falta",$L$5:$L$1204,Config!$B$7,$M$5:$M$1204,Config!$B$5)*1000-ROW()/100000,0)</f>
        <v>0</v>
      </c>
    </row>
    <row r="72">
      <c r="A72" s="39" t="n">
        <v>46211</v>
      </c>
      <c r="B72" s="40" t="n">
        <v>0.6041666666666666</v>
      </c>
      <c r="C72" s="35" t="inlineStr">
        <is>
          <t>Dra. Carolina Mendes</t>
        </is>
      </c>
      <c r="D72" s="35" t="inlineStr">
        <is>
          <t>Sala 1</t>
        </is>
      </c>
      <c r="E72" s="34" t="inlineStr">
        <is>
          <t>Regina Castro</t>
        </is>
      </c>
      <c r="F72" s="35" t="inlineStr">
        <is>
          <t>Vida Care</t>
        </is>
      </c>
      <c r="G72" s="35" t="inlineStr">
        <is>
          <t>Consulta</t>
        </is>
      </c>
      <c r="H72" s="35" t="inlineStr">
        <is>
          <t>Falta</t>
        </is>
      </c>
      <c r="I72" s="35" t="n"/>
      <c r="J72" s="35" t="n"/>
      <c r="K72" s="34" t="n"/>
      <c r="L72" s="26">
        <f>IF(A72="","",MONTH(A72))</f>
        <v>7</v>
      </c>
      <c r="M72" s="26">
        <f>IF(A72="","",YEAR(A72))</f>
        <v>2026</v>
      </c>
      <c r="N72" s="26" t="str">
        <f>IF(A72="","",CHOOSE(WEEKDAY(A72,2),"Segunda","Terça","Quarta","Quinta","Sexta","Sábado","Domingo"))</f>
        <v>Quarta</v>
      </c>
      <c r="O72" s="26" t="str">
        <f>IF(B72="","",IF(B72&lt;TIME(12,0,0),"Manhã",IF(B72&lt;TIME(18,0,0),"Tarde","Noite")))</f>
        <v>Tarde</v>
      </c>
      <c r="P72" s="32">
        <f>IF(G72="","",IFERROR(INDEX(Config!$I$5:$I$16,MATCH(G72,Config!$H$5:$H$16,0)),0))</f>
        <v>30</v>
      </c>
      <c r="Q72" s="30">
        <f>IF(OR(H72&lt;&gt;"Realizado",P72="",P72=0),"",A72+P72)</f>
        <v/>
      </c>
      <c r="R72" s="26">
        <f>IF(Q72="","",IF(COUNTIFS($E$5:$E$1204,E72,$A$5:$A$1204,"&gt;"&amp;A72,$H$5:$H$1204,"&lt;&gt;Falta",$H$5:$H$1204,"&lt;&gt;Cancelado",$H$5:$H$1204,"&lt;&gt;Remarcado")&gt;0,"Sim","Não"))</f>
        <v/>
      </c>
      <c r="S72" s="32">
        <f>IF(R72&lt;&gt;"Não","",IF(Q72+Config!$B$9&lt;=Config!$B$8,Config!$B$8-Q72,""))</f>
        <v/>
      </c>
      <c r="T72" s="26">
        <f>IF(S72="","","Sim")</f>
        <v/>
      </c>
      <c r="U72" s="41">
        <f>IF(T72="Sim",S72+ROW()/100000,0)</f>
        <v>0</v>
      </c>
      <c r="V72" s="41">
        <f>IF(AND(H72="Falta",L72=Config!$B$7,M72=Config!$B$5,COUNTIFS($E$5:E72,E72,$H$5:H72,"Falta",$L$5:L72,Config!$B$7,$M$5:M72,Config!$B$5)=1),COUNTIFS($E$5:$E$1204,E72,$H$5:$H$1204,"Falta",$L$5:$L$1204,Config!$B$7,$M$5:$M$1204,Config!$B$5)*1000-ROW()/100000,0)</f>
        <v>0</v>
      </c>
    </row>
    <row r="73">
      <c r="A73" s="39" t="n">
        <v>46211</v>
      </c>
      <c r="B73" s="40" t="n">
        <v>0.625</v>
      </c>
      <c r="C73" s="35" t="inlineStr">
        <is>
          <t>Dra. Carolina Mendes</t>
        </is>
      </c>
      <c r="D73" s="35" t="inlineStr">
        <is>
          <t>Sala 1</t>
        </is>
      </c>
      <c r="E73" s="34" t="inlineStr">
        <is>
          <t>Regina Castro</t>
        </is>
      </c>
      <c r="F73" s="35" t="inlineStr">
        <is>
          <t>Vida Care</t>
        </is>
      </c>
      <c r="G73" s="35" t="inlineStr">
        <is>
          <t>Consulta</t>
        </is>
      </c>
      <c r="H73" s="35" t="inlineStr">
        <is>
          <t>Realizado</t>
        </is>
      </c>
      <c r="I73" s="35" t="inlineStr">
        <is>
          <t>Convênio</t>
        </is>
      </c>
      <c r="J73" s="35" t="n"/>
      <c r="K73" s="34" t="n"/>
      <c r="L73" s="26">
        <f>IF(A73="","",MONTH(A73))</f>
        <v>7</v>
      </c>
      <c r="M73" s="26">
        <f>IF(A73="","",YEAR(A73))</f>
        <v>2026</v>
      </c>
      <c r="N73" s="26" t="str">
        <f>IF(A73="","",CHOOSE(WEEKDAY(A73,2),"Segunda","Terça","Quarta","Quinta","Sexta","Sábado","Domingo"))</f>
        <v>Quarta</v>
      </c>
      <c r="O73" s="26" t="str">
        <f>IF(B73="","",IF(B73&lt;TIME(12,0,0),"Manhã",IF(B73&lt;TIME(18,0,0),"Tarde","Noite")))</f>
        <v>Tarde</v>
      </c>
      <c r="P73" s="32">
        <f>IF(G73="","",IFERROR(INDEX(Config!$I$5:$I$16,MATCH(G73,Config!$H$5:$H$16,0)),0))</f>
        <v>30</v>
      </c>
      <c r="Q73" s="30">
        <f>IF(OR(H73&lt;&gt;"Realizado",P73="",P73=0),"",A73+P73)</f>
        <v>46241.0</v>
      </c>
      <c r="R73" s="26" t="str">
        <f>IF(Q73="","",IF(COUNTIFS($E$5:$E$1204,E73,$A$5:$A$1204,"&gt;"&amp;A73,$H$5:$H$1204,"&lt;&gt;Falta",$H$5:$H$1204,"&lt;&gt;Cancelado",$H$5:$H$1204,"&lt;&gt;Remarcado")&gt;0,"Sim","Não"))</f>
        <v>Sim</v>
      </c>
      <c r="S73" s="32">
        <f>IF(R73&lt;&gt;"Não","",IF(Q73+Config!$B$9&lt;=Config!$B$8,Config!$B$8-Q73,""))</f>
        <v/>
      </c>
      <c r="T73" s="26">
        <f>IF(S73="","","Sim")</f>
        <v/>
      </c>
      <c r="U73" s="41">
        <f>IF(T73="Sim",S73+ROW()/100000,0)</f>
        <v>0</v>
      </c>
      <c r="V73" s="41">
        <f>IF(AND(H73="Falta",L73=Config!$B$7,M73=Config!$B$5,COUNTIFS($E$5:E73,E73,$H$5:H73,"Falta",$L$5:L73,Config!$B$7,$M$5:M73,Config!$B$5)=1),COUNTIFS($E$5:$E$1204,E73,$H$5:$H$1204,"Falta",$L$5:$L$1204,Config!$B$7,$M$5:$M$1204,Config!$B$5)*1000-ROW()/100000,0)</f>
        <v>0</v>
      </c>
    </row>
    <row r="74">
      <c r="A74" s="39" t="n">
        <v>46211</v>
      </c>
      <c r="B74" s="40" t="n">
        <v>0.6458333333333334</v>
      </c>
      <c r="C74" s="35" t="inlineStr">
        <is>
          <t>Dra. Carolina Mendes</t>
        </is>
      </c>
      <c r="D74" s="35" t="inlineStr">
        <is>
          <t>Sala 1</t>
        </is>
      </c>
      <c r="E74" s="34" t="inlineStr">
        <is>
          <t>Eduardo Nunes</t>
        </is>
      </c>
      <c r="F74" s="35" t="inlineStr">
        <is>
          <t>MediPlan</t>
        </is>
      </c>
      <c r="G74" s="35" t="inlineStr">
        <is>
          <t>Consulta</t>
        </is>
      </c>
      <c r="H74" s="35" t="inlineStr">
        <is>
          <t>Falta</t>
        </is>
      </c>
      <c r="I74" s="35" t="n"/>
      <c r="J74" s="35" t="n"/>
      <c r="K74" s="34" t="n"/>
      <c r="L74" s="26">
        <f>IF(A74="","",MONTH(A74))</f>
        <v>7</v>
      </c>
      <c r="M74" s="26">
        <f>IF(A74="","",YEAR(A74))</f>
        <v>2026</v>
      </c>
      <c r="N74" s="26" t="str">
        <f>IF(A74="","",CHOOSE(WEEKDAY(A74,2),"Segunda","Terça","Quarta","Quinta","Sexta","Sábado","Domingo"))</f>
        <v>Quarta</v>
      </c>
      <c r="O74" s="26" t="str">
        <f>IF(B74="","",IF(B74&lt;TIME(12,0,0),"Manhã",IF(B74&lt;TIME(18,0,0),"Tarde","Noite")))</f>
        <v>Tarde</v>
      </c>
      <c r="P74" s="32">
        <f>IF(G74="","",IFERROR(INDEX(Config!$I$5:$I$16,MATCH(G74,Config!$H$5:$H$16,0)),0))</f>
        <v>30</v>
      </c>
      <c r="Q74" s="30">
        <f>IF(OR(H74&lt;&gt;"Realizado",P74="",P74=0),"",A74+P74)</f>
        <v/>
      </c>
      <c r="R74" s="26">
        <f>IF(Q74="","",IF(COUNTIFS($E$5:$E$1204,E74,$A$5:$A$1204,"&gt;"&amp;A74,$H$5:$H$1204,"&lt;&gt;Falta",$H$5:$H$1204,"&lt;&gt;Cancelado",$H$5:$H$1204,"&lt;&gt;Remarcado")&gt;0,"Sim","Não"))</f>
        <v/>
      </c>
      <c r="S74" s="32">
        <f>IF(R74&lt;&gt;"Não","",IF(Q74+Config!$B$9&lt;=Config!$B$8,Config!$B$8-Q74,""))</f>
        <v/>
      </c>
      <c r="T74" s="26">
        <f>IF(S74="","","Sim")</f>
        <v/>
      </c>
      <c r="U74" s="41">
        <f>IF(T74="Sim",S74+ROW()/100000,0)</f>
        <v>0</v>
      </c>
      <c r="V74" s="41">
        <f>IF(AND(H74="Falta",L74=Config!$B$7,M74=Config!$B$5,COUNTIFS($E$5:E74,E74,$H$5:H74,"Falta",$L$5:L74,Config!$B$7,$M$5:M74,Config!$B$5)=1),COUNTIFS($E$5:$E$1204,E74,$H$5:$H$1204,"Falta",$L$5:$L$1204,Config!$B$7,$M$5:$M$1204,Config!$B$5)*1000-ROW()/100000,0)</f>
        <v>0</v>
      </c>
    </row>
    <row r="75">
      <c r="A75" s="39" t="n">
        <v>46211</v>
      </c>
      <c r="B75" s="40" t="n">
        <v>0.6666666666666666</v>
      </c>
      <c r="C75" s="35" t="inlineStr">
        <is>
          <t>Dra. Carolina Mendes</t>
        </is>
      </c>
      <c r="D75" s="35" t="inlineStr">
        <is>
          <t>Sala 1</t>
        </is>
      </c>
      <c r="E75" s="34" t="inlineStr">
        <is>
          <t>Débora Machado</t>
        </is>
      </c>
      <c r="F75" s="35" t="inlineStr">
        <is>
          <t>Saúde Total</t>
        </is>
      </c>
      <c r="G75" s="35" t="inlineStr">
        <is>
          <t>Retorno</t>
        </is>
      </c>
      <c r="H75" s="35" t="inlineStr">
        <is>
          <t>Realizado</t>
        </is>
      </c>
      <c r="I75" s="35" t="inlineStr">
        <is>
          <t>Sem cobrança</t>
        </is>
      </c>
      <c r="J75" s="35" t="n"/>
      <c r="K75" s="34" t="n"/>
      <c r="L75" s="26">
        <f>IF(A75="","",MONTH(A75))</f>
        <v>7</v>
      </c>
      <c r="M75" s="26">
        <f>IF(A75="","",YEAR(A75))</f>
        <v>2026</v>
      </c>
      <c r="N75" s="26" t="str">
        <f>IF(A75="","",CHOOSE(WEEKDAY(A75,2),"Segunda","Terça","Quarta","Quinta","Sexta","Sábado","Domingo"))</f>
        <v>Quarta</v>
      </c>
      <c r="O75" s="26" t="str">
        <f>IF(B75="","",IF(B75&lt;TIME(12,0,0),"Manhã",IF(B75&lt;TIME(18,0,0),"Tarde","Noite")))</f>
        <v>Tarde</v>
      </c>
      <c r="P75" s="32">
        <f>IF(G75="","",IFERROR(INDEX(Config!$I$5:$I$16,MATCH(G75,Config!$H$5:$H$16,0)),0))</f>
        <v>0</v>
      </c>
      <c r="Q75" s="30">
        <f>IF(OR(H75&lt;&gt;"Realizado",P75="",P75=0),"",A75+P75)</f>
        <v/>
      </c>
      <c r="R75" s="26">
        <f>IF(Q75="","",IF(COUNTIFS($E$5:$E$1204,E75,$A$5:$A$1204,"&gt;"&amp;A75,$H$5:$H$1204,"&lt;&gt;Falta",$H$5:$H$1204,"&lt;&gt;Cancelado",$H$5:$H$1204,"&lt;&gt;Remarcado")&gt;0,"Sim","Não"))</f>
        <v/>
      </c>
      <c r="S75" s="32">
        <f>IF(R75&lt;&gt;"Não","",IF(Q75+Config!$B$9&lt;=Config!$B$8,Config!$B$8-Q75,""))</f>
        <v/>
      </c>
      <c r="T75" s="26">
        <f>IF(S75="","","Sim")</f>
        <v/>
      </c>
      <c r="U75" s="41">
        <f>IF(T75="Sim",S75+ROW()/100000,0)</f>
        <v>0</v>
      </c>
      <c r="V75" s="41">
        <f>IF(AND(H75="Falta",L75=Config!$B$7,M75=Config!$B$5,COUNTIFS($E$5:E75,E75,$H$5:H75,"Falta",$L$5:L75,Config!$B$7,$M$5:M75,Config!$B$5)=1),COUNTIFS($E$5:$E$1204,E75,$H$5:$H$1204,"Falta",$L$5:$L$1204,Config!$B$7,$M$5:$M$1204,Config!$B$5)*1000-ROW()/100000,0)</f>
        <v>0</v>
      </c>
    </row>
    <row r="76">
      <c r="A76" s="39" t="n">
        <v>46211</v>
      </c>
      <c r="B76" s="40" t="n">
        <v>0.7013888888888888</v>
      </c>
      <c r="C76" s="35" t="inlineStr">
        <is>
          <t>Dra. Carolina Mendes</t>
        </is>
      </c>
      <c r="D76" s="35" t="inlineStr">
        <is>
          <t>Sala 1</t>
        </is>
      </c>
      <c r="E76" s="34" t="inlineStr">
        <is>
          <t>Cláudia Santos</t>
        </is>
      </c>
      <c r="F76" s="35" t="inlineStr">
        <is>
          <t>Particular</t>
        </is>
      </c>
      <c r="G76" s="35" t="inlineStr">
        <is>
          <t>Consulta</t>
        </is>
      </c>
      <c r="H76" s="35" t="inlineStr">
        <is>
          <t>Realizado</t>
        </is>
      </c>
      <c r="I76" s="35" t="inlineStr">
        <is>
          <t>Pix</t>
        </is>
      </c>
      <c r="J76" s="35" t="n"/>
      <c r="K76" s="34" t="n"/>
      <c r="L76" s="26">
        <f>IF(A76="","",MONTH(A76))</f>
        <v>7</v>
      </c>
      <c r="M76" s="26">
        <f>IF(A76="","",YEAR(A76))</f>
        <v>2026</v>
      </c>
      <c r="N76" s="26" t="str">
        <f>IF(A76="","",CHOOSE(WEEKDAY(A76,2),"Segunda","Terça","Quarta","Quinta","Sexta","Sábado","Domingo"))</f>
        <v>Quarta</v>
      </c>
      <c r="O76" s="26" t="str">
        <f>IF(B76="","",IF(B76&lt;TIME(12,0,0),"Manhã",IF(B76&lt;TIME(18,0,0),"Tarde","Noite")))</f>
        <v>Tarde</v>
      </c>
      <c r="P76" s="32">
        <f>IF(G76="","",IFERROR(INDEX(Config!$I$5:$I$16,MATCH(G76,Config!$H$5:$H$16,0)),0))</f>
        <v>30</v>
      </c>
      <c r="Q76" s="30">
        <f>IF(OR(H76&lt;&gt;"Realizado",P76="",P76=0),"",A76+P76)</f>
        <v>46241.0</v>
      </c>
      <c r="R76" s="26" t="str">
        <f>IF(Q76="","",IF(COUNTIFS($E$5:$E$1204,E76,$A$5:$A$1204,"&gt;"&amp;A76,$H$5:$H$1204,"&lt;&gt;Falta",$H$5:$H$1204,"&lt;&gt;Cancelado",$H$5:$H$1204,"&lt;&gt;Remarcado")&gt;0,"Sim","Não"))</f>
        <v>Sim</v>
      </c>
      <c r="S76" s="32">
        <f>IF(R76&lt;&gt;"Não","",IF(Q76+Config!$B$9&lt;=Config!$B$8,Config!$B$8-Q76,""))</f>
        <v/>
      </c>
      <c r="T76" s="26">
        <f>IF(S76="","","Sim")</f>
        <v/>
      </c>
      <c r="U76" s="41">
        <f>IF(T76="Sim",S76+ROW()/100000,0)</f>
        <v>0</v>
      </c>
      <c r="V76" s="41">
        <f>IF(AND(H76="Falta",L76=Config!$B$7,M76=Config!$B$5,COUNTIFS($E$5:E76,E76,$H$5:H76,"Falta",$L$5:L76,Config!$B$7,$M$5:M76,Config!$B$5)=1),COUNTIFS($E$5:$E$1204,E76,$H$5:$H$1204,"Falta",$L$5:$L$1204,Config!$B$7,$M$5:$M$1204,Config!$B$5)*1000-ROW()/100000,0)</f>
        <v>0</v>
      </c>
    </row>
    <row r="77">
      <c r="A77" s="39" t="n">
        <v>46211</v>
      </c>
      <c r="B77" s="40" t="n">
        <v>0.7222222222222222</v>
      </c>
      <c r="C77" s="35" t="inlineStr">
        <is>
          <t>Dra. Carolina Mendes</t>
        </is>
      </c>
      <c r="D77" s="35" t="inlineStr">
        <is>
          <t>Sala 1</t>
        </is>
      </c>
      <c r="E77" s="34" t="inlineStr">
        <is>
          <t>Otávio Nascimento</t>
        </is>
      </c>
      <c r="F77" s="35" t="inlineStr">
        <is>
          <t>Particular</t>
        </is>
      </c>
      <c r="G77" s="35" t="inlineStr">
        <is>
          <t>Consulta</t>
        </is>
      </c>
      <c r="H77" s="35" t="inlineStr">
        <is>
          <t>Realizado</t>
        </is>
      </c>
      <c r="I77" s="35" t="inlineStr">
        <is>
          <t>Cartão de crédito</t>
        </is>
      </c>
      <c r="J77" s="35" t="n"/>
      <c r="K77" s="34" t="n"/>
      <c r="L77" s="26">
        <f>IF(A77="","",MONTH(A77))</f>
        <v>7</v>
      </c>
      <c r="M77" s="26">
        <f>IF(A77="","",YEAR(A77))</f>
        <v>2026</v>
      </c>
      <c r="N77" s="26" t="str">
        <f>IF(A77="","",CHOOSE(WEEKDAY(A77,2),"Segunda","Terça","Quarta","Quinta","Sexta","Sábado","Domingo"))</f>
        <v>Quarta</v>
      </c>
      <c r="O77" s="26" t="str">
        <f>IF(B77="","",IF(B77&lt;TIME(12,0,0),"Manhã",IF(B77&lt;TIME(18,0,0),"Tarde","Noite")))</f>
        <v>Tarde</v>
      </c>
      <c r="P77" s="32">
        <f>IF(G77="","",IFERROR(INDEX(Config!$I$5:$I$16,MATCH(G77,Config!$H$5:$H$16,0)),0))</f>
        <v>30</v>
      </c>
      <c r="Q77" s="30">
        <f>IF(OR(H77&lt;&gt;"Realizado",P77="",P77=0),"",A77+P77)</f>
        <v>46241.0</v>
      </c>
      <c r="R77" s="26" t="str">
        <f>IF(Q77="","",IF(COUNTIFS($E$5:$E$1204,E77,$A$5:$A$1204,"&gt;"&amp;A77,$H$5:$H$1204,"&lt;&gt;Falta",$H$5:$H$1204,"&lt;&gt;Cancelado",$H$5:$H$1204,"&lt;&gt;Remarcado")&gt;0,"Sim","Não"))</f>
        <v>Sim</v>
      </c>
      <c r="S77" s="32">
        <f>IF(R77&lt;&gt;"Não","",IF(Q77+Config!$B$9&lt;=Config!$B$8,Config!$B$8-Q77,""))</f>
        <v/>
      </c>
      <c r="T77" s="26">
        <f>IF(S77="","","Sim")</f>
        <v/>
      </c>
      <c r="U77" s="41">
        <f>IF(T77="Sim",S77+ROW()/100000,0)</f>
        <v>0</v>
      </c>
      <c r="V77" s="41">
        <f>IF(AND(H77="Falta",L77=Config!$B$7,M77=Config!$B$5,COUNTIFS($E$5:E77,E77,$H$5:H77,"Falta",$L$5:L77,Config!$B$7,$M$5:M77,Config!$B$5)=1),COUNTIFS($E$5:$E$1204,E77,$H$5:$H$1204,"Falta",$L$5:$L$1204,Config!$B$7,$M$5:$M$1204,Config!$B$5)*1000-ROW()/100000,0)</f>
        <v>0</v>
      </c>
    </row>
    <row r="78">
      <c r="A78" s="39" t="n">
        <v>46212</v>
      </c>
      <c r="B78" s="40" t="n">
        <v>0.3333333333333333</v>
      </c>
      <c r="C78" s="35" t="inlineStr">
        <is>
          <t>Dra. Carolina Mendes</t>
        </is>
      </c>
      <c r="D78" s="35" t="inlineStr">
        <is>
          <t>Sala 1</t>
        </is>
      </c>
      <c r="E78" s="34" t="inlineStr">
        <is>
          <t>Otávio Cardoso</t>
        </is>
      </c>
      <c r="F78" s="35" t="inlineStr">
        <is>
          <t>Particular</t>
        </is>
      </c>
      <c r="G78" s="35" t="inlineStr">
        <is>
          <t>Retorno</t>
        </is>
      </c>
      <c r="H78" s="35" t="inlineStr">
        <is>
          <t>Falta</t>
        </is>
      </c>
      <c r="I78" s="35" t="n"/>
      <c r="J78" s="35" t="n"/>
      <c r="K78" s="34" t="n"/>
      <c r="L78" s="26">
        <f>IF(A78="","",MONTH(A78))</f>
        <v>7</v>
      </c>
      <c r="M78" s="26">
        <f>IF(A78="","",YEAR(A78))</f>
        <v>2026</v>
      </c>
      <c r="N78" s="26" t="str">
        <f>IF(A78="","",CHOOSE(WEEKDAY(A78,2),"Segunda","Terça","Quarta","Quinta","Sexta","Sábado","Domingo"))</f>
        <v>Quinta</v>
      </c>
      <c r="O78" s="26" t="str">
        <f>IF(B78="","",IF(B78&lt;TIME(12,0,0),"Manhã",IF(B78&lt;TIME(18,0,0),"Tarde","Noite")))</f>
        <v>Manhã</v>
      </c>
      <c r="P78" s="32">
        <f>IF(G78="","",IFERROR(INDEX(Config!$I$5:$I$16,MATCH(G78,Config!$H$5:$H$16,0)),0))</f>
        <v>0</v>
      </c>
      <c r="Q78" s="30">
        <f>IF(OR(H78&lt;&gt;"Realizado",P78="",P78=0),"",A78+P78)</f>
        <v/>
      </c>
      <c r="R78" s="26">
        <f>IF(Q78="","",IF(COUNTIFS($E$5:$E$1204,E78,$A$5:$A$1204,"&gt;"&amp;A78,$H$5:$H$1204,"&lt;&gt;Falta",$H$5:$H$1204,"&lt;&gt;Cancelado",$H$5:$H$1204,"&lt;&gt;Remarcado")&gt;0,"Sim","Não"))</f>
        <v/>
      </c>
      <c r="S78" s="32">
        <f>IF(R78&lt;&gt;"Não","",IF(Q78+Config!$B$9&lt;=Config!$B$8,Config!$B$8-Q78,""))</f>
        <v/>
      </c>
      <c r="T78" s="26">
        <f>IF(S78="","","Sim")</f>
        <v/>
      </c>
      <c r="U78" s="41">
        <f>IF(T78="Sim",S78+ROW()/100000,0)</f>
        <v>0</v>
      </c>
      <c r="V78" s="41">
        <f>IF(AND(H78="Falta",L78=Config!$B$7,M78=Config!$B$5,COUNTIFS($E$5:E78,E78,$H$5:H78,"Falta",$L$5:L78,Config!$B$7,$M$5:M78,Config!$B$5)=1),COUNTIFS($E$5:$E$1204,E78,$H$5:$H$1204,"Falta",$L$5:$L$1204,Config!$B$7,$M$5:$M$1204,Config!$B$5)*1000-ROW()/100000,0)</f>
        <v>0</v>
      </c>
    </row>
    <row r="79">
      <c r="A79" s="39" t="n">
        <v>46212</v>
      </c>
      <c r="B79" s="40" t="n">
        <v>0.3472222222222222</v>
      </c>
      <c r="C79" s="35" t="inlineStr">
        <is>
          <t>Dra. Carolina Mendes</t>
        </is>
      </c>
      <c r="D79" s="35" t="inlineStr">
        <is>
          <t>Sala 1</t>
        </is>
      </c>
      <c r="E79" s="34" t="inlineStr">
        <is>
          <t>Elaine Cardoso</t>
        </is>
      </c>
      <c r="F79" s="35" t="inlineStr">
        <is>
          <t>Particular</t>
        </is>
      </c>
      <c r="G79" s="35" t="inlineStr">
        <is>
          <t>Consulta</t>
        </is>
      </c>
      <c r="H79" s="35" t="inlineStr">
        <is>
          <t>Realizado</t>
        </is>
      </c>
      <c r="I79" s="35" t="inlineStr">
        <is>
          <t>Cartão de crédito</t>
        </is>
      </c>
      <c r="J79" s="35" t="n"/>
      <c r="K79" s="34" t="n"/>
      <c r="L79" s="26">
        <f>IF(A79="","",MONTH(A79))</f>
        <v>7</v>
      </c>
      <c r="M79" s="26">
        <f>IF(A79="","",YEAR(A79))</f>
        <v>2026</v>
      </c>
      <c r="N79" s="26" t="str">
        <f>IF(A79="","",CHOOSE(WEEKDAY(A79,2),"Segunda","Terça","Quarta","Quinta","Sexta","Sábado","Domingo"))</f>
        <v>Quinta</v>
      </c>
      <c r="O79" s="26" t="str">
        <f>IF(B79="","",IF(B79&lt;TIME(12,0,0),"Manhã",IF(B79&lt;TIME(18,0,0),"Tarde","Noite")))</f>
        <v>Manhã</v>
      </c>
      <c r="P79" s="32">
        <f>IF(G79="","",IFERROR(INDEX(Config!$I$5:$I$16,MATCH(G79,Config!$H$5:$H$16,0)),0))</f>
        <v>30</v>
      </c>
      <c r="Q79" s="30">
        <f>IF(OR(H79&lt;&gt;"Realizado",P79="",P79=0),"",A79+P79)</f>
        <v>46242.0</v>
      </c>
      <c r="R79" s="26" t="str">
        <f>IF(Q79="","",IF(COUNTIFS($E$5:$E$1204,E79,$A$5:$A$1204,"&gt;"&amp;A79,$H$5:$H$1204,"&lt;&gt;Falta",$H$5:$H$1204,"&lt;&gt;Cancelado",$H$5:$H$1204,"&lt;&gt;Remarcado")&gt;0,"Sim","Não"))</f>
        <v>Sim</v>
      </c>
      <c r="S79" s="32">
        <f>IF(R79&lt;&gt;"Não","",IF(Q79+Config!$B$9&lt;=Config!$B$8,Config!$B$8-Q79,""))</f>
        <v/>
      </c>
      <c r="T79" s="26">
        <f>IF(S79="","","Sim")</f>
        <v/>
      </c>
      <c r="U79" s="41">
        <f>IF(T79="Sim",S79+ROW()/100000,0)</f>
        <v>0</v>
      </c>
      <c r="V79" s="41">
        <f>IF(AND(H79="Falta",L79=Config!$B$7,M79=Config!$B$5,COUNTIFS($E$5:E79,E79,$H$5:H79,"Falta",$L$5:L79,Config!$B$7,$M$5:M79,Config!$B$5)=1),COUNTIFS($E$5:$E$1204,E79,$H$5:$H$1204,"Falta",$L$5:$L$1204,Config!$B$7,$M$5:$M$1204,Config!$B$5)*1000-ROW()/100000,0)</f>
        <v>0</v>
      </c>
    </row>
    <row r="80">
      <c r="A80" s="39" t="n">
        <v>46212</v>
      </c>
      <c r="B80" s="40" t="n">
        <v>0.3888888888888889</v>
      </c>
      <c r="C80" s="35" t="inlineStr">
        <is>
          <t>Dra. Carolina Mendes</t>
        </is>
      </c>
      <c r="D80" s="35" t="inlineStr">
        <is>
          <t>Sala 1</t>
        </is>
      </c>
      <c r="E80" s="34" t="inlineStr">
        <is>
          <t>Eduardo Nunes</t>
        </is>
      </c>
      <c r="F80" s="35" t="inlineStr">
        <is>
          <t>MediPlan</t>
        </is>
      </c>
      <c r="G80" s="35" t="inlineStr">
        <is>
          <t>Consulta</t>
        </is>
      </c>
      <c r="H80" s="35" t="inlineStr">
        <is>
          <t>Remarcado</t>
        </is>
      </c>
      <c r="I80" s="35" t="n"/>
      <c r="J80" s="35" t="n"/>
      <c r="K80" s="34" t="inlineStr">
        <is>
          <t>Paciente pediu outra data</t>
        </is>
      </c>
      <c r="L80" s="26">
        <f>IF(A80="","",MONTH(A80))</f>
        <v>7</v>
      </c>
      <c r="M80" s="26">
        <f>IF(A80="","",YEAR(A80))</f>
        <v>2026</v>
      </c>
      <c r="N80" s="26" t="str">
        <f>IF(A80="","",CHOOSE(WEEKDAY(A80,2),"Segunda","Terça","Quarta","Quinta","Sexta","Sábado","Domingo"))</f>
        <v>Quinta</v>
      </c>
      <c r="O80" s="26" t="str">
        <f>IF(B80="","",IF(B80&lt;TIME(12,0,0),"Manhã",IF(B80&lt;TIME(18,0,0),"Tarde","Noite")))</f>
        <v>Manhã</v>
      </c>
      <c r="P80" s="32">
        <f>IF(G80="","",IFERROR(INDEX(Config!$I$5:$I$16,MATCH(G80,Config!$H$5:$H$16,0)),0))</f>
        <v>30</v>
      </c>
      <c r="Q80" s="30">
        <f>IF(OR(H80&lt;&gt;"Realizado",P80="",P80=0),"",A80+P80)</f>
        <v/>
      </c>
      <c r="R80" s="26">
        <f>IF(Q80="","",IF(COUNTIFS($E$5:$E$1204,E80,$A$5:$A$1204,"&gt;"&amp;A80,$H$5:$H$1204,"&lt;&gt;Falta",$H$5:$H$1204,"&lt;&gt;Cancelado",$H$5:$H$1204,"&lt;&gt;Remarcado")&gt;0,"Sim","Não"))</f>
        <v/>
      </c>
      <c r="S80" s="32">
        <f>IF(R80&lt;&gt;"Não","",IF(Q80+Config!$B$9&lt;=Config!$B$8,Config!$B$8-Q80,""))</f>
        <v/>
      </c>
      <c r="T80" s="26">
        <f>IF(S80="","","Sim")</f>
        <v/>
      </c>
      <c r="U80" s="41">
        <f>IF(T80="Sim",S80+ROW()/100000,0)</f>
        <v>0</v>
      </c>
      <c r="V80" s="41">
        <f>IF(AND(H80="Falta",L80=Config!$B$7,M80=Config!$B$5,COUNTIFS($E$5:E80,E80,$H$5:H80,"Falta",$L$5:L80,Config!$B$7,$M$5:M80,Config!$B$5)=1),COUNTIFS($E$5:$E$1204,E80,$H$5:$H$1204,"Falta",$L$5:$L$1204,Config!$B$7,$M$5:$M$1204,Config!$B$5)*1000-ROW()/100000,0)</f>
        <v>0</v>
      </c>
    </row>
    <row r="81">
      <c r="A81" s="39" t="n">
        <v>46212</v>
      </c>
      <c r="B81" s="40" t="n">
        <v>0.4097222222222222</v>
      </c>
      <c r="C81" s="35" t="inlineStr">
        <is>
          <t>Dra. Carolina Mendes</t>
        </is>
      </c>
      <c r="D81" s="35" t="inlineStr">
        <is>
          <t>Sala 1</t>
        </is>
      </c>
      <c r="E81" s="34" t="inlineStr">
        <is>
          <t>Priscila Castro</t>
        </is>
      </c>
      <c r="F81" s="35" t="inlineStr">
        <is>
          <t>Saúde Total</t>
        </is>
      </c>
      <c r="G81" s="35" t="inlineStr">
        <is>
          <t>Consulta</t>
        </is>
      </c>
      <c r="H81" s="35" t="inlineStr">
        <is>
          <t>Realizado</t>
        </is>
      </c>
      <c r="I81" s="35" t="inlineStr">
        <is>
          <t>Convênio</t>
        </is>
      </c>
      <c r="J81" s="35" t="n"/>
      <c r="K81" s="34" t="n"/>
      <c r="L81" s="26">
        <f>IF(A81="","",MONTH(A81))</f>
        <v>7</v>
      </c>
      <c r="M81" s="26">
        <f>IF(A81="","",YEAR(A81))</f>
        <v>2026</v>
      </c>
      <c r="N81" s="26" t="str">
        <f>IF(A81="","",CHOOSE(WEEKDAY(A81,2),"Segunda","Terça","Quarta","Quinta","Sexta","Sábado","Domingo"))</f>
        <v>Quinta</v>
      </c>
      <c r="O81" s="26" t="str">
        <f>IF(B81="","",IF(B81&lt;TIME(12,0,0),"Manhã",IF(B81&lt;TIME(18,0,0),"Tarde","Noite")))</f>
        <v>Manhã</v>
      </c>
      <c r="P81" s="32">
        <f>IF(G81="","",IFERROR(INDEX(Config!$I$5:$I$16,MATCH(G81,Config!$H$5:$H$16,0)),0))</f>
        <v>30</v>
      </c>
      <c r="Q81" s="30">
        <f>IF(OR(H81&lt;&gt;"Realizado",P81="",P81=0),"",A81+P81)</f>
        <v>46242.0</v>
      </c>
      <c r="R81" s="26" t="str">
        <f>IF(Q81="","",IF(COUNTIFS($E$5:$E$1204,E81,$A$5:$A$1204,"&gt;"&amp;A81,$H$5:$H$1204,"&lt;&gt;Falta",$H$5:$H$1204,"&lt;&gt;Cancelado",$H$5:$H$1204,"&lt;&gt;Remarcado")&gt;0,"Sim","Não"))</f>
        <v>Sim</v>
      </c>
      <c r="S81" s="32">
        <f>IF(R81&lt;&gt;"Não","",IF(Q81+Config!$B$9&lt;=Config!$B$8,Config!$B$8-Q81,""))</f>
        <v/>
      </c>
      <c r="T81" s="26">
        <f>IF(S81="","","Sim")</f>
        <v/>
      </c>
      <c r="U81" s="41">
        <f>IF(T81="Sim",S81+ROW()/100000,0)</f>
        <v>0</v>
      </c>
      <c r="V81" s="41">
        <f>IF(AND(H81="Falta",L81=Config!$B$7,M81=Config!$B$5,COUNTIFS($E$5:E81,E81,$H$5:H81,"Falta",$L$5:L81,Config!$B$7,$M$5:M81,Config!$B$5)=1),COUNTIFS($E$5:$E$1204,E81,$H$5:$H$1204,"Falta",$L$5:$L$1204,Config!$B$7,$M$5:$M$1204,Config!$B$5)*1000-ROW()/100000,0)</f>
        <v>0</v>
      </c>
    </row>
    <row r="82">
      <c r="A82" s="39" t="n">
        <v>46212</v>
      </c>
      <c r="B82" s="40" t="n">
        <v>0.4305555555555556</v>
      </c>
      <c r="C82" s="35" t="inlineStr">
        <is>
          <t>Dra. Carolina Mendes</t>
        </is>
      </c>
      <c r="D82" s="35" t="inlineStr">
        <is>
          <t>Sala 1</t>
        </is>
      </c>
      <c r="E82" s="34" t="inlineStr">
        <is>
          <t>Roberta Araújo</t>
        </is>
      </c>
      <c r="F82" s="35" t="inlineStr">
        <is>
          <t>Particular</t>
        </is>
      </c>
      <c r="G82" s="35" t="inlineStr">
        <is>
          <t>Consulta</t>
        </is>
      </c>
      <c r="H82" s="35" t="inlineStr">
        <is>
          <t>Realizado</t>
        </is>
      </c>
      <c r="I82" s="35" t="inlineStr">
        <is>
          <t>Pix</t>
        </is>
      </c>
      <c r="J82" s="35" t="n"/>
      <c r="K82" s="34" t="n"/>
      <c r="L82" s="26">
        <f>IF(A82="","",MONTH(A82))</f>
        <v>7</v>
      </c>
      <c r="M82" s="26">
        <f>IF(A82="","",YEAR(A82))</f>
        <v>2026</v>
      </c>
      <c r="N82" s="26" t="str">
        <f>IF(A82="","",CHOOSE(WEEKDAY(A82,2),"Segunda","Terça","Quarta","Quinta","Sexta","Sábado","Domingo"))</f>
        <v>Quinta</v>
      </c>
      <c r="O82" s="26" t="str">
        <f>IF(B82="","",IF(B82&lt;TIME(12,0,0),"Manhã",IF(B82&lt;TIME(18,0,0),"Tarde","Noite")))</f>
        <v>Manhã</v>
      </c>
      <c r="P82" s="32">
        <f>IF(G82="","",IFERROR(INDEX(Config!$I$5:$I$16,MATCH(G82,Config!$H$5:$H$16,0)),0))</f>
        <v>30</v>
      </c>
      <c r="Q82" s="30">
        <f>IF(OR(H82&lt;&gt;"Realizado",P82="",P82=0),"",A82+P82)</f>
        <v>46242.0</v>
      </c>
      <c r="R82" s="26" t="str">
        <f>IF(Q82="","",IF(COUNTIFS($E$5:$E$1204,E82,$A$5:$A$1204,"&gt;"&amp;A82,$H$5:$H$1204,"&lt;&gt;Falta",$H$5:$H$1204,"&lt;&gt;Cancelado",$H$5:$H$1204,"&lt;&gt;Remarcado")&gt;0,"Sim","Não"))</f>
        <v>Sim</v>
      </c>
      <c r="S82" s="32">
        <f>IF(R82&lt;&gt;"Não","",IF(Q82+Config!$B$9&lt;=Config!$B$8,Config!$B$8-Q82,""))</f>
        <v/>
      </c>
      <c r="T82" s="26">
        <f>IF(S82="","","Sim")</f>
        <v/>
      </c>
      <c r="U82" s="41">
        <f>IF(T82="Sim",S82+ROW()/100000,0)</f>
        <v>0</v>
      </c>
      <c r="V82" s="41">
        <f>IF(AND(H82="Falta",L82=Config!$B$7,M82=Config!$B$5,COUNTIFS($E$5:E82,E82,$H$5:H82,"Falta",$L$5:L82,Config!$B$7,$M$5:M82,Config!$B$5)=1),COUNTIFS($E$5:$E$1204,E82,$H$5:$H$1204,"Falta",$L$5:$L$1204,Config!$B$7,$M$5:$M$1204,Config!$B$5)*1000-ROW()/100000,0)</f>
        <v>0</v>
      </c>
    </row>
    <row r="83">
      <c r="A83" s="39" t="n">
        <v>46212</v>
      </c>
      <c r="B83" s="40" t="n">
        <v>0.4513888888888889</v>
      </c>
      <c r="C83" s="35" t="inlineStr">
        <is>
          <t>Dra. Carolina Mendes</t>
        </is>
      </c>
      <c r="D83" s="35" t="inlineStr">
        <is>
          <t>Sala 1</t>
        </is>
      </c>
      <c r="E83" s="34" t="inlineStr">
        <is>
          <t>Tatiana Cunha</t>
        </is>
      </c>
      <c r="F83" s="35" t="inlineStr">
        <is>
          <t>Saúde Total</t>
        </is>
      </c>
      <c r="G83" s="35" t="inlineStr">
        <is>
          <t>Consulta</t>
        </is>
      </c>
      <c r="H83" s="35" t="inlineStr">
        <is>
          <t>Realizado</t>
        </is>
      </c>
      <c r="I83" s="35" t="inlineStr">
        <is>
          <t>Convênio</t>
        </is>
      </c>
      <c r="J83" s="35" t="n"/>
      <c r="K83" s="34" t="n"/>
      <c r="L83" s="26">
        <f>IF(A83="","",MONTH(A83))</f>
        <v>7</v>
      </c>
      <c r="M83" s="26">
        <f>IF(A83="","",YEAR(A83))</f>
        <v>2026</v>
      </c>
      <c r="N83" s="26" t="str">
        <f>IF(A83="","",CHOOSE(WEEKDAY(A83,2),"Segunda","Terça","Quarta","Quinta","Sexta","Sábado","Domingo"))</f>
        <v>Quinta</v>
      </c>
      <c r="O83" s="26" t="str">
        <f>IF(B83="","",IF(B83&lt;TIME(12,0,0),"Manhã",IF(B83&lt;TIME(18,0,0),"Tarde","Noite")))</f>
        <v>Manhã</v>
      </c>
      <c r="P83" s="32">
        <f>IF(G83="","",IFERROR(INDEX(Config!$I$5:$I$16,MATCH(G83,Config!$H$5:$H$16,0)),0))</f>
        <v>30</v>
      </c>
      <c r="Q83" s="30">
        <f>IF(OR(H83&lt;&gt;"Realizado",P83="",P83=0),"",A83+P83)</f>
        <v>46242.0</v>
      </c>
      <c r="R83" s="26" t="str">
        <f>IF(Q83="","",IF(COUNTIFS($E$5:$E$1204,E83,$A$5:$A$1204,"&gt;"&amp;A83,$H$5:$H$1204,"&lt;&gt;Falta",$H$5:$H$1204,"&lt;&gt;Cancelado",$H$5:$H$1204,"&lt;&gt;Remarcado")&gt;0,"Sim","Não"))</f>
        <v>Sim</v>
      </c>
      <c r="S83" s="32">
        <f>IF(R83&lt;&gt;"Não","",IF(Q83+Config!$B$9&lt;=Config!$B$8,Config!$B$8-Q83,""))</f>
        <v/>
      </c>
      <c r="T83" s="26">
        <f>IF(S83="","","Sim")</f>
        <v/>
      </c>
      <c r="U83" s="41">
        <f>IF(T83="Sim",S83+ROW()/100000,0)</f>
        <v>0</v>
      </c>
      <c r="V83" s="41">
        <f>IF(AND(H83="Falta",L83=Config!$B$7,M83=Config!$B$5,COUNTIFS($E$5:E83,E83,$H$5:H83,"Falta",$L$5:L83,Config!$B$7,$M$5:M83,Config!$B$5)=1),COUNTIFS($E$5:$E$1204,E83,$H$5:$H$1204,"Falta",$L$5:$L$1204,Config!$B$7,$M$5:$M$1204,Config!$B$5)*1000-ROW()/100000,0)</f>
        <v>0</v>
      </c>
    </row>
    <row r="84">
      <c r="A84" s="39" t="n">
        <v>46212</v>
      </c>
      <c r="B84" s="40" t="n">
        <v>0.5833333333333334</v>
      </c>
      <c r="C84" s="35" t="inlineStr">
        <is>
          <t>Dra. Renata Sousa</t>
        </is>
      </c>
      <c r="D84" s="35" t="inlineStr">
        <is>
          <t>Sala 1</t>
        </is>
      </c>
      <c r="E84" s="34" t="inlineStr">
        <is>
          <t>Fábio Ferreira</t>
        </is>
      </c>
      <c r="F84" s="35" t="inlineStr">
        <is>
          <t>Particular</t>
        </is>
      </c>
      <c r="G84" s="35" t="inlineStr">
        <is>
          <t>Retorno</t>
        </is>
      </c>
      <c r="H84" s="35" t="inlineStr">
        <is>
          <t>Realizado</t>
        </is>
      </c>
      <c r="I84" s="35" t="inlineStr">
        <is>
          <t>Sem cobrança</t>
        </is>
      </c>
      <c r="J84" s="35" t="n"/>
      <c r="K84" s="34" t="n"/>
      <c r="L84" s="26">
        <f>IF(A84="","",MONTH(A84))</f>
        <v>7</v>
      </c>
      <c r="M84" s="26">
        <f>IF(A84="","",YEAR(A84))</f>
        <v>2026</v>
      </c>
      <c r="N84" s="26" t="str">
        <f>IF(A84="","",CHOOSE(WEEKDAY(A84,2),"Segunda","Terça","Quarta","Quinta","Sexta","Sábado","Domingo"))</f>
        <v>Quinta</v>
      </c>
      <c r="O84" s="26" t="str">
        <f>IF(B84="","",IF(B84&lt;TIME(12,0,0),"Manhã",IF(B84&lt;TIME(18,0,0),"Tarde","Noite")))</f>
        <v>Tarde</v>
      </c>
      <c r="P84" s="32">
        <f>IF(G84="","",IFERROR(INDEX(Config!$I$5:$I$16,MATCH(G84,Config!$H$5:$H$16,0)),0))</f>
        <v>0</v>
      </c>
      <c r="Q84" s="30">
        <f>IF(OR(H84&lt;&gt;"Realizado",P84="",P84=0),"",A84+P84)</f>
        <v/>
      </c>
      <c r="R84" s="26">
        <f>IF(Q84="","",IF(COUNTIFS($E$5:$E$1204,E84,$A$5:$A$1204,"&gt;"&amp;A84,$H$5:$H$1204,"&lt;&gt;Falta",$H$5:$H$1204,"&lt;&gt;Cancelado",$H$5:$H$1204,"&lt;&gt;Remarcado")&gt;0,"Sim","Não"))</f>
        <v/>
      </c>
      <c r="S84" s="32">
        <f>IF(R84&lt;&gt;"Não","",IF(Q84+Config!$B$9&lt;=Config!$B$8,Config!$B$8-Q84,""))</f>
        <v/>
      </c>
      <c r="T84" s="26">
        <f>IF(S84="","","Sim")</f>
        <v/>
      </c>
      <c r="U84" s="41">
        <f>IF(T84="Sim",S84+ROW()/100000,0)</f>
        <v>0</v>
      </c>
      <c r="V84" s="41">
        <f>IF(AND(H84="Falta",L84=Config!$B$7,M84=Config!$B$5,COUNTIFS($E$5:E84,E84,$H$5:H84,"Falta",$L$5:L84,Config!$B$7,$M$5:M84,Config!$B$5)=1),COUNTIFS($E$5:$E$1204,E84,$H$5:$H$1204,"Falta",$L$5:$L$1204,Config!$B$7,$M$5:$M$1204,Config!$B$5)*1000-ROW()/100000,0)</f>
        <v>0</v>
      </c>
    </row>
    <row r="85">
      <c r="A85" s="39" t="n">
        <v>46212</v>
      </c>
      <c r="B85" s="40" t="n">
        <v>0.5833333333333334</v>
      </c>
      <c r="C85" s="35" t="inlineStr">
        <is>
          <t>Dr. Paulo Andrade</t>
        </is>
      </c>
      <c r="D85" s="35" t="inlineStr">
        <is>
          <t>Sala 2</t>
        </is>
      </c>
      <c r="E85" s="34" t="inlineStr">
        <is>
          <t>Leandro Ferreira</t>
        </is>
      </c>
      <c r="F85" s="35" t="inlineStr">
        <is>
          <t>Saúde Total</t>
        </is>
      </c>
      <c r="G85" s="35" t="inlineStr">
        <is>
          <t>Retorno</t>
        </is>
      </c>
      <c r="H85" s="35" t="inlineStr">
        <is>
          <t>Realizado</t>
        </is>
      </c>
      <c r="I85" s="35" t="inlineStr">
        <is>
          <t>Sem cobrança</t>
        </is>
      </c>
      <c r="J85" s="35" t="n"/>
      <c r="K85" s="34" t="n"/>
      <c r="L85" s="26">
        <f>IF(A85="","",MONTH(A85))</f>
        <v>7</v>
      </c>
      <c r="M85" s="26">
        <f>IF(A85="","",YEAR(A85))</f>
        <v>2026</v>
      </c>
      <c r="N85" s="26" t="str">
        <f>IF(A85="","",CHOOSE(WEEKDAY(A85,2),"Segunda","Terça","Quarta","Quinta","Sexta","Sábado","Domingo"))</f>
        <v>Quinta</v>
      </c>
      <c r="O85" s="26" t="str">
        <f>IF(B85="","",IF(B85&lt;TIME(12,0,0),"Manhã",IF(B85&lt;TIME(18,0,0),"Tarde","Noite")))</f>
        <v>Tarde</v>
      </c>
      <c r="P85" s="32">
        <f>IF(G85="","",IFERROR(INDEX(Config!$I$5:$I$16,MATCH(G85,Config!$H$5:$H$16,0)),0))</f>
        <v>0</v>
      </c>
      <c r="Q85" s="30">
        <f>IF(OR(H85&lt;&gt;"Realizado",P85="",P85=0),"",A85+P85)</f>
        <v/>
      </c>
      <c r="R85" s="26">
        <f>IF(Q85="","",IF(COUNTIFS($E$5:$E$1204,E85,$A$5:$A$1204,"&gt;"&amp;A85,$H$5:$H$1204,"&lt;&gt;Falta",$H$5:$H$1204,"&lt;&gt;Cancelado",$H$5:$H$1204,"&lt;&gt;Remarcado")&gt;0,"Sim","Não"))</f>
        <v/>
      </c>
      <c r="S85" s="32">
        <f>IF(R85&lt;&gt;"Não","",IF(Q85+Config!$B$9&lt;=Config!$B$8,Config!$B$8-Q85,""))</f>
        <v/>
      </c>
      <c r="T85" s="26">
        <f>IF(S85="","","Sim")</f>
        <v/>
      </c>
      <c r="U85" s="41">
        <f>IF(T85="Sim",S85+ROW()/100000,0)</f>
        <v>0</v>
      </c>
      <c r="V85" s="41">
        <f>IF(AND(H85="Falta",L85=Config!$B$7,M85=Config!$B$5,COUNTIFS($E$5:E85,E85,$H$5:H85,"Falta",$L$5:L85,Config!$B$7,$M$5:M85,Config!$B$5)=1),COUNTIFS($E$5:$E$1204,E85,$H$5:$H$1204,"Falta",$L$5:$L$1204,Config!$B$7,$M$5:$M$1204,Config!$B$5)*1000-ROW()/100000,0)</f>
        <v>0</v>
      </c>
    </row>
    <row r="86">
      <c r="A86" s="39" t="n">
        <v>46212</v>
      </c>
      <c r="B86" s="40" t="n">
        <v>0.5972222222222222</v>
      </c>
      <c r="C86" s="35" t="inlineStr">
        <is>
          <t>Dra. Renata Sousa</t>
        </is>
      </c>
      <c r="D86" s="35" t="inlineStr">
        <is>
          <t>Sala 1</t>
        </is>
      </c>
      <c r="E86" s="34" t="inlineStr">
        <is>
          <t>Fábio Gomes</t>
        </is>
      </c>
      <c r="F86" s="35" t="inlineStr">
        <is>
          <t>Particular</t>
        </is>
      </c>
      <c r="G86" s="35" t="inlineStr">
        <is>
          <t>Avaliação endócrina</t>
        </is>
      </c>
      <c r="H86" s="35" t="inlineStr">
        <is>
          <t>Realizado</t>
        </is>
      </c>
      <c r="I86" s="35" t="inlineStr">
        <is>
          <t>Cartão de crédito</t>
        </is>
      </c>
      <c r="J86" s="35" t="n"/>
      <c r="K86" s="34" t="n"/>
      <c r="L86" s="26">
        <f>IF(A86="","",MONTH(A86))</f>
        <v>7</v>
      </c>
      <c r="M86" s="26">
        <f>IF(A86="","",YEAR(A86))</f>
        <v>2026</v>
      </c>
      <c r="N86" s="26" t="str">
        <f>IF(A86="","",CHOOSE(WEEKDAY(A86,2),"Segunda","Terça","Quarta","Quinta","Sexta","Sábado","Domingo"))</f>
        <v>Quinta</v>
      </c>
      <c r="O86" s="26" t="str">
        <f>IF(B86="","",IF(B86&lt;TIME(12,0,0),"Manhã",IF(B86&lt;TIME(18,0,0),"Tarde","Noite")))</f>
        <v>Tarde</v>
      </c>
      <c r="P86" s="32">
        <f>IF(G86="","",IFERROR(INDEX(Config!$I$5:$I$16,MATCH(G86,Config!$H$5:$H$16,0)),0))</f>
        <v>45</v>
      </c>
      <c r="Q86" s="30">
        <f>IF(OR(H86&lt;&gt;"Realizado",P86="",P86=0),"",A86+P86)</f>
        <v>46257.0</v>
      </c>
      <c r="R86" s="26" t="str">
        <f>IF(Q86="","",IF(COUNTIFS($E$5:$E$1204,E86,$A$5:$A$1204,"&gt;"&amp;A86,$H$5:$H$1204,"&lt;&gt;Falta",$H$5:$H$1204,"&lt;&gt;Cancelado",$H$5:$H$1204,"&lt;&gt;Remarcado")&gt;0,"Sim","Não"))</f>
        <v>Sim</v>
      </c>
      <c r="S86" s="32">
        <f>IF(R86&lt;&gt;"Não","",IF(Q86+Config!$B$9&lt;=Config!$B$8,Config!$B$8-Q86,""))</f>
        <v/>
      </c>
      <c r="T86" s="26">
        <f>IF(S86="","","Sim")</f>
        <v/>
      </c>
      <c r="U86" s="41">
        <f>IF(T86="Sim",S86+ROW()/100000,0)</f>
        <v>0</v>
      </c>
      <c r="V86" s="41">
        <f>IF(AND(H86="Falta",L86=Config!$B$7,M86=Config!$B$5,COUNTIFS($E$5:E86,E86,$H$5:H86,"Falta",$L$5:L86,Config!$B$7,$M$5:M86,Config!$B$5)=1),COUNTIFS($E$5:$E$1204,E86,$H$5:$H$1204,"Falta",$L$5:$L$1204,Config!$B$7,$M$5:$M$1204,Config!$B$5)*1000-ROW()/100000,0)</f>
        <v>0</v>
      </c>
    </row>
    <row r="87">
      <c r="A87" s="39" t="n">
        <v>46212</v>
      </c>
      <c r="B87" s="40" t="n">
        <v>0.5972222222222222</v>
      </c>
      <c r="C87" s="35" t="inlineStr">
        <is>
          <t>Dr. Paulo Andrade</t>
        </is>
      </c>
      <c r="D87" s="35" t="inlineStr">
        <is>
          <t>Sala 2</t>
        </is>
      </c>
      <c r="E87" s="34" t="inlineStr">
        <is>
          <t>Gabriel Vieira</t>
        </is>
      </c>
      <c r="F87" s="35" t="inlineStr">
        <is>
          <t>Vida Care</t>
        </is>
      </c>
      <c r="G87" s="35" t="inlineStr">
        <is>
          <t>Consulta</t>
        </is>
      </c>
      <c r="H87" s="35" t="inlineStr">
        <is>
          <t>Realizado</t>
        </is>
      </c>
      <c r="I87" s="35" t="inlineStr">
        <is>
          <t>Convênio</t>
        </is>
      </c>
      <c r="J87" s="35" t="n"/>
      <c r="K87" s="34" t="n"/>
      <c r="L87" s="26">
        <f>IF(A87="","",MONTH(A87))</f>
        <v>7</v>
      </c>
      <c r="M87" s="26">
        <f>IF(A87="","",YEAR(A87))</f>
        <v>2026</v>
      </c>
      <c r="N87" s="26" t="str">
        <f>IF(A87="","",CHOOSE(WEEKDAY(A87,2),"Segunda","Terça","Quarta","Quinta","Sexta","Sábado","Domingo"))</f>
        <v>Quinta</v>
      </c>
      <c r="O87" s="26" t="str">
        <f>IF(B87="","",IF(B87&lt;TIME(12,0,0),"Manhã",IF(B87&lt;TIME(18,0,0),"Tarde","Noite")))</f>
        <v>Tarde</v>
      </c>
      <c r="P87" s="32">
        <f>IF(G87="","",IFERROR(INDEX(Config!$I$5:$I$16,MATCH(G87,Config!$H$5:$H$16,0)),0))</f>
        <v>30</v>
      </c>
      <c r="Q87" s="30">
        <f>IF(OR(H87&lt;&gt;"Realizado",P87="",P87=0),"",A87+P87)</f>
        <v>46242.0</v>
      </c>
      <c r="R87" s="26" t="str">
        <f>IF(Q87="","",IF(COUNTIFS($E$5:$E$1204,E87,$A$5:$A$1204,"&gt;"&amp;A87,$H$5:$H$1204,"&lt;&gt;Falta",$H$5:$H$1204,"&lt;&gt;Cancelado",$H$5:$H$1204,"&lt;&gt;Remarcado")&gt;0,"Sim","Não"))</f>
        <v>Sim</v>
      </c>
      <c r="S87" s="32">
        <f>IF(R87&lt;&gt;"Não","",IF(Q87+Config!$B$9&lt;=Config!$B$8,Config!$B$8-Q87,""))</f>
        <v/>
      </c>
      <c r="T87" s="26">
        <f>IF(S87="","","Sim")</f>
        <v/>
      </c>
      <c r="U87" s="41">
        <f>IF(T87="Sim",S87+ROW()/100000,0)</f>
        <v>0</v>
      </c>
      <c r="V87" s="41">
        <f>IF(AND(H87="Falta",L87=Config!$B$7,M87=Config!$B$5,COUNTIFS($E$5:E87,E87,$H$5:H87,"Falta",$L$5:L87,Config!$B$7,$M$5:M87,Config!$B$5)=1),COUNTIFS($E$5:$E$1204,E87,$H$5:$H$1204,"Falta",$L$5:$L$1204,Config!$B$7,$M$5:$M$1204,Config!$B$5)*1000-ROW()/100000,0)</f>
        <v>0</v>
      </c>
    </row>
    <row r="88">
      <c r="A88" s="39" t="n">
        <v>46212</v>
      </c>
      <c r="B88" s="40" t="n">
        <v>0.6180555555555556</v>
      </c>
      <c r="C88" s="35" t="inlineStr">
        <is>
          <t>Dr. Paulo Andrade</t>
        </is>
      </c>
      <c r="D88" s="35" t="inlineStr">
        <is>
          <t>Sala 2</t>
        </is>
      </c>
      <c r="E88" s="34" t="inlineStr">
        <is>
          <t>Paulo Nascimento</t>
        </is>
      </c>
      <c r="F88" s="35" t="inlineStr">
        <is>
          <t>MediPlan</t>
        </is>
      </c>
      <c r="G88" s="35" t="inlineStr">
        <is>
          <t>Consulta</t>
        </is>
      </c>
      <c r="H88" s="35" t="inlineStr">
        <is>
          <t>Realizado</t>
        </is>
      </c>
      <c r="I88" s="35" t="inlineStr">
        <is>
          <t>Convênio</t>
        </is>
      </c>
      <c r="J88" s="35" t="n"/>
      <c r="K88" s="34" t="n"/>
      <c r="L88" s="26">
        <f>IF(A88="","",MONTH(A88))</f>
        <v>7</v>
      </c>
      <c r="M88" s="26">
        <f>IF(A88="","",YEAR(A88))</f>
        <v>2026</v>
      </c>
      <c r="N88" s="26" t="str">
        <f>IF(A88="","",CHOOSE(WEEKDAY(A88,2),"Segunda","Terça","Quarta","Quinta","Sexta","Sábado","Domingo"))</f>
        <v>Quinta</v>
      </c>
      <c r="O88" s="26" t="str">
        <f>IF(B88="","",IF(B88&lt;TIME(12,0,0),"Manhã",IF(B88&lt;TIME(18,0,0),"Tarde","Noite")))</f>
        <v>Tarde</v>
      </c>
      <c r="P88" s="32">
        <f>IF(G88="","",IFERROR(INDEX(Config!$I$5:$I$16,MATCH(G88,Config!$H$5:$H$16,0)),0))</f>
        <v>30</v>
      </c>
      <c r="Q88" s="30">
        <f>IF(OR(H88&lt;&gt;"Realizado",P88="",P88=0),"",A88+P88)</f>
        <v>46242.0</v>
      </c>
      <c r="R88" s="26" t="str">
        <f>IF(Q88="","",IF(COUNTIFS($E$5:$E$1204,E88,$A$5:$A$1204,"&gt;"&amp;A88,$H$5:$H$1204,"&lt;&gt;Falta",$H$5:$H$1204,"&lt;&gt;Cancelado",$H$5:$H$1204,"&lt;&gt;Remarcado")&gt;0,"Sim","Não"))</f>
        <v>Sim</v>
      </c>
      <c r="S88" s="32">
        <f>IF(R88&lt;&gt;"Não","",IF(Q88+Config!$B$9&lt;=Config!$B$8,Config!$B$8-Q88,""))</f>
        <v/>
      </c>
      <c r="T88" s="26">
        <f>IF(S88="","","Sim")</f>
        <v/>
      </c>
      <c r="U88" s="41">
        <f>IF(T88="Sim",S88+ROW()/100000,0)</f>
        <v>0</v>
      </c>
      <c r="V88" s="41">
        <f>IF(AND(H88="Falta",L88=Config!$B$7,M88=Config!$B$5,COUNTIFS($E$5:E88,E88,$H$5:H88,"Falta",$L$5:L88,Config!$B$7,$M$5:M88,Config!$B$5)=1),COUNTIFS($E$5:$E$1204,E88,$H$5:$H$1204,"Falta",$L$5:$L$1204,Config!$B$7,$M$5:$M$1204,Config!$B$5)*1000-ROW()/100000,0)</f>
        <v>0</v>
      </c>
    </row>
    <row r="89">
      <c r="A89" s="39" t="n">
        <v>46212</v>
      </c>
      <c r="B89" s="40" t="n">
        <v>0.625</v>
      </c>
      <c r="C89" s="35" t="inlineStr">
        <is>
          <t>Dra. Renata Sousa</t>
        </is>
      </c>
      <c r="D89" s="35" t="inlineStr">
        <is>
          <t>Sala 1</t>
        </is>
      </c>
      <c r="E89" s="34" t="inlineStr">
        <is>
          <t>Isabela Barbosa</t>
        </is>
      </c>
      <c r="F89" s="35" t="inlineStr">
        <is>
          <t>Saúde Total</t>
        </is>
      </c>
      <c r="G89" s="35" t="inlineStr">
        <is>
          <t>Avaliação endócrina</t>
        </is>
      </c>
      <c r="H89" s="35" t="inlineStr">
        <is>
          <t>Realizado</t>
        </is>
      </c>
      <c r="I89" s="35" t="inlineStr">
        <is>
          <t>Convênio</t>
        </is>
      </c>
      <c r="J89" s="35" t="n"/>
      <c r="K89" s="34" t="n"/>
      <c r="L89" s="26">
        <f>IF(A89="","",MONTH(A89))</f>
        <v>7</v>
      </c>
      <c r="M89" s="26">
        <f>IF(A89="","",YEAR(A89))</f>
        <v>2026</v>
      </c>
      <c r="N89" s="26" t="str">
        <f>IF(A89="","",CHOOSE(WEEKDAY(A89,2),"Segunda","Terça","Quarta","Quinta","Sexta","Sábado","Domingo"))</f>
        <v>Quinta</v>
      </c>
      <c r="O89" s="26" t="str">
        <f>IF(B89="","",IF(B89&lt;TIME(12,0,0),"Manhã",IF(B89&lt;TIME(18,0,0),"Tarde","Noite")))</f>
        <v>Tarde</v>
      </c>
      <c r="P89" s="32">
        <f>IF(G89="","",IFERROR(INDEX(Config!$I$5:$I$16,MATCH(G89,Config!$H$5:$H$16,0)),0))</f>
        <v>45</v>
      </c>
      <c r="Q89" s="30">
        <f>IF(OR(H89&lt;&gt;"Realizado",P89="",P89=0),"",A89+P89)</f>
        <v>46257.0</v>
      </c>
      <c r="R89" s="26" t="str">
        <f>IF(Q89="","",IF(COUNTIFS($E$5:$E$1204,E89,$A$5:$A$1204,"&gt;"&amp;A89,$H$5:$H$1204,"&lt;&gt;Falta",$H$5:$H$1204,"&lt;&gt;Cancelado",$H$5:$H$1204,"&lt;&gt;Remarcado")&gt;0,"Sim","Não"))</f>
        <v>Sim</v>
      </c>
      <c r="S89" s="32">
        <f>IF(R89&lt;&gt;"Não","",IF(Q89+Config!$B$9&lt;=Config!$B$8,Config!$B$8-Q89,""))</f>
        <v/>
      </c>
      <c r="T89" s="26">
        <f>IF(S89="","","Sim")</f>
        <v/>
      </c>
      <c r="U89" s="41">
        <f>IF(T89="Sim",S89+ROW()/100000,0)</f>
        <v>0</v>
      </c>
      <c r="V89" s="41">
        <f>IF(AND(H89="Falta",L89=Config!$B$7,M89=Config!$B$5,COUNTIFS($E$5:E89,E89,$H$5:H89,"Falta",$L$5:L89,Config!$B$7,$M$5:M89,Config!$B$5)=1),COUNTIFS($E$5:$E$1204,E89,$H$5:$H$1204,"Falta",$L$5:$L$1204,Config!$B$7,$M$5:$M$1204,Config!$B$5)*1000-ROW()/100000,0)</f>
        <v>0</v>
      </c>
    </row>
    <row r="90">
      <c r="A90" s="39" t="n">
        <v>46212</v>
      </c>
      <c r="B90" s="40" t="n">
        <v>0.6388888888888888</v>
      </c>
      <c r="C90" s="35" t="inlineStr">
        <is>
          <t>Dr. Paulo Andrade</t>
        </is>
      </c>
      <c r="D90" s="35" t="inlineStr">
        <is>
          <t>Sala 2</t>
        </is>
      </c>
      <c r="E90" s="34" t="inlineStr">
        <is>
          <t>Priscila Pinto</t>
        </is>
      </c>
      <c r="F90" s="35" t="inlineStr">
        <is>
          <t>Saúde Total</t>
        </is>
      </c>
      <c r="G90" s="35" t="inlineStr">
        <is>
          <t>Consulta</t>
        </is>
      </c>
      <c r="H90" s="35" t="inlineStr">
        <is>
          <t>Realizado</t>
        </is>
      </c>
      <c r="I90" s="35" t="inlineStr">
        <is>
          <t>Convênio</t>
        </is>
      </c>
      <c r="J90" s="35" t="n"/>
      <c r="K90" s="34" t="n"/>
      <c r="L90" s="26">
        <f>IF(A90="","",MONTH(A90))</f>
        <v>7</v>
      </c>
      <c r="M90" s="26">
        <f>IF(A90="","",YEAR(A90))</f>
        <v>2026</v>
      </c>
      <c r="N90" s="26" t="str">
        <f>IF(A90="","",CHOOSE(WEEKDAY(A90,2),"Segunda","Terça","Quarta","Quinta","Sexta","Sábado","Domingo"))</f>
        <v>Quinta</v>
      </c>
      <c r="O90" s="26" t="str">
        <f>IF(B90="","",IF(B90&lt;TIME(12,0,0),"Manhã",IF(B90&lt;TIME(18,0,0),"Tarde","Noite")))</f>
        <v>Tarde</v>
      </c>
      <c r="P90" s="32">
        <f>IF(G90="","",IFERROR(INDEX(Config!$I$5:$I$16,MATCH(G90,Config!$H$5:$H$16,0)),0))</f>
        <v>30</v>
      </c>
      <c r="Q90" s="30">
        <f>IF(OR(H90&lt;&gt;"Realizado",P90="",P90=0),"",A90+P90)</f>
        <v>46242.0</v>
      </c>
      <c r="R90" s="26" t="str">
        <f>IF(Q90="","",IF(COUNTIFS($E$5:$E$1204,E90,$A$5:$A$1204,"&gt;"&amp;A90,$H$5:$H$1204,"&lt;&gt;Falta",$H$5:$H$1204,"&lt;&gt;Cancelado",$H$5:$H$1204,"&lt;&gt;Remarcado")&gt;0,"Sim","Não"))</f>
        <v>Não</v>
      </c>
      <c r="S90" s="32">
        <f>IF(R90&lt;&gt;"Não","",IF(Q90+Config!$B$9&lt;=Config!$B$8,Config!$B$8-Q90,""))</f>
        <v>37</v>
      </c>
      <c r="T90" s="26" t="str">
        <f>IF(S90="","","Sim")</f>
        <v>Sim</v>
      </c>
      <c r="U90" s="41">
        <f>IF(T90="Sim",S90+ROW()/100000,0)</f>
        <v>37.0009</v>
      </c>
      <c r="V90" s="41">
        <f>IF(AND(H90="Falta",L90=Config!$B$7,M90=Config!$B$5,COUNTIFS($E$5:E90,E90,$H$5:H90,"Falta",$L$5:L90,Config!$B$7,$M$5:M90,Config!$B$5)=1),COUNTIFS($E$5:$E$1204,E90,$H$5:$H$1204,"Falta",$L$5:$L$1204,Config!$B$7,$M$5:$M$1204,Config!$B$5)*1000-ROW()/100000,0)</f>
        <v>0</v>
      </c>
    </row>
    <row r="91">
      <c r="A91" s="39" t="n">
        <v>46212</v>
      </c>
      <c r="B91" s="40" t="n">
        <v>0.6527777777777778</v>
      </c>
      <c r="C91" s="35" t="inlineStr">
        <is>
          <t>Dra. Renata Sousa</t>
        </is>
      </c>
      <c r="D91" s="35" t="inlineStr">
        <is>
          <t>Sala 1</t>
        </is>
      </c>
      <c r="E91" s="34" t="inlineStr">
        <is>
          <t>Rafael Pereira</t>
        </is>
      </c>
      <c r="F91" s="35" t="inlineStr">
        <is>
          <t>Particular</t>
        </is>
      </c>
      <c r="G91" s="35" t="inlineStr">
        <is>
          <t>Avaliação endócrina</t>
        </is>
      </c>
      <c r="H91" s="35" t="inlineStr">
        <is>
          <t>Realizado</t>
        </is>
      </c>
      <c r="I91" s="35" t="inlineStr">
        <is>
          <t>Pix</t>
        </is>
      </c>
      <c r="J91" s="35" t="n"/>
      <c r="K91" s="34" t="n"/>
      <c r="L91" s="26">
        <f>IF(A91="","",MONTH(A91))</f>
        <v>7</v>
      </c>
      <c r="M91" s="26">
        <f>IF(A91="","",YEAR(A91))</f>
        <v>2026</v>
      </c>
      <c r="N91" s="26" t="str">
        <f>IF(A91="","",CHOOSE(WEEKDAY(A91,2),"Segunda","Terça","Quarta","Quinta","Sexta","Sábado","Domingo"))</f>
        <v>Quinta</v>
      </c>
      <c r="O91" s="26" t="str">
        <f>IF(B91="","",IF(B91&lt;TIME(12,0,0),"Manhã",IF(B91&lt;TIME(18,0,0),"Tarde","Noite")))</f>
        <v>Tarde</v>
      </c>
      <c r="P91" s="32">
        <f>IF(G91="","",IFERROR(INDEX(Config!$I$5:$I$16,MATCH(G91,Config!$H$5:$H$16,0)),0))</f>
        <v>45</v>
      </c>
      <c r="Q91" s="30">
        <f>IF(OR(H91&lt;&gt;"Realizado",P91="",P91=0),"",A91+P91)</f>
        <v>46257.0</v>
      </c>
      <c r="R91" s="26" t="str">
        <f>IF(Q91="","",IF(COUNTIFS($E$5:$E$1204,E91,$A$5:$A$1204,"&gt;"&amp;A91,$H$5:$H$1204,"&lt;&gt;Falta",$H$5:$H$1204,"&lt;&gt;Cancelado",$H$5:$H$1204,"&lt;&gt;Remarcado")&gt;0,"Sim","Não"))</f>
        <v>Sim</v>
      </c>
      <c r="S91" s="32">
        <f>IF(R91&lt;&gt;"Não","",IF(Q91+Config!$B$9&lt;=Config!$B$8,Config!$B$8-Q91,""))</f>
        <v/>
      </c>
      <c r="T91" s="26">
        <f>IF(S91="","","Sim")</f>
        <v/>
      </c>
      <c r="U91" s="41">
        <f>IF(T91="Sim",S91+ROW()/100000,0)</f>
        <v>0</v>
      </c>
      <c r="V91" s="41">
        <f>IF(AND(H91="Falta",L91=Config!$B$7,M91=Config!$B$5,COUNTIFS($E$5:E91,E91,$H$5:H91,"Falta",$L$5:L91,Config!$B$7,$M$5:M91,Config!$B$5)=1),COUNTIFS($E$5:$E$1204,E91,$H$5:$H$1204,"Falta",$L$5:$L$1204,Config!$B$7,$M$5:$M$1204,Config!$B$5)*1000-ROW()/100000,0)</f>
        <v>0</v>
      </c>
    </row>
    <row r="92">
      <c r="A92" s="39" t="n">
        <v>46212</v>
      </c>
      <c r="B92" s="40" t="n">
        <v>0.6597222222222222</v>
      </c>
      <c r="C92" s="35" t="inlineStr">
        <is>
          <t>Dr. Paulo Andrade</t>
        </is>
      </c>
      <c r="D92" s="35" t="inlineStr">
        <is>
          <t>Sala 2</t>
        </is>
      </c>
      <c r="E92" s="34" t="inlineStr">
        <is>
          <t>Larissa Costa</t>
        </is>
      </c>
      <c r="F92" s="35" t="inlineStr">
        <is>
          <t>Particular</t>
        </is>
      </c>
      <c r="G92" s="35" t="inlineStr">
        <is>
          <t>ECG</t>
        </is>
      </c>
      <c r="H92" s="35" t="inlineStr">
        <is>
          <t>Realizado</t>
        </is>
      </c>
      <c r="I92" s="35" t="inlineStr">
        <is>
          <t>Cartão de crédito</t>
        </is>
      </c>
      <c r="J92" s="35" t="n"/>
      <c r="K92" s="34" t="n"/>
      <c r="L92" s="26">
        <f>IF(A92="","",MONTH(A92))</f>
        <v>7</v>
      </c>
      <c r="M92" s="26">
        <f>IF(A92="","",YEAR(A92))</f>
        <v>2026</v>
      </c>
      <c r="N92" s="26" t="str">
        <f>IF(A92="","",CHOOSE(WEEKDAY(A92,2),"Segunda","Terça","Quarta","Quinta","Sexta","Sábado","Domingo"))</f>
        <v>Quinta</v>
      </c>
      <c r="O92" s="26" t="str">
        <f>IF(B92="","",IF(B92&lt;TIME(12,0,0),"Manhã",IF(B92&lt;TIME(18,0,0),"Tarde","Noite")))</f>
        <v>Tarde</v>
      </c>
      <c r="P92" s="32">
        <f>IF(G92="","",IFERROR(INDEX(Config!$I$5:$I$16,MATCH(G92,Config!$H$5:$H$16,0)),0))</f>
        <v>0</v>
      </c>
      <c r="Q92" s="30">
        <f>IF(OR(H92&lt;&gt;"Realizado",P92="",P92=0),"",A92+P92)</f>
        <v/>
      </c>
      <c r="R92" s="26">
        <f>IF(Q92="","",IF(COUNTIFS($E$5:$E$1204,E92,$A$5:$A$1204,"&gt;"&amp;A92,$H$5:$H$1204,"&lt;&gt;Falta",$H$5:$H$1204,"&lt;&gt;Cancelado",$H$5:$H$1204,"&lt;&gt;Remarcado")&gt;0,"Sim","Não"))</f>
        <v/>
      </c>
      <c r="S92" s="32">
        <f>IF(R92&lt;&gt;"Não","",IF(Q92+Config!$B$9&lt;=Config!$B$8,Config!$B$8-Q92,""))</f>
        <v/>
      </c>
      <c r="T92" s="26">
        <f>IF(S92="","","Sim")</f>
        <v/>
      </c>
      <c r="U92" s="41">
        <f>IF(T92="Sim",S92+ROW()/100000,0)</f>
        <v>0</v>
      </c>
      <c r="V92" s="41">
        <f>IF(AND(H92="Falta",L92=Config!$B$7,M92=Config!$B$5,COUNTIFS($E$5:E92,E92,$H$5:H92,"Falta",$L$5:L92,Config!$B$7,$M$5:M92,Config!$B$5)=1),COUNTIFS($E$5:$E$1204,E92,$H$5:$H$1204,"Falta",$L$5:$L$1204,Config!$B$7,$M$5:$M$1204,Config!$B$5)*1000-ROW()/100000,0)</f>
        <v>0</v>
      </c>
    </row>
    <row r="93">
      <c r="A93" s="39" t="n">
        <v>46212</v>
      </c>
      <c r="B93" s="40" t="n">
        <v>0.6736111111111112</v>
      </c>
      <c r="C93" s="35" t="inlineStr">
        <is>
          <t>Dr. Paulo Andrade</t>
        </is>
      </c>
      <c r="D93" s="35" t="inlineStr">
        <is>
          <t>Sala 2</t>
        </is>
      </c>
      <c r="E93" s="34" t="inlineStr">
        <is>
          <t>Vanessa Moreira</t>
        </is>
      </c>
      <c r="F93" s="35" t="inlineStr">
        <is>
          <t>Saúde Total</t>
        </is>
      </c>
      <c r="G93" s="35" t="inlineStr">
        <is>
          <t>Consulta</t>
        </is>
      </c>
      <c r="H93" s="35" t="inlineStr">
        <is>
          <t>Realizado</t>
        </is>
      </c>
      <c r="I93" s="35" t="inlineStr">
        <is>
          <t>Convênio</t>
        </is>
      </c>
      <c r="J93" s="35" t="n"/>
      <c r="K93" s="34" t="n"/>
      <c r="L93" s="26">
        <f>IF(A93="","",MONTH(A93))</f>
        <v>7</v>
      </c>
      <c r="M93" s="26">
        <f>IF(A93="","",YEAR(A93))</f>
        <v>2026</v>
      </c>
      <c r="N93" s="26" t="str">
        <f>IF(A93="","",CHOOSE(WEEKDAY(A93,2),"Segunda","Terça","Quarta","Quinta","Sexta","Sábado","Domingo"))</f>
        <v>Quinta</v>
      </c>
      <c r="O93" s="26" t="str">
        <f>IF(B93="","",IF(B93&lt;TIME(12,0,0),"Manhã",IF(B93&lt;TIME(18,0,0),"Tarde","Noite")))</f>
        <v>Tarde</v>
      </c>
      <c r="P93" s="32">
        <f>IF(G93="","",IFERROR(INDEX(Config!$I$5:$I$16,MATCH(G93,Config!$H$5:$H$16,0)),0))</f>
        <v>30</v>
      </c>
      <c r="Q93" s="30">
        <f>IF(OR(H93&lt;&gt;"Realizado",P93="",P93=0),"",A93+P93)</f>
        <v>46242.0</v>
      </c>
      <c r="R93" s="26" t="str">
        <f>IF(Q93="","",IF(COUNTIFS($E$5:$E$1204,E93,$A$5:$A$1204,"&gt;"&amp;A93,$H$5:$H$1204,"&lt;&gt;Falta",$H$5:$H$1204,"&lt;&gt;Cancelado",$H$5:$H$1204,"&lt;&gt;Remarcado")&gt;0,"Sim","Não"))</f>
        <v>Sim</v>
      </c>
      <c r="S93" s="32">
        <f>IF(R93&lt;&gt;"Não","",IF(Q93+Config!$B$9&lt;=Config!$B$8,Config!$B$8-Q93,""))</f>
        <v/>
      </c>
      <c r="T93" s="26">
        <f>IF(S93="","","Sim")</f>
        <v/>
      </c>
      <c r="U93" s="41">
        <f>IF(T93="Sim",S93+ROW()/100000,0)</f>
        <v>0</v>
      </c>
      <c r="V93" s="41">
        <f>IF(AND(H93="Falta",L93=Config!$B$7,M93=Config!$B$5,COUNTIFS($E$5:E93,E93,$H$5:H93,"Falta",$L$5:L93,Config!$B$7,$M$5:M93,Config!$B$5)=1),COUNTIFS($E$5:$E$1204,E93,$H$5:$H$1204,"Falta",$L$5:$L$1204,Config!$B$7,$M$5:$M$1204,Config!$B$5)*1000-ROW()/100000,0)</f>
        <v>0</v>
      </c>
    </row>
    <row r="94">
      <c r="A94" s="39" t="n">
        <v>46212</v>
      </c>
      <c r="B94" s="40" t="n">
        <v>0.6944444444444444</v>
      </c>
      <c r="C94" s="35" t="inlineStr">
        <is>
          <t>Dr. Paulo Andrade</t>
        </is>
      </c>
      <c r="D94" s="35" t="inlineStr">
        <is>
          <t>Sala 2</t>
        </is>
      </c>
      <c r="E94" s="34" t="inlineStr">
        <is>
          <t>Patrícia Vieira</t>
        </is>
      </c>
      <c r="F94" s="35" t="inlineStr">
        <is>
          <t>Saúde Total</t>
        </is>
      </c>
      <c r="G94" s="35" t="inlineStr">
        <is>
          <t>Consulta</t>
        </is>
      </c>
      <c r="H94" s="35" t="inlineStr">
        <is>
          <t>Realizado</t>
        </is>
      </c>
      <c r="I94" s="35" t="inlineStr">
        <is>
          <t>Convênio</t>
        </is>
      </c>
      <c r="J94" s="35" t="n"/>
      <c r="K94" s="34" t="n"/>
      <c r="L94" s="26">
        <f>IF(A94="","",MONTH(A94))</f>
        <v>7</v>
      </c>
      <c r="M94" s="26">
        <f>IF(A94="","",YEAR(A94))</f>
        <v>2026</v>
      </c>
      <c r="N94" s="26" t="str">
        <f>IF(A94="","",CHOOSE(WEEKDAY(A94,2),"Segunda","Terça","Quarta","Quinta","Sexta","Sábado","Domingo"))</f>
        <v>Quinta</v>
      </c>
      <c r="O94" s="26" t="str">
        <f>IF(B94="","",IF(B94&lt;TIME(12,0,0),"Manhã",IF(B94&lt;TIME(18,0,0),"Tarde","Noite")))</f>
        <v>Tarde</v>
      </c>
      <c r="P94" s="32">
        <f>IF(G94="","",IFERROR(INDEX(Config!$I$5:$I$16,MATCH(G94,Config!$H$5:$H$16,0)),0))</f>
        <v>30</v>
      </c>
      <c r="Q94" s="30">
        <f>IF(OR(H94&lt;&gt;"Realizado",P94="",P94=0),"",A94+P94)</f>
        <v>46242.0</v>
      </c>
      <c r="R94" s="26" t="str">
        <f>IF(Q94="","",IF(COUNTIFS($E$5:$E$1204,E94,$A$5:$A$1204,"&gt;"&amp;A94,$H$5:$H$1204,"&lt;&gt;Falta",$H$5:$H$1204,"&lt;&gt;Cancelado",$H$5:$H$1204,"&lt;&gt;Remarcado")&gt;0,"Sim","Não"))</f>
        <v>Sim</v>
      </c>
      <c r="S94" s="32">
        <f>IF(R94&lt;&gt;"Não","",IF(Q94+Config!$B$9&lt;=Config!$B$8,Config!$B$8-Q94,""))</f>
        <v/>
      </c>
      <c r="T94" s="26">
        <f>IF(S94="","","Sim")</f>
        <v/>
      </c>
      <c r="U94" s="41">
        <f>IF(T94="Sim",S94+ROW()/100000,0)</f>
        <v>0</v>
      </c>
      <c r="V94" s="41">
        <f>IF(AND(H94="Falta",L94=Config!$B$7,M94=Config!$B$5,COUNTIFS($E$5:E94,E94,$H$5:H94,"Falta",$L$5:L94,Config!$B$7,$M$5:M94,Config!$B$5)=1),COUNTIFS($E$5:$E$1204,E94,$H$5:$H$1204,"Falta",$L$5:$L$1204,Config!$B$7,$M$5:$M$1204,Config!$B$5)*1000-ROW()/100000,0)</f>
        <v>0</v>
      </c>
    </row>
    <row r="95">
      <c r="A95" s="39" t="n">
        <v>46212</v>
      </c>
      <c r="B95" s="40" t="n">
        <v>0.7152777777777778</v>
      </c>
      <c r="C95" s="35" t="inlineStr">
        <is>
          <t>Dr. Paulo Andrade</t>
        </is>
      </c>
      <c r="D95" s="35" t="inlineStr">
        <is>
          <t>Sala 2</t>
        </is>
      </c>
      <c r="E95" s="34" t="inlineStr">
        <is>
          <t>Fábio Correia</t>
        </is>
      </c>
      <c r="F95" s="35" t="inlineStr">
        <is>
          <t>Particular</t>
        </is>
      </c>
      <c r="G95" s="35" t="inlineStr">
        <is>
          <t>Consulta</t>
        </is>
      </c>
      <c r="H95" s="35" t="inlineStr">
        <is>
          <t>Realizado</t>
        </is>
      </c>
      <c r="I95" s="35" t="inlineStr">
        <is>
          <t>Cartão de crédito</t>
        </is>
      </c>
      <c r="J95" s="35" t="n"/>
      <c r="K95" s="34" t="n"/>
      <c r="L95" s="26">
        <f>IF(A95="","",MONTH(A95))</f>
        <v>7</v>
      </c>
      <c r="M95" s="26">
        <f>IF(A95="","",YEAR(A95))</f>
        <v>2026</v>
      </c>
      <c r="N95" s="26" t="str">
        <f>IF(A95="","",CHOOSE(WEEKDAY(A95,2),"Segunda","Terça","Quarta","Quinta","Sexta","Sábado","Domingo"))</f>
        <v>Quinta</v>
      </c>
      <c r="O95" s="26" t="str">
        <f>IF(B95="","",IF(B95&lt;TIME(12,0,0),"Manhã",IF(B95&lt;TIME(18,0,0),"Tarde","Noite")))</f>
        <v>Tarde</v>
      </c>
      <c r="P95" s="32">
        <f>IF(G95="","",IFERROR(INDEX(Config!$I$5:$I$16,MATCH(G95,Config!$H$5:$H$16,0)),0))</f>
        <v>30</v>
      </c>
      <c r="Q95" s="30">
        <f>IF(OR(H95&lt;&gt;"Realizado",P95="",P95=0),"",A95+P95)</f>
        <v>46242.0</v>
      </c>
      <c r="R95" s="26" t="str">
        <f>IF(Q95="","",IF(COUNTIFS($E$5:$E$1204,E95,$A$5:$A$1204,"&gt;"&amp;A95,$H$5:$H$1204,"&lt;&gt;Falta",$H$5:$H$1204,"&lt;&gt;Cancelado",$H$5:$H$1204,"&lt;&gt;Remarcado")&gt;0,"Sim","Não"))</f>
        <v>Sim</v>
      </c>
      <c r="S95" s="32">
        <f>IF(R95&lt;&gt;"Não","",IF(Q95+Config!$B$9&lt;=Config!$B$8,Config!$B$8-Q95,""))</f>
        <v/>
      </c>
      <c r="T95" s="26">
        <f>IF(S95="","","Sim")</f>
        <v/>
      </c>
      <c r="U95" s="41">
        <f>IF(T95="Sim",S95+ROW()/100000,0)</f>
        <v>0</v>
      </c>
      <c r="V95" s="41">
        <f>IF(AND(H95="Falta",L95=Config!$B$7,M95=Config!$B$5,COUNTIFS($E$5:E95,E95,$H$5:H95,"Falta",$L$5:L95,Config!$B$7,$M$5:M95,Config!$B$5)=1),COUNTIFS($E$5:$E$1204,E95,$H$5:$H$1204,"Falta",$L$5:$L$1204,Config!$B$7,$M$5:$M$1204,Config!$B$5)*1000-ROW()/100000,0)</f>
        <v>0</v>
      </c>
    </row>
    <row r="96">
      <c r="A96" s="39" t="n">
        <v>46212</v>
      </c>
      <c r="B96" s="40" t="n">
        <v>0.7222222222222222</v>
      </c>
      <c r="C96" s="35" t="inlineStr">
        <is>
          <t>Dra. Renata Sousa</t>
        </is>
      </c>
      <c r="D96" s="35" t="inlineStr">
        <is>
          <t>Sala 1</t>
        </is>
      </c>
      <c r="E96" s="34" t="inlineStr">
        <is>
          <t>Gisele Lopes</t>
        </is>
      </c>
      <c r="F96" s="35" t="inlineStr">
        <is>
          <t>Saúde Total</t>
        </is>
      </c>
      <c r="G96" s="35" t="inlineStr">
        <is>
          <t>Avaliação endócrina</t>
        </is>
      </c>
      <c r="H96" s="35" t="inlineStr">
        <is>
          <t>Realizado</t>
        </is>
      </c>
      <c r="I96" s="35" t="inlineStr">
        <is>
          <t>Convênio</t>
        </is>
      </c>
      <c r="J96" s="35" t="n"/>
      <c r="K96" s="34" t="n"/>
      <c r="L96" s="26">
        <f>IF(A96="","",MONTH(A96))</f>
        <v>7</v>
      </c>
      <c r="M96" s="26">
        <f>IF(A96="","",YEAR(A96))</f>
        <v>2026</v>
      </c>
      <c r="N96" s="26" t="str">
        <f>IF(A96="","",CHOOSE(WEEKDAY(A96,2),"Segunda","Terça","Quarta","Quinta","Sexta","Sábado","Domingo"))</f>
        <v>Quinta</v>
      </c>
      <c r="O96" s="26" t="str">
        <f>IF(B96="","",IF(B96&lt;TIME(12,0,0),"Manhã",IF(B96&lt;TIME(18,0,0),"Tarde","Noite")))</f>
        <v>Tarde</v>
      </c>
      <c r="P96" s="32">
        <f>IF(G96="","",IFERROR(INDEX(Config!$I$5:$I$16,MATCH(G96,Config!$H$5:$H$16,0)),0))</f>
        <v>45</v>
      </c>
      <c r="Q96" s="30">
        <f>IF(OR(H96&lt;&gt;"Realizado",P96="",P96=0),"",A96+P96)</f>
        <v>46257.0</v>
      </c>
      <c r="R96" s="26" t="str">
        <f>IF(Q96="","",IF(COUNTIFS($E$5:$E$1204,E96,$A$5:$A$1204,"&gt;"&amp;A96,$H$5:$H$1204,"&lt;&gt;Falta",$H$5:$H$1204,"&lt;&gt;Cancelado",$H$5:$H$1204,"&lt;&gt;Remarcado")&gt;0,"Sim","Não"))</f>
        <v>Sim</v>
      </c>
      <c r="S96" s="32">
        <f>IF(R96&lt;&gt;"Não","",IF(Q96+Config!$B$9&lt;=Config!$B$8,Config!$B$8-Q96,""))</f>
        <v/>
      </c>
      <c r="T96" s="26">
        <f>IF(S96="","","Sim")</f>
        <v/>
      </c>
      <c r="U96" s="41">
        <f>IF(T96="Sim",S96+ROW()/100000,0)</f>
        <v>0</v>
      </c>
      <c r="V96" s="41">
        <f>IF(AND(H96="Falta",L96=Config!$B$7,M96=Config!$B$5,COUNTIFS($E$5:E96,E96,$H$5:H96,"Falta",$L$5:L96,Config!$B$7,$M$5:M96,Config!$B$5)=1),COUNTIFS($E$5:$E$1204,E96,$H$5:$H$1204,"Falta",$L$5:$L$1204,Config!$B$7,$M$5:$M$1204,Config!$B$5)*1000-ROW()/100000,0)</f>
        <v>0</v>
      </c>
    </row>
    <row r="97">
      <c r="A97" s="39" t="n">
        <v>46212</v>
      </c>
      <c r="B97" s="40" t="n">
        <v>0.7361111111111112</v>
      </c>
      <c r="C97" s="35" t="inlineStr">
        <is>
          <t>Dr. Paulo Andrade</t>
        </is>
      </c>
      <c r="D97" s="35" t="inlineStr">
        <is>
          <t>Sala 2</t>
        </is>
      </c>
      <c r="E97" s="34" t="inlineStr">
        <is>
          <t>Gustavo Ferreira</t>
        </is>
      </c>
      <c r="F97" s="35" t="inlineStr">
        <is>
          <t>Particular</t>
        </is>
      </c>
      <c r="G97" s="35" t="inlineStr">
        <is>
          <t>Holter</t>
        </is>
      </c>
      <c r="H97" s="35" t="inlineStr">
        <is>
          <t>Realizado</t>
        </is>
      </c>
      <c r="I97" s="35" t="inlineStr">
        <is>
          <t>Pix</t>
        </is>
      </c>
      <c r="J97" s="35" t="n"/>
      <c r="K97" s="34" t="n"/>
      <c r="L97" s="26">
        <f>IF(A97="","",MONTH(A97))</f>
        <v>7</v>
      </c>
      <c r="M97" s="26">
        <f>IF(A97="","",YEAR(A97))</f>
        <v>2026</v>
      </c>
      <c r="N97" s="26" t="str">
        <f>IF(A97="","",CHOOSE(WEEKDAY(A97,2),"Segunda","Terça","Quarta","Quinta","Sexta","Sábado","Domingo"))</f>
        <v>Quinta</v>
      </c>
      <c r="O97" s="26" t="str">
        <f>IF(B97="","",IF(B97&lt;TIME(12,0,0),"Manhã",IF(B97&lt;TIME(18,0,0),"Tarde","Noite")))</f>
        <v>Tarde</v>
      </c>
      <c r="P97" s="32">
        <f>IF(G97="","",IFERROR(INDEX(Config!$I$5:$I$16,MATCH(G97,Config!$H$5:$H$16,0)),0))</f>
        <v>0</v>
      </c>
      <c r="Q97" s="30">
        <f>IF(OR(H97&lt;&gt;"Realizado",P97="",P97=0),"",A97+P97)</f>
        <v/>
      </c>
      <c r="R97" s="26">
        <f>IF(Q97="","",IF(COUNTIFS($E$5:$E$1204,E97,$A$5:$A$1204,"&gt;"&amp;A97,$H$5:$H$1204,"&lt;&gt;Falta",$H$5:$H$1204,"&lt;&gt;Cancelado",$H$5:$H$1204,"&lt;&gt;Remarcado")&gt;0,"Sim","Não"))</f>
        <v/>
      </c>
      <c r="S97" s="32">
        <f>IF(R97&lt;&gt;"Não","",IF(Q97+Config!$B$9&lt;=Config!$B$8,Config!$B$8-Q97,""))</f>
        <v/>
      </c>
      <c r="T97" s="26">
        <f>IF(S97="","","Sim")</f>
        <v/>
      </c>
      <c r="U97" s="41">
        <f>IF(T97="Sim",S97+ROW()/100000,0)</f>
        <v>0</v>
      </c>
      <c r="V97" s="41">
        <f>IF(AND(H97="Falta",L97=Config!$B$7,M97=Config!$B$5,COUNTIFS($E$5:E97,E97,$H$5:H97,"Falta",$L$5:L97,Config!$B$7,$M$5:M97,Config!$B$5)=1),COUNTIFS($E$5:$E$1204,E97,$H$5:$H$1204,"Falta",$L$5:$L$1204,Config!$B$7,$M$5:$M$1204,Config!$B$5)*1000-ROW()/100000,0)</f>
        <v>0</v>
      </c>
    </row>
    <row r="98">
      <c r="A98" s="39" t="n">
        <v>46213</v>
      </c>
      <c r="B98" s="40" t="n">
        <v>0.3333333333333333</v>
      </c>
      <c r="C98" s="35" t="inlineStr">
        <is>
          <t>Dr. Paulo Andrade</t>
        </is>
      </c>
      <c r="D98" s="35" t="inlineStr">
        <is>
          <t>Sala 2</t>
        </is>
      </c>
      <c r="E98" s="34" t="inlineStr">
        <is>
          <t>Débora Machado</t>
        </is>
      </c>
      <c r="F98" s="35" t="inlineStr">
        <is>
          <t>Saúde Total</t>
        </is>
      </c>
      <c r="G98" s="35" t="inlineStr">
        <is>
          <t>ECG</t>
        </is>
      </c>
      <c r="H98" s="35" t="inlineStr">
        <is>
          <t>Realizado</t>
        </is>
      </c>
      <c r="I98" s="35" t="inlineStr">
        <is>
          <t>Convênio</t>
        </is>
      </c>
      <c r="J98" s="35" t="n"/>
      <c r="K98" s="34" t="n"/>
      <c r="L98" s="26">
        <f>IF(A98="","",MONTH(A98))</f>
        <v>7</v>
      </c>
      <c r="M98" s="26">
        <f>IF(A98="","",YEAR(A98))</f>
        <v>2026</v>
      </c>
      <c r="N98" s="26" t="str">
        <f>IF(A98="","",CHOOSE(WEEKDAY(A98,2),"Segunda","Terça","Quarta","Quinta","Sexta","Sábado","Domingo"))</f>
        <v>Sexta</v>
      </c>
      <c r="O98" s="26" t="str">
        <f>IF(B98="","",IF(B98&lt;TIME(12,0,0),"Manhã",IF(B98&lt;TIME(18,0,0),"Tarde","Noite")))</f>
        <v>Manhã</v>
      </c>
      <c r="P98" s="32">
        <f>IF(G98="","",IFERROR(INDEX(Config!$I$5:$I$16,MATCH(G98,Config!$H$5:$H$16,0)),0))</f>
        <v>0</v>
      </c>
      <c r="Q98" s="30">
        <f>IF(OR(H98&lt;&gt;"Realizado",P98="",P98=0),"",A98+P98)</f>
        <v/>
      </c>
      <c r="R98" s="26">
        <f>IF(Q98="","",IF(COUNTIFS($E$5:$E$1204,E98,$A$5:$A$1204,"&gt;"&amp;A98,$H$5:$H$1204,"&lt;&gt;Falta",$H$5:$H$1204,"&lt;&gt;Cancelado",$H$5:$H$1204,"&lt;&gt;Remarcado")&gt;0,"Sim","Não"))</f>
        <v/>
      </c>
      <c r="S98" s="32">
        <f>IF(R98&lt;&gt;"Não","",IF(Q98+Config!$B$9&lt;=Config!$B$8,Config!$B$8-Q98,""))</f>
        <v/>
      </c>
      <c r="T98" s="26">
        <f>IF(S98="","","Sim")</f>
        <v/>
      </c>
      <c r="U98" s="41">
        <f>IF(T98="Sim",S98+ROW()/100000,0)</f>
        <v>0</v>
      </c>
      <c r="V98" s="41">
        <f>IF(AND(H98="Falta",L98=Config!$B$7,M98=Config!$B$5,COUNTIFS($E$5:E98,E98,$H$5:H98,"Falta",$L$5:L98,Config!$B$7,$M$5:M98,Config!$B$5)=1),COUNTIFS($E$5:$E$1204,E98,$H$5:$H$1204,"Falta",$L$5:$L$1204,Config!$B$7,$M$5:$M$1204,Config!$B$5)*1000-ROW()/100000,0)</f>
        <v>0</v>
      </c>
    </row>
    <row r="99">
      <c r="A99" s="39" t="n">
        <v>46213</v>
      </c>
      <c r="B99" s="40" t="n">
        <v>0.3472222222222222</v>
      </c>
      <c r="C99" s="35" t="inlineStr">
        <is>
          <t>Dr. Paulo Andrade</t>
        </is>
      </c>
      <c r="D99" s="35" t="inlineStr">
        <is>
          <t>Sala 2</t>
        </is>
      </c>
      <c r="E99" s="34" t="inlineStr">
        <is>
          <t>Patrícia Correia</t>
        </is>
      </c>
      <c r="F99" s="35" t="inlineStr">
        <is>
          <t>Saúde Total</t>
        </is>
      </c>
      <c r="G99" s="35" t="inlineStr">
        <is>
          <t>Consulta</t>
        </is>
      </c>
      <c r="H99" s="35" t="inlineStr">
        <is>
          <t>Realizado</t>
        </is>
      </c>
      <c r="I99" s="35" t="inlineStr">
        <is>
          <t>Convênio</t>
        </is>
      </c>
      <c r="J99" s="35" t="n"/>
      <c r="K99" s="34" t="n"/>
      <c r="L99" s="26">
        <f>IF(A99="","",MONTH(A99))</f>
        <v>7</v>
      </c>
      <c r="M99" s="26">
        <f>IF(A99="","",YEAR(A99))</f>
        <v>2026</v>
      </c>
      <c r="N99" s="26" t="str">
        <f>IF(A99="","",CHOOSE(WEEKDAY(A99,2),"Segunda","Terça","Quarta","Quinta","Sexta","Sábado","Domingo"))</f>
        <v>Sexta</v>
      </c>
      <c r="O99" s="26" t="str">
        <f>IF(B99="","",IF(B99&lt;TIME(12,0,0),"Manhã",IF(B99&lt;TIME(18,0,0),"Tarde","Noite")))</f>
        <v>Manhã</v>
      </c>
      <c r="P99" s="32">
        <f>IF(G99="","",IFERROR(INDEX(Config!$I$5:$I$16,MATCH(G99,Config!$H$5:$H$16,0)),0))</f>
        <v>30</v>
      </c>
      <c r="Q99" s="30">
        <f>IF(OR(H99&lt;&gt;"Realizado",P99="",P99=0),"",A99+P99)</f>
        <v>46243.0</v>
      </c>
      <c r="R99" s="26" t="str">
        <f>IF(Q99="","",IF(COUNTIFS($E$5:$E$1204,E99,$A$5:$A$1204,"&gt;"&amp;A99,$H$5:$H$1204,"&lt;&gt;Falta",$H$5:$H$1204,"&lt;&gt;Cancelado",$H$5:$H$1204,"&lt;&gt;Remarcado")&gt;0,"Sim","Não"))</f>
        <v>Sim</v>
      </c>
      <c r="S99" s="32">
        <f>IF(R99&lt;&gt;"Não","",IF(Q99+Config!$B$9&lt;=Config!$B$8,Config!$B$8-Q99,""))</f>
        <v/>
      </c>
      <c r="T99" s="26">
        <f>IF(S99="","","Sim")</f>
        <v/>
      </c>
      <c r="U99" s="41">
        <f>IF(T99="Sim",S99+ROW()/100000,0)</f>
        <v>0</v>
      </c>
      <c r="V99" s="41">
        <f>IF(AND(H99="Falta",L99=Config!$B$7,M99=Config!$B$5,COUNTIFS($E$5:E99,E99,$H$5:H99,"Falta",$L$5:L99,Config!$B$7,$M$5:M99,Config!$B$5)=1),COUNTIFS($E$5:$E$1204,E99,$H$5:$H$1204,"Falta",$L$5:$L$1204,Config!$B$7,$M$5:$M$1204,Config!$B$5)*1000-ROW()/100000,0)</f>
        <v>0</v>
      </c>
    </row>
    <row r="100">
      <c r="A100" s="39" t="n">
        <v>46213</v>
      </c>
      <c r="B100" s="40" t="n">
        <v>0.3680555555555556</v>
      </c>
      <c r="C100" s="35" t="inlineStr">
        <is>
          <t>Dr. Paulo Andrade</t>
        </is>
      </c>
      <c r="D100" s="35" t="inlineStr">
        <is>
          <t>Sala 2</t>
        </is>
      </c>
      <c r="E100" s="34" t="inlineStr">
        <is>
          <t>Mônica Batista</t>
        </is>
      </c>
      <c r="F100" s="35" t="inlineStr">
        <is>
          <t>MediPlan</t>
        </is>
      </c>
      <c r="G100" s="35" t="inlineStr">
        <is>
          <t>ECG</t>
        </is>
      </c>
      <c r="H100" s="35" t="inlineStr">
        <is>
          <t>Realizado</t>
        </is>
      </c>
      <c r="I100" s="35" t="inlineStr">
        <is>
          <t>Convênio</t>
        </is>
      </c>
      <c r="J100" s="35" t="n"/>
      <c r="K100" s="34" t="n"/>
      <c r="L100" s="26">
        <f>IF(A100="","",MONTH(A100))</f>
        <v>7</v>
      </c>
      <c r="M100" s="26">
        <f>IF(A100="","",YEAR(A100))</f>
        <v>2026</v>
      </c>
      <c r="N100" s="26" t="str">
        <f>IF(A100="","",CHOOSE(WEEKDAY(A100,2),"Segunda","Terça","Quarta","Quinta","Sexta","Sábado","Domingo"))</f>
        <v>Sexta</v>
      </c>
      <c r="O100" s="26" t="str">
        <f>IF(B100="","",IF(B100&lt;TIME(12,0,0),"Manhã",IF(B100&lt;TIME(18,0,0),"Tarde","Noite")))</f>
        <v>Manhã</v>
      </c>
      <c r="P100" s="32">
        <f>IF(G100="","",IFERROR(INDEX(Config!$I$5:$I$16,MATCH(G100,Config!$H$5:$H$16,0)),0))</f>
        <v>0</v>
      </c>
      <c r="Q100" s="30">
        <f>IF(OR(H100&lt;&gt;"Realizado",P100="",P100=0),"",A100+P100)</f>
        <v/>
      </c>
      <c r="R100" s="26">
        <f>IF(Q100="","",IF(COUNTIFS($E$5:$E$1204,E100,$A$5:$A$1204,"&gt;"&amp;A100,$H$5:$H$1204,"&lt;&gt;Falta",$H$5:$H$1204,"&lt;&gt;Cancelado",$H$5:$H$1204,"&lt;&gt;Remarcado")&gt;0,"Sim","Não"))</f>
        <v/>
      </c>
      <c r="S100" s="32">
        <f>IF(R100&lt;&gt;"Não","",IF(Q100+Config!$B$9&lt;=Config!$B$8,Config!$B$8-Q100,""))</f>
        <v/>
      </c>
      <c r="T100" s="26">
        <f>IF(S100="","","Sim")</f>
        <v/>
      </c>
      <c r="U100" s="41">
        <f>IF(T100="Sim",S100+ROW()/100000,0)</f>
        <v>0</v>
      </c>
      <c r="V100" s="41">
        <f>IF(AND(H100="Falta",L100=Config!$B$7,M100=Config!$B$5,COUNTIFS($E$5:E100,E100,$H$5:H100,"Falta",$L$5:L100,Config!$B$7,$M$5:M100,Config!$B$5)=1),COUNTIFS($E$5:$E$1204,E100,$H$5:$H$1204,"Falta",$L$5:$L$1204,Config!$B$7,$M$5:$M$1204,Config!$B$5)*1000-ROW()/100000,0)</f>
        <v>0</v>
      </c>
    </row>
    <row r="101">
      <c r="A101" s="39" t="n">
        <v>46213</v>
      </c>
      <c r="B101" s="40" t="n">
        <v>0.3819444444444444</v>
      </c>
      <c r="C101" s="35" t="inlineStr">
        <is>
          <t>Dr. Paulo Andrade</t>
        </is>
      </c>
      <c r="D101" s="35" t="inlineStr">
        <is>
          <t>Sala 2</t>
        </is>
      </c>
      <c r="E101" s="34" t="inlineStr">
        <is>
          <t>Mateus Dias</t>
        </is>
      </c>
      <c r="F101" s="35" t="inlineStr">
        <is>
          <t>Saúde Total</t>
        </is>
      </c>
      <c r="G101" s="35" t="inlineStr">
        <is>
          <t>Consulta</t>
        </is>
      </c>
      <c r="H101" s="35" t="inlineStr">
        <is>
          <t>Realizado</t>
        </is>
      </c>
      <c r="I101" s="35" t="inlineStr">
        <is>
          <t>Convênio</t>
        </is>
      </c>
      <c r="J101" s="35" t="n"/>
      <c r="K101" s="34" t="n"/>
      <c r="L101" s="26">
        <f>IF(A101="","",MONTH(A101))</f>
        <v>7</v>
      </c>
      <c r="M101" s="26">
        <f>IF(A101="","",YEAR(A101))</f>
        <v>2026</v>
      </c>
      <c r="N101" s="26" t="str">
        <f>IF(A101="","",CHOOSE(WEEKDAY(A101,2),"Segunda","Terça","Quarta","Quinta","Sexta","Sábado","Domingo"))</f>
        <v>Sexta</v>
      </c>
      <c r="O101" s="26" t="str">
        <f>IF(B101="","",IF(B101&lt;TIME(12,0,0),"Manhã",IF(B101&lt;TIME(18,0,0),"Tarde","Noite")))</f>
        <v>Manhã</v>
      </c>
      <c r="P101" s="32">
        <f>IF(G101="","",IFERROR(INDEX(Config!$I$5:$I$16,MATCH(G101,Config!$H$5:$H$16,0)),0))</f>
        <v>30</v>
      </c>
      <c r="Q101" s="30">
        <f>IF(OR(H101&lt;&gt;"Realizado",P101="",P101=0),"",A101+P101)</f>
        <v>46243.0</v>
      </c>
      <c r="R101" s="26" t="str">
        <f>IF(Q101="","",IF(COUNTIFS($E$5:$E$1204,E101,$A$5:$A$1204,"&gt;"&amp;A101,$H$5:$H$1204,"&lt;&gt;Falta",$H$5:$H$1204,"&lt;&gt;Cancelado",$H$5:$H$1204,"&lt;&gt;Remarcado")&gt;0,"Sim","Não"))</f>
        <v>Sim</v>
      </c>
      <c r="S101" s="32">
        <f>IF(R101&lt;&gt;"Não","",IF(Q101+Config!$B$9&lt;=Config!$B$8,Config!$B$8-Q101,""))</f>
        <v/>
      </c>
      <c r="T101" s="26">
        <f>IF(S101="","","Sim")</f>
        <v/>
      </c>
      <c r="U101" s="41">
        <f>IF(T101="Sim",S101+ROW()/100000,0)</f>
        <v>0</v>
      </c>
      <c r="V101" s="41">
        <f>IF(AND(H101="Falta",L101=Config!$B$7,M101=Config!$B$5,COUNTIFS($E$5:E101,E101,$H$5:H101,"Falta",$L$5:L101,Config!$B$7,$M$5:M101,Config!$B$5)=1),COUNTIFS($E$5:$E$1204,E101,$H$5:$H$1204,"Falta",$L$5:$L$1204,Config!$B$7,$M$5:$M$1204,Config!$B$5)*1000-ROW()/100000,0)</f>
        <v>0</v>
      </c>
    </row>
    <row r="102">
      <c r="A102" s="39" t="n">
        <v>46213</v>
      </c>
      <c r="B102" s="40" t="n">
        <v>0.4027777777777778</v>
      </c>
      <c r="C102" s="35" t="inlineStr">
        <is>
          <t>Dr. Paulo Andrade</t>
        </is>
      </c>
      <c r="D102" s="35" t="inlineStr">
        <is>
          <t>Sala 2</t>
        </is>
      </c>
      <c r="E102" s="34" t="inlineStr">
        <is>
          <t>Wagner Costa</t>
        </is>
      </c>
      <c r="F102" s="35" t="inlineStr">
        <is>
          <t>Particular</t>
        </is>
      </c>
      <c r="G102" s="35" t="inlineStr">
        <is>
          <t>Consulta</t>
        </is>
      </c>
      <c r="H102" s="35" t="inlineStr">
        <is>
          <t>Realizado</t>
        </is>
      </c>
      <c r="I102" s="35" t="inlineStr">
        <is>
          <t>Cartão de débito</t>
        </is>
      </c>
      <c r="J102" s="35" t="n"/>
      <c r="K102" s="34" t="n"/>
      <c r="L102" s="26">
        <f>IF(A102="","",MONTH(A102))</f>
        <v>7</v>
      </c>
      <c r="M102" s="26">
        <f>IF(A102="","",YEAR(A102))</f>
        <v>2026</v>
      </c>
      <c r="N102" s="26" t="str">
        <f>IF(A102="","",CHOOSE(WEEKDAY(A102,2),"Segunda","Terça","Quarta","Quinta","Sexta","Sábado","Domingo"))</f>
        <v>Sexta</v>
      </c>
      <c r="O102" s="26" t="str">
        <f>IF(B102="","",IF(B102&lt;TIME(12,0,0),"Manhã",IF(B102&lt;TIME(18,0,0),"Tarde","Noite")))</f>
        <v>Manhã</v>
      </c>
      <c r="P102" s="32">
        <f>IF(G102="","",IFERROR(INDEX(Config!$I$5:$I$16,MATCH(G102,Config!$H$5:$H$16,0)),0))</f>
        <v>30</v>
      </c>
      <c r="Q102" s="30">
        <f>IF(OR(H102&lt;&gt;"Realizado",P102="",P102=0),"",A102+P102)</f>
        <v>46243.0</v>
      </c>
      <c r="R102" s="26" t="str">
        <f>IF(Q102="","",IF(COUNTIFS($E$5:$E$1204,E102,$A$5:$A$1204,"&gt;"&amp;A102,$H$5:$H$1204,"&lt;&gt;Falta",$H$5:$H$1204,"&lt;&gt;Cancelado",$H$5:$H$1204,"&lt;&gt;Remarcado")&gt;0,"Sim","Não"))</f>
        <v>Sim</v>
      </c>
      <c r="S102" s="32">
        <f>IF(R102&lt;&gt;"Não","",IF(Q102+Config!$B$9&lt;=Config!$B$8,Config!$B$8-Q102,""))</f>
        <v/>
      </c>
      <c r="T102" s="26">
        <f>IF(S102="","","Sim")</f>
        <v/>
      </c>
      <c r="U102" s="41">
        <f>IF(T102="Sim",S102+ROW()/100000,0)</f>
        <v>0</v>
      </c>
      <c r="V102" s="41">
        <f>IF(AND(H102="Falta",L102=Config!$B$7,M102=Config!$B$5,COUNTIFS($E$5:E102,E102,$H$5:H102,"Falta",$L$5:L102,Config!$B$7,$M$5:M102,Config!$B$5)=1),COUNTIFS($E$5:$E$1204,E102,$H$5:$H$1204,"Falta",$L$5:$L$1204,Config!$B$7,$M$5:$M$1204,Config!$B$5)*1000-ROW()/100000,0)</f>
        <v>0</v>
      </c>
    </row>
    <row r="103">
      <c r="A103" s="39" t="n">
        <v>46213</v>
      </c>
      <c r="B103" s="40" t="n">
        <v>0.4236111111111111</v>
      </c>
      <c r="C103" s="35" t="inlineStr">
        <is>
          <t>Dr. Paulo Andrade</t>
        </is>
      </c>
      <c r="D103" s="35" t="inlineStr">
        <is>
          <t>Sala 2</t>
        </is>
      </c>
      <c r="E103" s="34" t="inlineStr">
        <is>
          <t>Helena Ribeiro</t>
        </is>
      </c>
      <c r="F103" s="35" t="inlineStr">
        <is>
          <t>MediPlan</t>
        </is>
      </c>
      <c r="G103" s="35" t="inlineStr">
        <is>
          <t>Consulta</t>
        </is>
      </c>
      <c r="H103" s="35" t="inlineStr">
        <is>
          <t>Realizado</t>
        </is>
      </c>
      <c r="I103" s="35" t="inlineStr">
        <is>
          <t>Convênio</t>
        </is>
      </c>
      <c r="J103" s="35" t="n"/>
      <c r="K103" s="34" t="n"/>
      <c r="L103" s="26">
        <f>IF(A103="","",MONTH(A103))</f>
        <v>7</v>
      </c>
      <c r="M103" s="26">
        <f>IF(A103="","",YEAR(A103))</f>
        <v>2026</v>
      </c>
      <c r="N103" s="26" t="str">
        <f>IF(A103="","",CHOOSE(WEEKDAY(A103,2),"Segunda","Terça","Quarta","Quinta","Sexta","Sábado","Domingo"))</f>
        <v>Sexta</v>
      </c>
      <c r="O103" s="26" t="str">
        <f>IF(B103="","",IF(B103&lt;TIME(12,0,0),"Manhã",IF(B103&lt;TIME(18,0,0),"Tarde","Noite")))</f>
        <v>Manhã</v>
      </c>
      <c r="P103" s="32">
        <f>IF(G103="","",IFERROR(INDEX(Config!$I$5:$I$16,MATCH(G103,Config!$H$5:$H$16,0)),0))</f>
        <v>30</v>
      </c>
      <c r="Q103" s="30">
        <f>IF(OR(H103&lt;&gt;"Realizado",P103="",P103=0),"",A103+P103)</f>
        <v>46243.0</v>
      </c>
      <c r="R103" s="26" t="str">
        <f>IF(Q103="","",IF(COUNTIFS($E$5:$E$1204,E103,$A$5:$A$1204,"&gt;"&amp;A103,$H$5:$H$1204,"&lt;&gt;Falta",$H$5:$H$1204,"&lt;&gt;Cancelado",$H$5:$H$1204,"&lt;&gt;Remarcado")&gt;0,"Sim","Não"))</f>
        <v>Sim</v>
      </c>
      <c r="S103" s="32">
        <f>IF(R103&lt;&gt;"Não","",IF(Q103+Config!$B$9&lt;=Config!$B$8,Config!$B$8-Q103,""))</f>
        <v/>
      </c>
      <c r="T103" s="26">
        <f>IF(S103="","","Sim")</f>
        <v/>
      </c>
      <c r="U103" s="41">
        <f>IF(T103="Sim",S103+ROW()/100000,0)</f>
        <v>0</v>
      </c>
      <c r="V103" s="41">
        <f>IF(AND(H103="Falta",L103=Config!$B$7,M103=Config!$B$5,COUNTIFS($E$5:E103,E103,$H$5:H103,"Falta",$L$5:L103,Config!$B$7,$M$5:M103,Config!$B$5)=1),COUNTIFS($E$5:$E$1204,E103,$H$5:$H$1204,"Falta",$L$5:$L$1204,Config!$B$7,$M$5:$M$1204,Config!$B$5)*1000-ROW()/100000,0)</f>
        <v>0</v>
      </c>
    </row>
    <row r="104">
      <c r="A104" s="39" t="n">
        <v>46213</v>
      </c>
      <c r="B104" s="40" t="n">
        <v>0.4444444444444444</v>
      </c>
      <c r="C104" s="35" t="inlineStr">
        <is>
          <t>Dr. Paulo Andrade</t>
        </is>
      </c>
      <c r="D104" s="35" t="inlineStr">
        <is>
          <t>Sala 2</t>
        </is>
      </c>
      <c r="E104" s="34" t="inlineStr">
        <is>
          <t>Sandra Cardoso</t>
        </is>
      </c>
      <c r="F104" s="35" t="inlineStr">
        <is>
          <t>Saúde Total</t>
        </is>
      </c>
      <c r="G104" s="35" t="inlineStr">
        <is>
          <t>Consulta</t>
        </is>
      </c>
      <c r="H104" s="35" t="inlineStr">
        <is>
          <t>Remarcado</t>
        </is>
      </c>
      <c r="I104" s="35" t="n"/>
      <c r="J104" s="35" t="n"/>
      <c r="K104" s="34" t="inlineStr">
        <is>
          <t>Paciente pediu outra data</t>
        </is>
      </c>
      <c r="L104" s="26">
        <f>IF(A104="","",MONTH(A104))</f>
        <v>7</v>
      </c>
      <c r="M104" s="26">
        <f>IF(A104="","",YEAR(A104))</f>
        <v>2026</v>
      </c>
      <c r="N104" s="26" t="str">
        <f>IF(A104="","",CHOOSE(WEEKDAY(A104,2),"Segunda","Terça","Quarta","Quinta","Sexta","Sábado","Domingo"))</f>
        <v>Sexta</v>
      </c>
      <c r="O104" s="26" t="str">
        <f>IF(B104="","",IF(B104&lt;TIME(12,0,0),"Manhã",IF(B104&lt;TIME(18,0,0),"Tarde","Noite")))</f>
        <v>Manhã</v>
      </c>
      <c r="P104" s="32">
        <f>IF(G104="","",IFERROR(INDEX(Config!$I$5:$I$16,MATCH(G104,Config!$H$5:$H$16,0)),0))</f>
        <v>30</v>
      </c>
      <c r="Q104" s="30">
        <f>IF(OR(H104&lt;&gt;"Realizado",P104="",P104=0),"",A104+P104)</f>
        <v/>
      </c>
      <c r="R104" s="26">
        <f>IF(Q104="","",IF(COUNTIFS($E$5:$E$1204,E104,$A$5:$A$1204,"&gt;"&amp;A104,$H$5:$H$1204,"&lt;&gt;Falta",$H$5:$H$1204,"&lt;&gt;Cancelado",$H$5:$H$1204,"&lt;&gt;Remarcado")&gt;0,"Sim","Não"))</f>
        <v/>
      </c>
      <c r="S104" s="32">
        <f>IF(R104&lt;&gt;"Não","",IF(Q104+Config!$B$9&lt;=Config!$B$8,Config!$B$8-Q104,""))</f>
        <v/>
      </c>
      <c r="T104" s="26">
        <f>IF(S104="","","Sim")</f>
        <v/>
      </c>
      <c r="U104" s="41">
        <f>IF(T104="Sim",S104+ROW()/100000,0)</f>
        <v>0</v>
      </c>
      <c r="V104" s="41">
        <f>IF(AND(H104="Falta",L104=Config!$B$7,M104=Config!$B$5,COUNTIFS($E$5:E104,E104,$H$5:H104,"Falta",$L$5:L104,Config!$B$7,$M$5:M104,Config!$B$5)=1),COUNTIFS($E$5:$E$1204,E104,$H$5:$H$1204,"Falta",$L$5:$L$1204,Config!$B$7,$M$5:$M$1204,Config!$B$5)*1000-ROW()/100000,0)</f>
        <v>0</v>
      </c>
    </row>
    <row r="105">
      <c r="A105" s="39" t="n">
        <v>46213</v>
      </c>
      <c r="B105" s="40" t="n">
        <v>0.4652777777777778</v>
      </c>
      <c r="C105" s="35" t="inlineStr">
        <is>
          <t>Dr. Paulo Andrade</t>
        </is>
      </c>
      <c r="D105" s="35" t="inlineStr">
        <is>
          <t>Sala 2</t>
        </is>
      </c>
      <c r="E105" s="34" t="inlineStr">
        <is>
          <t>Sandra Cardoso</t>
        </is>
      </c>
      <c r="F105" s="35" t="inlineStr">
        <is>
          <t>Saúde Total</t>
        </is>
      </c>
      <c r="G105" s="35" t="inlineStr">
        <is>
          <t>Consulta</t>
        </is>
      </c>
      <c r="H105" s="35" t="inlineStr">
        <is>
          <t>Realizado</t>
        </is>
      </c>
      <c r="I105" s="35" t="inlineStr">
        <is>
          <t>Convênio</t>
        </is>
      </c>
      <c r="J105" s="35" t="n"/>
      <c r="K105" s="34" t="n"/>
      <c r="L105" s="26">
        <f>IF(A105="","",MONTH(A105))</f>
        <v>7</v>
      </c>
      <c r="M105" s="26">
        <f>IF(A105="","",YEAR(A105))</f>
        <v>2026</v>
      </c>
      <c r="N105" s="26" t="str">
        <f>IF(A105="","",CHOOSE(WEEKDAY(A105,2),"Segunda","Terça","Quarta","Quinta","Sexta","Sábado","Domingo"))</f>
        <v>Sexta</v>
      </c>
      <c r="O105" s="26" t="str">
        <f>IF(B105="","",IF(B105&lt;TIME(12,0,0),"Manhã",IF(B105&lt;TIME(18,0,0),"Tarde","Noite")))</f>
        <v>Manhã</v>
      </c>
      <c r="P105" s="32">
        <f>IF(G105="","",IFERROR(INDEX(Config!$I$5:$I$16,MATCH(G105,Config!$H$5:$H$16,0)),0))</f>
        <v>30</v>
      </c>
      <c r="Q105" s="30">
        <f>IF(OR(H105&lt;&gt;"Realizado",P105="",P105=0),"",A105+P105)</f>
        <v>46243.0</v>
      </c>
      <c r="R105" s="26" t="str">
        <f>IF(Q105="","",IF(COUNTIFS($E$5:$E$1204,E105,$A$5:$A$1204,"&gt;"&amp;A105,$H$5:$H$1204,"&lt;&gt;Falta",$H$5:$H$1204,"&lt;&gt;Cancelado",$H$5:$H$1204,"&lt;&gt;Remarcado")&gt;0,"Sim","Não"))</f>
        <v>Sim</v>
      </c>
      <c r="S105" s="32">
        <f>IF(R105&lt;&gt;"Não","",IF(Q105+Config!$B$9&lt;=Config!$B$8,Config!$B$8-Q105,""))</f>
        <v/>
      </c>
      <c r="T105" s="26">
        <f>IF(S105="","","Sim")</f>
        <v/>
      </c>
      <c r="U105" s="41">
        <f>IF(T105="Sim",S105+ROW()/100000,0)</f>
        <v>0</v>
      </c>
      <c r="V105" s="41">
        <f>IF(AND(H105="Falta",L105=Config!$B$7,M105=Config!$B$5,COUNTIFS($E$5:E105,E105,$H$5:H105,"Falta",$L$5:L105,Config!$B$7,$M$5:M105,Config!$B$5)=1),COUNTIFS($E$5:$E$1204,E105,$H$5:$H$1204,"Falta",$L$5:$L$1204,Config!$B$7,$M$5:$M$1204,Config!$B$5)*1000-ROW()/100000,0)</f>
        <v>0</v>
      </c>
    </row>
    <row r="106">
      <c r="A106" s="39" t="n">
        <v>46213</v>
      </c>
      <c r="B106" s="40" t="n">
        <v>0.4861111111111111</v>
      </c>
      <c r="C106" s="35" t="inlineStr">
        <is>
          <t>Dr. Paulo Andrade</t>
        </is>
      </c>
      <c r="D106" s="35" t="inlineStr">
        <is>
          <t>Sala 2</t>
        </is>
      </c>
      <c r="E106" s="34" t="inlineStr">
        <is>
          <t>Natália Xavier</t>
        </is>
      </c>
      <c r="F106" s="35" t="inlineStr">
        <is>
          <t>MediPlan</t>
        </is>
      </c>
      <c r="G106" s="35" t="inlineStr">
        <is>
          <t>Consulta</t>
        </is>
      </c>
      <c r="H106" s="35" t="inlineStr">
        <is>
          <t>Realizado</t>
        </is>
      </c>
      <c r="I106" s="35" t="inlineStr">
        <is>
          <t>Convênio</t>
        </is>
      </c>
      <c r="J106" s="35" t="n"/>
      <c r="K106" s="34" t="n"/>
      <c r="L106" s="26">
        <f>IF(A106="","",MONTH(A106))</f>
        <v>7</v>
      </c>
      <c r="M106" s="26">
        <f>IF(A106="","",YEAR(A106))</f>
        <v>2026</v>
      </c>
      <c r="N106" s="26" t="str">
        <f>IF(A106="","",CHOOSE(WEEKDAY(A106,2),"Segunda","Terça","Quarta","Quinta","Sexta","Sábado","Domingo"))</f>
        <v>Sexta</v>
      </c>
      <c r="O106" s="26" t="str">
        <f>IF(B106="","",IF(B106&lt;TIME(12,0,0),"Manhã",IF(B106&lt;TIME(18,0,0),"Tarde","Noite")))</f>
        <v>Manhã</v>
      </c>
      <c r="P106" s="32">
        <f>IF(G106="","",IFERROR(INDEX(Config!$I$5:$I$16,MATCH(G106,Config!$H$5:$H$16,0)),0))</f>
        <v>30</v>
      </c>
      <c r="Q106" s="30">
        <f>IF(OR(H106&lt;&gt;"Realizado",P106="",P106=0),"",A106+P106)</f>
        <v>46243.0</v>
      </c>
      <c r="R106" s="26" t="str">
        <f>IF(Q106="","",IF(COUNTIFS($E$5:$E$1204,E106,$A$5:$A$1204,"&gt;"&amp;A106,$H$5:$H$1204,"&lt;&gt;Falta",$H$5:$H$1204,"&lt;&gt;Cancelado",$H$5:$H$1204,"&lt;&gt;Remarcado")&gt;0,"Sim","Não"))</f>
        <v>Sim</v>
      </c>
      <c r="S106" s="32">
        <f>IF(R106&lt;&gt;"Não","",IF(Q106+Config!$B$9&lt;=Config!$B$8,Config!$B$8-Q106,""))</f>
        <v/>
      </c>
      <c r="T106" s="26">
        <f>IF(S106="","","Sim")</f>
        <v/>
      </c>
      <c r="U106" s="41">
        <f>IF(T106="Sim",S106+ROW()/100000,0)</f>
        <v>0</v>
      </c>
      <c r="V106" s="41">
        <f>IF(AND(H106="Falta",L106=Config!$B$7,M106=Config!$B$5,COUNTIFS($E$5:E106,E106,$H$5:H106,"Falta",$L$5:L106,Config!$B$7,$M$5:M106,Config!$B$5)=1),COUNTIFS($E$5:$E$1204,E106,$H$5:$H$1204,"Falta",$L$5:$L$1204,Config!$B$7,$M$5:$M$1204,Config!$B$5)*1000-ROW()/100000,0)</f>
        <v>0</v>
      </c>
    </row>
    <row r="107">
      <c r="A107" s="39" t="n">
        <v>46216</v>
      </c>
      <c r="B107" s="40" t="n">
        <v>0.3333333333333333</v>
      </c>
      <c r="C107" s="35" t="inlineStr">
        <is>
          <t>Dra. Carolina Mendes</t>
        </is>
      </c>
      <c r="D107" s="35" t="inlineStr">
        <is>
          <t>Sala 1</t>
        </is>
      </c>
      <c r="E107" s="34" t="inlineStr">
        <is>
          <t>Ana Costa</t>
        </is>
      </c>
      <c r="F107" s="35" t="inlineStr">
        <is>
          <t>Particular</t>
        </is>
      </c>
      <c r="G107" s="35" t="inlineStr">
        <is>
          <t>Consulta</t>
        </is>
      </c>
      <c r="H107" s="35" t="inlineStr">
        <is>
          <t>Realizado</t>
        </is>
      </c>
      <c r="I107" s="35" t="inlineStr">
        <is>
          <t>Cartão de débito</t>
        </is>
      </c>
      <c r="J107" s="35" t="n"/>
      <c r="K107" s="34" t="n"/>
      <c r="L107" s="26">
        <f>IF(A107="","",MONTH(A107))</f>
        <v>7</v>
      </c>
      <c r="M107" s="26">
        <f>IF(A107="","",YEAR(A107))</f>
        <v>2026</v>
      </c>
      <c r="N107" s="26" t="str">
        <f>IF(A107="","",CHOOSE(WEEKDAY(A107,2),"Segunda","Terça","Quarta","Quinta","Sexta","Sábado","Domingo"))</f>
        <v>Segunda</v>
      </c>
      <c r="O107" s="26" t="str">
        <f>IF(B107="","",IF(B107&lt;TIME(12,0,0),"Manhã",IF(B107&lt;TIME(18,0,0),"Tarde","Noite")))</f>
        <v>Manhã</v>
      </c>
      <c r="P107" s="32">
        <f>IF(G107="","",IFERROR(INDEX(Config!$I$5:$I$16,MATCH(G107,Config!$H$5:$H$16,0)),0))</f>
        <v>30</v>
      </c>
      <c r="Q107" s="30">
        <f>IF(OR(H107&lt;&gt;"Realizado",P107="",P107=0),"",A107+P107)</f>
        <v>46246.0</v>
      </c>
      <c r="R107" s="26" t="str">
        <f>IF(Q107="","",IF(COUNTIFS($E$5:$E$1204,E107,$A$5:$A$1204,"&gt;"&amp;A107,$H$5:$H$1204,"&lt;&gt;Falta",$H$5:$H$1204,"&lt;&gt;Cancelado",$H$5:$H$1204,"&lt;&gt;Remarcado")&gt;0,"Sim","Não"))</f>
        <v>Sim</v>
      </c>
      <c r="S107" s="32">
        <f>IF(R107&lt;&gt;"Não","",IF(Q107+Config!$B$9&lt;=Config!$B$8,Config!$B$8-Q107,""))</f>
        <v/>
      </c>
      <c r="T107" s="26">
        <f>IF(S107="","","Sim")</f>
        <v/>
      </c>
      <c r="U107" s="41">
        <f>IF(T107="Sim",S107+ROW()/100000,0)</f>
        <v>0</v>
      </c>
      <c r="V107" s="41">
        <f>IF(AND(H107="Falta",L107=Config!$B$7,M107=Config!$B$5,COUNTIFS($E$5:E107,E107,$H$5:H107,"Falta",$L$5:L107,Config!$B$7,$M$5:M107,Config!$B$5)=1),COUNTIFS($E$5:$E$1204,E107,$H$5:$H$1204,"Falta",$L$5:$L$1204,Config!$B$7,$M$5:$M$1204,Config!$B$5)*1000-ROW()/100000,0)</f>
        <v>0</v>
      </c>
    </row>
    <row r="108">
      <c r="A108" s="39" t="n">
        <v>46216</v>
      </c>
      <c r="B108" s="40" t="n">
        <v>0.3541666666666667</v>
      </c>
      <c r="C108" s="35" t="inlineStr">
        <is>
          <t>Dra. Carolina Mendes</t>
        </is>
      </c>
      <c r="D108" s="35" t="inlineStr">
        <is>
          <t>Sala 1</t>
        </is>
      </c>
      <c r="E108" s="34" t="inlineStr">
        <is>
          <t>Débora Ramos</t>
        </is>
      </c>
      <c r="F108" s="35" t="inlineStr">
        <is>
          <t>Particular</t>
        </is>
      </c>
      <c r="G108" s="35" t="inlineStr">
        <is>
          <t>Consulta</t>
        </is>
      </c>
      <c r="H108" s="35" t="inlineStr">
        <is>
          <t>Realizado</t>
        </is>
      </c>
      <c r="I108" s="35" t="inlineStr">
        <is>
          <t>Cartão de débito</t>
        </is>
      </c>
      <c r="J108" s="35" t="n"/>
      <c r="K108" s="34" t="n"/>
      <c r="L108" s="26">
        <f>IF(A108="","",MONTH(A108))</f>
        <v>7</v>
      </c>
      <c r="M108" s="26">
        <f>IF(A108="","",YEAR(A108))</f>
        <v>2026</v>
      </c>
      <c r="N108" s="26" t="str">
        <f>IF(A108="","",CHOOSE(WEEKDAY(A108,2),"Segunda","Terça","Quarta","Quinta","Sexta","Sábado","Domingo"))</f>
        <v>Segunda</v>
      </c>
      <c r="O108" s="26" t="str">
        <f>IF(B108="","",IF(B108&lt;TIME(12,0,0),"Manhã",IF(B108&lt;TIME(18,0,0),"Tarde","Noite")))</f>
        <v>Manhã</v>
      </c>
      <c r="P108" s="32">
        <f>IF(G108="","",IFERROR(INDEX(Config!$I$5:$I$16,MATCH(G108,Config!$H$5:$H$16,0)),0))</f>
        <v>30</v>
      </c>
      <c r="Q108" s="30">
        <f>IF(OR(H108&lt;&gt;"Realizado",P108="",P108=0),"",A108+P108)</f>
        <v>46246.0</v>
      </c>
      <c r="R108" s="26" t="str">
        <f>IF(Q108="","",IF(COUNTIFS($E$5:$E$1204,E108,$A$5:$A$1204,"&gt;"&amp;A108,$H$5:$H$1204,"&lt;&gt;Falta",$H$5:$H$1204,"&lt;&gt;Cancelado",$H$5:$H$1204,"&lt;&gt;Remarcado")&gt;0,"Sim","Não"))</f>
        <v>Sim</v>
      </c>
      <c r="S108" s="32">
        <f>IF(R108&lt;&gt;"Não","",IF(Q108+Config!$B$9&lt;=Config!$B$8,Config!$B$8-Q108,""))</f>
        <v/>
      </c>
      <c r="T108" s="26">
        <f>IF(S108="","","Sim")</f>
        <v/>
      </c>
      <c r="U108" s="41">
        <f>IF(T108="Sim",S108+ROW()/100000,0)</f>
        <v>0</v>
      </c>
      <c r="V108" s="41">
        <f>IF(AND(H108="Falta",L108=Config!$B$7,M108=Config!$B$5,COUNTIFS($E$5:E108,E108,$H$5:H108,"Falta",$L$5:L108,Config!$B$7,$M$5:M108,Config!$B$5)=1),COUNTIFS($E$5:$E$1204,E108,$H$5:$H$1204,"Falta",$L$5:$L$1204,Config!$B$7,$M$5:$M$1204,Config!$B$5)*1000-ROW()/100000,0)</f>
        <v>0</v>
      </c>
    </row>
    <row r="109">
      <c r="A109" s="39" t="n">
        <v>46216</v>
      </c>
      <c r="B109" s="40" t="n">
        <v>0.3958333333333333</v>
      </c>
      <c r="C109" s="35" t="inlineStr">
        <is>
          <t>Dra. Carolina Mendes</t>
        </is>
      </c>
      <c r="D109" s="35" t="inlineStr">
        <is>
          <t>Sala 1</t>
        </is>
      </c>
      <c r="E109" s="34" t="inlineStr">
        <is>
          <t>Daniel Almeida</t>
        </is>
      </c>
      <c r="F109" s="35" t="inlineStr">
        <is>
          <t>Saúde Total</t>
        </is>
      </c>
      <c r="G109" s="35" t="inlineStr">
        <is>
          <t>Consulta</t>
        </is>
      </c>
      <c r="H109" s="35" t="inlineStr">
        <is>
          <t>Remarcado</t>
        </is>
      </c>
      <c r="I109" s="35" t="n"/>
      <c r="J109" s="35" t="n"/>
      <c r="K109" s="34" t="inlineStr">
        <is>
          <t>Paciente pediu outra data</t>
        </is>
      </c>
      <c r="L109" s="26">
        <f>IF(A109="","",MONTH(A109))</f>
        <v>7</v>
      </c>
      <c r="M109" s="26">
        <f>IF(A109="","",YEAR(A109))</f>
        <v>2026</v>
      </c>
      <c r="N109" s="26" t="str">
        <f>IF(A109="","",CHOOSE(WEEKDAY(A109,2),"Segunda","Terça","Quarta","Quinta","Sexta","Sábado","Domingo"))</f>
        <v>Segunda</v>
      </c>
      <c r="O109" s="26" t="str">
        <f>IF(B109="","",IF(B109&lt;TIME(12,0,0),"Manhã",IF(B109&lt;TIME(18,0,0),"Tarde","Noite")))</f>
        <v>Manhã</v>
      </c>
      <c r="P109" s="32">
        <f>IF(G109="","",IFERROR(INDEX(Config!$I$5:$I$16,MATCH(G109,Config!$H$5:$H$16,0)),0))</f>
        <v>30</v>
      </c>
      <c r="Q109" s="30">
        <f>IF(OR(H109&lt;&gt;"Realizado",P109="",P109=0),"",A109+P109)</f>
        <v/>
      </c>
      <c r="R109" s="26">
        <f>IF(Q109="","",IF(COUNTIFS($E$5:$E$1204,E109,$A$5:$A$1204,"&gt;"&amp;A109,$H$5:$H$1204,"&lt;&gt;Falta",$H$5:$H$1204,"&lt;&gt;Cancelado",$H$5:$H$1204,"&lt;&gt;Remarcado")&gt;0,"Sim","Não"))</f>
        <v/>
      </c>
      <c r="S109" s="32">
        <f>IF(R109&lt;&gt;"Não","",IF(Q109+Config!$B$9&lt;=Config!$B$8,Config!$B$8-Q109,""))</f>
        <v/>
      </c>
      <c r="T109" s="26">
        <f>IF(S109="","","Sim")</f>
        <v/>
      </c>
      <c r="U109" s="41">
        <f>IF(T109="Sim",S109+ROW()/100000,0)</f>
        <v>0</v>
      </c>
      <c r="V109" s="41">
        <f>IF(AND(H109="Falta",L109=Config!$B$7,M109=Config!$B$5,COUNTIFS($E$5:E109,E109,$H$5:H109,"Falta",$L$5:L109,Config!$B$7,$M$5:M109,Config!$B$5)=1),COUNTIFS($E$5:$E$1204,E109,$H$5:$H$1204,"Falta",$L$5:$L$1204,Config!$B$7,$M$5:$M$1204,Config!$B$5)*1000-ROW()/100000,0)</f>
        <v>0</v>
      </c>
    </row>
    <row r="110">
      <c r="A110" s="39" t="n">
        <v>46216</v>
      </c>
      <c r="B110" s="40" t="n">
        <v>0.4375</v>
      </c>
      <c r="C110" s="35" t="inlineStr">
        <is>
          <t>Dra. Carolina Mendes</t>
        </is>
      </c>
      <c r="D110" s="35" t="inlineStr">
        <is>
          <t>Sala 1</t>
        </is>
      </c>
      <c r="E110" s="34" t="inlineStr">
        <is>
          <t>Rodrigo Moreira</t>
        </is>
      </c>
      <c r="F110" s="35" t="inlineStr">
        <is>
          <t>Particular</t>
        </is>
      </c>
      <c r="G110" s="35" t="inlineStr">
        <is>
          <t>Consulta</t>
        </is>
      </c>
      <c r="H110" s="35" t="inlineStr">
        <is>
          <t>Realizado</t>
        </is>
      </c>
      <c r="I110" s="35" t="inlineStr">
        <is>
          <t>Dinheiro</t>
        </is>
      </c>
      <c r="J110" s="35" t="n"/>
      <c r="K110" s="34" t="n"/>
      <c r="L110" s="26">
        <f>IF(A110="","",MONTH(A110))</f>
        <v>7</v>
      </c>
      <c r="M110" s="26">
        <f>IF(A110="","",YEAR(A110))</f>
        <v>2026</v>
      </c>
      <c r="N110" s="26" t="str">
        <f>IF(A110="","",CHOOSE(WEEKDAY(A110,2),"Segunda","Terça","Quarta","Quinta","Sexta","Sábado","Domingo"))</f>
        <v>Segunda</v>
      </c>
      <c r="O110" s="26" t="str">
        <f>IF(B110="","",IF(B110&lt;TIME(12,0,0),"Manhã",IF(B110&lt;TIME(18,0,0),"Tarde","Noite")))</f>
        <v>Manhã</v>
      </c>
      <c r="P110" s="32">
        <f>IF(G110="","",IFERROR(INDEX(Config!$I$5:$I$16,MATCH(G110,Config!$H$5:$H$16,0)),0))</f>
        <v>30</v>
      </c>
      <c r="Q110" s="30">
        <f>IF(OR(H110&lt;&gt;"Realizado",P110="",P110=0),"",A110+P110)</f>
        <v>46246.0</v>
      </c>
      <c r="R110" s="26" t="str">
        <f>IF(Q110="","",IF(COUNTIFS($E$5:$E$1204,E110,$A$5:$A$1204,"&gt;"&amp;A110,$H$5:$H$1204,"&lt;&gt;Falta",$H$5:$H$1204,"&lt;&gt;Cancelado",$H$5:$H$1204,"&lt;&gt;Remarcado")&gt;0,"Sim","Não"))</f>
        <v>Sim</v>
      </c>
      <c r="S110" s="32">
        <f>IF(R110&lt;&gt;"Não","",IF(Q110+Config!$B$9&lt;=Config!$B$8,Config!$B$8-Q110,""))</f>
        <v/>
      </c>
      <c r="T110" s="26">
        <f>IF(S110="","","Sim")</f>
        <v/>
      </c>
      <c r="U110" s="41">
        <f>IF(T110="Sim",S110+ROW()/100000,0)</f>
        <v>0</v>
      </c>
      <c r="V110" s="41">
        <f>IF(AND(H110="Falta",L110=Config!$B$7,M110=Config!$B$5,COUNTIFS($E$5:E110,E110,$H$5:H110,"Falta",$L$5:L110,Config!$B$7,$M$5:M110,Config!$B$5)=1),COUNTIFS($E$5:$E$1204,E110,$H$5:$H$1204,"Falta",$L$5:$L$1204,Config!$B$7,$M$5:$M$1204,Config!$B$5)*1000-ROW()/100000,0)</f>
        <v>0</v>
      </c>
    </row>
    <row r="111">
      <c r="A111" s="39" t="n">
        <v>46216</v>
      </c>
      <c r="B111" s="40" t="n">
        <v>0.4583333333333333</v>
      </c>
      <c r="C111" s="35" t="inlineStr">
        <is>
          <t>Dra. Carolina Mendes</t>
        </is>
      </c>
      <c r="D111" s="35" t="inlineStr">
        <is>
          <t>Sala 1</t>
        </is>
      </c>
      <c r="E111" s="34" t="inlineStr">
        <is>
          <t>Helena Moreira</t>
        </is>
      </c>
      <c r="F111" s="35" t="inlineStr">
        <is>
          <t>Particular</t>
        </is>
      </c>
      <c r="G111" s="35" t="inlineStr">
        <is>
          <t>Consulta</t>
        </is>
      </c>
      <c r="H111" s="35" t="inlineStr">
        <is>
          <t>Realizado</t>
        </is>
      </c>
      <c r="I111" s="35" t="inlineStr">
        <is>
          <t>A prazo</t>
        </is>
      </c>
      <c r="J111" s="35" t="n"/>
      <c r="K111" s="34" t="n"/>
      <c r="L111" s="26">
        <f>IF(A111="","",MONTH(A111))</f>
        <v>7</v>
      </c>
      <c r="M111" s="26">
        <f>IF(A111="","",YEAR(A111))</f>
        <v>2026</v>
      </c>
      <c r="N111" s="26" t="str">
        <f>IF(A111="","",CHOOSE(WEEKDAY(A111,2),"Segunda","Terça","Quarta","Quinta","Sexta","Sábado","Domingo"))</f>
        <v>Segunda</v>
      </c>
      <c r="O111" s="26" t="str">
        <f>IF(B111="","",IF(B111&lt;TIME(12,0,0),"Manhã",IF(B111&lt;TIME(18,0,0),"Tarde","Noite")))</f>
        <v>Manhã</v>
      </c>
      <c r="P111" s="32">
        <f>IF(G111="","",IFERROR(INDEX(Config!$I$5:$I$16,MATCH(G111,Config!$H$5:$H$16,0)),0))</f>
        <v>30</v>
      </c>
      <c r="Q111" s="30">
        <f>IF(OR(H111&lt;&gt;"Realizado",P111="",P111=0),"",A111+P111)</f>
        <v>46246.0</v>
      </c>
      <c r="R111" s="26" t="str">
        <f>IF(Q111="","",IF(COUNTIFS($E$5:$E$1204,E111,$A$5:$A$1204,"&gt;"&amp;A111,$H$5:$H$1204,"&lt;&gt;Falta",$H$5:$H$1204,"&lt;&gt;Cancelado",$H$5:$H$1204,"&lt;&gt;Remarcado")&gt;0,"Sim","Não"))</f>
        <v>Sim</v>
      </c>
      <c r="S111" s="32">
        <f>IF(R111&lt;&gt;"Não","",IF(Q111+Config!$B$9&lt;=Config!$B$8,Config!$B$8-Q111,""))</f>
        <v/>
      </c>
      <c r="T111" s="26">
        <f>IF(S111="","","Sim")</f>
        <v/>
      </c>
      <c r="U111" s="41">
        <f>IF(T111="Sim",S111+ROW()/100000,0)</f>
        <v>0</v>
      </c>
      <c r="V111" s="41">
        <f>IF(AND(H111="Falta",L111=Config!$B$7,M111=Config!$B$5,COUNTIFS($E$5:E111,E111,$H$5:H111,"Falta",$L$5:L111,Config!$B$7,$M$5:M111,Config!$B$5)=1),COUNTIFS($E$5:$E$1204,E111,$H$5:$H$1204,"Falta",$L$5:$L$1204,Config!$B$7,$M$5:$M$1204,Config!$B$5)*1000-ROW()/100000,0)</f>
        <v>0</v>
      </c>
    </row>
    <row r="112">
      <c r="A112" s="39" t="n">
        <v>46216</v>
      </c>
      <c r="B112" s="40" t="n">
        <v>0.625</v>
      </c>
      <c r="C112" s="35" t="inlineStr">
        <is>
          <t>Dr. Paulo Andrade</t>
        </is>
      </c>
      <c r="D112" s="35" t="inlineStr">
        <is>
          <t>Sala 2</t>
        </is>
      </c>
      <c r="E112" s="34" t="inlineStr">
        <is>
          <t>Gisele Ribeiro</t>
        </is>
      </c>
      <c r="F112" s="35" t="inlineStr">
        <is>
          <t>Particular</t>
        </is>
      </c>
      <c r="G112" s="35" t="inlineStr">
        <is>
          <t>ECG</t>
        </is>
      </c>
      <c r="H112" s="35" t="inlineStr">
        <is>
          <t>Realizado</t>
        </is>
      </c>
      <c r="I112" s="35" t="inlineStr">
        <is>
          <t>Cartão de crédito</t>
        </is>
      </c>
      <c r="J112" s="35" t="n"/>
      <c r="K112" s="34" t="n"/>
      <c r="L112" s="26">
        <f>IF(A112="","",MONTH(A112))</f>
        <v>7</v>
      </c>
      <c r="M112" s="26">
        <f>IF(A112="","",YEAR(A112))</f>
        <v>2026</v>
      </c>
      <c r="N112" s="26" t="str">
        <f>IF(A112="","",CHOOSE(WEEKDAY(A112,2),"Segunda","Terça","Quarta","Quinta","Sexta","Sábado","Domingo"))</f>
        <v>Segunda</v>
      </c>
      <c r="O112" s="26" t="str">
        <f>IF(B112="","",IF(B112&lt;TIME(12,0,0),"Manhã",IF(B112&lt;TIME(18,0,0),"Tarde","Noite")))</f>
        <v>Tarde</v>
      </c>
      <c r="P112" s="32">
        <f>IF(G112="","",IFERROR(INDEX(Config!$I$5:$I$16,MATCH(G112,Config!$H$5:$H$16,0)),0))</f>
        <v>0</v>
      </c>
      <c r="Q112" s="30">
        <f>IF(OR(H112&lt;&gt;"Realizado",P112="",P112=0),"",A112+P112)</f>
        <v/>
      </c>
      <c r="R112" s="26">
        <f>IF(Q112="","",IF(COUNTIFS($E$5:$E$1204,E112,$A$5:$A$1204,"&gt;"&amp;A112,$H$5:$H$1204,"&lt;&gt;Falta",$H$5:$H$1204,"&lt;&gt;Cancelado",$H$5:$H$1204,"&lt;&gt;Remarcado")&gt;0,"Sim","Não"))</f>
        <v/>
      </c>
      <c r="S112" s="32">
        <f>IF(R112&lt;&gt;"Não","",IF(Q112+Config!$B$9&lt;=Config!$B$8,Config!$B$8-Q112,""))</f>
        <v/>
      </c>
      <c r="T112" s="26">
        <f>IF(S112="","","Sim")</f>
        <v/>
      </c>
      <c r="U112" s="41">
        <f>IF(T112="Sim",S112+ROW()/100000,0)</f>
        <v>0</v>
      </c>
      <c r="V112" s="41">
        <f>IF(AND(H112="Falta",L112=Config!$B$7,M112=Config!$B$5,COUNTIFS($E$5:E112,E112,$H$5:H112,"Falta",$L$5:L112,Config!$B$7,$M$5:M112,Config!$B$5)=1),COUNTIFS($E$5:$E$1204,E112,$H$5:$H$1204,"Falta",$L$5:$L$1204,Config!$B$7,$M$5:$M$1204,Config!$B$5)*1000-ROW()/100000,0)</f>
        <v>0</v>
      </c>
    </row>
    <row r="113">
      <c r="A113" s="39" t="n">
        <v>46216</v>
      </c>
      <c r="B113" s="40" t="n">
        <v>0.6388888888888888</v>
      </c>
      <c r="C113" s="35" t="inlineStr">
        <is>
          <t>Dr. Paulo Andrade</t>
        </is>
      </c>
      <c r="D113" s="35" t="inlineStr">
        <is>
          <t>Sala 2</t>
        </is>
      </c>
      <c r="E113" s="34" t="inlineStr">
        <is>
          <t>Henrique Ribeiro</t>
        </is>
      </c>
      <c r="F113" s="35" t="inlineStr">
        <is>
          <t>Particular</t>
        </is>
      </c>
      <c r="G113" s="35" t="inlineStr">
        <is>
          <t>Consulta</t>
        </is>
      </c>
      <c r="H113" s="35" t="inlineStr">
        <is>
          <t>Realizado</t>
        </is>
      </c>
      <c r="I113" s="35" t="inlineStr">
        <is>
          <t>Cartão de crédito</t>
        </is>
      </c>
      <c r="J113" s="35" t="n">
        <v>2</v>
      </c>
      <c r="K113" s="34" t="n"/>
      <c r="L113" s="26">
        <f>IF(A113="","",MONTH(A113))</f>
        <v>7</v>
      </c>
      <c r="M113" s="26">
        <f>IF(A113="","",YEAR(A113))</f>
        <v>2026</v>
      </c>
      <c r="N113" s="26" t="str">
        <f>IF(A113="","",CHOOSE(WEEKDAY(A113,2),"Segunda","Terça","Quarta","Quinta","Sexta","Sábado","Domingo"))</f>
        <v>Segunda</v>
      </c>
      <c r="O113" s="26" t="str">
        <f>IF(B113="","",IF(B113&lt;TIME(12,0,0),"Manhã",IF(B113&lt;TIME(18,0,0),"Tarde","Noite")))</f>
        <v>Tarde</v>
      </c>
      <c r="P113" s="32">
        <f>IF(G113="","",IFERROR(INDEX(Config!$I$5:$I$16,MATCH(G113,Config!$H$5:$H$16,0)),0))</f>
        <v>30</v>
      </c>
      <c r="Q113" s="30">
        <f>IF(OR(H113&lt;&gt;"Realizado",P113="",P113=0),"",A113+P113)</f>
        <v>46246.0</v>
      </c>
      <c r="R113" s="26" t="str">
        <f>IF(Q113="","",IF(COUNTIFS($E$5:$E$1204,E113,$A$5:$A$1204,"&gt;"&amp;A113,$H$5:$H$1204,"&lt;&gt;Falta",$H$5:$H$1204,"&lt;&gt;Cancelado",$H$5:$H$1204,"&lt;&gt;Remarcado")&gt;0,"Sim","Não"))</f>
        <v>Sim</v>
      </c>
      <c r="S113" s="32">
        <f>IF(R113&lt;&gt;"Não","",IF(Q113+Config!$B$9&lt;=Config!$B$8,Config!$B$8-Q113,""))</f>
        <v/>
      </c>
      <c r="T113" s="26">
        <f>IF(S113="","","Sim")</f>
        <v/>
      </c>
      <c r="U113" s="41">
        <f>IF(T113="Sim",S113+ROW()/100000,0)</f>
        <v>0</v>
      </c>
      <c r="V113" s="41">
        <f>IF(AND(H113="Falta",L113=Config!$B$7,M113=Config!$B$5,COUNTIFS($E$5:E113,E113,$H$5:H113,"Falta",$L$5:L113,Config!$B$7,$M$5:M113,Config!$B$5)=1),COUNTIFS($E$5:$E$1204,E113,$H$5:$H$1204,"Falta",$L$5:$L$1204,Config!$B$7,$M$5:$M$1204,Config!$B$5)*1000-ROW()/100000,0)</f>
        <v>0</v>
      </c>
    </row>
    <row r="114">
      <c r="A114" s="39" t="n">
        <v>46216</v>
      </c>
      <c r="B114" s="40" t="n">
        <v>0.6597222222222222</v>
      </c>
      <c r="C114" s="35" t="inlineStr">
        <is>
          <t>Dr. Paulo Andrade</t>
        </is>
      </c>
      <c r="D114" s="35" t="inlineStr">
        <is>
          <t>Sala 2</t>
        </is>
      </c>
      <c r="E114" s="34" t="inlineStr">
        <is>
          <t>Paulo Ribeiro</t>
        </is>
      </c>
      <c r="F114" s="35" t="inlineStr">
        <is>
          <t>Saúde Total</t>
        </is>
      </c>
      <c r="G114" s="35" t="inlineStr">
        <is>
          <t>Consulta</t>
        </is>
      </c>
      <c r="H114" s="35" t="inlineStr">
        <is>
          <t>Realizado</t>
        </is>
      </c>
      <c r="I114" s="35" t="inlineStr">
        <is>
          <t>Convênio</t>
        </is>
      </c>
      <c r="J114" s="35" t="n"/>
      <c r="K114" s="34" t="n"/>
      <c r="L114" s="26">
        <f>IF(A114="","",MONTH(A114))</f>
        <v>7</v>
      </c>
      <c r="M114" s="26">
        <f>IF(A114="","",YEAR(A114))</f>
        <v>2026</v>
      </c>
      <c r="N114" s="26" t="str">
        <f>IF(A114="","",CHOOSE(WEEKDAY(A114,2),"Segunda","Terça","Quarta","Quinta","Sexta","Sábado","Domingo"))</f>
        <v>Segunda</v>
      </c>
      <c r="O114" s="26" t="str">
        <f>IF(B114="","",IF(B114&lt;TIME(12,0,0),"Manhã",IF(B114&lt;TIME(18,0,0),"Tarde","Noite")))</f>
        <v>Tarde</v>
      </c>
      <c r="P114" s="32">
        <f>IF(G114="","",IFERROR(INDEX(Config!$I$5:$I$16,MATCH(G114,Config!$H$5:$H$16,0)),0))</f>
        <v>30</v>
      </c>
      <c r="Q114" s="30">
        <f>IF(OR(H114&lt;&gt;"Realizado",P114="",P114=0),"",A114+P114)</f>
        <v>46246.0</v>
      </c>
      <c r="R114" s="26" t="str">
        <f>IF(Q114="","",IF(COUNTIFS($E$5:$E$1204,E114,$A$5:$A$1204,"&gt;"&amp;A114,$H$5:$H$1204,"&lt;&gt;Falta",$H$5:$H$1204,"&lt;&gt;Cancelado",$H$5:$H$1204,"&lt;&gt;Remarcado")&gt;0,"Sim","Não"))</f>
        <v>Sim</v>
      </c>
      <c r="S114" s="32">
        <f>IF(R114&lt;&gt;"Não","",IF(Q114+Config!$B$9&lt;=Config!$B$8,Config!$B$8-Q114,""))</f>
        <v/>
      </c>
      <c r="T114" s="26">
        <f>IF(S114="","","Sim")</f>
        <v/>
      </c>
      <c r="U114" s="41">
        <f>IF(T114="Sim",S114+ROW()/100000,0)</f>
        <v>0</v>
      </c>
      <c r="V114" s="41">
        <f>IF(AND(H114="Falta",L114=Config!$B$7,M114=Config!$B$5,COUNTIFS($E$5:E114,E114,$H$5:H114,"Falta",$L$5:L114,Config!$B$7,$M$5:M114,Config!$B$5)=1),COUNTIFS($E$5:$E$1204,E114,$H$5:$H$1204,"Falta",$L$5:$L$1204,Config!$B$7,$M$5:$M$1204,Config!$B$5)*1000-ROW()/100000,0)</f>
        <v>0</v>
      </c>
    </row>
    <row r="115">
      <c r="A115" s="39" t="n">
        <v>46216</v>
      </c>
      <c r="B115" s="40" t="n">
        <v>0.6805555555555556</v>
      </c>
      <c r="C115" s="35" t="inlineStr">
        <is>
          <t>Dr. Paulo Andrade</t>
        </is>
      </c>
      <c r="D115" s="35" t="inlineStr">
        <is>
          <t>Sala 2</t>
        </is>
      </c>
      <c r="E115" s="34" t="inlineStr">
        <is>
          <t>Gisele Lima</t>
        </is>
      </c>
      <c r="F115" s="35" t="inlineStr">
        <is>
          <t>Saúde Total</t>
        </is>
      </c>
      <c r="G115" s="35" t="inlineStr">
        <is>
          <t>Consulta</t>
        </is>
      </c>
      <c r="H115" s="35" t="inlineStr">
        <is>
          <t>Realizado</t>
        </is>
      </c>
      <c r="I115" s="35" t="inlineStr">
        <is>
          <t>Convênio</t>
        </is>
      </c>
      <c r="J115" s="35" t="n"/>
      <c r="K115" s="34" t="n"/>
      <c r="L115" s="26">
        <f>IF(A115="","",MONTH(A115))</f>
        <v>7</v>
      </c>
      <c r="M115" s="26">
        <f>IF(A115="","",YEAR(A115))</f>
        <v>2026</v>
      </c>
      <c r="N115" s="26" t="str">
        <f>IF(A115="","",CHOOSE(WEEKDAY(A115,2),"Segunda","Terça","Quarta","Quinta","Sexta","Sábado","Domingo"))</f>
        <v>Segunda</v>
      </c>
      <c r="O115" s="26" t="str">
        <f>IF(B115="","",IF(B115&lt;TIME(12,0,0),"Manhã",IF(B115&lt;TIME(18,0,0),"Tarde","Noite")))</f>
        <v>Tarde</v>
      </c>
      <c r="P115" s="32">
        <f>IF(G115="","",IFERROR(INDEX(Config!$I$5:$I$16,MATCH(G115,Config!$H$5:$H$16,0)),0))</f>
        <v>30</v>
      </c>
      <c r="Q115" s="30">
        <f>IF(OR(H115&lt;&gt;"Realizado",P115="",P115=0),"",A115+P115)</f>
        <v>46246.0</v>
      </c>
      <c r="R115" s="26" t="str">
        <f>IF(Q115="","",IF(COUNTIFS($E$5:$E$1204,E115,$A$5:$A$1204,"&gt;"&amp;A115,$H$5:$H$1204,"&lt;&gt;Falta",$H$5:$H$1204,"&lt;&gt;Cancelado",$H$5:$H$1204,"&lt;&gt;Remarcado")&gt;0,"Sim","Não"))</f>
        <v>Sim</v>
      </c>
      <c r="S115" s="32">
        <f>IF(R115&lt;&gt;"Não","",IF(Q115+Config!$B$9&lt;=Config!$B$8,Config!$B$8-Q115,""))</f>
        <v/>
      </c>
      <c r="T115" s="26">
        <f>IF(S115="","","Sim")</f>
        <v/>
      </c>
      <c r="U115" s="41">
        <f>IF(T115="Sim",S115+ROW()/100000,0)</f>
        <v>0</v>
      </c>
      <c r="V115" s="41">
        <f>IF(AND(H115="Falta",L115=Config!$B$7,M115=Config!$B$5,COUNTIFS($E$5:E115,E115,$H$5:H115,"Falta",$L$5:L115,Config!$B$7,$M$5:M115,Config!$B$5)=1),COUNTIFS($E$5:$E$1204,E115,$H$5:$H$1204,"Falta",$L$5:$L$1204,Config!$B$7,$M$5:$M$1204,Config!$B$5)*1000-ROW()/100000,0)</f>
        <v>0</v>
      </c>
    </row>
    <row r="116">
      <c r="A116" s="39" t="n">
        <v>46216</v>
      </c>
      <c r="B116" s="40" t="n">
        <v>0.7013888888888888</v>
      </c>
      <c r="C116" s="35" t="inlineStr">
        <is>
          <t>Dr. Paulo Andrade</t>
        </is>
      </c>
      <c r="D116" s="35" t="inlineStr">
        <is>
          <t>Sala 2</t>
        </is>
      </c>
      <c r="E116" s="34" t="inlineStr">
        <is>
          <t>Camila Martins</t>
        </is>
      </c>
      <c r="F116" s="35" t="inlineStr">
        <is>
          <t>Vida Care</t>
        </is>
      </c>
      <c r="G116" s="35" t="inlineStr">
        <is>
          <t>Consulta</t>
        </is>
      </c>
      <c r="H116" s="35" t="inlineStr">
        <is>
          <t>Realizado</t>
        </is>
      </c>
      <c r="I116" s="35" t="inlineStr">
        <is>
          <t>Convênio</t>
        </is>
      </c>
      <c r="J116" s="35" t="n"/>
      <c r="K116" s="34" t="n"/>
      <c r="L116" s="26">
        <f>IF(A116="","",MONTH(A116))</f>
        <v>7</v>
      </c>
      <c r="M116" s="26">
        <f>IF(A116="","",YEAR(A116))</f>
        <v>2026</v>
      </c>
      <c r="N116" s="26" t="str">
        <f>IF(A116="","",CHOOSE(WEEKDAY(A116,2),"Segunda","Terça","Quarta","Quinta","Sexta","Sábado","Domingo"))</f>
        <v>Segunda</v>
      </c>
      <c r="O116" s="26" t="str">
        <f>IF(B116="","",IF(B116&lt;TIME(12,0,0),"Manhã",IF(B116&lt;TIME(18,0,0),"Tarde","Noite")))</f>
        <v>Tarde</v>
      </c>
      <c r="P116" s="32">
        <f>IF(G116="","",IFERROR(INDEX(Config!$I$5:$I$16,MATCH(G116,Config!$H$5:$H$16,0)),0))</f>
        <v>30</v>
      </c>
      <c r="Q116" s="30">
        <f>IF(OR(H116&lt;&gt;"Realizado",P116="",P116=0),"",A116+P116)</f>
        <v>46246.0</v>
      </c>
      <c r="R116" s="26" t="str">
        <f>IF(Q116="","",IF(COUNTIFS($E$5:$E$1204,E116,$A$5:$A$1204,"&gt;"&amp;A116,$H$5:$H$1204,"&lt;&gt;Falta",$H$5:$H$1204,"&lt;&gt;Cancelado",$H$5:$H$1204,"&lt;&gt;Remarcado")&gt;0,"Sim","Não"))</f>
        <v>Sim</v>
      </c>
      <c r="S116" s="32">
        <f>IF(R116&lt;&gt;"Não","",IF(Q116+Config!$B$9&lt;=Config!$B$8,Config!$B$8-Q116,""))</f>
        <v/>
      </c>
      <c r="T116" s="26">
        <f>IF(S116="","","Sim")</f>
        <v/>
      </c>
      <c r="U116" s="41">
        <f>IF(T116="Sim",S116+ROW()/100000,0)</f>
        <v>0</v>
      </c>
      <c r="V116" s="41">
        <f>IF(AND(H116="Falta",L116=Config!$B$7,M116=Config!$B$5,COUNTIFS($E$5:E116,E116,$H$5:H116,"Falta",$L$5:L116,Config!$B$7,$M$5:M116,Config!$B$5)=1),COUNTIFS($E$5:$E$1204,E116,$H$5:$H$1204,"Falta",$L$5:$L$1204,Config!$B$7,$M$5:$M$1204,Config!$B$5)*1000-ROW()/100000,0)</f>
        <v>0</v>
      </c>
    </row>
    <row r="117">
      <c r="A117" s="39" t="n">
        <v>46216</v>
      </c>
      <c r="B117" s="40" t="n">
        <v>0.7222222222222222</v>
      </c>
      <c r="C117" s="35" t="inlineStr">
        <is>
          <t>Dr. Paulo Andrade</t>
        </is>
      </c>
      <c r="D117" s="35" t="inlineStr">
        <is>
          <t>Sala 2</t>
        </is>
      </c>
      <c r="E117" s="34" t="inlineStr">
        <is>
          <t>Gabriel Oliveira</t>
        </is>
      </c>
      <c r="F117" s="35" t="inlineStr">
        <is>
          <t>Particular</t>
        </is>
      </c>
      <c r="G117" s="35" t="inlineStr">
        <is>
          <t>Consulta</t>
        </is>
      </c>
      <c r="H117" s="35" t="inlineStr">
        <is>
          <t>Realizado</t>
        </is>
      </c>
      <c r="I117" s="35" t="inlineStr">
        <is>
          <t>Pix</t>
        </is>
      </c>
      <c r="J117" s="35" t="n"/>
      <c r="K117" s="34" t="n"/>
      <c r="L117" s="26">
        <f>IF(A117="","",MONTH(A117))</f>
        <v>7</v>
      </c>
      <c r="M117" s="26">
        <f>IF(A117="","",YEAR(A117))</f>
        <v>2026</v>
      </c>
      <c r="N117" s="26" t="str">
        <f>IF(A117="","",CHOOSE(WEEKDAY(A117,2),"Segunda","Terça","Quarta","Quinta","Sexta","Sábado","Domingo"))</f>
        <v>Segunda</v>
      </c>
      <c r="O117" s="26" t="str">
        <f>IF(B117="","",IF(B117&lt;TIME(12,0,0),"Manhã",IF(B117&lt;TIME(18,0,0),"Tarde","Noite")))</f>
        <v>Tarde</v>
      </c>
      <c r="P117" s="32">
        <f>IF(G117="","",IFERROR(INDEX(Config!$I$5:$I$16,MATCH(G117,Config!$H$5:$H$16,0)),0))</f>
        <v>30</v>
      </c>
      <c r="Q117" s="30">
        <f>IF(OR(H117&lt;&gt;"Realizado",P117="",P117=0),"",A117+P117)</f>
        <v>46246.0</v>
      </c>
      <c r="R117" s="26" t="str">
        <f>IF(Q117="","",IF(COUNTIFS($E$5:$E$1204,E117,$A$5:$A$1204,"&gt;"&amp;A117,$H$5:$H$1204,"&lt;&gt;Falta",$H$5:$H$1204,"&lt;&gt;Cancelado",$H$5:$H$1204,"&lt;&gt;Remarcado")&gt;0,"Sim","Não"))</f>
        <v>Sim</v>
      </c>
      <c r="S117" s="32">
        <f>IF(R117&lt;&gt;"Não","",IF(Q117+Config!$B$9&lt;=Config!$B$8,Config!$B$8-Q117,""))</f>
        <v/>
      </c>
      <c r="T117" s="26">
        <f>IF(S117="","","Sim")</f>
        <v/>
      </c>
      <c r="U117" s="41">
        <f>IF(T117="Sim",S117+ROW()/100000,0)</f>
        <v>0</v>
      </c>
      <c r="V117" s="41">
        <f>IF(AND(H117="Falta",L117=Config!$B$7,M117=Config!$B$5,COUNTIFS($E$5:E117,E117,$H$5:H117,"Falta",$L$5:L117,Config!$B$7,$M$5:M117,Config!$B$5)=1),COUNTIFS($E$5:$E$1204,E117,$H$5:$H$1204,"Falta",$L$5:$L$1204,Config!$B$7,$M$5:$M$1204,Config!$B$5)*1000-ROW()/100000,0)</f>
        <v>0</v>
      </c>
    </row>
    <row r="118">
      <c r="A118" s="39" t="n">
        <v>46217</v>
      </c>
      <c r="B118" s="40" t="n">
        <v>0.3333333333333333</v>
      </c>
      <c r="C118" s="35" t="inlineStr">
        <is>
          <t>Dra. Carolina Mendes</t>
        </is>
      </c>
      <c r="D118" s="35" t="inlineStr">
        <is>
          <t>Sala 1</t>
        </is>
      </c>
      <c r="E118" s="34" t="inlineStr">
        <is>
          <t>Daniel Almeida</t>
        </is>
      </c>
      <c r="F118" s="35" t="inlineStr">
        <is>
          <t>Saúde Total</t>
        </is>
      </c>
      <c r="G118" s="35" t="inlineStr">
        <is>
          <t>Consulta</t>
        </is>
      </c>
      <c r="H118" s="35" t="inlineStr">
        <is>
          <t>Realizado</t>
        </is>
      </c>
      <c r="I118" s="35" t="inlineStr">
        <is>
          <t>Convênio</t>
        </is>
      </c>
      <c r="J118" s="35" t="n"/>
      <c r="K118" s="34" t="n"/>
      <c r="L118" s="26">
        <f>IF(A118="","",MONTH(A118))</f>
        <v>7</v>
      </c>
      <c r="M118" s="26">
        <f>IF(A118="","",YEAR(A118))</f>
        <v>2026</v>
      </c>
      <c r="N118" s="26" t="str">
        <f>IF(A118="","",CHOOSE(WEEKDAY(A118,2),"Segunda","Terça","Quarta","Quinta","Sexta","Sábado","Domingo"))</f>
        <v>Terça</v>
      </c>
      <c r="O118" s="26" t="str">
        <f>IF(B118="","",IF(B118&lt;TIME(12,0,0),"Manhã",IF(B118&lt;TIME(18,0,0),"Tarde","Noite")))</f>
        <v>Manhã</v>
      </c>
      <c r="P118" s="32">
        <f>IF(G118="","",IFERROR(INDEX(Config!$I$5:$I$16,MATCH(G118,Config!$H$5:$H$16,0)),0))</f>
        <v>30</v>
      </c>
      <c r="Q118" s="30">
        <f>IF(OR(H118&lt;&gt;"Realizado",P118="",P118=0),"",A118+P118)</f>
        <v>46247.0</v>
      </c>
      <c r="R118" s="26" t="str">
        <f>IF(Q118="","",IF(COUNTIFS($E$5:$E$1204,E118,$A$5:$A$1204,"&gt;"&amp;A118,$H$5:$H$1204,"&lt;&gt;Falta",$H$5:$H$1204,"&lt;&gt;Cancelado",$H$5:$H$1204,"&lt;&gt;Remarcado")&gt;0,"Sim","Não"))</f>
        <v>Sim</v>
      </c>
      <c r="S118" s="32">
        <f>IF(R118&lt;&gt;"Não","",IF(Q118+Config!$B$9&lt;=Config!$B$8,Config!$B$8-Q118,""))</f>
        <v/>
      </c>
      <c r="T118" s="26">
        <f>IF(S118="","","Sim")</f>
        <v/>
      </c>
      <c r="U118" s="41">
        <f>IF(T118="Sim",S118+ROW()/100000,0)</f>
        <v>0</v>
      </c>
      <c r="V118" s="41">
        <f>IF(AND(H118="Falta",L118=Config!$B$7,M118=Config!$B$5,COUNTIFS($E$5:E118,E118,$H$5:H118,"Falta",$L$5:L118,Config!$B$7,$M$5:M118,Config!$B$5)=1),COUNTIFS($E$5:$E$1204,E118,$H$5:$H$1204,"Falta",$L$5:$L$1204,Config!$B$7,$M$5:$M$1204,Config!$B$5)*1000-ROW()/100000,0)</f>
        <v>0</v>
      </c>
    </row>
    <row r="119">
      <c r="A119" s="39" t="n">
        <v>46217</v>
      </c>
      <c r="B119" s="40" t="n">
        <v>0.3541666666666667</v>
      </c>
      <c r="C119" s="35" t="inlineStr">
        <is>
          <t>Dra. Carolina Mendes</t>
        </is>
      </c>
      <c r="D119" s="35" t="inlineStr">
        <is>
          <t>Sala 1</t>
        </is>
      </c>
      <c r="E119" s="34" t="inlineStr">
        <is>
          <t>Eduardo Reis</t>
        </is>
      </c>
      <c r="F119" s="35" t="inlineStr">
        <is>
          <t>Vida Care</t>
        </is>
      </c>
      <c r="G119" s="35" t="inlineStr">
        <is>
          <t>Consulta</t>
        </is>
      </c>
      <c r="H119" s="35" t="inlineStr">
        <is>
          <t>Realizado</t>
        </is>
      </c>
      <c r="I119" s="35" t="inlineStr">
        <is>
          <t>Convênio</t>
        </is>
      </c>
      <c r="J119" s="35" t="n"/>
      <c r="K119" s="34" t="n"/>
      <c r="L119" s="26">
        <f>IF(A119="","",MONTH(A119))</f>
        <v>7</v>
      </c>
      <c r="M119" s="26">
        <f>IF(A119="","",YEAR(A119))</f>
        <v>2026</v>
      </c>
      <c r="N119" s="26" t="str">
        <f>IF(A119="","",CHOOSE(WEEKDAY(A119,2),"Segunda","Terça","Quarta","Quinta","Sexta","Sábado","Domingo"))</f>
        <v>Terça</v>
      </c>
      <c r="O119" s="26" t="str">
        <f>IF(B119="","",IF(B119&lt;TIME(12,0,0),"Manhã",IF(B119&lt;TIME(18,0,0),"Tarde","Noite")))</f>
        <v>Manhã</v>
      </c>
      <c r="P119" s="32">
        <f>IF(G119="","",IFERROR(INDEX(Config!$I$5:$I$16,MATCH(G119,Config!$H$5:$H$16,0)),0))</f>
        <v>30</v>
      </c>
      <c r="Q119" s="30">
        <f>IF(OR(H119&lt;&gt;"Realizado",P119="",P119=0),"",A119+P119)</f>
        <v>46247.0</v>
      </c>
      <c r="R119" s="26" t="str">
        <f>IF(Q119="","",IF(COUNTIFS($E$5:$E$1204,E119,$A$5:$A$1204,"&gt;"&amp;A119,$H$5:$H$1204,"&lt;&gt;Falta",$H$5:$H$1204,"&lt;&gt;Cancelado",$H$5:$H$1204,"&lt;&gt;Remarcado")&gt;0,"Sim","Não"))</f>
        <v>Sim</v>
      </c>
      <c r="S119" s="32">
        <f>IF(R119&lt;&gt;"Não","",IF(Q119+Config!$B$9&lt;=Config!$B$8,Config!$B$8-Q119,""))</f>
        <v/>
      </c>
      <c r="T119" s="26">
        <f>IF(S119="","","Sim")</f>
        <v/>
      </c>
      <c r="U119" s="41">
        <f>IF(T119="Sim",S119+ROW()/100000,0)</f>
        <v>0</v>
      </c>
      <c r="V119" s="41">
        <f>IF(AND(H119="Falta",L119=Config!$B$7,M119=Config!$B$5,COUNTIFS($E$5:E119,E119,$H$5:H119,"Falta",$L$5:L119,Config!$B$7,$M$5:M119,Config!$B$5)=1),COUNTIFS($E$5:$E$1204,E119,$H$5:$H$1204,"Falta",$L$5:$L$1204,Config!$B$7,$M$5:$M$1204,Config!$B$5)*1000-ROW()/100000,0)</f>
        <v>0</v>
      </c>
    </row>
    <row r="120">
      <c r="A120" s="39" t="n">
        <v>46217</v>
      </c>
      <c r="B120" s="40" t="n">
        <v>0.375</v>
      </c>
      <c r="C120" s="35" t="inlineStr">
        <is>
          <t>Dra. Carolina Mendes</t>
        </is>
      </c>
      <c r="D120" s="35" t="inlineStr">
        <is>
          <t>Sala 1</t>
        </is>
      </c>
      <c r="E120" s="34" t="inlineStr">
        <is>
          <t>Regina Macedo</t>
        </is>
      </c>
      <c r="F120" s="35" t="inlineStr">
        <is>
          <t>Particular</t>
        </is>
      </c>
      <c r="G120" s="35" t="inlineStr">
        <is>
          <t>Retorno</t>
        </is>
      </c>
      <c r="H120" s="35" t="inlineStr">
        <is>
          <t>Realizado</t>
        </is>
      </c>
      <c r="I120" s="35" t="inlineStr">
        <is>
          <t>Sem cobrança</t>
        </is>
      </c>
      <c r="J120" s="35" t="n"/>
      <c r="K120" s="34" t="n"/>
      <c r="L120" s="26">
        <f>IF(A120="","",MONTH(A120))</f>
        <v>7</v>
      </c>
      <c r="M120" s="26">
        <f>IF(A120="","",YEAR(A120))</f>
        <v>2026</v>
      </c>
      <c r="N120" s="26" t="str">
        <f>IF(A120="","",CHOOSE(WEEKDAY(A120,2),"Segunda","Terça","Quarta","Quinta","Sexta","Sábado","Domingo"))</f>
        <v>Terça</v>
      </c>
      <c r="O120" s="26" t="str">
        <f>IF(B120="","",IF(B120&lt;TIME(12,0,0),"Manhã",IF(B120&lt;TIME(18,0,0),"Tarde","Noite")))</f>
        <v>Manhã</v>
      </c>
      <c r="P120" s="32">
        <f>IF(G120="","",IFERROR(INDEX(Config!$I$5:$I$16,MATCH(G120,Config!$H$5:$H$16,0)),0))</f>
        <v>0</v>
      </c>
      <c r="Q120" s="30">
        <f>IF(OR(H120&lt;&gt;"Realizado",P120="",P120=0),"",A120+P120)</f>
        <v/>
      </c>
      <c r="R120" s="26">
        <f>IF(Q120="","",IF(COUNTIFS($E$5:$E$1204,E120,$A$5:$A$1204,"&gt;"&amp;A120,$H$5:$H$1204,"&lt;&gt;Falta",$H$5:$H$1204,"&lt;&gt;Cancelado",$H$5:$H$1204,"&lt;&gt;Remarcado")&gt;0,"Sim","Não"))</f>
        <v/>
      </c>
      <c r="S120" s="32">
        <f>IF(R120&lt;&gt;"Não","",IF(Q120+Config!$B$9&lt;=Config!$B$8,Config!$B$8-Q120,""))</f>
        <v/>
      </c>
      <c r="T120" s="26">
        <f>IF(S120="","","Sim")</f>
        <v/>
      </c>
      <c r="U120" s="41">
        <f>IF(T120="Sim",S120+ROW()/100000,0)</f>
        <v>0</v>
      </c>
      <c r="V120" s="41">
        <f>IF(AND(H120="Falta",L120=Config!$B$7,M120=Config!$B$5,COUNTIFS($E$5:E120,E120,$H$5:H120,"Falta",$L$5:L120,Config!$B$7,$M$5:M120,Config!$B$5)=1),COUNTIFS($E$5:$E$1204,E120,$H$5:$H$1204,"Falta",$L$5:$L$1204,Config!$B$7,$M$5:$M$1204,Config!$B$5)*1000-ROW()/100000,0)</f>
        <v>0</v>
      </c>
    </row>
    <row r="121">
      <c r="A121" s="39" t="n">
        <v>46217</v>
      </c>
      <c r="B121" s="40" t="n">
        <v>0.3888888888888889</v>
      </c>
      <c r="C121" s="35" t="inlineStr">
        <is>
          <t>Dra. Carolina Mendes</t>
        </is>
      </c>
      <c r="D121" s="35" t="inlineStr">
        <is>
          <t>Sala 1</t>
        </is>
      </c>
      <c r="E121" s="34" t="inlineStr">
        <is>
          <t>Priscila Carvalho</t>
        </is>
      </c>
      <c r="F121" s="35" t="inlineStr">
        <is>
          <t>Vida Care</t>
        </is>
      </c>
      <c r="G121" s="35" t="inlineStr">
        <is>
          <t>Consulta</t>
        </is>
      </c>
      <c r="H121" s="35" t="inlineStr">
        <is>
          <t>Realizado</t>
        </is>
      </c>
      <c r="I121" s="35" t="inlineStr">
        <is>
          <t>Convênio</t>
        </is>
      </c>
      <c r="J121" s="35" t="n"/>
      <c r="K121" s="34" t="n"/>
      <c r="L121" s="26">
        <f>IF(A121="","",MONTH(A121))</f>
        <v>7</v>
      </c>
      <c r="M121" s="26">
        <f>IF(A121="","",YEAR(A121))</f>
        <v>2026</v>
      </c>
      <c r="N121" s="26" t="str">
        <f>IF(A121="","",CHOOSE(WEEKDAY(A121,2),"Segunda","Terça","Quarta","Quinta","Sexta","Sábado","Domingo"))</f>
        <v>Terça</v>
      </c>
      <c r="O121" s="26" t="str">
        <f>IF(B121="","",IF(B121&lt;TIME(12,0,0),"Manhã",IF(B121&lt;TIME(18,0,0),"Tarde","Noite")))</f>
        <v>Manhã</v>
      </c>
      <c r="P121" s="32">
        <f>IF(G121="","",IFERROR(INDEX(Config!$I$5:$I$16,MATCH(G121,Config!$H$5:$H$16,0)),0))</f>
        <v>30</v>
      </c>
      <c r="Q121" s="30">
        <f>IF(OR(H121&lt;&gt;"Realizado",P121="",P121=0),"",A121+P121)</f>
        <v>46247.0</v>
      </c>
      <c r="R121" s="26" t="str">
        <f>IF(Q121="","",IF(COUNTIFS($E$5:$E$1204,E121,$A$5:$A$1204,"&gt;"&amp;A121,$H$5:$H$1204,"&lt;&gt;Falta",$H$5:$H$1204,"&lt;&gt;Cancelado",$H$5:$H$1204,"&lt;&gt;Remarcado")&gt;0,"Sim","Não"))</f>
        <v>Sim</v>
      </c>
      <c r="S121" s="32">
        <f>IF(R121&lt;&gt;"Não","",IF(Q121+Config!$B$9&lt;=Config!$B$8,Config!$B$8-Q121,""))</f>
        <v/>
      </c>
      <c r="T121" s="26">
        <f>IF(S121="","","Sim")</f>
        <v/>
      </c>
      <c r="U121" s="41">
        <f>IF(T121="Sim",S121+ROW()/100000,0)</f>
        <v>0</v>
      </c>
      <c r="V121" s="41">
        <f>IF(AND(H121="Falta",L121=Config!$B$7,M121=Config!$B$5,COUNTIFS($E$5:E121,E121,$H$5:H121,"Falta",$L$5:L121,Config!$B$7,$M$5:M121,Config!$B$5)=1),COUNTIFS($E$5:$E$1204,E121,$H$5:$H$1204,"Falta",$L$5:$L$1204,Config!$B$7,$M$5:$M$1204,Config!$B$5)*1000-ROW()/100000,0)</f>
        <v>0</v>
      </c>
    </row>
    <row r="122">
      <c r="A122" s="39" t="n">
        <v>46217</v>
      </c>
      <c r="B122" s="40" t="n">
        <v>0.4097222222222222</v>
      </c>
      <c r="C122" s="35" t="inlineStr">
        <is>
          <t>Dra. Carolina Mendes</t>
        </is>
      </c>
      <c r="D122" s="35" t="inlineStr">
        <is>
          <t>Sala 1</t>
        </is>
      </c>
      <c r="E122" s="34" t="inlineStr">
        <is>
          <t>Regina Teixeira</t>
        </is>
      </c>
      <c r="F122" s="35" t="inlineStr">
        <is>
          <t>Particular</t>
        </is>
      </c>
      <c r="G122" s="35" t="inlineStr">
        <is>
          <t>Consulta</t>
        </is>
      </c>
      <c r="H122" s="35" t="inlineStr">
        <is>
          <t>Realizado</t>
        </is>
      </c>
      <c r="I122" s="35" t="inlineStr">
        <is>
          <t>Pix</t>
        </is>
      </c>
      <c r="J122" s="35" t="n"/>
      <c r="K122" s="34" t="n"/>
      <c r="L122" s="26">
        <f>IF(A122="","",MONTH(A122))</f>
        <v>7</v>
      </c>
      <c r="M122" s="26">
        <f>IF(A122="","",YEAR(A122))</f>
        <v>2026</v>
      </c>
      <c r="N122" s="26" t="str">
        <f>IF(A122="","",CHOOSE(WEEKDAY(A122,2),"Segunda","Terça","Quarta","Quinta","Sexta","Sábado","Domingo"))</f>
        <v>Terça</v>
      </c>
      <c r="O122" s="26" t="str">
        <f>IF(B122="","",IF(B122&lt;TIME(12,0,0),"Manhã",IF(B122&lt;TIME(18,0,0),"Tarde","Noite")))</f>
        <v>Manhã</v>
      </c>
      <c r="P122" s="32">
        <f>IF(G122="","",IFERROR(INDEX(Config!$I$5:$I$16,MATCH(G122,Config!$H$5:$H$16,0)),0))</f>
        <v>30</v>
      </c>
      <c r="Q122" s="30">
        <f>IF(OR(H122&lt;&gt;"Realizado",P122="",P122=0),"",A122+P122)</f>
        <v>46247.0</v>
      </c>
      <c r="R122" s="26" t="str">
        <f>IF(Q122="","",IF(COUNTIFS($E$5:$E$1204,E122,$A$5:$A$1204,"&gt;"&amp;A122,$H$5:$H$1204,"&lt;&gt;Falta",$H$5:$H$1204,"&lt;&gt;Cancelado",$H$5:$H$1204,"&lt;&gt;Remarcado")&gt;0,"Sim","Não"))</f>
        <v>Sim</v>
      </c>
      <c r="S122" s="32">
        <f>IF(R122&lt;&gt;"Não","",IF(Q122+Config!$B$9&lt;=Config!$B$8,Config!$B$8-Q122,""))</f>
        <v/>
      </c>
      <c r="T122" s="26">
        <f>IF(S122="","","Sim")</f>
        <v/>
      </c>
      <c r="U122" s="41">
        <f>IF(T122="Sim",S122+ROW()/100000,0)</f>
        <v>0</v>
      </c>
      <c r="V122" s="41">
        <f>IF(AND(H122="Falta",L122=Config!$B$7,M122=Config!$B$5,COUNTIFS($E$5:E122,E122,$H$5:H122,"Falta",$L$5:L122,Config!$B$7,$M$5:M122,Config!$B$5)=1),COUNTIFS($E$5:$E$1204,E122,$H$5:$H$1204,"Falta",$L$5:$L$1204,Config!$B$7,$M$5:$M$1204,Config!$B$5)*1000-ROW()/100000,0)</f>
        <v>0</v>
      </c>
    </row>
    <row r="123">
      <c r="A123" s="39" t="n">
        <v>46217</v>
      </c>
      <c r="B123" s="40" t="n">
        <v>0.4513888888888889</v>
      </c>
      <c r="C123" s="35" t="inlineStr">
        <is>
          <t>Dra. Carolina Mendes</t>
        </is>
      </c>
      <c r="D123" s="35" t="inlineStr">
        <is>
          <t>Sala 1</t>
        </is>
      </c>
      <c r="E123" s="34" t="inlineStr">
        <is>
          <t>Camila Batista</t>
        </is>
      </c>
      <c r="F123" s="35" t="inlineStr">
        <is>
          <t>MediPlan</t>
        </is>
      </c>
      <c r="G123" s="35" t="inlineStr">
        <is>
          <t>Consulta</t>
        </is>
      </c>
      <c r="H123" s="35" t="inlineStr">
        <is>
          <t>Falta</t>
        </is>
      </c>
      <c r="I123" s="35" t="n"/>
      <c r="J123" s="35" t="n"/>
      <c r="K123" s="34" t="n"/>
      <c r="L123" s="26">
        <f>IF(A123="","",MONTH(A123))</f>
        <v>7</v>
      </c>
      <c r="M123" s="26">
        <f>IF(A123="","",YEAR(A123))</f>
        <v>2026</v>
      </c>
      <c r="N123" s="26" t="str">
        <f>IF(A123="","",CHOOSE(WEEKDAY(A123,2),"Segunda","Terça","Quarta","Quinta","Sexta","Sábado","Domingo"))</f>
        <v>Terça</v>
      </c>
      <c r="O123" s="26" t="str">
        <f>IF(B123="","",IF(B123&lt;TIME(12,0,0),"Manhã",IF(B123&lt;TIME(18,0,0),"Tarde","Noite")))</f>
        <v>Manhã</v>
      </c>
      <c r="P123" s="32">
        <f>IF(G123="","",IFERROR(INDEX(Config!$I$5:$I$16,MATCH(G123,Config!$H$5:$H$16,0)),0))</f>
        <v>30</v>
      </c>
      <c r="Q123" s="30">
        <f>IF(OR(H123&lt;&gt;"Realizado",P123="",P123=0),"",A123+P123)</f>
        <v/>
      </c>
      <c r="R123" s="26">
        <f>IF(Q123="","",IF(COUNTIFS($E$5:$E$1204,E123,$A$5:$A$1204,"&gt;"&amp;A123,$H$5:$H$1204,"&lt;&gt;Falta",$H$5:$H$1204,"&lt;&gt;Cancelado",$H$5:$H$1204,"&lt;&gt;Remarcado")&gt;0,"Sim","Não"))</f>
        <v/>
      </c>
      <c r="S123" s="32">
        <f>IF(R123&lt;&gt;"Não","",IF(Q123+Config!$B$9&lt;=Config!$B$8,Config!$B$8-Q123,""))</f>
        <v/>
      </c>
      <c r="T123" s="26">
        <f>IF(S123="","","Sim")</f>
        <v/>
      </c>
      <c r="U123" s="41">
        <f>IF(T123="Sim",S123+ROW()/100000,0)</f>
        <v>0</v>
      </c>
      <c r="V123" s="41">
        <f>IF(AND(H123="Falta",L123=Config!$B$7,M123=Config!$B$5,COUNTIFS($E$5:E123,E123,$H$5:H123,"Falta",$L$5:L123,Config!$B$7,$M$5:M123,Config!$B$5)=1),COUNTIFS($E$5:$E$1204,E123,$H$5:$H$1204,"Falta",$L$5:$L$1204,Config!$B$7,$M$5:$M$1204,Config!$B$5)*1000-ROW()/100000,0)</f>
        <v>0</v>
      </c>
    </row>
    <row r="124">
      <c r="A124" s="39" t="n">
        <v>46217</v>
      </c>
      <c r="B124" s="40" t="n">
        <v>0.4722222222222222</v>
      </c>
      <c r="C124" s="35" t="inlineStr">
        <is>
          <t>Dra. Carolina Mendes</t>
        </is>
      </c>
      <c r="D124" s="35" t="inlineStr">
        <is>
          <t>Sala 1</t>
        </is>
      </c>
      <c r="E124" s="34" t="inlineStr">
        <is>
          <t>Lucas Lopes</t>
        </is>
      </c>
      <c r="F124" s="35" t="inlineStr">
        <is>
          <t>Particular</t>
        </is>
      </c>
      <c r="G124" s="35" t="inlineStr">
        <is>
          <t>Consulta</t>
        </is>
      </c>
      <c r="H124" s="35" t="inlineStr">
        <is>
          <t>Realizado</t>
        </is>
      </c>
      <c r="I124" s="35" t="inlineStr">
        <is>
          <t>A prazo</t>
        </is>
      </c>
      <c r="J124" s="35" t="n"/>
      <c r="K124" s="34" t="n"/>
      <c r="L124" s="26">
        <f>IF(A124="","",MONTH(A124))</f>
        <v>7</v>
      </c>
      <c r="M124" s="26">
        <f>IF(A124="","",YEAR(A124))</f>
        <v>2026</v>
      </c>
      <c r="N124" s="26" t="str">
        <f>IF(A124="","",CHOOSE(WEEKDAY(A124,2),"Segunda","Terça","Quarta","Quinta","Sexta","Sábado","Domingo"))</f>
        <v>Terça</v>
      </c>
      <c r="O124" s="26" t="str">
        <f>IF(B124="","",IF(B124&lt;TIME(12,0,0),"Manhã",IF(B124&lt;TIME(18,0,0),"Tarde","Noite")))</f>
        <v>Manhã</v>
      </c>
      <c r="P124" s="32">
        <f>IF(G124="","",IFERROR(INDEX(Config!$I$5:$I$16,MATCH(G124,Config!$H$5:$H$16,0)),0))</f>
        <v>30</v>
      </c>
      <c r="Q124" s="30">
        <f>IF(OR(H124&lt;&gt;"Realizado",P124="",P124=0),"",A124+P124)</f>
        <v>46247.0</v>
      </c>
      <c r="R124" s="26" t="str">
        <f>IF(Q124="","",IF(COUNTIFS($E$5:$E$1204,E124,$A$5:$A$1204,"&gt;"&amp;A124,$H$5:$H$1204,"&lt;&gt;Falta",$H$5:$H$1204,"&lt;&gt;Cancelado",$H$5:$H$1204,"&lt;&gt;Remarcado")&gt;0,"Sim","Não"))</f>
        <v>Sim</v>
      </c>
      <c r="S124" s="32">
        <f>IF(R124&lt;&gt;"Não","",IF(Q124+Config!$B$9&lt;=Config!$B$8,Config!$B$8-Q124,""))</f>
        <v/>
      </c>
      <c r="T124" s="26">
        <f>IF(S124="","","Sim")</f>
        <v/>
      </c>
      <c r="U124" s="41">
        <f>IF(T124="Sim",S124+ROW()/100000,0)</f>
        <v>0</v>
      </c>
      <c r="V124" s="41">
        <f>IF(AND(H124="Falta",L124=Config!$B$7,M124=Config!$B$5,COUNTIFS($E$5:E124,E124,$H$5:H124,"Falta",$L$5:L124,Config!$B$7,$M$5:M124,Config!$B$5)=1),COUNTIFS($E$5:$E$1204,E124,$H$5:$H$1204,"Falta",$L$5:$L$1204,Config!$B$7,$M$5:$M$1204,Config!$B$5)*1000-ROW()/100000,0)</f>
        <v>0</v>
      </c>
    </row>
    <row r="125">
      <c r="A125" s="39" t="n">
        <v>46217</v>
      </c>
      <c r="B125" s="40" t="n">
        <v>0.5833333333333334</v>
      </c>
      <c r="C125" s="35" t="inlineStr">
        <is>
          <t>Dra. Renata Sousa</t>
        </is>
      </c>
      <c r="D125" s="35" t="inlineStr">
        <is>
          <t>Sala 1</t>
        </is>
      </c>
      <c r="E125" s="34" t="inlineStr">
        <is>
          <t>Eduardo Pereira</t>
        </is>
      </c>
      <c r="F125" s="35" t="inlineStr">
        <is>
          <t>Particular</t>
        </is>
      </c>
      <c r="G125" s="35" t="inlineStr">
        <is>
          <t>Retorno</t>
        </is>
      </c>
      <c r="H125" s="35" t="inlineStr">
        <is>
          <t>Realizado</t>
        </is>
      </c>
      <c r="I125" s="35" t="inlineStr">
        <is>
          <t>Sem cobrança</t>
        </is>
      </c>
      <c r="J125" s="35" t="n"/>
      <c r="K125" s="34" t="n"/>
      <c r="L125" s="26">
        <f>IF(A125="","",MONTH(A125))</f>
        <v>7</v>
      </c>
      <c r="M125" s="26">
        <f>IF(A125="","",YEAR(A125))</f>
        <v>2026</v>
      </c>
      <c r="N125" s="26" t="str">
        <f>IF(A125="","",CHOOSE(WEEKDAY(A125,2),"Segunda","Terça","Quarta","Quinta","Sexta","Sábado","Domingo"))</f>
        <v>Terça</v>
      </c>
      <c r="O125" s="26" t="str">
        <f>IF(B125="","",IF(B125&lt;TIME(12,0,0),"Manhã",IF(B125&lt;TIME(18,0,0),"Tarde","Noite")))</f>
        <v>Tarde</v>
      </c>
      <c r="P125" s="32">
        <f>IF(G125="","",IFERROR(INDEX(Config!$I$5:$I$16,MATCH(G125,Config!$H$5:$H$16,0)),0))</f>
        <v>0</v>
      </c>
      <c r="Q125" s="30">
        <f>IF(OR(H125&lt;&gt;"Realizado",P125="",P125=0),"",A125+P125)</f>
        <v/>
      </c>
      <c r="R125" s="26">
        <f>IF(Q125="","",IF(COUNTIFS($E$5:$E$1204,E125,$A$5:$A$1204,"&gt;"&amp;A125,$H$5:$H$1204,"&lt;&gt;Falta",$H$5:$H$1204,"&lt;&gt;Cancelado",$H$5:$H$1204,"&lt;&gt;Remarcado")&gt;0,"Sim","Não"))</f>
        <v/>
      </c>
      <c r="S125" s="32">
        <f>IF(R125&lt;&gt;"Não","",IF(Q125+Config!$B$9&lt;=Config!$B$8,Config!$B$8-Q125,""))</f>
        <v/>
      </c>
      <c r="T125" s="26">
        <f>IF(S125="","","Sim")</f>
        <v/>
      </c>
      <c r="U125" s="41">
        <f>IF(T125="Sim",S125+ROW()/100000,0)</f>
        <v>0</v>
      </c>
      <c r="V125" s="41">
        <f>IF(AND(H125="Falta",L125=Config!$B$7,M125=Config!$B$5,COUNTIFS($E$5:E125,E125,$H$5:H125,"Falta",$L$5:L125,Config!$B$7,$M$5:M125,Config!$B$5)=1),COUNTIFS($E$5:$E$1204,E125,$H$5:$H$1204,"Falta",$L$5:$L$1204,Config!$B$7,$M$5:$M$1204,Config!$B$5)*1000-ROW()/100000,0)</f>
        <v>0</v>
      </c>
    </row>
    <row r="126">
      <c r="A126" s="39" t="n">
        <v>46217</v>
      </c>
      <c r="B126" s="40" t="n">
        <v>0.5833333333333334</v>
      </c>
      <c r="C126" s="35" t="inlineStr">
        <is>
          <t>Dr. Paulo Andrade</t>
        </is>
      </c>
      <c r="D126" s="35" t="inlineStr">
        <is>
          <t>Sala 2</t>
        </is>
      </c>
      <c r="E126" s="34" t="inlineStr">
        <is>
          <t>Paulo Reis</t>
        </is>
      </c>
      <c r="F126" s="35" t="inlineStr">
        <is>
          <t>Particular</t>
        </is>
      </c>
      <c r="G126" s="35" t="inlineStr">
        <is>
          <t>Consulta</t>
        </is>
      </c>
      <c r="H126" s="35" t="inlineStr">
        <is>
          <t>Realizado</t>
        </is>
      </c>
      <c r="I126" s="35" t="inlineStr">
        <is>
          <t>A prazo</t>
        </is>
      </c>
      <c r="J126" s="35" t="n"/>
      <c r="K126" s="34" t="n"/>
      <c r="L126" s="26">
        <f>IF(A126="","",MONTH(A126))</f>
        <v>7</v>
      </c>
      <c r="M126" s="26">
        <f>IF(A126="","",YEAR(A126))</f>
        <v>2026</v>
      </c>
      <c r="N126" s="26" t="str">
        <f>IF(A126="","",CHOOSE(WEEKDAY(A126,2),"Segunda","Terça","Quarta","Quinta","Sexta","Sábado","Domingo"))</f>
        <v>Terça</v>
      </c>
      <c r="O126" s="26" t="str">
        <f>IF(B126="","",IF(B126&lt;TIME(12,0,0),"Manhã",IF(B126&lt;TIME(18,0,0),"Tarde","Noite")))</f>
        <v>Tarde</v>
      </c>
      <c r="P126" s="32">
        <f>IF(G126="","",IFERROR(INDEX(Config!$I$5:$I$16,MATCH(G126,Config!$H$5:$H$16,0)),0))</f>
        <v>30</v>
      </c>
      <c r="Q126" s="30">
        <f>IF(OR(H126&lt;&gt;"Realizado",P126="",P126=0),"",A126+P126)</f>
        <v>46247.0</v>
      </c>
      <c r="R126" s="26" t="str">
        <f>IF(Q126="","",IF(COUNTIFS($E$5:$E$1204,E126,$A$5:$A$1204,"&gt;"&amp;A126,$H$5:$H$1204,"&lt;&gt;Falta",$H$5:$H$1204,"&lt;&gt;Cancelado",$H$5:$H$1204,"&lt;&gt;Remarcado")&gt;0,"Sim","Não"))</f>
        <v>Sim</v>
      </c>
      <c r="S126" s="32">
        <f>IF(R126&lt;&gt;"Não","",IF(Q126+Config!$B$9&lt;=Config!$B$8,Config!$B$8-Q126,""))</f>
        <v/>
      </c>
      <c r="T126" s="26">
        <f>IF(S126="","","Sim")</f>
        <v/>
      </c>
      <c r="U126" s="41">
        <f>IF(T126="Sim",S126+ROW()/100000,0)</f>
        <v>0</v>
      </c>
      <c r="V126" s="41">
        <f>IF(AND(H126="Falta",L126=Config!$B$7,M126=Config!$B$5,COUNTIFS($E$5:E126,E126,$H$5:H126,"Falta",$L$5:L126,Config!$B$7,$M$5:M126,Config!$B$5)=1),COUNTIFS($E$5:$E$1204,E126,$H$5:$H$1204,"Falta",$L$5:$L$1204,Config!$B$7,$M$5:$M$1204,Config!$B$5)*1000-ROW()/100000,0)</f>
        <v>0</v>
      </c>
    </row>
    <row r="127">
      <c r="A127" s="39" t="n">
        <v>46217</v>
      </c>
      <c r="B127" s="40" t="n">
        <v>0.5972222222222222</v>
      </c>
      <c r="C127" s="35" t="inlineStr">
        <is>
          <t>Dra. Renata Sousa</t>
        </is>
      </c>
      <c r="D127" s="35" t="inlineStr">
        <is>
          <t>Sala 1</t>
        </is>
      </c>
      <c r="E127" s="34" t="inlineStr">
        <is>
          <t>Priscila Reis</t>
        </is>
      </c>
      <c r="F127" s="35" t="inlineStr">
        <is>
          <t>Particular</t>
        </is>
      </c>
      <c r="G127" s="35" t="inlineStr">
        <is>
          <t>Avaliação endócrina</t>
        </is>
      </c>
      <c r="H127" s="35" t="inlineStr">
        <is>
          <t>Realizado</t>
        </is>
      </c>
      <c r="I127" s="35" t="inlineStr">
        <is>
          <t>Pix</t>
        </is>
      </c>
      <c r="J127" s="35" t="n"/>
      <c r="K127" s="34" t="n"/>
      <c r="L127" s="26">
        <f>IF(A127="","",MONTH(A127))</f>
        <v>7</v>
      </c>
      <c r="M127" s="26">
        <f>IF(A127="","",YEAR(A127))</f>
        <v>2026</v>
      </c>
      <c r="N127" s="26" t="str">
        <f>IF(A127="","",CHOOSE(WEEKDAY(A127,2),"Segunda","Terça","Quarta","Quinta","Sexta","Sábado","Domingo"))</f>
        <v>Terça</v>
      </c>
      <c r="O127" s="26" t="str">
        <f>IF(B127="","",IF(B127&lt;TIME(12,0,0),"Manhã",IF(B127&lt;TIME(18,0,0),"Tarde","Noite")))</f>
        <v>Tarde</v>
      </c>
      <c r="P127" s="32">
        <f>IF(G127="","",IFERROR(INDEX(Config!$I$5:$I$16,MATCH(G127,Config!$H$5:$H$16,0)),0))</f>
        <v>45</v>
      </c>
      <c r="Q127" s="30">
        <f>IF(OR(H127&lt;&gt;"Realizado",P127="",P127=0),"",A127+P127)</f>
        <v>46262.0</v>
      </c>
      <c r="R127" s="26" t="str">
        <f>IF(Q127="","",IF(COUNTIFS($E$5:$E$1204,E127,$A$5:$A$1204,"&gt;"&amp;A127,$H$5:$H$1204,"&lt;&gt;Falta",$H$5:$H$1204,"&lt;&gt;Cancelado",$H$5:$H$1204,"&lt;&gt;Remarcado")&gt;0,"Sim","Não"))</f>
        <v>Sim</v>
      </c>
      <c r="S127" s="32">
        <f>IF(R127&lt;&gt;"Não","",IF(Q127+Config!$B$9&lt;=Config!$B$8,Config!$B$8-Q127,""))</f>
        <v/>
      </c>
      <c r="T127" s="26">
        <f>IF(S127="","","Sim")</f>
        <v/>
      </c>
      <c r="U127" s="41">
        <f>IF(T127="Sim",S127+ROW()/100000,0)</f>
        <v>0</v>
      </c>
      <c r="V127" s="41">
        <f>IF(AND(H127="Falta",L127=Config!$B$7,M127=Config!$B$5,COUNTIFS($E$5:E127,E127,$H$5:H127,"Falta",$L$5:L127,Config!$B$7,$M$5:M127,Config!$B$5)=1),COUNTIFS($E$5:$E$1204,E127,$H$5:$H$1204,"Falta",$L$5:$L$1204,Config!$B$7,$M$5:$M$1204,Config!$B$5)*1000-ROW()/100000,0)</f>
        <v>0</v>
      </c>
    </row>
    <row r="128">
      <c r="A128" s="39" t="n">
        <v>46217</v>
      </c>
      <c r="B128" s="40" t="n">
        <v>0.6041666666666666</v>
      </c>
      <c r="C128" s="35" t="inlineStr">
        <is>
          <t>Dr. Paulo Andrade</t>
        </is>
      </c>
      <c r="D128" s="35" t="inlineStr">
        <is>
          <t>Sala 2</t>
        </is>
      </c>
      <c r="E128" s="34" t="inlineStr">
        <is>
          <t>Priscila Rocha</t>
        </is>
      </c>
      <c r="F128" s="35" t="inlineStr">
        <is>
          <t>MediPlan</t>
        </is>
      </c>
      <c r="G128" s="35" t="inlineStr">
        <is>
          <t>Consulta</t>
        </is>
      </c>
      <c r="H128" s="35" t="inlineStr">
        <is>
          <t>Realizado</t>
        </is>
      </c>
      <c r="I128" s="35" t="inlineStr">
        <is>
          <t>Convênio</t>
        </is>
      </c>
      <c r="J128" s="35" t="n"/>
      <c r="K128" s="34" t="n"/>
      <c r="L128" s="26">
        <f>IF(A128="","",MONTH(A128))</f>
        <v>7</v>
      </c>
      <c r="M128" s="26">
        <f>IF(A128="","",YEAR(A128))</f>
        <v>2026</v>
      </c>
      <c r="N128" s="26" t="str">
        <f>IF(A128="","",CHOOSE(WEEKDAY(A128,2),"Segunda","Terça","Quarta","Quinta","Sexta","Sábado","Domingo"))</f>
        <v>Terça</v>
      </c>
      <c r="O128" s="26" t="str">
        <f>IF(B128="","",IF(B128&lt;TIME(12,0,0),"Manhã",IF(B128&lt;TIME(18,0,0),"Tarde","Noite")))</f>
        <v>Tarde</v>
      </c>
      <c r="P128" s="32">
        <f>IF(G128="","",IFERROR(INDEX(Config!$I$5:$I$16,MATCH(G128,Config!$H$5:$H$16,0)),0))</f>
        <v>30</v>
      </c>
      <c r="Q128" s="30">
        <f>IF(OR(H128&lt;&gt;"Realizado",P128="",P128=0),"",A128+P128)</f>
        <v>46247.0</v>
      </c>
      <c r="R128" s="26" t="str">
        <f>IF(Q128="","",IF(COUNTIFS($E$5:$E$1204,E128,$A$5:$A$1204,"&gt;"&amp;A128,$H$5:$H$1204,"&lt;&gt;Falta",$H$5:$H$1204,"&lt;&gt;Cancelado",$H$5:$H$1204,"&lt;&gt;Remarcado")&gt;0,"Sim","Não"))</f>
        <v>Sim</v>
      </c>
      <c r="S128" s="32">
        <f>IF(R128&lt;&gt;"Não","",IF(Q128+Config!$B$9&lt;=Config!$B$8,Config!$B$8-Q128,""))</f>
        <v/>
      </c>
      <c r="T128" s="26">
        <f>IF(S128="","","Sim")</f>
        <v/>
      </c>
      <c r="U128" s="41">
        <f>IF(T128="Sim",S128+ROW()/100000,0)</f>
        <v>0</v>
      </c>
      <c r="V128" s="41">
        <f>IF(AND(H128="Falta",L128=Config!$B$7,M128=Config!$B$5,COUNTIFS($E$5:E128,E128,$H$5:H128,"Falta",$L$5:L128,Config!$B$7,$M$5:M128,Config!$B$5)=1),COUNTIFS($E$5:$E$1204,E128,$H$5:$H$1204,"Falta",$L$5:$L$1204,Config!$B$7,$M$5:$M$1204,Config!$B$5)*1000-ROW()/100000,0)</f>
        <v>0</v>
      </c>
    </row>
    <row r="129">
      <c r="A129" s="39" t="n">
        <v>46217</v>
      </c>
      <c r="B129" s="40" t="n">
        <v>0.625</v>
      </c>
      <c r="C129" s="35" t="inlineStr">
        <is>
          <t>Dra. Renata Sousa</t>
        </is>
      </c>
      <c r="D129" s="35" t="inlineStr">
        <is>
          <t>Sala 1</t>
        </is>
      </c>
      <c r="E129" s="34" t="inlineStr">
        <is>
          <t>Cláudia Melo</t>
        </is>
      </c>
      <c r="F129" s="35" t="inlineStr">
        <is>
          <t>Particular</t>
        </is>
      </c>
      <c r="G129" s="35" t="inlineStr">
        <is>
          <t>Avaliação endócrina</t>
        </is>
      </c>
      <c r="H129" s="35" t="inlineStr">
        <is>
          <t>Realizado</t>
        </is>
      </c>
      <c r="I129" s="35" t="inlineStr">
        <is>
          <t>Cartão de crédito</t>
        </is>
      </c>
      <c r="J129" s="35" t="n"/>
      <c r="K129" s="34" t="n"/>
      <c r="L129" s="26">
        <f>IF(A129="","",MONTH(A129))</f>
        <v>7</v>
      </c>
      <c r="M129" s="26">
        <f>IF(A129="","",YEAR(A129))</f>
        <v>2026</v>
      </c>
      <c r="N129" s="26" t="str">
        <f>IF(A129="","",CHOOSE(WEEKDAY(A129,2),"Segunda","Terça","Quarta","Quinta","Sexta","Sábado","Domingo"))</f>
        <v>Terça</v>
      </c>
      <c r="O129" s="26" t="str">
        <f>IF(B129="","",IF(B129&lt;TIME(12,0,0),"Manhã",IF(B129&lt;TIME(18,0,0),"Tarde","Noite")))</f>
        <v>Tarde</v>
      </c>
      <c r="P129" s="32">
        <f>IF(G129="","",IFERROR(INDEX(Config!$I$5:$I$16,MATCH(G129,Config!$H$5:$H$16,0)),0))</f>
        <v>45</v>
      </c>
      <c r="Q129" s="30">
        <f>IF(OR(H129&lt;&gt;"Realizado",P129="",P129=0),"",A129+P129)</f>
        <v>46262.0</v>
      </c>
      <c r="R129" s="26" t="str">
        <f>IF(Q129="","",IF(COUNTIFS($E$5:$E$1204,E129,$A$5:$A$1204,"&gt;"&amp;A129,$H$5:$H$1204,"&lt;&gt;Falta",$H$5:$H$1204,"&lt;&gt;Cancelado",$H$5:$H$1204,"&lt;&gt;Remarcado")&gt;0,"Sim","Não"))</f>
        <v>Sim</v>
      </c>
      <c r="S129" s="32">
        <f>IF(R129&lt;&gt;"Não","",IF(Q129+Config!$B$9&lt;=Config!$B$8,Config!$B$8-Q129,""))</f>
        <v/>
      </c>
      <c r="T129" s="26">
        <f>IF(S129="","","Sim")</f>
        <v/>
      </c>
      <c r="U129" s="41">
        <f>IF(T129="Sim",S129+ROW()/100000,0)</f>
        <v>0</v>
      </c>
      <c r="V129" s="41">
        <f>IF(AND(H129="Falta",L129=Config!$B$7,M129=Config!$B$5,COUNTIFS($E$5:E129,E129,$H$5:H129,"Falta",$L$5:L129,Config!$B$7,$M$5:M129,Config!$B$5)=1),COUNTIFS($E$5:$E$1204,E129,$H$5:$H$1204,"Falta",$L$5:$L$1204,Config!$B$7,$M$5:$M$1204,Config!$B$5)*1000-ROW()/100000,0)</f>
        <v>0</v>
      </c>
    </row>
    <row r="130">
      <c r="A130" s="39" t="n">
        <v>46217</v>
      </c>
      <c r="B130" s="40" t="n">
        <v>0.625</v>
      </c>
      <c r="C130" s="35" t="inlineStr">
        <is>
          <t>Dr. Paulo Andrade</t>
        </is>
      </c>
      <c r="D130" s="35" t="inlineStr">
        <is>
          <t>Sala 2</t>
        </is>
      </c>
      <c r="E130" s="34" t="inlineStr">
        <is>
          <t>Rafael Dias</t>
        </is>
      </c>
      <c r="F130" s="35" t="inlineStr">
        <is>
          <t>Particular</t>
        </is>
      </c>
      <c r="G130" s="35" t="inlineStr">
        <is>
          <t>ECG</t>
        </is>
      </c>
      <c r="H130" s="35" t="inlineStr">
        <is>
          <t>Realizado</t>
        </is>
      </c>
      <c r="I130" s="35" t="inlineStr">
        <is>
          <t>Cartão de crédito</t>
        </is>
      </c>
      <c r="J130" s="35" t="n"/>
      <c r="K130" s="34" t="n"/>
      <c r="L130" s="26">
        <f>IF(A130="","",MONTH(A130))</f>
        <v>7</v>
      </c>
      <c r="M130" s="26">
        <f>IF(A130="","",YEAR(A130))</f>
        <v>2026</v>
      </c>
      <c r="N130" s="26" t="str">
        <f>IF(A130="","",CHOOSE(WEEKDAY(A130,2),"Segunda","Terça","Quarta","Quinta","Sexta","Sábado","Domingo"))</f>
        <v>Terça</v>
      </c>
      <c r="O130" s="26" t="str">
        <f>IF(B130="","",IF(B130&lt;TIME(12,0,0),"Manhã",IF(B130&lt;TIME(18,0,0),"Tarde","Noite")))</f>
        <v>Tarde</v>
      </c>
      <c r="P130" s="32">
        <f>IF(G130="","",IFERROR(INDEX(Config!$I$5:$I$16,MATCH(G130,Config!$H$5:$H$16,0)),0))</f>
        <v>0</v>
      </c>
      <c r="Q130" s="30">
        <f>IF(OR(H130&lt;&gt;"Realizado",P130="",P130=0),"",A130+P130)</f>
        <v/>
      </c>
      <c r="R130" s="26">
        <f>IF(Q130="","",IF(COUNTIFS($E$5:$E$1204,E130,$A$5:$A$1204,"&gt;"&amp;A130,$H$5:$H$1204,"&lt;&gt;Falta",$H$5:$H$1204,"&lt;&gt;Cancelado",$H$5:$H$1204,"&lt;&gt;Remarcado")&gt;0,"Sim","Não"))</f>
        <v/>
      </c>
      <c r="S130" s="32">
        <f>IF(R130&lt;&gt;"Não","",IF(Q130+Config!$B$9&lt;=Config!$B$8,Config!$B$8-Q130,""))</f>
        <v/>
      </c>
      <c r="T130" s="26">
        <f>IF(S130="","","Sim")</f>
        <v/>
      </c>
      <c r="U130" s="41">
        <f>IF(T130="Sim",S130+ROW()/100000,0)</f>
        <v>0</v>
      </c>
      <c r="V130" s="41">
        <f>IF(AND(H130="Falta",L130=Config!$B$7,M130=Config!$B$5,COUNTIFS($E$5:E130,E130,$H$5:H130,"Falta",$L$5:L130,Config!$B$7,$M$5:M130,Config!$B$5)=1),COUNTIFS($E$5:$E$1204,E130,$H$5:$H$1204,"Falta",$L$5:$L$1204,Config!$B$7,$M$5:$M$1204,Config!$B$5)*1000-ROW()/100000,0)</f>
        <v>0</v>
      </c>
    </row>
    <row r="131">
      <c r="A131" s="39" t="n">
        <v>46217</v>
      </c>
      <c r="B131" s="40" t="n">
        <v>0.6388888888888888</v>
      </c>
      <c r="C131" s="35" t="inlineStr">
        <is>
          <t>Dr. Paulo Andrade</t>
        </is>
      </c>
      <c r="D131" s="35" t="inlineStr">
        <is>
          <t>Sala 2</t>
        </is>
      </c>
      <c r="E131" s="34" t="inlineStr">
        <is>
          <t>Mônica Martins</t>
        </is>
      </c>
      <c r="F131" s="35" t="inlineStr">
        <is>
          <t>Particular</t>
        </is>
      </c>
      <c r="G131" s="35" t="inlineStr">
        <is>
          <t>ECG</t>
        </is>
      </c>
      <c r="H131" s="35" t="inlineStr">
        <is>
          <t>Realizado</t>
        </is>
      </c>
      <c r="I131" s="35" t="inlineStr">
        <is>
          <t>Pix</t>
        </is>
      </c>
      <c r="J131" s="35" t="n"/>
      <c r="K131" s="34" t="n"/>
      <c r="L131" s="26">
        <f>IF(A131="","",MONTH(A131))</f>
        <v>7</v>
      </c>
      <c r="M131" s="26">
        <f>IF(A131="","",YEAR(A131))</f>
        <v>2026</v>
      </c>
      <c r="N131" s="26" t="str">
        <f>IF(A131="","",CHOOSE(WEEKDAY(A131,2),"Segunda","Terça","Quarta","Quinta","Sexta","Sábado","Domingo"))</f>
        <v>Terça</v>
      </c>
      <c r="O131" s="26" t="str">
        <f>IF(B131="","",IF(B131&lt;TIME(12,0,0),"Manhã",IF(B131&lt;TIME(18,0,0),"Tarde","Noite")))</f>
        <v>Tarde</v>
      </c>
      <c r="P131" s="32">
        <f>IF(G131="","",IFERROR(INDEX(Config!$I$5:$I$16,MATCH(G131,Config!$H$5:$H$16,0)),0))</f>
        <v>0</v>
      </c>
      <c r="Q131" s="30">
        <f>IF(OR(H131&lt;&gt;"Realizado",P131="",P131=0),"",A131+P131)</f>
        <v/>
      </c>
      <c r="R131" s="26">
        <f>IF(Q131="","",IF(COUNTIFS($E$5:$E$1204,E131,$A$5:$A$1204,"&gt;"&amp;A131,$H$5:$H$1204,"&lt;&gt;Falta",$H$5:$H$1204,"&lt;&gt;Cancelado",$H$5:$H$1204,"&lt;&gt;Remarcado")&gt;0,"Sim","Não"))</f>
        <v/>
      </c>
      <c r="S131" s="32">
        <f>IF(R131&lt;&gt;"Não","",IF(Q131+Config!$B$9&lt;=Config!$B$8,Config!$B$8-Q131,""))</f>
        <v/>
      </c>
      <c r="T131" s="26">
        <f>IF(S131="","","Sim")</f>
        <v/>
      </c>
      <c r="U131" s="41">
        <f>IF(T131="Sim",S131+ROW()/100000,0)</f>
        <v>0</v>
      </c>
      <c r="V131" s="41">
        <f>IF(AND(H131="Falta",L131=Config!$B$7,M131=Config!$B$5,COUNTIFS($E$5:E131,E131,$H$5:H131,"Falta",$L$5:L131,Config!$B$7,$M$5:M131,Config!$B$5)=1),COUNTIFS($E$5:$E$1204,E131,$H$5:$H$1204,"Falta",$L$5:$L$1204,Config!$B$7,$M$5:$M$1204,Config!$B$5)*1000-ROW()/100000,0)</f>
        <v>0</v>
      </c>
    </row>
    <row r="132">
      <c r="A132" s="39" t="n">
        <v>46217</v>
      </c>
      <c r="B132" s="40" t="n">
        <v>0.6527777777777778</v>
      </c>
      <c r="C132" s="35" t="inlineStr">
        <is>
          <t>Dra. Renata Sousa</t>
        </is>
      </c>
      <c r="D132" s="35" t="inlineStr">
        <is>
          <t>Sala 1</t>
        </is>
      </c>
      <c r="E132" s="34" t="inlineStr">
        <is>
          <t>Patrícia Dias</t>
        </is>
      </c>
      <c r="F132" s="35" t="inlineStr">
        <is>
          <t>Particular</t>
        </is>
      </c>
      <c r="G132" s="35" t="inlineStr">
        <is>
          <t>Retorno</t>
        </is>
      </c>
      <c r="H132" s="35" t="inlineStr">
        <is>
          <t>Realizado</t>
        </is>
      </c>
      <c r="I132" s="35" t="inlineStr">
        <is>
          <t>Sem cobrança</t>
        </is>
      </c>
      <c r="J132" s="35" t="n"/>
      <c r="K132" s="34" t="n"/>
      <c r="L132" s="26">
        <f>IF(A132="","",MONTH(A132))</f>
        <v>7</v>
      </c>
      <c r="M132" s="26">
        <f>IF(A132="","",YEAR(A132))</f>
        <v>2026</v>
      </c>
      <c r="N132" s="26" t="str">
        <f>IF(A132="","",CHOOSE(WEEKDAY(A132,2),"Segunda","Terça","Quarta","Quinta","Sexta","Sábado","Domingo"))</f>
        <v>Terça</v>
      </c>
      <c r="O132" s="26" t="str">
        <f>IF(B132="","",IF(B132&lt;TIME(12,0,0),"Manhã",IF(B132&lt;TIME(18,0,0),"Tarde","Noite")))</f>
        <v>Tarde</v>
      </c>
      <c r="P132" s="32">
        <f>IF(G132="","",IFERROR(INDEX(Config!$I$5:$I$16,MATCH(G132,Config!$H$5:$H$16,0)),0))</f>
        <v>0</v>
      </c>
      <c r="Q132" s="30">
        <f>IF(OR(H132&lt;&gt;"Realizado",P132="",P132=0),"",A132+P132)</f>
        <v/>
      </c>
      <c r="R132" s="26">
        <f>IF(Q132="","",IF(COUNTIFS($E$5:$E$1204,E132,$A$5:$A$1204,"&gt;"&amp;A132,$H$5:$H$1204,"&lt;&gt;Falta",$H$5:$H$1204,"&lt;&gt;Cancelado",$H$5:$H$1204,"&lt;&gt;Remarcado")&gt;0,"Sim","Não"))</f>
        <v/>
      </c>
      <c r="S132" s="32">
        <f>IF(R132&lt;&gt;"Não","",IF(Q132+Config!$B$9&lt;=Config!$B$8,Config!$B$8-Q132,""))</f>
        <v/>
      </c>
      <c r="T132" s="26">
        <f>IF(S132="","","Sim")</f>
        <v/>
      </c>
      <c r="U132" s="41">
        <f>IF(T132="Sim",S132+ROW()/100000,0)</f>
        <v>0</v>
      </c>
      <c r="V132" s="41">
        <f>IF(AND(H132="Falta",L132=Config!$B$7,M132=Config!$B$5,COUNTIFS($E$5:E132,E132,$H$5:H132,"Falta",$L$5:L132,Config!$B$7,$M$5:M132,Config!$B$5)=1),COUNTIFS($E$5:$E$1204,E132,$H$5:$H$1204,"Falta",$L$5:$L$1204,Config!$B$7,$M$5:$M$1204,Config!$B$5)*1000-ROW()/100000,0)</f>
        <v>0</v>
      </c>
    </row>
    <row r="133">
      <c r="A133" s="39" t="n">
        <v>46217</v>
      </c>
      <c r="B133" s="40" t="n">
        <v>0.6527777777777778</v>
      </c>
      <c r="C133" s="35" t="inlineStr">
        <is>
          <t>Dr. Paulo Andrade</t>
        </is>
      </c>
      <c r="D133" s="35" t="inlineStr">
        <is>
          <t>Sala 2</t>
        </is>
      </c>
      <c r="E133" s="34" t="inlineStr">
        <is>
          <t>Marcelo Ferreira</t>
        </is>
      </c>
      <c r="F133" s="35" t="inlineStr">
        <is>
          <t>Particular</t>
        </is>
      </c>
      <c r="G133" s="35" t="inlineStr">
        <is>
          <t>Consulta</t>
        </is>
      </c>
      <c r="H133" s="35" t="inlineStr">
        <is>
          <t>Realizado</t>
        </is>
      </c>
      <c r="I133" s="35" t="inlineStr">
        <is>
          <t>Cartão de crédito</t>
        </is>
      </c>
      <c r="J133" s="35" t="n">
        <v>2</v>
      </c>
      <c r="K133" s="34" t="n"/>
      <c r="L133" s="26">
        <f>IF(A133="","",MONTH(A133))</f>
        <v>7</v>
      </c>
      <c r="M133" s="26">
        <f>IF(A133="","",YEAR(A133))</f>
        <v>2026</v>
      </c>
      <c r="N133" s="26" t="str">
        <f>IF(A133="","",CHOOSE(WEEKDAY(A133,2),"Segunda","Terça","Quarta","Quinta","Sexta","Sábado","Domingo"))</f>
        <v>Terça</v>
      </c>
      <c r="O133" s="26" t="str">
        <f>IF(B133="","",IF(B133&lt;TIME(12,0,0),"Manhã",IF(B133&lt;TIME(18,0,0),"Tarde","Noite")))</f>
        <v>Tarde</v>
      </c>
      <c r="P133" s="32">
        <f>IF(G133="","",IFERROR(INDEX(Config!$I$5:$I$16,MATCH(G133,Config!$H$5:$H$16,0)),0))</f>
        <v>30</v>
      </c>
      <c r="Q133" s="30">
        <f>IF(OR(H133&lt;&gt;"Realizado",P133="",P133=0),"",A133+P133)</f>
        <v>46247.0</v>
      </c>
      <c r="R133" s="26" t="str">
        <f>IF(Q133="","",IF(COUNTIFS($E$5:$E$1204,E133,$A$5:$A$1204,"&gt;"&amp;A133,$H$5:$H$1204,"&lt;&gt;Falta",$H$5:$H$1204,"&lt;&gt;Cancelado",$H$5:$H$1204,"&lt;&gt;Remarcado")&gt;0,"Sim","Não"))</f>
        <v>Sim</v>
      </c>
      <c r="S133" s="32">
        <f>IF(R133&lt;&gt;"Não","",IF(Q133+Config!$B$9&lt;=Config!$B$8,Config!$B$8-Q133,""))</f>
        <v/>
      </c>
      <c r="T133" s="26">
        <f>IF(S133="","","Sim")</f>
        <v/>
      </c>
      <c r="U133" s="41">
        <f>IF(T133="Sim",S133+ROW()/100000,0)</f>
        <v>0</v>
      </c>
      <c r="V133" s="41">
        <f>IF(AND(H133="Falta",L133=Config!$B$7,M133=Config!$B$5,COUNTIFS($E$5:E133,E133,$H$5:H133,"Falta",$L$5:L133,Config!$B$7,$M$5:M133,Config!$B$5)=1),COUNTIFS($E$5:$E$1204,E133,$H$5:$H$1204,"Falta",$L$5:$L$1204,Config!$B$7,$M$5:$M$1204,Config!$B$5)*1000-ROW()/100000,0)</f>
        <v>0</v>
      </c>
    </row>
    <row r="134">
      <c r="A134" s="39" t="n">
        <v>46217</v>
      </c>
      <c r="B134" s="40" t="n">
        <v>0.6666666666666666</v>
      </c>
      <c r="C134" s="35" t="inlineStr">
        <is>
          <t>Dra. Renata Sousa</t>
        </is>
      </c>
      <c r="D134" s="35" t="inlineStr">
        <is>
          <t>Sala 1</t>
        </is>
      </c>
      <c r="E134" s="34" t="inlineStr">
        <is>
          <t>Roberta Lima</t>
        </is>
      </c>
      <c r="F134" s="35" t="inlineStr">
        <is>
          <t>Particular</t>
        </is>
      </c>
      <c r="G134" s="35" t="inlineStr">
        <is>
          <t>Avaliação endócrina</t>
        </is>
      </c>
      <c r="H134" s="35" t="inlineStr">
        <is>
          <t>Realizado</t>
        </is>
      </c>
      <c r="I134" s="35" t="inlineStr">
        <is>
          <t>Cartão de crédito</t>
        </is>
      </c>
      <c r="J134" s="35" t="n"/>
      <c r="K134" s="34" t="n"/>
      <c r="L134" s="26">
        <f>IF(A134="","",MONTH(A134))</f>
        <v>7</v>
      </c>
      <c r="M134" s="26">
        <f>IF(A134="","",YEAR(A134))</f>
        <v>2026</v>
      </c>
      <c r="N134" s="26" t="str">
        <f>IF(A134="","",CHOOSE(WEEKDAY(A134,2),"Segunda","Terça","Quarta","Quinta","Sexta","Sábado","Domingo"))</f>
        <v>Terça</v>
      </c>
      <c r="O134" s="26" t="str">
        <f>IF(B134="","",IF(B134&lt;TIME(12,0,0),"Manhã",IF(B134&lt;TIME(18,0,0),"Tarde","Noite")))</f>
        <v>Tarde</v>
      </c>
      <c r="P134" s="32">
        <f>IF(G134="","",IFERROR(INDEX(Config!$I$5:$I$16,MATCH(G134,Config!$H$5:$H$16,0)),0))</f>
        <v>45</v>
      </c>
      <c r="Q134" s="30">
        <f>IF(OR(H134&lt;&gt;"Realizado",P134="",P134=0),"",A134+P134)</f>
        <v>46262.0</v>
      </c>
      <c r="R134" s="26" t="str">
        <f>IF(Q134="","",IF(COUNTIFS($E$5:$E$1204,E134,$A$5:$A$1204,"&gt;"&amp;A134,$H$5:$H$1204,"&lt;&gt;Falta",$H$5:$H$1204,"&lt;&gt;Cancelado",$H$5:$H$1204,"&lt;&gt;Remarcado")&gt;0,"Sim","Não"))</f>
        <v>Sim</v>
      </c>
      <c r="S134" s="32">
        <f>IF(R134&lt;&gt;"Não","",IF(Q134+Config!$B$9&lt;=Config!$B$8,Config!$B$8-Q134,""))</f>
        <v/>
      </c>
      <c r="T134" s="26">
        <f>IF(S134="","","Sim")</f>
        <v/>
      </c>
      <c r="U134" s="41">
        <f>IF(T134="Sim",S134+ROW()/100000,0)</f>
        <v>0</v>
      </c>
      <c r="V134" s="41">
        <f>IF(AND(H134="Falta",L134=Config!$B$7,M134=Config!$B$5,COUNTIFS($E$5:E134,E134,$H$5:H134,"Falta",$L$5:L134,Config!$B$7,$M$5:M134,Config!$B$5)=1),COUNTIFS($E$5:$E$1204,E134,$H$5:$H$1204,"Falta",$L$5:$L$1204,Config!$B$7,$M$5:$M$1204,Config!$B$5)*1000-ROW()/100000,0)</f>
        <v>0</v>
      </c>
    </row>
    <row r="135">
      <c r="A135" s="39" t="n">
        <v>46217</v>
      </c>
      <c r="B135" s="40" t="n">
        <v>0.6944444444444444</v>
      </c>
      <c r="C135" s="35" t="inlineStr">
        <is>
          <t>Dra. Renata Sousa</t>
        </is>
      </c>
      <c r="D135" s="35" t="inlineStr">
        <is>
          <t>Sala 1</t>
        </is>
      </c>
      <c r="E135" s="34" t="inlineStr">
        <is>
          <t>Thiago Melo</t>
        </is>
      </c>
      <c r="F135" s="35" t="inlineStr">
        <is>
          <t>Particular</t>
        </is>
      </c>
      <c r="G135" s="35" t="inlineStr">
        <is>
          <t>Avaliação endócrina</t>
        </is>
      </c>
      <c r="H135" s="35" t="inlineStr">
        <is>
          <t>Realizado</t>
        </is>
      </c>
      <c r="I135" s="35" t="inlineStr">
        <is>
          <t>Cartão de crédito</t>
        </is>
      </c>
      <c r="J135" s="35" t="n">
        <v>2</v>
      </c>
      <c r="K135" s="34" t="n"/>
      <c r="L135" s="26">
        <f>IF(A135="","",MONTH(A135))</f>
        <v>7</v>
      </c>
      <c r="M135" s="26">
        <f>IF(A135="","",YEAR(A135))</f>
        <v>2026</v>
      </c>
      <c r="N135" s="26" t="str">
        <f>IF(A135="","",CHOOSE(WEEKDAY(A135,2),"Segunda","Terça","Quarta","Quinta","Sexta","Sábado","Domingo"))</f>
        <v>Terça</v>
      </c>
      <c r="O135" s="26" t="str">
        <f>IF(B135="","",IF(B135&lt;TIME(12,0,0),"Manhã",IF(B135&lt;TIME(18,0,0),"Tarde","Noite")))</f>
        <v>Tarde</v>
      </c>
      <c r="P135" s="32">
        <f>IF(G135="","",IFERROR(INDEX(Config!$I$5:$I$16,MATCH(G135,Config!$H$5:$H$16,0)),0))</f>
        <v>45</v>
      </c>
      <c r="Q135" s="30">
        <f>IF(OR(H135&lt;&gt;"Realizado",P135="",P135=0),"",A135+P135)</f>
        <v>46262.0</v>
      </c>
      <c r="R135" s="26" t="str">
        <f>IF(Q135="","",IF(COUNTIFS($E$5:$E$1204,E135,$A$5:$A$1204,"&gt;"&amp;A135,$H$5:$H$1204,"&lt;&gt;Falta",$H$5:$H$1204,"&lt;&gt;Cancelado",$H$5:$H$1204,"&lt;&gt;Remarcado")&gt;0,"Sim","Não"))</f>
        <v>Sim</v>
      </c>
      <c r="S135" s="32">
        <f>IF(R135&lt;&gt;"Não","",IF(Q135+Config!$B$9&lt;=Config!$B$8,Config!$B$8-Q135,""))</f>
        <v/>
      </c>
      <c r="T135" s="26">
        <f>IF(S135="","","Sim")</f>
        <v/>
      </c>
      <c r="U135" s="41">
        <f>IF(T135="Sim",S135+ROW()/100000,0)</f>
        <v>0</v>
      </c>
      <c r="V135" s="41">
        <f>IF(AND(H135="Falta",L135=Config!$B$7,M135=Config!$B$5,COUNTIFS($E$5:E135,E135,$H$5:H135,"Falta",$L$5:L135,Config!$B$7,$M$5:M135,Config!$B$5)=1),COUNTIFS($E$5:$E$1204,E135,$H$5:$H$1204,"Falta",$L$5:$L$1204,Config!$B$7,$M$5:$M$1204,Config!$B$5)*1000-ROW()/100000,0)</f>
        <v>0</v>
      </c>
    </row>
    <row r="136">
      <c r="A136" s="39" t="n">
        <v>46217</v>
      </c>
      <c r="B136" s="40" t="n">
        <v>0.7152777777777778</v>
      </c>
      <c r="C136" s="35" t="inlineStr">
        <is>
          <t>Dr. Paulo Andrade</t>
        </is>
      </c>
      <c r="D136" s="35" t="inlineStr">
        <is>
          <t>Sala 2</t>
        </is>
      </c>
      <c r="E136" s="34" t="inlineStr">
        <is>
          <t>Rafael Barros</t>
        </is>
      </c>
      <c r="F136" s="35" t="inlineStr">
        <is>
          <t>Particular</t>
        </is>
      </c>
      <c r="G136" s="35" t="inlineStr">
        <is>
          <t>Consulta</t>
        </is>
      </c>
      <c r="H136" s="35" t="inlineStr">
        <is>
          <t>Realizado</t>
        </is>
      </c>
      <c r="I136" s="35" t="inlineStr">
        <is>
          <t>Pix</t>
        </is>
      </c>
      <c r="J136" s="35" t="n"/>
      <c r="K136" s="34" t="n"/>
      <c r="L136" s="26">
        <f>IF(A136="","",MONTH(A136))</f>
        <v>7</v>
      </c>
      <c r="M136" s="26">
        <f>IF(A136="","",YEAR(A136))</f>
        <v>2026</v>
      </c>
      <c r="N136" s="26" t="str">
        <f>IF(A136="","",CHOOSE(WEEKDAY(A136,2),"Segunda","Terça","Quarta","Quinta","Sexta","Sábado","Domingo"))</f>
        <v>Terça</v>
      </c>
      <c r="O136" s="26" t="str">
        <f>IF(B136="","",IF(B136&lt;TIME(12,0,0),"Manhã",IF(B136&lt;TIME(18,0,0),"Tarde","Noite")))</f>
        <v>Tarde</v>
      </c>
      <c r="P136" s="32">
        <f>IF(G136="","",IFERROR(INDEX(Config!$I$5:$I$16,MATCH(G136,Config!$H$5:$H$16,0)),0))</f>
        <v>30</v>
      </c>
      <c r="Q136" s="30">
        <f>IF(OR(H136&lt;&gt;"Realizado",P136="",P136=0),"",A136+P136)</f>
        <v>46247.0</v>
      </c>
      <c r="R136" s="26" t="str">
        <f>IF(Q136="","",IF(COUNTIFS($E$5:$E$1204,E136,$A$5:$A$1204,"&gt;"&amp;A136,$H$5:$H$1204,"&lt;&gt;Falta",$H$5:$H$1204,"&lt;&gt;Cancelado",$H$5:$H$1204,"&lt;&gt;Remarcado")&gt;0,"Sim","Não"))</f>
        <v>Sim</v>
      </c>
      <c r="S136" s="32">
        <f>IF(R136&lt;&gt;"Não","",IF(Q136+Config!$B$9&lt;=Config!$B$8,Config!$B$8-Q136,""))</f>
        <v/>
      </c>
      <c r="T136" s="26">
        <f>IF(S136="","","Sim")</f>
        <v/>
      </c>
      <c r="U136" s="41">
        <f>IF(T136="Sim",S136+ROW()/100000,0)</f>
        <v>0</v>
      </c>
      <c r="V136" s="41">
        <f>IF(AND(H136="Falta",L136=Config!$B$7,M136=Config!$B$5,COUNTIFS($E$5:E136,E136,$H$5:H136,"Falta",$L$5:L136,Config!$B$7,$M$5:M136,Config!$B$5)=1),COUNTIFS($E$5:$E$1204,E136,$H$5:$H$1204,"Falta",$L$5:$L$1204,Config!$B$7,$M$5:$M$1204,Config!$B$5)*1000-ROW()/100000,0)</f>
        <v>0</v>
      </c>
    </row>
    <row r="137">
      <c r="A137" s="39" t="n">
        <v>46217</v>
      </c>
      <c r="B137" s="40" t="n">
        <v>0.7222222222222222</v>
      </c>
      <c r="C137" s="35" t="inlineStr">
        <is>
          <t>Dra. Renata Sousa</t>
        </is>
      </c>
      <c r="D137" s="35" t="inlineStr">
        <is>
          <t>Sala 1</t>
        </is>
      </c>
      <c r="E137" s="34" t="inlineStr">
        <is>
          <t>Mariana Reis</t>
        </is>
      </c>
      <c r="F137" s="35" t="inlineStr">
        <is>
          <t>Particular</t>
        </is>
      </c>
      <c r="G137" s="35" t="inlineStr">
        <is>
          <t>Avaliação endócrina</t>
        </is>
      </c>
      <c r="H137" s="35" t="inlineStr">
        <is>
          <t>Realizado</t>
        </is>
      </c>
      <c r="I137" s="35" t="inlineStr">
        <is>
          <t>Cartão de crédito</t>
        </is>
      </c>
      <c r="J137" s="35" t="n">
        <v>2</v>
      </c>
      <c r="K137" s="34" t="n"/>
      <c r="L137" s="26">
        <f>IF(A137="","",MONTH(A137))</f>
        <v>7</v>
      </c>
      <c r="M137" s="26">
        <f>IF(A137="","",YEAR(A137))</f>
        <v>2026</v>
      </c>
      <c r="N137" s="26" t="str">
        <f>IF(A137="","",CHOOSE(WEEKDAY(A137,2),"Segunda","Terça","Quarta","Quinta","Sexta","Sábado","Domingo"))</f>
        <v>Terça</v>
      </c>
      <c r="O137" s="26" t="str">
        <f>IF(B137="","",IF(B137&lt;TIME(12,0,0),"Manhã",IF(B137&lt;TIME(18,0,0),"Tarde","Noite")))</f>
        <v>Tarde</v>
      </c>
      <c r="P137" s="32">
        <f>IF(G137="","",IFERROR(INDEX(Config!$I$5:$I$16,MATCH(G137,Config!$H$5:$H$16,0)),0))</f>
        <v>45</v>
      </c>
      <c r="Q137" s="30">
        <f>IF(OR(H137&lt;&gt;"Realizado",P137="",P137=0),"",A137+P137)</f>
        <v>46262.0</v>
      </c>
      <c r="R137" s="26" t="str">
        <f>IF(Q137="","",IF(COUNTIFS($E$5:$E$1204,E137,$A$5:$A$1204,"&gt;"&amp;A137,$H$5:$H$1204,"&lt;&gt;Falta",$H$5:$H$1204,"&lt;&gt;Cancelado",$H$5:$H$1204,"&lt;&gt;Remarcado")&gt;0,"Sim","Não"))</f>
        <v>Sim</v>
      </c>
      <c r="S137" s="32">
        <f>IF(R137&lt;&gt;"Não","",IF(Q137+Config!$B$9&lt;=Config!$B$8,Config!$B$8-Q137,""))</f>
        <v/>
      </c>
      <c r="T137" s="26">
        <f>IF(S137="","","Sim")</f>
        <v/>
      </c>
      <c r="U137" s="41">
        <f>IF(T137="Sim",S137+ROW()/100000,0)</f>
        <v>0</v>
      </c>
      <c r="V137" s="41">
        <f>IF(AND(H137="Falta",L137=Config!$B$7,M137=Config!$B$5,COUNTIFS($E$5:E137,E137,$H$5:H137,"Falta",$L$5:L137,Config!$B$7,$M$5:M137,Config!$B$5)=1),COUNTIFS($E$5:$E$1204,E137,$H$5:$H$1204,"Falta",$L$5:$L$1204,Config!$B$7,$M$5:$M$1204,Config!$B$5)*1000-ROW()/100000,0)</f>
        <v>0</v>
      </c>
    </row>
    <row r="138">
      <c r="A138" s="39" t="n">
        <v>46217</v>
      </c>
      <c r="B138" s="40" t="n">
        <v>0.7361111111111112</v>
      </c>
      <c r="C138" s="35" t="inlineStr">
        <is>
          <t>Dr. Paulo Andrade</t>
        </is>
      </c>
      <c r="D138" s="35" t="inlineStr">
        <is>
          <t>Sala 2</t>
        </is>
      </c>
      <c r="E138" s="34" t="inlineStr">
        <is>
          <t>Helena Moreira</t>
        </is>
      </c>
      <c r="F138" s="35" t="inlineStr">
        <is>
          <t>Particular</t>
        </is>
      </c>
      <c r="G138" s="35" t="inlineStr">
        <is>
          <t>MAPA</t>
        </is>
      </c>
      <c r="H138" s="35" t="inlineStr">
        <is>
          <t>Realizado</t>
        </is>
      </c>
      <c r="I138" s="35" t="inlineStr">
        <is>
          <t>Cartão de crédito</t>
        </is>
      </c>
      <c r="J138" s="35" t="n">
        <v>2</v>
      </c>
      <c r="K138" s="34" t="n"/>
      <c r="L138" s="26">
        <f>IF(A138="","",MONTH(A138))</f>
        <v>7</v>
      </c>
      <c r="M138" s="26">
        <f>IF(A138="","",YEAR(A138))</f>
        <v>2026</v>
      </c>
      <c r="N138" s="26" t="str">
        <f>IF(A138="","",CHOOSE(WEEKDAY(A138,2),"Segunda","Terça","Quarta","Quinta","Sexta","Sábado","Domingo"))</f>
        <v>Terça</v>
      </c>
      <c r="O138" s="26" t="str">
        <f>IF(B138="","",IF(B138&lt;TIME(12,0,0),"Manhã",IF(B138&lt;TIME(18,0,0),"Tarde","Noite")))</f>
        <v>Tarde</v>
      </c>
      <c r="P138" s="32">
        <f>IF(G138="","",IFERROR(INDEX(Config!$I$5:$I$16,MATCH(G138,Config!$H$5:$H$16,0)),0))</f>
        <v>0</v>
      </c>
      <c r="Q138" s="30">
        <f>IF(OR(H138&lt;&gt;"Realizado",P138="",P138=0),"",A138+P138)</f>
        <v/>
      </c>
      <c r="R138" s="26">
        <f>IF(Q138="","",IF(COUNTIFS($E$5:$E$1204,E138,$A$5:$A$1204,"&gt;"&amp;A138,$H$5:$H$1204,"&lt;&gt;Falta",$H$5:$H$1204,"&lt;&gt;Cancelado",$H$5:$H$1204,"&lt;&gt;Remarcado")&gt;0,"Sim","Não"))</f>
        <v/>
      </c>
      <c r="S138" s="32">
        <f>IF(R138&lt;&gt;"Não","",IF(Q138+Config!$B$9&lt;=Config!$B$8,Config!$B$8-Q138,""))</f>
        <v/>
      </c>
      <c r="T138" s="26">
        <f>IF(S138="","","Sim")</f>
        <v/>
      </c>
      <c r="U138" s="41">
        <f>IF(T138="Sim",S138+ROW()/100000,0)</f>
        <v>0</v>
      </c>
      <c r="V138" s="41">
        <f>IF(AND(H138="Falta",L138=Config!$B$7,M138=Config!$B$5,COUNTIFS($E$5:E138,E138,$H$5:H138,"Falta",$L$5:L138,Config!$B$7,$M$5:M138,Config!$B$5)=1),COUNTIFS($E$5:$E$1204,E138,$H$5:$H$1204,"Falta",$L$5:$L$1204,Config!$B$7,$M$5:$M$1204,Config!$B$5)*1000-ROW()/100000,0)</f>
        <v>0</v>
      </c>
    </row>
    <row r="139">
      <c r="A139" s="39" t="n">
        <v>46218</v>
      </c>
      <c r="B139" s="40" t="n">
        <v>0.5833333333333334</v>
      </c>
      <c r="C139" s="35" t="inlineStr">
        <is>
          <t>Dra. Carolina Mendes</t>
        </is>
      </c>
      <c r="D139" s="35" t="inlineStr">
        <is>
          <t>Sala 1</t>
        </is>
      </c>
      <c r="E139" s="34" t="inlineStr">
        <is>
          <t>Eduardo Nunes</t>
        </is>
      </c>
      <c r="F139" s="35" t="inlineStr">
        <is>
          <t>MediPlan</t>
        </is>
      </c>
      <c r="G139" s="35" t="inlineStr">
        <is>
          <t>Consulta</t>
        </is>
      </c>
      <c r="H139" s="35" t="inlineStr">
        <is>
          <t>Realizado</t>
        </is>
      </c>
      <c r="I139" s="35" t="inlineStr">
        <is>
          <t>Convênio</t>
        </is>
      </c>
      <c r="J139" s="35" t="n"/>
      <c r="K139" s="34" t="n"/>
      <c r="L139" s="26">
        <f>IF(A139="","",MONTH(A139))</f>
        <v>7</v>
      </c>
      <c r="M139" s="26">
        <f>IF(A139="","",YEAR(A139))</f>
        <v>2026</v>
      </c>
      <c r="N139" s="26" t="str">
        <f>IF(A139="","",CHOOSE(WEEKDAY(A139,2),"Segunda","Terça","Quarta","Quinta","Sexta","Sábado","Domingo"))</f>
        <v>Quarta</v>
      </c>
      <c r="O139" s="26" t="str">
        <f>IF(B139="","",IF(B139&lt;TIME(12,0,0),"Manhã",IF(B139&lt;TIME(18,0,0),"Tarde","Noite")))</f>
        <v>Tarde</v>
      </c>
      <c r="P139" s="32">
        <f>IF(G139="","",IFERROR(INDEX(Config!$I$5:$I$16,MATCH(G139,Config!$H$5:$H$16,0)),0))</f>
        <v>30</v>
      </c>
      <c r="Q139" s="30">
        <f>IF(OR(H139&lt;&gt;"Realizado",P139="",P139=0),"",A139+P139)</f>
        <v>46248.0</v>
      </c>
      <c r="R139" s="26" t="str">
        <f>IF(Q139="","",IF(COUNTIFS($E$5:$E$1204,E139,$A$5:$A$1204,"&gt;"&amp;A139,$H$5:$H$1204,"&lt;&gt;Falta",$H$5:$H$1204,"&lt;&gt;Cancelado",$H$5:$H$1204,"&lt;&gt;Remarcado")&gt;0,"Sim","Não"))</f>
        <v>Sim</v>
      </c>
      <c r="S139" s="32">
        <f>IF(R139&lt;&gt;"Não","",IF(Q139+Config!$B$9&lt;=Config!$B$8,Config!$B$8-Q139,""))</f>
        <v/>
      </c>
      <c r="T139" s="26">
        <f>IF(S139="","","Sim")</f>
        <v/>
      </c>
      <c r="U139" s="41">
        <f>IF(T139="Sim",S139+ROW()/100000,0)</f>
        <v>0</v>
      </c>
      <c r="V139" s="41">
        <f>IF(AND(H139="Falta",L139=Config!$B$7,M139=Config!$B$5,COUNTIFS($E$5:E139,E139,$H$5:H139,"Falta",$L$5:L139,Config!$B$7,$M$5:M139,Config!$B$5)=1),COUNTIFS($E$5:$E$1204,E139,$H$5:$H$1204,"Falta",$L$5:$L$1204,Config!$B$7,$M$5:$M$1204,Config!$B$5)*1000-ROW()/100000,0)</f>
        <v>0</v>
      </c>
    </row>
    <row r="140">
      <c r="A140" s="39" t="n">
        <v>46218</v>
      </c>
      <c r="B140" s="40" t="n">
        <v>0.6041666666666666</v>
      </c>
      <c r="C140" s="35" t="inlineStr">
        <is>
          <t>Dra. Carolina Mendes</t>
        </is>
      </c>
      <c r="D140" s="35" t="inlineStr">
        <is>
          <t>Sala 1</t>
        </is>
      </c>
      <c r="E140" s="34" t="inlineStr">
        <is>
          <t>Marcelo Santos</t>
        </is>
      </c>
      <c r="F140" s="35" t="inlineStr">
        <is>
          <t>Particular</t>
        </is>
      </c>
      <c r="G140" s="35" t="inlineStr">
        <is>
          <t>Consulta</t>
        </is>
      </c>
      <c r="H140" s="35" t="inlineStr">
        <is>
          <t>Realizado</t>
        </is>
      </c>
      <c r="I140" s="35" t="inlineStr">
        <is>
          <t>Cartão de crédito</t>
        </is>
      </c>
      <c r="J140" s="35" t="n"/>
      <c r="K140" s="34" t="n"/>
      <c r="L140" s="26">
        <f>IF(A140="","",MONTH(A140))</f>
        <v>7</v>
      </c>
      <c r="M140" s="26">
        <f>IF(A140="","",YEAR(A140))</f>
        <v>2026</v>
      </c>
      <c r="N140" s="26" t="str">
        <f>IF(A140="","",CHOOSE(WEEKDAY(A140,2),"Segunda","Terça","Quarta","Quinta","Sexta","Sábado","Domingo"))</f>
        <v>Quarta</v>
      </c>
      <c r="O140" s="26" t="str">
        <f>IF(B140="","",IF(B140&lt;TIME(12,0,0),"Manhã",IF(B140&lt;TIME(18,0,0),"Tarde","Noite")))</f>
        <v>Tarde</v>
      </c>
      <c r="P140" s="32">
        <f>IF(G140="","",IFERROR(INDEX(Config!$I$5:$I$16,MATCH(G140,Config!$H$5:$H$16,0)),0))</f>
        <v>30</v>
      </c>
      <c r="Q140" s="30">
        <f>IF(OR(H140&lt;&gt;"Realizado",P140="",P140=0),"",A140+P140)</f>
        <v>46248.0</v>
      </c>
      <c r="R140" s="26" t="str">
        <f>IF(Q140="","",IF(COUNTIFS($E$5:$E$1204,E140,$A$5:$A$1204,"&gt;"&amp;A140,$H$5:$H$1204,"&lt;&gt;Falta",$H$5:$H$1204,"&lt;&gt;Cancelado",$H$5:$H$1204,"&lt;&gt;Remarcado")&gt;0,"Sim","Não"))</f>
        <v>Sim</v>
      </c>
      <c r="S140" s="32">
        <f>IF(R140&lt;&gt;"Não","",IF(Q140+Config!$B$9&lt;=Config!$B$8,Config!$B$8-Q140,""))</f>
        <v/>
      </c>
      <c r="T140" s="26">
        <f>IF(S140="","","Sim")</f>
        <v/>
      </c>
      <c r="U140" s="41">
        <f>IF(T140="Sim",S140+ROW()/100000,0)</f>
        <v>0</v>
      </c>
      <c r="V140" s="41">
        <f>IF(AND(H140="Falta",L140=Config!$B$7,M140=Config!$B$5,COUNTIFS($E$5:E140,E140,$H$5:H140,"Falta",$L$5:L140,Config!$B$7,$M$5:M140,Config!$B$5)=1),COUNTIFS($E$5:$E$1204,E140,$H$5:$H$1204,"Falta",$L$5:$L$1204,Config!$B$7,$M$5:$M$1204,Config!$B$5)*1000-ROW()/100000,0)</f>
        <v>0</v>
      </c>
    </row>
    <row r="141">
      <c r="A141" s="39" t="n">
        <v>46218</v>
      </c>
      <c r="B141" s="40" t="n">
        <v>0.625</v>
      </c>
      <c r="C141" s="35" t="inlineStr">
        <is>
          <t>Dra. Carolina Mendes</t>
        </is>
      </c>
      <c r="D141" s="35" t="inlineStr">
        <is>
          <t>Sala 1</t>
        </is>
      </c>
      <c r="E141" s="34" t="inlineStr">
        <is>
          <t>Mariana Nascimento</t>
        </is>
      </c>
      <c r="F141" s="35" t="inlineStr">
        <is>
          <t>Particular</t>
        </is>
      </c>
      <c r="G141" s="35" t="inlineStr">
        <is>
          <t>Consulta</t>
        </is>
      </c>
      <c r="H141" s="35" t="inlineStr">
        <is>
          <t>Falta</t>
        </is>
      </c>
      <c r="I141" s="35" t="n"/>
      <c r="J141" s="35" t="n"/>
      <c r="K141" s="34" t="n"/>
      <c r="L141" s="26">
        <f>IF(A141="","",MONTH(A141))</f>
        <v>7</v>
      </c>
      <c r="M141" s="26">
        <f>IF(A141="","",YEAR(A141))</f>
        <v>2026</v>
      </c>
      <c r="N141" s="26" t="str">
        <f>IF(A141="","",CHOOSE(WEEKDAY(A141,2),"Segunda","Terça","Quarta","Quinta","Sexta","Sábado","Domingo"))</f>
        <v>Quarta</v>
      </c>
      <c r="O141" s="26" t="str">
        <f>IF(B141="","",IF(B141&lt;TIME(12,0,0),"Manhã",IF(B141&lt;TIME(18,0,0),"Tarde","Noite")))</f>
        <v>Tarde</v>
      </c>
      <c r="P141" s="32">
        <f>IF(G141="","",IFERROR(INDEX(Config!$I$5:$I$16,MATCH(G141,Config!$H$5:$H$16,0)),0))</f>
        <v>30</v>
      </c>
      <c r="Q141" s="30">
        <f>IF(OR(H141&lt;&gt;"Realizado",P141="",P141=0),"",A141+P141)</f>
        <v/>
      </c>
      <c r="R141" s="26">
        <f>IF(Q141="","",IF(COUNTIFS($E$5:$E$1204,E141,$A$5:$A$1204,"&gt;"&amp;A141,$H$5:$H$1204,"&lt;&gt;Falta",$H$5:$H$1204,"&lt;&gt;Cancelado",$H$5:$H$1204,"&lt;&gt;Remarcado")&gt;0,"Sim","Não"))</f>
        <v/>
      </c>
      <c r="S141" s="32">
        <f>IF(R141&lt;&gt;"Não","",IF(Q141+Config!$B$9&lt;=Config!$B$8,Config!$B$8-Q141,""))</f>
        <v/>
      </c>
      <c r="T141" s="26">
        <f>IF(S141="","","Sim")</f>
        <v/>
      </c>
      <c r="U141" s="41">
        <f>IF(T141="Sim",S141+ROW()/100000,0)</f>
        <v>0</v>
      </c>
      <c r="V141" s="41">
        <f>IF(AND(H141="Falta",L141=Config!$B$7,M141=Config!$B$5,COUNTIFS($E$5:E141,E141,$H$5:H141,"Falta",$L$5:L141,Config!$B$7,$M$5:M141,Config!$B$5)=1),COUNTIFS($E$5:$E$1204,E141,$H$5:$H$1204,"Falta",$L$5:$L$1204,Config!$B$7,$M$5:$M$1204,Config!$B$5)*1000-ROW()/100000,0)</f>
        <v>0</v>
      </c>
    </row>
    <row r="142">
      <c r="A142" s="39" t="n">
        <v>46218</v>
      </c>
      <c r="B142" s="40" t="n">
        <v>0.6458333333333334</v>
      </c>
      <c r="C142" s="35" t="inlineStr">
        <is>
          <t>Dra. Carolina Mendes</t>
        </is>
      </c>
      <c r="D142" s="35" t="inlineStr">
        <is>
          <t>Sala 1</t>
        </is>
      </c>
      <c r="E142" s="34" t="inlineStr">
        <is>
          <t>Tatiana Cunha</t>
        </is>
      </c>
      <c r="F142" s="35" t="inlineStr">
        <is>
          <t>Saúde Total</t>
        </is>
      </c>
      <c r="G142" s="35" t="inlineStr">
        <is>
          <t>Retorno</t>
        </is>
      </c>
      <c r="H142" s="35" t="inlineStr">
        <is>
          <t>Realizado</t>
        </is>
      </c>
      <c r="I142" s="35" t="inlineStr">
        <is>
          <t>Sem cobrança</t>
        </is>
      </c>
      <c r="J142" s="35" t="n"/>
      <c r="K142" s="34" t="n"/>
      <c r="L142" s="26">
        <f>IF(A142="","",MONTH(A142))</f>
        <v>7</v>
      </c>
      <c r="M142" s="26">
        <f>IF(A142="","",YEAR(A142))</f>
        <v>2026</v>
      </c>
      <c r="N142" s="26" t="str">
        <f>IF(A142="","",CHOOSE(WEEKDAY(A142,2),"Segunda","Terça","Quarta","Quinta","Sexta","Sábado","Domingo"))</f>
        <v>Quarta</v>
      </c>
      <c r="O142" s="26" t="str">
        <f>IF(B142="","",IF(B142&lt;TIME(12,0,0),"Manhã",IF(B142&lt;TIME(18,0,0),"Tarde","Noite")))</f>
        <v>Tarde</v>
      </c>
      <c r="P142" s="32">
        <f>IF(G142="","",IFERROR(INDEX(Config!$I$5:$I$16,MATCH(G142,Config!$H$5:$H$16,0)),0))</f>
        <v>0</v>
      </c>
      <c r="Q142" s="30">
        <f>IF(OR(H142&lt;&gt;"Realizado",P142="",P142=0),"",A142+P142)</f>
        <v/>
      </c>
      <c r="R142" s="26">
        <f>IF(Q142="","",IF(COUNTIFS($E$5:$E$1204,E142,$A$5:$A$1204,"&gt;"&amp;A142,$H$5:$H$1204,"&lt;&gt;Falta",$H$5:$H$1204,"&lt;&gt;Cancelado",$H$5:$H$1204,"&lt;&gt;Remarcado")&gt;0,"Sim","Não"))</f>
        <v/>
      </c>
      <c r="S142" s="32">
        <f>IF(R142&lt;&gt;"Não","",IF(Q142+Config!$B$9&lt;=Config!$B$8,Config!$B$8-Q142,""))</f>
        <v/>
      </c>
      <c r="T142" s="26">
        <f>IF(S142="","","Sim")</f>
        <v/>
      </c>
      <c r="U142" s="41">
        <f>IF(T142="Sim",S142+ROW()/100000,0)</f>
        <v>0</v>
      </c>
      <c r="V142" s="41">
        <f>IF(AND(H142="Falta",L142=Config!$B$7,M142=Config!$B$5,COUNTIFS($E$5:E142,E142,$H$5:H142,"Falta",$L$5:L142,Config!$B$7,$M$5:M142,Config!$B$5)=1),COUNTIFS($E$5:$E$1204,E142,$H$5:$H$1204,"Falta",$L$5:$L$1204,Config!$B$7,$M$5:$M$1204,Config!$B$5)*1000-ROW()/100000,0)</f>
        <v>0</v>
      </c>
    </row>
    <row r="143">
      <c r="A143" s="39" t="n">
        <v>46218</v>
      </c>
      <c r="B143" s="40" t="n">
        <v>0.6597222222222222</v>
      </c>
      <c r="C143" s="35" t="inlineStr">
        <is>
          <t>Dra. Carolina Mendes</t>
        </is>
      </c>
      <c r="D143" s="35" t="inlineStr">
        <is>
          <t>Sala 1</t>
        </is>
      </c>
      <c r="E143" s="34" t="inlineStr">
        <is>
          <t>Letícia Vieira</t>
        </is>
      </c>
      <c r="F143" s="35" t="inlineStr">
        <is>
          <t>Saúde Total</t>
        </is>
      </c>
      <c r="G143" s="35" t="inlineStr">
        <is>
          <t>Consulta</t>
        </is>
      </c>
      <c r="H143" s="35" t="inlineStr">
        <is>
          <t>Realizado</t>
        </is>
      </c>
      <c r="I143" s="35" t="inlineStr">
        <is>
          <t>Convênio</t>
        </is>
      </c>
      <c r="J143" s="35" t="n"/>
      <c r="K143" s="34" t="n"/>
      <c r="L143" s="26">
        <f>IF(A143="","",MONTH(A143))</f>
        <v>7</v>
      </c>
      <c r="M143" s="26">
        <f>IF(A143="","",YEAR(A143))</f>
        <v>2026</v>
      </c>
      <c r="N143" s="26" t="str">
        <f>IF(A143="","",CHOOSE(WEEKDAY(A143,2),"Segunda","Terça","Quarta","Quinta","Sexta","Sábado","Domingo"))</f>
        <v>Quarta</v>
      </c>
      <c r="O143" s="26" t="str">
        <f>IF(B143="","",IF(B143&lt;TIME(12,0,0),"Manhã",IF(B143&lt;TIME(18,0,0),"Tarde","Noite")))</f>
        <v>Tarde</v>
      </c>
      <c r="P143" s="32">
        <f>IF(G143="","",IFERROR(INDEX(Config!$I$5:$I$16,MATCH(G143,Config!$H$5:$H$16,0)),0))</f>
        <v>30</v>
      </c>
      <c r="Q143" s="30">
        <f>IF(OR(H143&lt;&gt;"Realizado",P143="",P143=0),"",A143+P143)</f>
        <v>46248.0</v>
      </c>
      <c r="R143" s="26" t="str">
        <f>IF(Q143="","",IF(COUNTIFS($E$5:$E$1204,E143,$A$5:$A$1204,"&gt;"&amp;A143,$H$5:$H$1204,"&lt;&gt;Falta",$H$5:$H$1204,"&lt;&gt;Cancelado",$H$5:$H$1204,"&lt;&gt;Remarcado")&gt;0,"Sim","Não"))</f>
        <v>Sim</v>
      </c>
      <c r="S143" s="32">
        <f>IF(R143&lt;&gt;"Não","",IF(Q143+Config!$B$9&lt;=Config!$B$8,Config!$B$8-Q143,""))</f>
        <v/>
      </c>
      <c r="T143" s="26">
        <f>IF(S143="","","Sim")</f>
        <v/>
      </c>
      <c r="U143" s="41">
        <f>IF(T143="Sim",S143+ROW()/100000,0)</f>
        <v>0</v>
      </c>
      <c r="V143" s="41">
        <f>IF(AND(H143="Falta",L143=Config!$B$7,M143=Config!$B$5,COUNTIFS($E$5:E143,E143,$H$5:H143,"Falta",$L$5:L143,Config!$B$7,$M$5:M143,Config!$B$5)=1),COUNTIFS($E$5:$E$1204,E143,$H$5:$H$1204,"Falta",$L$5:$L$1204,Config!$B$7,$M$5:$M$1204,Config!$B$5)*1000-ROW()/100000,0)</f>
        <v>0</v>
      </c>
    </row>
    <row r="144">
      <c r="A144" s="39" t="n">
        <v>46218</v>
      </c>
      <c r="B144" s="40" t="n">
        <v>0.6805555555555556</v>
      </c>
      <c r="C144" s="35" t="inlineStr">
        <is>
          <t>Dra. Carolina Mendes</t>
        </is>
      </c>
      <c r="D144" s="35" t="inlineStr">
        <is>
          <t>Sala 1</t>
        </is>
      </c>
      <c r="E144" s="34" t="inlineStr">
        <is>
          <t>Mônica Martins</t>
        </is>
      </c>
      <c r="F144" s="35" t="inlineStr">
        <is>
          <t>Particular</t>
        </is>
      </c>
      <c r="G144" s="35" t="inlineStr">
        <is>
          <t>Retorno</t>
        </is>
      </c>
      <c r="H144" s="35" t="inlineStr">
        <is>
          <t>Realizado</t>
        </is>
      </c>
      <c r="I144" s="35" t="inlineStr">
        <is>
          <t>Sem cobrança</t>
        </is>
      </c>
      <c r="J144" s="35" t="n"/>
      <c r="K144" s="34" t="n"/>
      <c r="L144" s="26">
        <f>IF(A144="","",MONTH(A144))</f>
        <v>7</v>
      </c>
      <c r="M144" s="26">
        <f>IF(A144="","",YEAR(A144))</f>
        <v>2026</v>
      </c>
      <c r="N144" s="26" t="str">
        <f>IF(A144="","",CHOOSE(WEEKDAY(A144,2),"Segunda","Terça","Quarta","Quinta","Sexta","Sábado","Domingo"))</f>
        <v>Quarta</v>
      </c>
      <c r="O144" s="26" t="str">
        <f>IF(B144="","",IF(B144&lt;TIME(12,0,0),"Manhã",IF(B144&lt;TIME(18,0,0),"Tarde","Noite")))</f>
        <v>Tarde</v>
      </c>
      <c r="P144" s="32">
        <f>IF(G144="","",IFERROR(INDEX(Config!$I$5:$I$16,MATCH(G144,Config!$H$5:$H$16,0)),0))</f>
        <v>0</v>
      </c>
      <c r="Q144" s="30">
        <f>IF(OR(H144&lt;&gt;"Realizado",P144="",P144=0),"",A144+P144)</f>
        <v/>
      </c>
      <c r="R144" s="26">
        <f>IF(Q144="","",IF(COUNTIFS($E$5:$E$1204,E144,$A$5:$A$1204,"&gt;"&amp;A144,$H$5:$H$1204,"&lt;&gt;Falta",$H$5:$H$1204,"&lt;&gt;Cancelado",$H$5:$H$1204,"&lt;&gt;Remarcado")&gt;0,"Sim","Não"))</f>
        <v/>
      </c>
      <c r="S144" s="32">
        <f>IF(R144&lt;&gt;"Não","",IF(Q144+Config!$B$9&lt;=Config!$B$8,Config!$B$8-Q144,""))</f>
        <v/>
      </c>
      <c r="T144" s="26">
        <f>IF(S144="","","Sim")</f>
        <v/>
      </c>
      <c r="U144" s="41">
        <f>IF(T144="Sim",S144+ROW()/100000,0)</f>
        <v>0</v>
      </c>
      <c r="V144" s="41">
        <f>IF(AND(H144="Falta",L144=Config!$B$7,M144=Config!$B$5,COUNTIFS($E$5:E144,E144,$H$5:H144,"Falta",$L$5:L144,Config!$B$7,$M$5:M144,Config!$B$5)=1),COUNTIFS($E$5:$E$1204,E144,$H$5:$H$1204,"Falta",$L$5:$L$1204,Config!$B$7,$M$5:$M$1204,Config!$B$5)*1000-ROW()/100000,0)</f>
        <v>0</v>
      </c>
    </row>
    <row r="145">
      <c r="A145" s="39" t="n">
        <v>46218</v>
      </c>
      <c r="B145" s="40" t="n">
        <v>0.6944444444444444</v>
      </c>
      <c r="C145" s="35" t="inlineStr">
        <is>
          <t>Dra. Carolina Mendes</t>
        </is>
      </c>
      <c r="D145" s="35" t="inlineStr">
        <is>
          <t>Sala 1</t>
        </is>
      </c>
      <c r="E145" s="34" t="inlineStr">
        <is>
          <t>Gustavo Ferreira</t>
        </is>
      </c>
      <c r="F145" s="35" t="inlineStr">
        <is>
          <t>Particular</t>
        </is>
      </c>
      <c r="G145" s="35" t="inlineStr">
        <is>
          <t>Consulta</t>
        </is>
      </c>
      <c r="H145" s="35" t="inlineStr">
        <is>
          <t>Realizado</t>
        </is>
      </c>
      <c r="I145" s="35" t="inlineStr">
        <is>
          <t>Cartão de débito</t>
        </is>
      </c>
      <c r="J145" s="35" t="n"/>
      <c r="K145" s="34" t="n"/>
      <c r="L145" s="26">
        <f>IF(A145="","",MONTH(A145))</f>
        <v>7</v>
      </c>
      <c r="M145" s="26">
        <f>IF(A145="","",YEAR(A145))</f>
        <v>2026</v>
      </c>
      <c r="N145" s="26" t="str">
        <f>IF(A145="","",CHOOSE(WEEKDAY(A145,2),"Segunda","Terça","Quarta","Quinta","Sexta","Sábado","Domingo"))</f>
        <v>Quarta</v>
      </c>
      <c r="O145" s="26" t="str">
        <f>IF(B145="","",IF(B145&lt;TIME(12,0,0),"Manhã",IF(B145&lt;TIME(18,0,0),"Tarde","Noite")))</f>
        <v>Tarde</v>
      </c>
      <c r="P145" s="32">
        <f>IF(G145="","",IFERROR(INDEX(Config!$I$5:$I$16,MATCH(G145,Config!$H$5:$H$16,0)),0))</f>
        <v>30</v>
      </c>
      <c r="Q145" s="30">
        <f>IF(OR(H145&lt;&gt;"Realizado",P145="",P145=0),"",A145+P145)</f>
        <v>46248.0</v>
      </c>
      <c r="R145" s="26" t="str">
        <f>IF(Q145="","",IF(COUNTIFS($E$5:$E$1204,E145,$A$5:$A$1204,"&gt;"&amp;A145,$H$5:$H$1204,"&lt;&gt;Falta",$H$5:$H$1204,"&lt;&gt;Cancelado",$H$5:$H$1204,"&lt;&gt;Remarcado")&gt;0,"Sim","Não"))</f>
        <v>Sim</v>
      </c>
      <c r="S145" s="32">
        <f>IF(R145&lt;&gt;"Não","",IF(Q145+Config!$B$9&lt;=Config!$B$8,Config!$B$8-Q145,""))</f>
        <v/>
      </c>
      <c r="T145" s="26">
        <f>IF(S145="","","Sim")</f>
        <v/>
      </c>
      <c r="U145" s="41">
        <f>IF(T145="Sim",S145+ROW()/100000,0)</f>
        <v>0</v>
      </c>
      <c r="V145" s="41">
        <f>IF(AND(H145="Falta",L145=Config!$B$7,M145=Config!$B$5,COUNTIFS($E$5:E145,E145,$H$5:H145,"Falta",$L$5:L145,Config!$B$7,$M$5:M145,Config!$B$5)=1),COUNTIFS($E$5:$E$1204,E145,$H$5:$H$1204,"Falta",$L$5:$L$1204,Config!$B$7,$M$5:$M$1204,Config!$B$5)*1000-ROW()/100000,0)</f>
        <v>0</v>
      </c>
    </row>
    <row r="146">
      <c r="A146" s="39" t="n">
        <v>46218</v>
      </c>
      <c r="B146" s="40" t="n">
        <v>0.7152777777777778</v>
      </c>
      <c r="C146" s="35" t="inlineStr">
        <is>
          <t>Dra. Carolina Mendes</t>
        </is>
      </c>
      <c r="D146" s="35" t="inlineStr">
        <is>
          <t>Sala 1</t>
        </is>
      </c>
      <c r="E146" s="34" t="inlineStr">
        <is>
          <t>Camila Batista</t>
        </is>
      </c>
      <c r="F146" s="35" t="inlineStr">
        <is>
          <t>MediPlan</t>
        </is>
      </c>
      <c r="G146" s="35" t="inlineStr">
        <is>
          <t>Retorno</t>
        </is>
      </c>
      <c r="H146" s="35" t="inlineStr">
        <is>
          <t>Realizado</t>
        </is>
      </c>
      <c r="I146" s="35" t="inlineStr">
        <is>
          <t>Sem cobrança</t>
        </is>
      </c>
      <c r="J146" s="35" t="n"/>
      <c r="K146" s="34" t="n"/>
      <c r="L146" s="26">
        <f>IF(A146="","",MONTH(A146))</f>
        <v>7</v>
      </c>
      <c r="M146" s="26">
        <f>IF(A146="","",YEAR(A146))</f>
        <v>2026</v>
      </c>
      <c r="N146" s="26" t="str">
        <f>IF(A146="","",CHOOSE(WEEKDAY(A146,2),"Segunda","Terça","Quarta","Quinta","Sexta","Sábado","Domingo"))</f>
        <v>Quarta</v>
      </c>
      <c r="O146" s="26" t="str">
        <f>IF(B146="","",IF(B146&lt;TIME(12,0,0),"Manhã",IF(B146&lt;TIME(18,0,0),"Tarde","Noite")))</f>
        <v>Tarde</v>
      </c>
      <c r="P146" s="32">
        <f>IF(G146="","",IFERROR(INDEX(Config!$I$5:$I$16,MATCH(G146,Config!$H$5:$H$16,0)),0))</f>
        <v>0</v>
      </c>
      <c r="Q146" s="30">
        <f>IF(OR(H146&lt;&gt;"Realizado",P146="",P146=0),"",A146+P146)</f>
        <v/>
      </c>
      <c r="R146" s="26">
        <f>IF(Q146="","",IF(COUNTIFS($E$5:$E$1204,E146,$A$5:$A$1204,"&gt;"&amp;A146,$H$5:$H$1204,"&lt;&gt;Falta",$H$5:$H$1204,"&lt;&gt;Cancelado",$H$5:$H$1204,"&lt;&gt;Remarcado")&gt;0,"Sim","Não"))</f>
        <v/>
      </c>
      <c r="S146" s="32">
        <f>IF(R146&lt;&gt;"Não","",IF(Q146+Config!$B$9&lt;=Config!$B$8,Config!$B$8-Q146,""))</f>
        <v/>
      </c>
      <c r="T146" s="26">
        <f>IF(S146="","","Sim")</f>
        <v/>
      </c>
      <c r="U146" s="41">
        <f>IF(T146="Sim",S146+ROW()/100000,0)</f>
        <v>0</v>
      </c>
      <c r="V146" s="41">
        <f>IF(AND(H146="Falta",L146=Config!$B$7,M146=Config!$B$5,COUNTIFS($E$5:E146,E146,$H$5:H146,"Falta",$L$5:L146,Config!$B$7,$M$5:M146,Config!$B$5)=1),COUNTIFS($E$5:$E$1204,E146,$H$5:$H$1204,"Falta",$L$5:$L$1204,Config!$B$7,$M$5:$M$1204,Config!$B$5)*1000-ROW()/100000,0)</f>
        <v>0</v>
      </c>
    </row>
    <row r="147">
      <c r="A147" s="39" t="n">
        <v>46218</v>
      </c>
      <c r="B147" s="40" t="n">
        <v>0.7291666666666666</v>
      </c>
      <c r="C147" s="35" t="inlineStr">
        <is>
          <t>Dra. Carolina Mendes</t>
        </is>
      </c>
      <c r="D147" s="35" t="inlineStr">
        <is>
          <t>Sala 1</t>
        </is>
      </c>
      <c r="E147" s="34" t="inlineStr">
        <is>
          <t>Mariana Nascimento</t>
        </is>
      </c>
      <c r="F147" s="35" t="inlineStr">
        <is>
          <t>Particular</t>
        </is>
      </c>
      <c r="G147" s="35" t="inlineStr">
        <is>
          <t>Consulta</t>
        </is>
      </c>
      <c r="H147" s="35" t="inlineStr">
        <is>
          <t>Falta</t>
        </is>
      </c>
      <c r="I147" s="35" t="n"/>
      <c r="J147" s="35" t="n"/>
      <c r="K147" s="34" t="n"/>
      <c r="L147" s="26">
        <f>IF(A147="","",MONTH(A147))</f>
        <v>7</v>
      </c>
      <c r="M147" s="26">
        <f>IF(A147="","",YEAR(A147))</f>
        <v>2026</v>
      </c>
      <c r="N147" s="26" t="str">
        <f>IF(A147="","",CHOOSE(WEEKDAY(A147,2),"Segunda","Terça","Quarta","Quinta","Sexta","Sábado","Domingo"))</f>
        <v>Quarta</v>
      </c>
      <c r="O147" s="26" t="str">
        <f>IF(B147="","",IF(B147&lt;TIME(12,0,0),"Manhã",IF(B147&lt;TIME(18,0,0),"Tarde","Noite")))</f>
        <v>Tarde</v>
      </c>
      <c r="P147" s="32">
        <f>IF(G147="","",IFERROR(INDEX(Config!$I$5:$I$16,MATCH(G147,Config!$H$5:$H$16,0)),0))</f>
        <v>30</v>
      </c>
      <c r="Q147" s="30">
        <f>IF(OR(H147&lt;&gt;"Realizado",P147="",P147=0),"",A147+P147)</f>
        <v/>
      </c>
      <c r="R147" s="26">
        <f>IF(Q147="","",IF(COUNTIFS($E$5:$E$1204,E147,$A$5:$A$1204,"&gt;"&amp;A147,$H$5:$H$1204,"&lt;&gt;Falta",$H$5:$H$1204,"&lt;&gt;Cancelado",$H$5:$H$1204,"&lt;&gt;Remarcado")&gt;0,"Sim","Não"))</f>
        <v/>
      </c>
      <c r="S147" s="32">
        <f>IF(R147&lt;&gt;"Não","",IF(Q147+Config!$B$9&lt;=Config!$B$8,Config!$B$8-Q147,""))</f>
        <v/>
      </c>
      <c r="T147" s="26">
        <f>IF(S147="","","Sim")</f>
        <v/>
      </c>
      <c r="U147" s="41">
        <f>IF(T147="Sim",S147+ROW()/100000,0)</f>
        <v>0</v>
      </c>
      <c r="V147" s="41">
        <f>IF(AND(H147="Falta",L147=Config!$B$7,M147=Config!$B$5,COUNTIFS($E$5:E147,E147,$H$5:H147,"Falta",$L$5:L147,Config!$B$7,$M$5:M147,Config!$B$5)=1),COUNTIFS($E$5:$E$1204,E147,$H$5:$H$1204,"Falta",$L$5:$L$1204,Config!$B$7,$M$5:$M$1204,Config!$B$5)*1000-ROW()/100000,0)</f>
        <v>0</v>
      </c>
    </row>
    <row r="148">
      <c r="A148" s="39" t="n">
        <v>46219</v>
      </c>
      <c r="B148" s="40" t="n">
        <v>0.3333333333333333</v>
      </c>
      <c r="C148" s="35" t="inlineStr">
        <is>
          <t>Dra. Carolina Mendes</t>
        </is>
      </c>
      <c r="D148" s="35" t="inlineStr">
        <is>
          <t>Sala 1</t>
        </is>
      </c>
      <c r="E148" s="34" t="inlineStr">
        <is>
          <t>Mariana Nascimento</t>
        </is>
      </c>
      <c r="F148" s="35" t="inlineStr">
        <is>
          <t>Particular</t>
        </is>
      </c>
      <c r="G148" s="35" t="inlineStr">
        <is>
          <t>Retorno</t>
        </is>
      </c>
      <c r="H148" s="35" t="inlineStr">
        <is>
          <t>Realizado</t>
        </is>
      </c>
      <c r="I148" s="35" t="inlineStr">
        <is>
          <t>Sem cobrança</t>
        </is>
      </c>
      <c r="J148" s="35" t="n"/>
      <c r="K148" s="34" t="n"/>
      <c r="L148" s="26">
        <f>IF(A148="","",MONTH(A148))</f>
        <v>7</v>
      </c>
      <c r="M148" s="26">
        <f>IF(A148="","",YEAR(A148))</f>
        <v>2026</v>
      </c>
      <c r="N148" s="26" t="str">
        <f>IF(A148="","",CHOOSE(WEEKDAY(A148,2),"Segunda","Terça","Quarta","Quinta","Sexta","Sábado","Domingo"))</f>
        <v>Quinta</v>
      </c>
      <c r="O148" s="26" t="str">
        <f>IF(B148="","",IF(B148&lt;TIME(12,0,0),"Manhã",IF(B148&lt;TIME(18,0,0),"Tarde","Noite")))</f>
        <v>Manhã</v>
      </c>
      <c r="P148" s="32">
        <f>IF(G148="","",IFERROR(INDEX(Config!$I$5:$I$16,MATCH(G148,Config!$H$5:$H$16,0)),0))</f>
        <v>0</v>
      </c>
      <c r="Q148" s="30">
        <f>IF(OR(H148&lt;&gt;"Realizado",P148="",P148=0),"",A148+P148)</f>
        <v/>
      </c>
      <c r="R148" s="26">
        <f>IF(Q148="","",IF(COUNTIFS($E$5:$E$1204,E148,$A$5:$A$1204,"&gt;"&amp;A148,$H$5:$H$1204,"&lt;&gt;Falta",$H$5:$H$1204,"&lt;&gt;Cancelado",$H$5:$H$1204,"&lt;&gt;Remarcado")&gt;0,"Sim","Não"))</f>
        <v/>
      </c>
      <c r="S148" s="32">
        <f>IF(R148&lt;&gt;"Não","",IF(Q148+Config!$B$9&lt;=Config!$B$8,Config!$B$8-Q148,""))</f>
        <v/>
      </c>
      <c r="T148" s="26">
        <f>IF(S148="","","Sim")</f>
        <v/>
      </c>
      <c r="U148" s="41">
        <f>IF(T148="Sim",S148+ROW()/100000,0)</f>
        <v>0</v>
      </c>
      <c r="V148" s="41">
        <f>IF(AND(H148="Falta",L148=Config!$B$7,M148=Config!$B$5,COUNTIFS($E$5:E148,E148,$H$5:H148,"Falta",$L$5:L148,Config!$B$7,$M$5:M148,Config!$B$5)=1),COUNTIFS($E$5:$E$1204,E148,$H$5:$H$1204,"Falta",$L$5:$L$1204,Config!$B$7,$M$5:$M$1204,Config!$B$5)*1000-ROW()/100000,0)</f>
        <v>0</v>
      </c>
    </row>
    <row r="149">
      <c r="A149" s="39" t="n">
        <v>46219</v>
      </c>
      <c r="B149" s="40" t="n">
        <v>0.3472222222222222</v>
      </c>
      <c r="C149" s="35" t="inlineStr">
        <is>
          <t>Dra. Carolina Mendes</t>
        </is>
      </c>
      <c r="D149" s="35" t="inlineStr">
        <is>
          <t>Sala 1</t>
        </is>
      </c>
      <c r="E149" s="34" t="inlineStr">
        <is>
          <t>Mônica Batista</t>
        </is>
      </c>
      <c r="F149" s="35" t="inlineStr">
        <is>
          <t>MediPlan</t>
        </is>
      </c>
      <c r="G149" s="35" t="inlineStr">
        <is>
          <t>Retorno</t>
        </is>
      </c>
      <c r="H149" s="35" t="inlineStr">
        <is>
          <t>Realizado</t>
        </is>
      </c>
      <c r="I149" s="35" t="inlineStr">
        <is>
          <t>Sem cobrança</t>
        </is>
      </c>
      <c r="J149" s="35" t="n"/>
      <c r="K149" s="34" t="n"/>
      <c r="L149" s="26">
        <f>IF(A149="","",MONTH(A149))</f>
        <v>7</v>
      </c>
      <c r="M149" s="26">
        <f>IF(A149="","",YEAR(A149))</f>
        <v>2026</v>
      </c>
      <c r="N149" s="26" t="str">
        <f>IF(A149="","",CHOOSE(WEEKDAY(A149,2),"Segunda","Terça","Quarta","Quinta","Sexta","Sábado","Domingo"))</f>
        <v>Quinta</v>
      </c>
      <c r="O149" s="26" t="str">
        <f>IF(B149="","",IF(B149&lt;TIME(12,0,0),"Manhã",IF(B149&lt;TIME(18,0,0),"Tarde","Noite")))</f>
        <v>Manhã</v>
      </c>
      <c r="P149" s="32">
        <f>IF(G149="","",IFERROR(INDEX(Config!$I$5:$I$16,MATCH(G149,Config!$H$5:$H$16,0)),0))</f>
        <v>0</v>
      </c>
      <c r="Q149" s="30">
        <f>IF(OR(H149&lt;&gt;"Realizado",P149="",P149=0),"",A149+P149)</f>
        <v/>
      </c>
      <c r="R149" s="26">
        <f>IF(Q149="","",IF(COUNTIFS($E$5:$E$1204,E149,$A$5:$A$1204,"&gt;"&amp;A149,$H$5:$H$1204,"&lt;&gt;Falta",$H$5:$H$1204,"&lt;&gt;Cancelado",$H$5:$H$1204,"&lt;&gt;Remarcado")&gt;0,"Sim","Não"))</f>
        <v/>
      </c>
      <c r="S149" s="32">
        <f>IF(R149&lt;&gt;"Não","",IF(Q149+Config!$B$9&lt;=Config!$B$8,Config!$B$8-Q149,""))</f>
        <v/>
      </c>
      <c r="T149" s="26">
        <f>IF(S149="","","Sim")</f>
        <v/>
      </c>
      <c r="U149" s="41">
        <f>IF(T149="Sim",S149+ROW()/100000,0)</f>
        <v>0</v>
      </c>
      <c r="V149" s="41">
        <f>IF(AND(H149="Falta",L149=Config!$B$7,M149=Config!$B$5,COUNTIFS($E$5:E149,E149,$H$5:H149,"Falta",$L$5:L149,Config!$B$7,$M$5:M149,Config!$B$5)=1),COUNTIFS($E$5:$E$1204,E149,$H$5:$H$1204,"Falta",$L$5:$L$1204,Config!$B$7,$M$5:$M$1204,Config!$B$5)*1000-ROW()/100000,0)</f>
        <v>0</v>
      </c>
    </row>
    <row r="150">
      <c r="A150" s="39" t="n">
        <v>46219</v>
      </c>
      <c r="B150" s="40" t="n">
        <v>0.3611111111111111</v>
      </c>
      <c r="C150" s="35" t="inlineStr">
        <is>
          <t>Dra. Carolina Mendes</t>
        </is>
      </c>
      <c r="D150" s="35" t="inlineStr">
        <is>
          <t>Sala 1</t>
        </is>
      </c>
      <c r="E150" s="34" t="inlineStr">
        <is>
          <t>Regina Castro</t>
        </is>
      </c>
      <c r="F150" s="35" t="inlineStr">
        <is>
          <t>Vida Care</t>
        </is>
      </c>
      <c r="G150" s="35" t="inlineStr">
        <is>
          <t>Consulta</t>
        </is>
      </c>
      <c r="H150" s="35" t="inlineStr">
        <is>
          <t>Realizado</t>
        </is>
      </c>
      <c r="I150" s="35" t="inlineStr">
        <is>
          <t>Convênio</t>
        </is>
      </c>
      <c r="J150" s="35" t="n"/>
      <c r="K150" s="34" t="n"/>
      <c r="L150" s="26">
        <f>IF(A150="","",MONTH(A150))</f>
        <v>7</v>
      </c>
      <c r="M150" s="26">
        <f>IF(A150="","",YEAR(A150))</f>
        <v>2026</v>
      </c>
      <c r="N150" s="26" t="str">
        <f>IF(A150="","",CHOOSE(WEEKDAY(A150,2),"Segunda","Terça","Quarta","Quinta","Sexta","Sábado","Domingo"))</f>
        <v>Quinta</v>
      </c>
      <c r="O150" s="26" t="str">
        <f>IF(B150="","",IF(B150&lt;TIME(12,0,0),"Manhã",IF(B150&lt;TIME(18,0,0),"Tarde","Noite")))</f>
        <v>Manhã</v>
      </c>
      <c r="P150" s="32">
        <f>IF(G150="","",IFERROR(INDEX(Config!$I$5:$I$16,MATCH(G150,Config!$H$5:$H$16,0)),0))</f>
        <v>30</v>
      </c>
      <c r="Q150" s="30">
        <f>IF(OR(H150&lt;&gt;"Realizado",P150="",P150=0),"",A150+P150)</f>
        <v>46249.0</v>
      </c>
      <c r="R150" s="26" t="str">
        <f>IF(Q150="","",IF(COUNTIFS($E$5:$E$1204,E150,$A$5:$A$1204,"&gt;"&amp;A150,$H$5:$H$1204,"&lt;&gt;Falta",$H$5:$H$1204,"&lt;&gt;Cancelado",$H$5:$H$1204,"&lt;&gt;Remarcado")&gt;0,"Sim","Não"))</f>
        <v>Sim</v>
      </c>
      <c r="S150" s="32">
        <f>IF(R150&lt;&gt;"Não","",IF(Q150+Config!$B$9&lt;=Config!$B$8,Config!$B$8-Q150,""))</f>
        <v/>
      </c>
      <c r="T150" s="26">
        <f>IF(S150="","","Sim")</f>
        <v/>
      </c>
      <c r="U150" s="41">
        <f>IF(T150="Sim",S150+ROW()/100000,0)</f>
        <v>0</v>
      </c>
      <c r="V150" s="41">
        <f>IF(AND(H150="Falta",L150=Config!$B$7,M150=Config!$B$5,COUNTIFS($E$5:E150,E150,$H$5:H150,"Falta",$L$5:L150,Config!$B$7,$M$5:M150,Config!$B$5)=1),COUNTIFS($E$5:$E$1204,E150,$H$5:$H$1204,"Falta",$L$5:$L$1204,Config!$B$7,$M$5:$M$1204,Config!$B$5)*1000-ROW()/100000,0)</f>
        <v>0</v>
      </c>
    </row>
    <row r="151">
      <c r="A151" s="39" t="n">
        <v>46219</v>
      </c>
      <c r="B151" s="40" t="n">
        <v>0.3819444444444444</v>
      </c>
      <c r="C151" s="35" t="inlineStr">
        <is>
          <t>Dra. Carolina Mendes</t>
        </is>
      </c>
      <c r="D151" s="35" t="inlineStr">
        <is>
          <t>Sala 1</t>
        </is>
      </c>
      <c r="E151" s="34" t="inlineStr">
        <is>
          <t>Juliana Ribeiro</t>
        </is>
      </c>
      <c r="F151" s="35" t="inlineStr">
        <is>
          <t>Saúde Total</t>
        </is>
      </c>
      <c r="G151" s="35" t="inlineStr">
        <is>
          <t>Consulta</t>
        </is>
      </c>
      <c r="H151" s="35" t="inlineStr">
        <is>
          <t>Realizado</t>
        </is>
      </c>
      <c r="I151" s="35" t="inlineStr">
        <is>
          <t>Convênio</t>
        </is>
      </c>
      <c r="J151" s="35" t="n"/>
      <c r="K151" s="34" t="n"/>
      <c r="L151" s="26">
        <f>IF(A151="","",MONTH(A151))</f>
        <v>7</v>
      </c>
      <c r="M151" s="26">
        <f>IF(A151="","",YEAR(A151))</f>
        <v>2026</v>
      </c>
      <c r="N151" s="26" t="str">
        <f>IF(A151="","",CHOOSE(WEEKDAY(A151,2),"Segunda","Terça","Quarta","Quinta","Sexta","Sábado","Domingo"))</f>
        <v>Quinta</v>
      </c>
      <c r="O151" s="26" t="str">
        <f>IF(B151="","",IF(B151&lt;TIME(12,0,0),"Manhã",IF(B151&lt;TIME(18,0,0),"Tarde","Noite")))</f>
        <v>Manhã</v>
      </c>
      <c r="P151" s="32">
        <f>IF(G151="","",IFERROR(INDEX(Config!$I$5:$I$16,MATCH(G151,Config!$H$5:$H$16,0)),0))</f>
        <v>30</v>
      </c>
      <c r="Q151" s="30">
        <f>IF(OR(H151&lt;&gt;"Realizado",P151="",P151=0),"",A151+P151)</f>
        <v>46249.0</v>
      </c>
      <c r="R151" s="26" t="str">
        <f>IF(Q151="","",IF(COUNTIFS($E$5:$E$1204,E151,$A$5:$A$1204,"&gt;"&amp;A151,$H$5:$H$1204,"&lt;&gt;Falta",$H$5:$H$1204,"&lt;&gt;Cancelado",$H$5:$H$1204,"&lt;&gt;Remarcado")&gt;0,"Sim","Não"))</f>
        <v>Sim</v>
      </c>
      <c r="S151" s="32">
        <f>IF(R151&lt;&gt;"Não","",IF(Q151+Config!$B$9&lt;=Config!$B$8,Config!$B$8-Q151,""))</f>
        <v/>
      </c>
      <c r="T151" s="26">
        <f>IF(S151="","","Sim")</f>
        <v/>
      </c>
      <c r="U151" s="41">
        <f>IF(T151="Sim",S151+ROW()/100000,0)</f>
        <v>0</v>
      </c>
      <c r="V151" s="41">
        <f>IF(AND(H151="Falta",L151=Config!$B$7,M151=Config!$B$5,COUNTIFS($E$5:E151,E151,$H$5:H151,"Falta",$L$5:L151,Config!$B$7,$M$5:M151,Config!$B$5)=1),COUNTIFS($E$5:$E$1204,E151,$H$5:$H$1204,"Falta",$L$5:$L$1204,Config!$B$7,$M$5:$M$1204,Config!$B$5)*1000-ROW()/100000,0)</f>
        <v>0</v>
      </c>
    </row>
    <row r="152">
      <c r="A152" s="39" t="n">
        <v>46219</v>
      </c>
      <c r="B152" s="40" t="n">
        <v>0.4027777777777778</v>
      </c>
      <c r="C152" s="35" t="inlineStr">
        <is>
          <t>Dra. Carolina Mendes</t>
        </is>
      </c>
      <c r="D152" s="35" t="inlineStr">
        <is>
          <t>Sala 1</t>
        </is>
      </c>
      <c r="E152" s="34" t="inlineStr">
        <is>
          <t>Otávio Cardoso</t>
        </is>
      </c>
      <c r="F152" s="35" t="inlineStr">
        <is>
          <t>Particular</t>
        </is>
      </c>
      <c r="G152" s="35" t="inlineStr">
        <is>
          <t>Consulta</t>
        </is>
      </c>
      <c r="H152" s="35" t="inlineStr">
        <is>
          <t>Realizado</t>
        </is>
      </c>
      <c r="I152" s="35" t="inlineStr">
        <is>
          <t>Cartão de crédito</t>
        </is>
      </c>
      <c r="J152" s="35" t="n"/>
      <c r="K152" s="34" t="n"/>
      <c r="L152" s="26">
        <f>IF(A152="","",MONTH(A152))</f>
        <v>7</v>
      </c>
      <c r="M152" s="26">
        <f>IF(A152="","",YEAR(A152))</f>
        <v>2026</v>
      </c>
      <c r="N152" s="26" t="str">
        <f>IF(A152="","",CHOOSE(WEEKDAY(A152,2),"Segunda","Terça","Quarta","Quinta","Sexta","Sábado","Domingo"))</f>
        <v>Quinta</v>
      </c>
      <c r="O152" s="26" t="str">
        <f>IF(B152="","",IF(B152&lt;TIME(12,0,0),"Manhã",IF(B152&lt;TIME(18,0,0),"Tarde","Noite")))</f>
        <v>Manhã</v>
      </c>
      <c r="P152" s="32">
        <f>IF(G152="","",IFERROR(INDEX(Config!$I$5:$I$16,MATCH(G152,Config!$H$5:$H$16,0)),0))</f>
        <v>30</v>
      </c>
      <c r="Q152" s="30">
        <f>IF(OR(H152&lt;&gt;"Realizado",P152="",P152=0),"",A152+P152)</f>
        <v>46249.0</v>
      </c>
      <c r="R152" s="26" t="str">
        <f>IF(Q152="","",IF(COUNTIFS($E$5:$E$1204,E152,$A$5:$A$1204,"&gt;"&amp;A152,$H$5:$H$1204,"&lt;&gt;Falta",$H$5:$H$1204,"&lt;&gt;Cancelado",$H$5:$H$1204,"&lt;&gt;Remarcado")&gt;0,"Sim","Não"))</f>
        <v>Sim</v>
      </c>
      <c r="S152" s="32">
        <f>IF(R152&lt;&gt;"Não","",IF(Q152+Config!$B$9&lt;=Config!$B$8,Config!$B$8-Q152,""))</f>
        <v/>
      </c>
      <c r="T152" s="26">
        <f>IF(S152="","","Sim")</f>
        <v/>
      </c>
      <c r="U152" s="41">
        <f>IF(T152="Sim",S152+ROW()/100000,0)</f>
        <v>0</v>
      </c>
      <c r="V152" s="41">
        <f>IF(AND(H152="Falta",L152=Config!$B$7,M152=Config!$B$5,COUNTIFS($E$5:E152,E152,$H$5:H152,"Falta",$L$5:L152,Config!$B$7,$M$5:M152,Config!$B$5)=1),COUNTIFS($E$5:$E$1204,E152,$H$5:$H$1204,"Falta",$L$5:$L$1204,Config!$B$7,$M$5:$M$1204,Config!$B$5)*1000-ROW()/100000,0)</f>
        <v>0</v>
      </c>
    </row>
    <row r="153">
      <c r="A153" s="39" t="n">
        <v>46219</v>
      </c>
      <c r="B153" s="40" t="n">
        <v>0.4236111111111111</v>
      </c>
      <c r="C153" s="35" t="inlineStr">
        <is>
          <t>Dra. Carolina Mendes</t>
        </is>
      </c>
      <c r="D153" s="35" t="inlineStr">
        <is>
          <t>Sala 1</t>
        </is>
      </c>
      <c r="E153" s="34" t="inlineStr">
        <is>
          <t>Gisele Ribeiro</t>
        </is>
      </c>
      <c r="F153" s="35" t="inlineStr">
        <is>
          <t>Particular</t>
        </is>
      </c>
      <c r="G153" s="35" t="inlineStr">
        <is>
          <t>Consulta</t>
        </is>
      </c>
      <c r="H153" s="35" t="inlineStr">
        <is>
          <t>Realizado</t>
        </is>
      </c>
      <c r="I153" s="35" t="inlineStr">
        <is>
          <t>Cartão de débito</t>
        </is>
      </c>
      <c r="J153" s="35" t="n"/>
      <c r="K153" s="34" t="n"/>
      <c r="L153" s="26">
        <f>IF(A153="","",MONTH(A153))</f>
        <v>7</v>
      </c>
      <c r="M153" s="26">
        <f>IF(A153="","",YEAR(A153))</f>
        <v>2026</v>
      </c>
      <c r="N153" s="26" t="str">
        <f>IF(A153="","",CHOOSE(WEEKDAY(A153,2),"Segunda","Terça","Quarta","Quinta","Sexta","Sábado","Domingo"))</f>
        <v>Quinta</v>
      </c>
      <c r="O153" s="26" t="str">
        <f>IF(B153="","",IF(B153&lt;TIME(12,0,0),"Manhã",IF(B153&lt;TIME(18,0,0),"Tarde","Noite")))</f>
        <v>Manhã</v>
      </c>
      <c r="P153" s="32">
        <f>IF(G153="","",IFERROR(INDEX(Config!$I$5:$I$16,MATCH(G153,Config!$H$5:$H$16,0)),0))</f>
        <v>30</v>
      </c>
      <c r="Q153" s="30">
        <f>IF(OR(H153&lt;&gt;"Realizado",P153="",P153=0),"",A153+P153)</f>
        <v>46249.0</v>
      </c>
      <c r="R153" s="26" t="str">
        <f>IF(Q153="","",IF(COUNTIFS($E$5:$E$1204,E153,$A$5:$A$1204,"&gt;"&amp;A153,$H$5:$H$1204,"&lt;&gt;Falta",$H$5:$H$1204,"&lt;&gt;Cancelado",$H$5:$H$1204,"&lt;&gt;Remarcado")&gt;0,"Sim","Não"))</f>
        <v>Sim</v>
      </c>
      <c r="S153" s="32">
        <f>IF(R153&lt;&gt;"Não","",IF(Q153+Config!$B$9&lt;=Config!$B$8,Config!$B$8-Q153,""))</f>
        <v/>
      </c>
      <c r="T153" s="26">
        <f>IF(S153="","","Sim")</f>
        <v/>
      </c>
      <c r="U153" s="41">
        <f>IF(T153="Sim",S153+ROW()/100000,0)</f>
        <v>0</v>
      </c>
      <c r="V153" s="41">
        <f>IF(AND(H153="Falta",L153=Config!$B$7,M153=Config!$B$5,COUNTIFS($E$5:E153,E153,$H$5:H153,"Falta",$L$5:L153,Config!$B$7,$M$5:M153,Config!$B$5)=1),COUNTIFS($E$5:$E$1204,E153,$H$5:$H$1204,"Falta",$L$5:$L$1204,Config!$B$7,$M$5:$M$1204,Config!$B$5)*1000-ROW()/100000,0)</f>
        <v>0</v>
      </c>
    </row>
    <row r="154">
      <c r="A154" s="39" t="n">
        <v>46219</v>
      </c>
      <c r="B154" s="40" t="n">
        <v>0.4444444444444444</v>
      </c>
      <c r="C154" s="35" t="inlineStr">
        <is>
          <t>Dra. Carolina Mendes</t>
        </is>
      </c>
      <c r="D154" s="35" t="inlineStr">
        <is>
          <t>Sala 1</t>
        </is>
      </c>
      <c r="E154" s="34" t="inlineStr">
        <is>
          <t>Priscila Castro</t>
        </is>
      </c>
      <c r="F154" s="35" t="inlineStr">
        <is>
          <t>Saúde Total</t>
        </is>
      </c>
      <c r="G154" s="35" t="inlineStr">
        <is>
          <t>Consulta</t>
        </is>
      </c>
      <c r="H154" s="35" t="inlineStr">
        <is>
          <t>Realizado</t>
        </is>
      </c>
      <c r="I154" s="35" t="inlineStr">
        <is>
          <t>Convênio</t>
        </is>
      </c>
      <c r="J154" s="35" t="n"/>
      <c r="K154" s="34" t="n"/>
      <c r="L154" s="26">
        <f>IF(A154="","",MONTH(A154))</f>
        <v>7</v>
      </c>
      <c r="M154" s="26">
        <f>IF(A154="","",YEAR(A154))</f>
        <v>2026</v>
      </c>
      <c r="N154" s="26" t="str">
        <f>IF(A154="","",CHOOSE(WEEKDAY(A154,2),"Segunda","Terça","Quarta","Quinta","Sexta","Sábado","Domingo"))</f>
        <v>Quinta</v>
      </c>
      <c r="O154" s="26" t="str">
        <f>IF(B154="","",IF(B154&lt;TIME(12,0,0),"Manhã",IF(B154&lt;TIME(18,0,0),"Tarde","Noite")))</f>
        <v>Manhã</v>
      </c>
      <c r="P154" s="32">
        <f>IF(G154="","",IFERROR(INDEX(Config!$I$5:$I$16,MATCH(G154,Config!$H$5:$H$16,0)),0))</f>
        <v>30</v>
      </c>
      <c r="Q154" s="30">
        <f>IF(OR(H154&lt;&gt;"Realizado",P154="",P154=0),"",A154+P154)</f>
        <v>46249.0</v>
      </c>
      <c r="R154" s="26" t="str">
        <f>IF(Q154="","",IF(COUNTIFS($E$5:$E$1204,E154,$A$5:$A$1204,"&gt;"&amp;A154,$H$5:$H$1204,"&lt;&gt;Falta",$H$5:$H$1204,"&lt;&gt;Cancelado",$H$5:$H$1204,"&lt;&gt;Remarcado")&gt;0,"Sim","Não"))</f>
        <v>Sim</v>
      </c>
      <c r="S154" s="32">
        <f>IF(R154&lt;&gt;"Não","",IF(Q154+Config!$B$9&lt;=Config!$B$8,Config!$B$8-Q154,""))</f>
        <v/>
      </c>
      <c r="T154" s="26">
        <f>IF(S154="","","Sim")</f>
        <v/>
      </c>
      <c r="U154" s="41">
        <f>IF(T154="Sim",S154+ROW()/100000,0)</f>
        <v>0</v>
      </c>
      <c r="V154" s="41">
        <f>IF(AND(H154="Falta",L154=Config!$B$7,M154=Config!$B$5,COUNTIFS($E$5:E154,E154,$H$5:H154,"Falta",$L$5:L154,Config!$B$7,$M$5:M154,Config!$B$5)=1),COUNTIFS($E$5:$E$1204,E154,$H$5:$H$1204,"Falta",$L$5:$L$1204,Config!$B$7,$M$5:$M$1204,Config!$B$5)*1000-ROW()/100000,0)</f>
        <v>0</v>
      </c>
    </row>
    <row r="155">
      <c r="A155" s="39" t="n">
        <v>46219</v>
      </c>
      <c r="B155" s="40" t="n">
        <v>0.4652777777777778</v>
      </c>
      <c r="C155" s="35" t="inlineStr">
        <is>
          <t>Dra. Carolina Mendes</t>
        </is>
      </c>
      <c r="D155" s="35" t="inlineStr">
        <is>
          <t>Sala 1</t>
        </is>
      </c>
      <c r="E155" s="34" t="inlineStr">
        <is>
          <t>Wagner Santos</t>
        </is>
      </c>
      <c r="F155" s="35" t="inlineStr">
        <is>
          <t>Particular</t>
        </is>
      </c>
      <c r="G155" s="35" t="inlineStr">
        <is>
          <t>Consulta</t>
        </is>
      </c>
      <c r="H155" s="35" t="inlineStr">
        <is>
          <t>Realizado</t>
        </is>
      </c>
      <c r="I155" s="35" t="inlineStr">
        <is>
          <t>Pix</t>
        </is>
      </c>
      <c r="J155" s="35" t="n"/>
      <c r="K155" s="34" t="n"/>
      <c r="L155" s="26">
        <f>IF(A155="","",MONTH(A155))</f>
        <v>7</v>
      </c>
      <c r="M155" s="26">
        <f>IF(A155="","",YEAR(A155))</f>
        <v>2026</v>
      </c>
      <c r="N155" s="26" t="str">
        <f>IF(A155="","",CHOOSE(WEEKDAY(A155,2),"Segunda","Terça","Quarta","Quinta","Sexta","Sábado","Domingo"))</f>
        <v>Quinta</v>
      </c>
      <c r="O155" s="26" t="str">
        <f>IF(B155="","",IF(B155&lt;TIME(12,0,0),"Manhã",IF(B155&lt;TIME(18,0,0),"Tarde","Noite")))</f>
        <v>Manhã</v>
      </c>
      <c r="P155" s="32">
        <f>IF(G155="","",IFERROR(INDEX(Config!$I$5:$I$16,MATCH(G155,Config!$H$5:$H$16,0)),0))</f>
        <v>30</v>
      </c>
      <c r="Q155" s="30">
        <f>IF(OR(H155&lt;&gt;"Realizado",P155="",P155=0),"",A155+P155)</f>
        <v>46249.0</v>
      </c>
      <c r="R155" s="26" t="str">
        <f>IF(Q155="","",IF(COUNTIFS($E$5:$E$1204,E155,$A$5:$A$1204,"&gt;"&amp;A155,$H$5:$H$1204,"&lt;&gt;Falta",$H$5:$H$1204,"&lt;&gt;Cancelado",$H$5:$H$1204,"&lt;&gt;Remarcado")&gt;0,"Sim","Não"))</f>
        <v>Sim</v>
      </c>
      <c r="S155" s="32">
        <f>IF(R155&lt;&gt;"Não","",IF(Q155+Config!$B$9&lt;=Config!$B$8,Config!$B$8-Q155,""))</f>
        <v/>
      </c>
      <c r="T155" s="26">
        <f>IF(S155="","","Sim")</f>
        <v/>
      </c>
      <c r="U155" s="41">
        <f>IF(T155="Sim",S155+ROW()/100000,0)</f>
        <v>0</v>
      </c>
      <c r="V155" s="41">
        <f>IF(AND(H155="Falta",L155=Config!$B$7,M155=Config!$B$5,COUNTIFS($E$5:E155,E155,$H$5:H155,"Falta",$L$5:L155,Config!$B$7,$M$5:M155,Config!$B$5)=1),COUNTIFS($E$5:$E$1204,E155,$H$5:$H$1204,"Falta",$L$5:$L$1204,Config!$B$7,$M$5:$M$1204,Config!$B$5)*1000-ROW()/100000,0)</f>
        <v>0</v>
      </c>
    </row>
    <row r="156">
      <c r="A156" s="39" t="n">
        <v>46219</v>
      </c>
      <c r="B156" s="40" t="n">
        <v>0.4861111111111111</v>
      </c>
      <c r="C156" s="35" t="inlineStr">
        <is>
          <t>Dra. Carolina Mendes</t>
        </is>
      </c>
      <c r="D156" s="35" t="inlineStr">
        <is>
          <t>Sala 1</t>
        </is>
      </c>
      <c r="E156" s="34" t="inlineStr">
        <is>
          <t>Elaine Cardoso</t>
        </is>
      </c>
      <c r="F156" s="35" t="inlineStr">
        <is>
          <t>Particular</t>
        </is>
      </c>
      <c r="G156" s="35" t="inlineStr">
        <is>
          <t>Consulta</t>
        </is>
      </c>
      <c r="H156" s="35" t="inlineStr">
        <is>
          <t>Realizado</t>
        </is>
      </c>
      <c r="I156" s="35" t="inlineStr">
        <is>
          <t>Cartão de crédito</t>
        </is>
      </c>
      <c r="J156" s="35" t="n"/>
      <c r="K156" s="34" t="n"/>
      <c r="L156" s="26">
        <f>IF(A156="","",MONTH(A156))</f>
        <v>7</v>
      </c>
      <c r="M156" s="26">
        <f>IF(A156="","",YEAR(A156))</f>
        <v>2026</v>
      </c>
      <c r="N156" s="26" t="str">
        <f>IF(A156="","",CHOOSE(WEEKDAY(A156,2),"Segunda","Terça","Quarta","Quinta","Sexta","Sábado","Domingo"))</f>
        <v>Quinta</v>
      </c>
      <c r="O156" s="26" t="str">
        <f>IF(B156="","",IF(B156&lt;TIME(12,0,0),"Manhã",IF(B156&lt;TIME(18,0,0),"Tarde","Noite")))</f>
        <v>Manhã</v>
      </c>
      <c r="P156" s="32">
        <f>IF(G156="","",IFERROR(INDEX(Config!$I$5:$I$16,MATCH(G156,Config!$H$5:$H$16,0)),0))</f>
        <v>30</v>
      </c>
      <c r="Q156" s="30">
        <f>IF(OR(H156&lt;&gt;"Realizado",P156="",P156=0),"",A156+P156)</f>
        <v>46249.0</v>
      </c>
      <c r="R156" s="26" t="str">
        <f>IF(Q156="","",IF(COUNTIFS($E$5:$E$1204,E156,$A$5:$A$1204,"&gt;"&amp;A156,$H$5:$H$1204,"&lt;&gt;Falta",$H$5:$H$1204,"&lt;&gt;Cancelado",$H$5:$H$1204,"&lt;&gt;Remarcado")&gt;0,"Sim","Não"))</f>
        <v>Sim</v>
      </c>
      <c r="S156" s="32">
        <f>IF(R156&lt;&gt;"Não","",IF(Q156+Config!$B$9&lt;=Config!$B$8,Config!$B$8-Q156,""))</f>
        <v/>
      </c>
      <c r="T156" s="26">
        <f>IF(S156="","","Sim")</f>
        <v/>
      </c>
      <c r="U156" s="41">
        <f>IF(T156="Sim",S156+ROW()/100000,0)</f>
        <v>0</v>
      </c>
      <c r="V156" s="41">
        <f>IF(AND(H156="Falta",L156=Config!$B$7,M156=Config!$B$5,COUNTIFS($E$5:E156,E156,$H$5:H156,"Falta",$L$5:L156,Config!$B$7,$M$5:M156,Config!$B$5)=1),COUNTIFS($E$5:$E$1204,E156,$H$5:$H$1204,"Falta",$L$5:$L$1204,Config!$B$7,$M$5:$M$1204,Config!$B$5)*1000-ROW()/100000,0)</f>
        <v>0</v>
      </c>
    </row>
    <row r="157">
      <c r="A157" s="39" t="n">
        <v>46219</v>
      </c>
      <c r="B157" s="40" t="n">
        <v>0.6041666666666666</v>
      </c>
      <c r="C157" s="35" t="inlineStr">
        <is>
          <t>Dra. Renata Sousa</t>
        </is>
      </c>
      <c r="D157" s="35" t="inlineStr">
        <is>
          <t>Sala 1</t>
        </is>
      </c>
      <c r="E157" s="34" t="inlineStr">
        <is>
          <t>Fernanda Gonçalves</t>
        </is>
      </c>
      <c r="F157" s="35" t="inlineStr">
        <is>
          <t>Saúde Total</t>
        </is>
      </c>
      <c r="G157" s="35" t="inlineStr">
        <is>
          <t>Avaliação endócrina</t>
        </is>
      </c>
      <c r="H157" s="35" t="inlineStr">
        <is>
          <t>Realizado</t>
        </is>
      </c>
      <c r="I157" s="35" t="inlineStr">
        <is>
          <t>Convênio</t>
        </is>
      </c>
      <c r="J157" s="35" t="n"/>
      <c r="K157" s="34" t="n"/>
      <c r="L157" s="26">
        <f>IF(A157="","",MONTH(A157))</f>
        <v>7</v>
      </c>
      <c r="M157" s="26">
        <f>IF(A157="","",YEAR(A157))</f>
        <v>2026</v>
      </c>
      <c r="N157" s="26" t="str">
        <f>IF(A157="","",CHOOSE(WEEKDAY(A157,2),"Segunda","Terça","Quarta","Quinta","Sexta","Sábado","Domingo"))</f>
        <v>Quinta</v>
      </c>
      <c r="O157" s="26" t="str">
        <f>IF(B157="","",IF(B157&lt;TIME(12,0,0),"Manhã",IF(B157&lt;TIME(18,0,0),"Tarde","Noite")))</f>
        <v>Tarde</v>
      </c>
      <c r="P157" s="32">
        <f>IF(G157="","",IFERROR(INDEX(Config!$I$5:$I$16,MATCH(G157,Config!$H$5:$H$16,0)),0))</f>
        <v>45</v>
      </c>
      <c r="Q157" s="30">
        <f>IF(OR(H157&lt;&gt;"Realizado",P157="",P157=0),"",A157+P157)</f>
        <v>46264.0</v>
      </c>
      <c r="R157" s="26" t="str">
        <f>IF(Q157="","",IF(COUNTIFS($E$5:$E$1204,E157,$A$5:$A$1204,"&gt;"&amp;A157,$H$5:$H$1204,"&lt;&gt;Falta",$H$5:$H$1204,"&lt;&gt;Cancelado",$H$5:$H$1204,"&lt;&gt;Remarcado")&gt;0,"Sim","Não"))</f>
        <v>Sim</v>
      </c>
      <c r="S157" s="32">
        <f>IF(R157&lt;&gt;"Não","",IF(Q157+Config!$B$9&lt;=Config!$B$8,Config!$B$8-Q157,""))</f>
        <v/>
      </c>
      <c r="T157" s="26">
        <f>IF(S157="","","Sim")</f>
        <v/>
      </c>
      <c r="U157" s="41">
        <f>IF(T157="Sim",S157+ROW()/100000,0)</f>
        <v>0</v>
      </c>
      <c r="V157" s="41">
        <f>IF(AND(H157="Falta",L157=Config!$B$7,M157=Config!$B$5,COUNTIFS($E$5:E157,E157,$H$5:H157,"Falta",$L$5:L157,Config!$B$7,$M$5:M157,Config!$B$5)=1),COUNTIFS($E$5:$E$1204,E157,$H$5:$H$1204,"Falta",$L$5:$L$1204,Config!$B$7,$M$5:$M$1204,Config!$B$5)*1000-ROW()/100000,0)</f>
        <v>0</v>
      </c>
    </row>
    <row r="158">
      <c r="A158" s="39" t="n">
        <v>46219</v>
      </c>
      <c r="B158" s="40" t="n">
        <v>0.6041666666666666</v>
      </c>
      <c r="C158" s="35" t="inlineStr">
        <is>
          <t>Dr. Paulo Andrade</t>
        </is>
      </c>
      <c r="D158" s="35" t="inlineStr">
        <is>
          <t>Sala 2</t>
        </is>
      </c>
      <c r="E158" s="34" t="inlineStr">
        <is>
          <t>Sérgio Martins</t>
        </is>
      </c>
      <c r="F158" s="35" t="inlineStr">
        <is>
          <t>Particular</t>
        </is>
      </c>
      <c r="G158" s="35" t="inlineStr">
        <is>
          <t>ECG</t>
        </is>
      </c>
      <c r="H158" s="35" t="inlineStr">
        <is>
          <t>Realizado</t>
        </is>
      </c>
      <c r="I158" s="35" t="inlineStr">
        <is>
          <t>Cartão de débito</t>
        </is>
      </c>
      <c r="J158" s="35" t="n"/>
      <c r="K158" s="34" t="n"/>
      <c r="L158" s="26">
        <f>IF(A158="","",MONTH(A158))</f>
        <v>7</v>
      </c>
      <c r="M158" s="26">
        <f>IF(A158="","",YEAR(A158))</f>
        <v>2026</v>
      </c>
      <c r="N158" s="26" t="str">
        <f>IF(A158="","",CHOOSE(WEEKDAY(A158,2),"Segunda","Terça","Quarta","Quinta","Sexta","Sábado","Domingo"))</f>
        <v>Quinta</v>
      </c>
      <c r="O158" s="26" t="str">
        <f>IF(B158="","",IF(B158&lt;TIME(12,0,0),"Manhã",IF(B158&lt;TIME(18,0,0),"Tarde","Noite")))</f>
        <v>Tarde</v>
      </c>
      <c r="P158" s="32">
        <f>IF(G158="","",IFERROR(INDEX(Config!$I$5:$I$16,MATCH(G158,Config!$H$5:$H$16,0)),0))</f>
        <v>0</v>
      </c>
      <c r="Q158" s="30">
        <f>IF(OR(H158&lt;&gt;"Realizado",P158="",P158=0),"",A158+P158)</f>
        <v/>
      </c>
      <c r="R158" s="26">
        <f>IF(Q158="","",IF(COUNTIFS($E$5:$E$1204,E158,$A$5:$A$1204,"&gt;"&amp;A158,$H$5:$H$1204,"&lt;&gt;Falta",$H$5:$H$1204,"&lt;&gt;Cancelado",$H$5:$H$1204,"&lt;&gt;Remarcado")&gt;0,"Sim","Não"))</f>
        <v/>
      </c>
      <c r="S158" s="32">
        <f>IF(R158&lt;&gt;"Não","",IF(Q158+Config!$B$9&lt;=Config!$B$8,Config!$B$8-Q158,""))</f>
        <v/>
      </c>
      <c r="T158" s="26">
        <f>IF(S158="","","Sim")</f>
        <v/>
      </c>
      <c r="U158" s="41">
        <f>IF(T158="Sim",S158+ROW()/100000,0)</f>
        <v>0</v>
      </c>
      <c r="V158" s="41">
        <f>IF(AND(H158="Falta",L158=Config!$B$7,M158=Config!$B$5,COUNTIFS($E$5:E158,E158,$H$5:H158,"Falta",$L$5:L158,Config!$B$7,$M$5:M158,Config!$B$5)=1),COUNTIFS($E$5:$E$1204,E158,$H$5:$H$1204,"Falta",$L$5:$L$1204,Config!$B$7,$M$5:$M$1204,Config!$B$5)*1000-ROW()/100000,0)</f>
        <v>0</v>
      </c>
    </row>
    <row r="159">
      <c r="A159" s="39" t="n">
        <v>46219</v>
      </c>
      <c r="B159" s="40" t="n">
        <v>0.6180555555555556</v>
      </c>
      <c r="C159" s="35" t="inlineStr">
        <is>
          <t>Dr. Paulo Andrade</t>
        </is>
      </c>
      <c r="D159" s="35" t="inlineStr">
        <is>
          <t>Sala 2</t>
        </is>
      </c>
      <c r="E159" s="34" t="inlineStr">
        <is>
          <t>Rafael Araújo</t>
        </is>
      </c>
      <c r="F159" s="35" t="inlineStr">
        <is>
          <t>MediPlan</t>
        </is>
      </c>
      <c r="G159" s="35" t="inlineStr">
        <is>
          <t>Consulta</t>
        </is>
      </c>
      <c r="H159" s="35" t="inlineStr">
        <is>
          <t>Remarcado</t>
        </is>
      </c>
      <c r="I159" s="35" t="n"/>
      <c r="J159" s="35" t="n"/>
      <c r="K159" s="34" t="inlineStr">
        <is>
          <t>Paciente pediu outra data</t>
        </is>
      </c>
      <c r="L159" s="26">
        <f>IF(A159="","",MONTH(A159))</f>
        <v>7</v>
      </c>
      <c r="M159" s="26">
        <f>IF(A159="","",YEAR(A159))</f>
        <v>2026</v>
      </c>
      <c r="N159" s="26" t="str">
        <f>IF(A159="","",CHOOSE(WEEKDAY(A159,2),"Segunda","Terça","Quarta","Quinta","Sexta","Sábado","Domingo"))</f>
        <v>Quinta</v>
      </c>
      <c r="O159" s="26" t="str">
        <f>IF(B159="","",IF(B159&lt;TIME(12,0,0),"Manhã",IF(B159&lt;TIME(18,0,0),"Tarde","Noite")))</f>
        <v>Tarde</v>
      </c>
      <c r="P159" s="32">
        <f>IF(G159="","",IFERROR(INDEX(Config!$I$5:$I$16,MATCH(G159,Config!$H$5:$H$16,0)),0))</f>
        <v>30</v>
      </c>
      <c r="Q159" s="30">
        <f>IF(OR(H159&lt;&gt;"Realizado",P159="",P159=0),"",A159+P159)</f>
        <v/>
      </c>
      <c r="R159" s="26">
        <f>IF(Q159="","",IF(COUNTIFS($E$5:$E$1204,E159,$A$5:$A$1204,"&gt;"&amp;A159,$H$5:$H$1204,"&lt;&gt;Falta",$H$5:$H$1204,"&lt;&gt;Cancelado",$H$5:$H$1204,"&lt;&gt;Remarcado")&gt;0,"Sim","Não"))</f>
        <v/>
      </c>
      <c r="S159" s="32">
        <f>IF(R159&lt;&gt;"Não","",IF(Q159+Config!$B$9&lt;=Config!$B$8,Config!$B$8-Q159,""))</f>
        <v/>
      </c>
      <c r="T159" s="26">
        <f>IF(S159="","","Sim")</f>
        <v/>
      </c>
      <c r="U159" s="41">
        <f>IF(T159="Sim",S159+ROW()/100000,0)</f>
        <v>0</v>
      </c>
      <c r="V159" s="41">
        <f>IF(AND(H159="Falta",L159=Config!$B$7,M159=Config!$B$5,COUNTIFS($E$5:E159,E159,$H$5:H159,"Falta",$L$5:L159,Config!$B$7,$M$5:M159,Config!$B$5)=1),COUNTIFS($E$5:$E$1204,E159,$H$5:$H$1204,"Falta",$L$5:$L$1204,Config!$B$7,$M$5:$M$1204,Config!$B$5)*1000-ROW()/100000,0)</f>
        <v>0</v>
      </c>
    </row>
    <row r="160">
      <c r="A160" s="39" t="n">
        <v>46219</v>
      </c>
      <c r="B160" s="40" t="n">
        <v>0.6319444444444444</v>
      </c>
      <c r="C160" s="35" t="inlineStr">
        <is>
          <t>Dra. Renata Sousa</t>
        </is>
      </c>
      <c r="D160" s="35" t="inlineStr">
        <is>
          <t>Sala 1</t>
        </is>
      </c>
      <c r="E160" s="34" t="inlineStr">
        <is>
          <t>Daniel Moreira</t>
        </is>
      </c>
      <c r="F160" s="35" t="inlineStr">
        <is>
          <t>Saúde Total</t>
        </is>
      </c>
      <c r="G160" s="35" t="inlineStr">
        <is>
          <t>Avaliação endócrina</t>
        </is>
      </c>
      <c r="H160" s="35" t="inlineStr">
        <is>
          <t>Realizado</t>
        </is>
      </c>
      <c r="I160" s="35" t="inlineStr">
        <is>
          <t>Convênio</t>
        </is>
      </c>
      <c r="J160" s="35" t="n"/>
      <c r="K160" s="34" t="n"/>
      <c r="L160" s="26">
        <f>IF(A160="","",MONTH(A160))</f>
        <v>7</v>
      </c>
      <c r="M160" s="26">
        <f>IF(A160="","",YEAR(A160))</f>
        <v>2026</v>
      </c>
      <c r="N160" s="26" t="str">
        <f>IF(A160="","",CHOOSE(WEEKDAY(A160,2),"Segunda","Terça","Quarta","Quinta","Sexta","Sábado","Domingo"))</f>
        <v>Quinta</v>
      </c>
      <c r="O160" s="26" t="str">
        <f>IF(B160="","",IF(B160&lt;TIME(12,0,0),"Manhã",IF(B160&lt;TIME(18,0,0),"Tarde","Noite")))</f>
        <v>Tarde</v>
      </c>
      <c r="P160" s="32">
        <f>IF(G160="","",IFERROR(INDEX(Config!$I$5:$I$16,MATCH(G160,Config!$H$5:$H$16,0)),0))</f>
        <v>45</v>
      </c>
      <c r="Q160" s="30">
        <f>IF(OR(H160&lt;&gt;"Realizado",P160="",P160=0),"",A160+P160)</f>
        <v>46264.0</v>
      </c>
      <c r="R160" s="26" t="str">
        <f>IF(Q160="","",IF(COUNTIFS($E$5:$E$1204,E160,$A$5:$A$1204,"&gt;"&amp;A160,$H$5:$H$1204,"&lt;&gt;Falta",$H$5:$H$1204,"&lt;&gt;Cancelado",$H$5:$H$1204,"&lt;&gt;Remarcado")&gt;0,"Sim","Não"))</f>
        <v>Sim</v>
      </c>
      <c r="S160" s="32">
        <f>IF(R160&lt;&gt;"Não","",IF(Q160+Config!$B$9&lt;=Config!$B$8,Config!$B$8-Q160,""))</f>
        <v/>
      </c>
      <c r="T160" s="26">
        <f>IF(S160="","","Sim")</f>
        <v/>
      </c>
      <c r="U160" s="41">
        <f>IF(T160="Sim",S160+ROW()/100000,0)</f>
        <v>0</v>
      </c>
      <c r="V160" s="41">
        <f>IF(AND(H160="Falta",L160=Config!$B$7,M160=Config!$B$5,COUNTIFS($E$5:E160,E160,$H$5:H160,"Falta",$L$5:L160,Config!$B$7,$M$5:M160,Config!$B$5)=1),COUNTIFS($E$5:$E$1204,E160,$H$5:$H$1204,"Falta",$L$5:$L$1204,Config!$B$7,$M$5:$M$1204,Config!$B$5)*1000-ROW()/100000,0)</f>
        <v>0</v>
      </c>
    </row>
    <row r="161">
      <c r="A161" s="39" t="n">
        <v>46219</v>
      </c>
      <c r="B161" s="40" t="n">
        <v>0.6388888888888888</v>
      </c>
      <c r="C161" s="35" t="inlineStr">
        <is>
          <t>Dr. Paulo Andrade</t>
        </is>
      </c>
      <c r="D161" s="35" t="inlineStr">
        <is>
          <t>Sala 2</t>
        </is>
      </c>
      <c r="E161" s="34" t="inlineStr">
        <is>
          <t>Otávio Martins</t>
        </is>
      </c>
      <c r="F161" s="35" t="inlineStr">
        <is>
          <t>MediPlan</t>
        </is>
      </c>
      <c r="G161" s="35" t="inlineStr">
        <is>
          <t>Consulta</t>
        </is>
      </c>
      <c r="H161" s="35" t="inlineStr">
        <is>
          <t>Realizado</t>
        </is>
      </c>
      <c r="I161" s="35" t="inlineStr">
        <is>
          <t>Convênio</t>
        </is>
      </c>
      <c r="J161" s="35" t="n"/>
      <c r="K161" s="34" t="n"/>
      <c r="L161" s="26">
        <f>IF(A161="","",MONTH(A161))</f>
        <v>7</v>
      </c>
      <c r="M161" s="26">
        <f>IF(A161="","",YEAR(A161))</f>
        <v>2026</v>
      </c>
      <c r="N161" s="26" t="str">
        <f>IF(A161="","",CHOOSE(WEEKDAY(A161,2),"Segunda","Terça","Quarta","Quinta","Sexta","Sábado","Domingo"))</f>
        <v>Quinta</v>
      </c>
      <c r="O161" s="26" t="str">
        <f>IF(B161="","",IF(B161&lt;TIME(12,0,0),"Manhã",IF(B161&lt;TIME(18,0,0),"Tarde","Noite")))</f>
        <v>Tarde</v>
      </c>
      <c r="P161" s="32">
        <f>IF(G161="","",IFERROR(INDEX(Config!$I$5:$I$16,MATCH(G161,Config!$H$5:$H$16,0)),0))</f>
        <v>30</v>
      </c>
      <c r="Q161" s="30">
        <f>IF(OR(H161&lt;&gt;"Realizado",P161="",P161=0),"",A161+P161)</f>
        <v>46249.0</v>
      </c>
      <c r="R161" s="26" t="str">
        <f>IF(Q161="","",IF(COUNTIFS($E$5:$E$1204,E161,$A$5:$A$1204,"&gt;"&amp;A161,$H$5:$H$1204,"&lt;&gt;Falta",$H$5:$H$1204,"&lt;&gt;Cancelado",$H$5:$H$1204,"&lt;&gt;Remarcado")&gt;0,"Sim","Não"))</f>
        <v>Sim</v>
      </c>
      <c r="S161" s="32">
        <f>IF(R161&lt;&gt;"Não","",IF(Q161+Config!$B$9&lt;=Config!$B$8,Config!$B$8-Q161,""))</f>
        <v/>
      </c>
      <c r="T161" s="26">
        <f>IF(S161="","","Sim")</f>
        <v/>
      </c>
      <c r="U161" s="41">
        <f>IF(T161="Sim",S161+ROW()/100000,0)</f>
        <v>0</v>
      </c>
      <c r="V161" s="41">
        <f>IF(AND(H161="Falta",L161=Config!$B$7,M161=Config!$B$5,COUNTIFS($E$5:E161,E161,$H$5:H161,"Falta",$L$5:L161,Config!$B$7,$M$5:M161,Config!$B$5)=1),COUNTIFS($E$5:$E$1204,E161,$H$5:$H$1204,"Falta",$L$5:$L$1204,Config!$B$7,$M$5:$M$1204,Config!$B$5)*1000-ROW()/100000,0)</f>
        <v>0</v>
      </c>
    </row>
    <row r="162">
      <c r="A162" s="39" t="n">
        <v>46219</v>
      </c>
      <c r="B162" s="40" t="n">
        <v>0.6597222222222222</v>
      </c>
      <c r="C162" s="35" t="inlineStr">
        <is>
          <t>Dr. Paulo Andrade</t>
        </is>
      </c>
      <c r="D162" s="35" t="inlineStr">
        <is>
          <t>Sala 2</t>
        </is>
      </c>
      <c r="E162" s="34" t="inlineStr">
        <is>
          <t>Wagner Carvalho</t>
        </is>
      </c>
      <c r="F162" s="35" t="inlineStr">
        <is>
          <t>Vida Care</t>
        </is>
      </c>
      <c r="G162" s="35" t="inlineStr">
        <is>
          <t>Consulta</t>
        </is>
      </c>
      <c r="H162" s="35" t="inlineStr">
        <is>
          <t>Realizado</t>
        </is>
      </c>
      <c r="I162" s="35" t="inlineStr">
        <is>
          <t>Convênio</t>
        </is>
      </c>
      <c r="J162" s="35" t="n"/>
      <c r="K162" s="34" t="n"/>
      <c r="L162" s="26">
        <f>IF(A162="","",MONTH(A162))</f>
        <v>7</v>
      </c>
      <c r="M162" s="26">
        <f>IF(A162="","",YEAR(A162))</f>
        <v>2026</v>
      </c>
      <c r="N162" s="26" t="str">
        <f>IF(A162="","",CHOOSE(WEEKDAY(A162,2),"Segunda","Terça","Quarta","Quinta","Sexta","Sábado","Domingo"))</f>
        <v>Quinta</v>
      </c>
      <c r="O162" s="26" t="str">
        <f>IF(B162="","",IF(B162&lt;TIME(12,0,0),"Manhã",IF(B162&lt;TIME(18,0,0),"Tarde","Noite")))</f>
        <v>Tarde</v>
      </c>
      <c r="P162" s="32">
        <f>IF(G162="","",IFERROR(INDEX(Config!$I$5:$I$16,MATCH(G162,Config!$H$5:$H$16,0)),0))</f>
        <v>30</v>
      </c>
      <c r="Q162" s="30">
        <f>IF(OR(H162&lt;&gt;"Realizado",P162="",P162=0),"",A162+P162)</f>
        <v>46249.0</v>
      </c>
      <c r="R162" s="26" t="str">
        <f>IF(Q162="","",IF(COUNTIFS($E$5:$E$1204,E162,$A$5:$A$1204,"&gt;"&amp;A162,$H$5:$H$1204,"&lt;&gt;Falta",$H$5:$H$1204,"&lt;&gt;Cancelado",$H$5:$H$1204,"&lt;&gt;Remarcado")&gt;0,"Sim","Não"))</f>
        <v>Sim</v>
      </c>
      <c r="S162" s="32">
        <f>IF(R162&lt;&gt;"Não","",IF(Q162+Config!$B$9&lt;=Config!$B$8,Config!$B$8-Q162,""))</f>
        <v/>
      </c>
      <c r="T162" s="26">
        <f>IF(S162="","","Sim")</f>
        <v/>
      </c>
      <c r="U162" s="41">
        <f>IF(T162="Sim",S162+ROW()/100000,0)</f>
        <v>0</v>
      </c>
      <c r="V162" s="41">
        <f>IF(AND(H162="Falta",L162=Config!$B$7,M162=Config!$B$5,COUNTIFS($E$5:E162,E162,$H$5:H162,"Falta",$L$5:L162,Config!$B$7,$M$5:M162,Config!$B$5)=1),COUNTIFS($E$5:$E$1204,E162,$H$5:$H$1204,"Falta",$L$5:$L$1204,Config!$B$7,$M$5:$M$1204,Config!$B$5)*1000-ROW()/100000,0)</f>
        <v>0</v>
      </c>
    </row>
    <row r="163">
      <c r="A163" s="39" t="n">
        <v>46219</v>
      </c>
      <c r="B163" s="40" t="n">
        <v>0.6805555555555556</v>
      </c>
      <c r="C163" s="35" t="inlineStr">
        <is>
          <t>Dra. Renata Sousa</t>
        </is>
      </c>
      <c r="D163" s="35" t="inlineStr">
        <is>
          <t>Sala 1</t>
        </is>
      </c>
      <c r="E163" s="34" t="inlineStr">
        <is>
          <t>Carlos Gonçalves</t>
        </is>
      </c>
      <c r="F163" s="35" t="inlineStr">
        <is>
          <t>Saúde Total</t>
        </is>
      </c>
      <c r="G163" s="35" t="inlineStr">
        <is>
          <t>Avaliação endócrina</t>
        </is>
      </c>
      <c r="H163" s="35" t="inlineStr">
        <is>
          <t>Falta</t>
        </is>
      </c>
      <c r="I163" s="35" t="n"/>
      <c r="J163" s="35" t="n"/>
      <c r="K163" s="34" t="n"/>
      <c r="L163" s="26">
        <f>IF(A163="","",MONTH(A163))</f>
        <v>7</v>
      </c>
      <c r="M163" s="26">
        <f>IF(A163="","",YEAR(A163))</f>
        <v>2026</v>
      </c>
      <c r="N163" s="26" t="str">
        <f>IF(A163="","",CHOOSE(WEEKDAY(A163,2),"Segunda","Terça","Quarta","Quinta","Sexta","Sábado","Domingo"))</f>
        <v>Quinta</v>
      </c>
      <c r="O163" s="26" t="str">
        <f>IF(B163="","",IF(B163&lt;TIME(12,0,0),"Manhã",IF(B163&lt;TIME(18,0,0),"Tarde","Noite")))</f>
        <v>Tarde</v>
      </c>
      <c r="P163" s="32">
        <f>IF(G163="","",IFERROR(INDEX(Config!$I$5:$I$16,MATCH(G163,Config!$H$5:$H$16,0)),0))</f>
        <v>45</v>
      </c>
      <c r="Q163" s="30">
        <f>IF(OR(H163&lt;&gt;"Realizado",P163="",P163=0),"",A163+P163)</f>
        <v/>
      </c>
      <c r="R163" s="26">
        <f>IF(Q163="","",IF(COUNTIFS($E$5:$E$1204,E163,$A$5:$A$1204,"&gt;"&amp;A163,$H$5:$H$1204,"&lt;&gt;Falta",$H$5:$H$1204,"&lt;&gt;Cancelado",$H$5:$H$1204,"&lt;&gt;Remarcado")&gt;0,"Sim","Não"))</f>
        <v/>
      </c>
      <c r="S163" s="32">
        <f>IF(R163&lt;&gt;"Não","",IF(Q163+Config!$B$9&lt;=Config!$B$8,Config!$B$8-Q163,""))</f>
        <v/>
      </c>
      <c r="T163" s="26">
        <f>IF(S163="","","Sim")</f>
        <v/>
      </c>
      <c r="U163" s="41">
        <f>IF(T163="Sim",S163+ROW()/100000,0)</f>
        <v>0</v>
      </c>
      <c r="V163" s="41">
        <f>IF(AND(H163="Falta",L163=Config!$B$7,M163=Config!$B$5,COUNTIFS($E$5:E163,E163,$H$5:H163,"Falta",$L$5:L163,Config!$B$7,$M$5:M163,Config!$B$5)=1),COUNTIFS($E$5:$E$1204,E163,$H$5:$H$1204,"Falta",$L$5:$L$1204,Config!$B$7,$M$5:$M$1204,Config!$B$5)*1000-ROW()/100000,0)</f>
        <v>0</v>
      </c>
    </row>
    <row r="164">
      <c r="A164" s="39" t="n">
        <v>46219</v>
      </c>
      <c r="B164" s="40" t="n">
        <v>0.6805555555555556</v>
      </c>
      <c r="C164" s="35" t="inlineStr">
        <is>
          <t>Dr. Paulo Andrade</t>
        </is>
      </c>
      <c r="D164" s="35" t="inlineStr">
        <is>
          <t>Sala 2</t>
        </is>
      </c>
      <c r="E164" s="34" t="inlineStr">
        <is>
          <t>Sérgio Teixeira</t>
        </is>
      </c>
      <c r="F164" s="35" t="inlineStr">
        <is>
          <t>MediPlan</t>
        </is>
      </c>
      <c r="G164" s="35" t="inlineStr">
        <is>
          <t>Consulta</t>
        </is>
      </c>
      <c r="H164" s="35" t="inlineStr">
        <is>
          <t>Realizado</t>
        </is>
      </c>
      <c r="I164" s="35" t="inlineStr">
        <is>
          <t>Convênio</t>
        </is>
      </c>
      <c r="J164" s="35" t="n"/>
      <c r="K164" s="34" t="n"/>
      <c r="L164" s="26">
        <f>IF(A164="","",MONTH(A164))</f>
        <v>7</v>
      </c>
      <c r="M164" s="26">
        <f>IF(A164="","",YEAR(A164))</f>
        <v>2026</v>
      </c>
      <c r="N164" s="26" t="str">
        <f>IF(A164="","",CHOOSE(WEEKDAY(A164,2),"Segunda","Terça","Quarta","Quinta","Sexta","Sábado","Domingo"))</f>
        <v>Quinta</v>
      </c>
      <c r="O164" s="26" t="str">
        <f>IF(B164="","",IF(B164&lt;TIME(12,0,0),"Manhã",IF(B164&lt;TIME(18,0,0),"Tarde","Noite")))</f>
        <v>Tarde</v>
      </c>
      <c r="P164" s="32">
        <f>IF(G164="","",IFERROR(INDEX(Config!$I$5:$I$16,MATCH(G164,Config!$H$5:$H$16,0)),0))</f>
        <v>30</v>
      </c>
      <c r="Q164" s="30">
        <f>IF(OR(H164&lt;&gt;"Realizado",P164="",P164=0),"",A164+P164)</f>
        <v>46249.0</v>
      </c>
      <c r="R164" s="26" t="str">
        <f>IF(Q164="","",IF(COUNTIFS($E$5:$E$1204,E164,$A$5:$A$1204,"&gt;"&amp;A164,$H$5:$H$1204,"&lt;&gt;Falta",$H$5:$H$1204,"&lt;&gt;Cancelado",$H$5:$H$1204,"&lt;&gt;Remarcado")&gt;0,"Sim","Não"))</f>
        <v>Sim</v>
      </c>
      <c r="S164" s="32">
        <f>IF(R164&lt;&gt;"Não","",IF(Q164+Config!$B$9&lt;=Config!$B$8,Config!$B$8-Q164,""))</f>
        <v/>
      </c>
      <c r="T164" s="26">
        <f>IF(S164="","","Sim")</f>
        <v/>
      </c>
      <c r="U164" s="41">
        <f>IF(T164="Sim",S164+ROW()/100000,0)</f>
        <v>0</v>
      </c>
      <c r="V164" s="41">
        <f>IF(AND(H164="Falta",L164=Config!$B$7,M164=Config!$B$5,COUNTIFS($E$5:E164,E164,$H$5:H164,"Falta",$L$5:L164,Config!$B$7,$M$5:M164,Config!$B$5)=1),COUNTIFS($E$5:$E$1204,E164,$H$5:$H$1204,"Falta",$L$5:$L$1204,Config!$B$7,$M$5:$M$1204,Config!$B$5)*1000-ROW()/100000,0)</f>
        <v>0</v>
      </c>
    </row>
    <row r="165">
      <c r="A165" s="39" t="n">
        <v>46219</v>
      </c>
      <c r="B165" s="40" t="n">
        <v>0.7013888888888888</v>
      </c>
      <c r="C165" s="35" t="inlineStr">
        <is>
          <t>Dr. Paulo Andrade</t>
        </is>
      </c>
      <c r="D165" s="35" t="inlineStr">
        <is>
          <t>Sala 2</t>
        </is>
      </c>
      <c r="E165" s="34" t="inlineStr">
        <is>
          <t>Regina Teixeira</t>
        </is>
      </c>
      <c r="F165" s="35" t="inlineStr">
        <is>
          <t>Particular</t>
        </is>
      </c>
      <c r="G165" s="35" t="inlineStr">
        <is>
          <t>ECG</t>
        </is>
      </c>
      <c r="H165" s="35" t="inlineStr">
        <is>
          <t>Remarcado</t>
        </is>
      </c>
      <c r="I165" s="35" t="n"/>
      <c r="J165" s="35" t="n"/>
      <c r="K165" s="34" t="inlineStr">
        <is>
          <t>Paciente pediu outra data</t>
        </is>
      </c>
      <c r="L165" s="26">
        <f>IF(A165="","",MONTH(A165))</f>
        <v>7</v>
      </c>
      <c r="M165" s="26">
        <f>IF(A165="","",YEAR(A165))</f>
        <v>2026</v>
      </c>
      <c r="N165" s="26" t="str">
        <f>IF(A165="","",CHOOSE(WEEKDAY(A165,2),"Segunda","Terça","Quarta","Quinta","Sexta","Sábado","Domingo"))</f>
        <v>Quinta</v>
      </c>
      <c r="O165" s="26" t="str">
        <f>IF(B165="","",IF(B165&lt;TIME(12,0,0),"Manhã",IF(B165&lt;TIME(18,0,0),"Tarde","Noite")))</f>
        <v>Tarde</v>
      </c>
      <c r="P165" s="32">
        <f>IF(G165="","",IFERROR(INDEX(Config!$I$5:$I$16,MATCH(G165,Config!$H$5:$H$16,0)),0))</f>
        <v>0</v>
      </c>
      <c r="Q165" s="30">
        <f>IF(OR(H165&lt;&gt;"Realizado",P165="",P165=0),"",A165+P165)</f>
        <v/>
      </c>
      <c r="R165" s="26">
        <f>IF(Q165="","",IF(COUNTIFS($E$5:$E$1204,E165,$A$5:$A$1204,"&gt;"&amp;A165,$H$5:$H$1204,"&lt;&gt;Falta",$H$5:$H$1204,"&lt;&gt;Cancelado",$H$5:$H$1204,"&lt;&gt;Remarcado")&gt;0,"Sim","Não"))</f>
        <v/>
      </c>
      <c r="S165" s="32">
        <f>IF(R165&lt;&gt;"Não","",IF(Q165+Config!$B$9&lt;=Config!$B$8,Config!$B$8-Q165,""))</f>
        <v/>
      </c>
      <c r="T165" s="26">
        <f>IF(S165="","","Sim")</f>
        <v/>
      </c>
      <c r="U165" s="41">
        <f>IF(T165="Sim",S165+ROW()/100000,0)</f>
        <v>0</v>
      </c>
      <c r="V165" s="41">
        <f>IF(AND(H165="Falta",L165=Config!$B$7,M165=Config!$B$5,COUNTIFS($E$5:E165,E165,$H$5:H165,"Falta",$L$5:L165,Config!$B$7,$M$5:M165,Config!$B$5)=1),COUNTIFS($E$5:$E$1204,E165,$H$5:$H$1204,"Falta",$L$5:$L$1204,Config!$B$7,$M$5:$M$1204,Config!$B$5)*1000-ROW()/100000,0)</f>
        <v>0</v>
      </c>
    </row>
    <row r="166">
      <c r="A166" s="39" t="n">
        <v>46219</v>
      </c>
      <c r="B166" s="40" t="n">
        <v>0.7083333333333334</v>
      </c>
      <c r="C166" s="35" t="inlineStr">
        <is>
          <t>Dra. Renata Sousa</t>
        </is>
      </c>
      <c r="D166" s="35" t="inlineStr">
        <is>
          <t>Sala 1</t>
        </is>
      </c>
      <c r="E166" s="34" t="inlineStr">
        <is>
          <t>Beatriz Monteiro</t>
        </is>
      </c>
      <c r="F166" s="35" t="inlineStr">
        <is>
          <t>Particular</t>
        </is>
      </c>
      <c r="G166" s="35" t="inlineStr">
        <is>
          <t>Retorno</t>
        </is>
      </c>
      <c r="H166" s="35" t="inlineStr">
        <is>
          <t>Realizado</t>
        </is>
      </c>
      <c r="I166" s="35" t="inlineStr">
        <is>
          <t>Sem cobrança</t>
        </is>
      </c>
      <c r="J166" s="35" t="n"/>
      <c r="K166" s="34" t="n"/>
      <c r="L166" s="26">
        <f>IF(A166="","",MONTH(A166))</f>
        <v>7</v>
      </c>
      <c r="M166" s="26">
        <f>IF(A166="","",YEAR(A166))</f>
        <v>2026</v>
      </c>
      <c r="N166" s="26" t="str">
        <f>IF(A166="","",CHOOSE(WEEKDAY(A166,2),"Segunda","Terça","Quarta","Quinta","Sexta","Sábado","Domingo"))</f>
        <v>Quinta</v>
      </c>
      <c r="O166" s="26" t="str">
        <f>IF(B166="","",IF(B166&lt;TIME(12,0,0),"Manhã",IF(B166&lt;TIME(18,0,0),"Tarde","Noite")))</f>
        <v>Tarde</v>
      </c>
      <c r="P166" s="32">
        <f>IF(G166="","",IFERROR(INDEX(Config!$I$5:$I$16,MATCH(G166,Config!$H$5:$H$16,0)),0))</f>
        <v>0</v>
      </c>
      <c r="Q166" s="30">
        <f>IF(OR(H166&lt;&gt;"Realizado",P166="",P166=0),"",A166+P166)</f>
        <v/>
      </c>
      <c r="R166" s="26">
        <f>IF(Q166="","",IF(COUNTIFS($E$5:$E$1204,E166,$A$5:$A$1204,"&gt;"&amp;A166,$H$5:$H$1204,"&lt;&gt;Falta",$H$5:$H$1204,"&lt;&gt;Cancelado",$H$5:$H$1204,"&lt;&gt;Remarcado")&gt;0,"Sim","Não"))</f>
        <v/>
      </c>
      <c r="S166" s="32">
        <f>IF(R166&lt;&gt;"Não","",IF(Q166+Config!$B$9&lt;=Config!$B$8,Config!$B$8-Q166,""))</f>
        <v/>
      </c>
      <c r="T166" s="26">
        <f>IF(S166="","","Sim")</f>
        <v/>
      </c>
      <c r="U166" s="41">
        <f>IF(T166="Sim",S166+ROW()/100000,0)</f>
        <v>0</v>
      </c>
      <c r="V166" s="41">
        <f>IF(AND(H166="Falta",L166=Config!$B$7,M166=Config!$B$5,COUNTIFS($E$5:E166,E166,$H$5:H166,"Falta",$L$5:L166,Config!$B$7,$M$5:M166,Config!$B$5)=1),COUNTIFS($E$5:$E$1204,E166,$H$5:$H$1204,"Falta",$L$5:$L$1204,Config!$B$7,$M$5:$M$1204,Config!$B$5)*1000-ROW()/100000,0)</f>
        <v>0</v>
      </c>
    </row>
    <row r="167">
      <c r="A167" s="39" t="n">
        <v>46219</v>
      </c>
      <c r="B167" s="40" t="n">
        <v>0.7152777777777778</v>
      </c>
      <c r="C167" s="35" t="inlineStr">
        <is>
          <t>Dr. Paulo Andrade</t>
        </is>
      </c>
      <c r="D167" s="35" t="inlineStr">
        <is>
          <t>Sala 2</t>
        </is>
      </c>
      <c r="E167" s="34" t="inlineStr">
        <is>
          <t>Gisele Xavier</t>
        </is>
      </c>
      <c r="F167" s="35" t="inlineStr">
        <is>
          <t>Particular</t>
        </is>
      </c>
      <c r="G167" s="35" t="inlineStr">
        <is>
          <t>ECG</t>
        </is>
      </c>
      <c r="H167" s="35" t="inlineStr">
        <is>
          <t>Realizado</t>
        </is>
      </c>
      <c r="I167" s="35" t="inlineStr">
        <is>
          <t>Pix</t>
        </is>
      </c>
      <c r="J167" s="35" t="n"/>
      <c r="K167" s="34" t="n"/>
      <c r="L167" s="26">
        <f>IF(A167="","",MONTH(A167))</f>
        <v>7</v>
      </c>
      <c r="M167" s="26">
        <f>IF(A167="","",YEAR(A167))</f>
        <v>2026</v>
      </c>
      <c r="N167" s="26" t="str">
        <f>IF(A167="","",CHOOSE(WEEKDAY(A167,2),"Segunda","Terça","Quarta","Quinta","Sexta","Sábado","Domingo"))</f>
        <v>Quinta</v>
      </c>
      <c r="O167" s="26" t="str">
        <f>IF(B167="","",IF(B167&lt;TIME(12,0,0),"Manhã",IF(B167&lt;TIME(18,0,0),"Tarde","Noite")))</f>
        <v>Tarde</v>
      </c>
      <c r="P167" s="32">
        <f>IF(G167="","",IFERROR(INDEX(Config!$I$5:$I$16,MATCH(G167,Config!$H$5:$H$16,0)),0))</f>
        <v>0</v>
      </c>
      <c r="Q167" s="30">
        <f>IF(OR(H167&lt;&gt;"Realizado",P167="",P167=0),"",A167+P167)</f>
        <v/>
      </c>
      <c r="R167" s="26">
        <f>IF(Q167="","",IF(COUNTIFS($E$5:$E$1204,E167,$A$5:$A$1204,"&gt;"&amp;A167,$H$5:$H$1204,"&lt;&gt;Falta",$H$5:$H$1204,"&lt;&gt;Cancelado",$H$5:$H$1204,"&lt;&gt;Remarcado")&gt;0,"Sim","Não"))</f>
        <v/>
      </c>
      <c r="S167" s="32">
        <f>IF(R167&lt;&gt;"Não","",IF(Q167+Config!$B$9&lt;=Config!$B$8,Config!$B$8-Q167,""))</f>
        <v/>
      </c>
      <c r="T167" s="26">
        <f>IF(S167="","","Sim")</f>
        <v/>
      </c>
      <c r="U167" s="41">
        <f>IF(T167="Sim",S167+ROW()/100000,0)</f>
        <v>0</v>
      </c>
      <c r="V167" s="41">
        <f>IF(AND(H167="Falta",L167=Config!$B$7,M167=Config!$B$5,COUNTIFS($E$5:E167,E167,$H$5:H167,"Falta",$L$5:L167,Config!$B$7,$M$5:M167,Config!$B$5)=1),COUNTIFS($E$5:$E$1204,E167,$H$5:$H$1204,"Falta",$L$5:$L$1204,Config!$B$7,$M$5:$M$1204,Config!$B$5)*1000-ROW()/100000,0)</f>
        <v>0</v>
      </c>
    </row>
    <row r="168">
      <c r="A168" s="39" t="n">
        <v>46219</v>
      </c>
      <c r="B168" s="40" t="n">
        <v>0.7222222222222222</v>
      </c>
      <c r="C168" s="35" t="inlineStr">
        <is>
          <t>Dra. Renata Sousa</t>
        </is>
      </c>
      <c r="D168" s="35" t="inlineStr">
        <is>
          <t>Sala 1</t>
        </is>
      </c>
      <c r="E168" s="34" t="inlineStr">
        <is>
          <t>Márcia Duarte</t>
        </is>
      </c>
      <c r="F168" s="35" t="inlineStr">
        <is>
          <t>Particular</t>
        </is>
      </c>
      <c r="G168" s="35" t="inlineStr">
        <is>
          <t>Avaliação endócrina</t>
        </is>
      </c>
      <c r="H168" s="35" t="inlineStr">
        <is>
          <t>Realizado</t>
        </is>
      </c>
      <c r="I168" s="35" t="inlineStr">
        <is>
          <t>Cartão de crédito</t>
        </is>
      </c>
      <c r="J168" s="35" t="n"/>
      <c r="K168" s="34" t="n"/>
      <c r="L168" s="26">
        <f>IF(A168="","",MONTH(A168))</f>
        <v>7</v>
      </c>
      <c r="M168" s="26">
        <f>IF(A168="","",YEAR(A168))</f>
        <v>2026</v>
      </c>
      <c r="N168" s="26" t="str">
        <f>IF(A168="","",CHOOSE(WEEKDAY(A168,2),"Segunda","Terça","Quarta","Quinta","Sexta","Sábado","Domingo"))</f>
        <v>Quinta</v>
      </c>
      <c r="O168" s="26" t="str">
        <f>IF(B168="","",IF(B168&lt;TIME(12,0,0),"Manhã",IF(B168&lt;TIME(18,0,0),"Tarde","Noite")))</f>
        <v>Tarde</v>
      </c>
      <c r="P168" s="32">
        <f>IF(G168="","",IFERROR(INDEX(Config!$I$5:$I$16,MATCH(G168,Config!$H$5:$H$16,0)),0))</f>
        <v>45</v>
      </c>
      <c r="Q168" s="30">
        <f>IF(OR(H168&lt;&gt;"Realizado",P168="",P168=0),"",A168+P168)</f>
        <v>46264.0</v>
      </c>
      <c r="R168" s="26" t="str">
        <f>IF(Q168="","",IF(COUNTIFS($E$5:$E$1204,E168,$A$5:$A$1204,"&gt;"&amp;A168,$H$5:$H$1204,"&lt;&gt;Falta",$H$5:$H$1204,"&lt;&gt;Cancelado",$H$5:$H$1204,"&lt;&gt;Remarcado")&gt;0,"Sim","Não"))</f>
        <v>Sim</v>
      </c>
      <c r="S168" s="32">
        <f>IF(R168&lt;&gt;"Não","",IF(Q168+Config!$B$9&lt;=Config!$B$8,Config!$B$8-Q168,""))</f>
        <v/>
      </c>
      <c r="T168" s="26">
        <f>IF(S168="","","Sim")</f>
        <v/>
      </c>
      <c r="U168" s="41">
        <f>IF(T168="Sim",S168+ROW()/100000,0)</f>
        <v>0</v>
      </c>
      <c r="V168" s="41">
        <f>IF(AND(H168="Falta",L168=Config!$B$7,M168=Config!$B$5,COUNTIFS($E$5:E168,E168,$H$5:H168,"Falta",$L$5:L168,Config!$B$7,$M$5:M168,Config!$B$5)=1),COUNTIFS($E$5:$E$1204,E168,$H$5:$H$1204,"Falta",$L$5:$L$1204,Config!$B$7,$M$5:$M$1204,Config!$B$5)*1000-ROW()/100000,0)</f>
        <v>0</v>
      </c>
    </row>
    <row r="169">
      <c r="A169" s="39" t="n">
        <v>46219</v>
      </c>
      <c r="B169" s="40" t="n">
        <v>0.7291666666666666</v>
      </c>
      <c r="C169" s="35" t="inlineStr">
        <is>
          <t>Dr. Paulo Andrade</t>
        </is>
      </c>
      <c r="D169" s="35" t="inlineStr">
        <is>
          <t>Sala 2</t>
        </is>
      </c>
      <c r="E169" s="34" t="inlineStr">
        <is>
          <t>Isabela Nascimento</t>
        </is>
      </c>
      <c r="F169" s="35" t="inlineStr">
        <is>
          <t>Vida Care</t>
        </is>
      </c>
      <c r="G169" s="35" t="inlineStr">
        <is>
          <t>ECG</t>
        </is>
      </c>
      <c r="H169" s="35" t="inlineStr">
        <is>
          <t>Falta</t>
        </is>
      </c>
      <c r="I169" s="35" t="n"/>
      <c r="J169" s="35" t="n"/>
      <c r="K169" s="34" t="n"/>
      <c r="L169" s="26">
        <f>IF(A169="","",MONTH(A169))</f>
        <v>7</v>
      </c>
      <c r="M169" s="26">
        <f>IF(A169="","",YEAR(A169))</f>
        <v>2026</v>
      </c>
      <c r="N169" s="26" t="str">
        <f>IF(A169="","",CHOOSE(WEEKDAY(A169,2),"Segunda","Terça","Quarta","Quinta","Sexta","Sábado","Domingo"))</f>
        <v>Quinta</v>
      </c>
      <c r="O169" s="26" t="str">
        <f>IF(B169="","",IF(B169&lt;TIME(12,0,0),"Manhã",IF(B169&lt;TIME(18,0,0),"Tarde","Noite")))</f>
        <v>Tarde</v>
      </c>
      <c r="P169" s="32">
        <f>IF(G169="","",IFERROR(INDEX(Config!$I$5:$I$16,MATCH(G169,Config!$H$5:$H$16,0)),0))</f>
        <v>0</v>
      </c>
      <c r="Q169" s="30">
        <f>IF(OR(H169&lt;&gt;"Realizado",P169="",P169=0),"",A169+P169)</f>
        <v/>
      </c>
      <c r="R169" s="26">
        <f>IF(Q169="","",IF(COUNTIFS($E$5:$E$1204,E169,$A$5:$A$1204,"&gt;"&amp;A169,$H$5:$H$1204,"&lt;&gt;Falta",$H$5:$H$1204,"&lt;&gt;Cancelado",$H$5:$H$1204,"&lt;&gt;Remarcado")&gt;0,"Sim","Não"))</f>
        <v/>
      </c>
      <c r="S169" s="32">
        <f>IF(R169&lt;&gt;"Não","",IF(Q169+Config!$B$9&lt;=Config!$B$8,Config!$B$8-Q169,""))</f>
        <v/>
      </c>
      <c r="T169" s="26">
        <f>IF(S169="","","Sim")</f>
        <v/>
      </c>
      <c r="U169" s="41">
        <f>IF(T169="Sim",S169+ROW()/100000,0)</f>
        <v>0</v>
      </c>
      <c r="V169" s="41">
        <f>IF(AND(H169="Falta",L169=Config!$B$7,M169=Config!$B$5,COUNTIFS($E$5:E169,E169,$H$5:H169,"Falta",$L$5:L169,Config!$B$7,$M$5:M169,Config!$B$5)=1),COUNTIFS($E$5:$E$1204,E169,$H$5:$H$1204,"Falta",$L$5:$L$1204,Config!$B$7,$M$5:$M$1204,Config!$B$5)*1000-ROW()/100000,0)</f>
        <v>0</v>
      </c>
    </row>
    <row r="170">
      <c r="A170" s="39" t="n">
        <v>46220</v>
      </c>
      <c r="B170" s="40" t="n">
        <v>0.3541666666666667</v>
      </c>
      <c r="C170" s="35" t="inlineStr">
        <is>
          <t>Dr. Paulo Andrade</t>
        </is>
      </c>
      <c r="D170" s="35" t="inlineStr">
        <is>
          <t>Sala 2</t>
        </is>
      </c>
      <c r="E170" s="34" t="inlineStr">
        <is>
          <t>Renato Pereira</t>
        </is>
      </c>
      <c r="F170" s="35" t="inlineStr">
        <is>
          <t>MediPlan</t>
        </is>
      </c>
      <c r="G170" s="35" t="inlineStr">
        <is>
          <t>Consulta</t>
        </is>
      </c>
      <c r="H170" s="35" t="inlineStr">
        <is>
          <t>Realizado</t>
        </is>
      </c>
      <c r="I170" s="35" t="inlineStr">
        <is>
          <t>Convênio</t>
        </is>
      </c>
      <c r="J170" s="35" t="n"/>
      <c r="K170" s="34" t="n"/>
      <c r="L170" s="26">
        <f>IF(A170="","",MONTH(A170))</f>
        <v>7</v>
      </c>
      <c r="M170" s="26">
        <f>IF(A170="","",YEAR(A170))</f>
        <v>2026</v>
      </c>
      <c r="N170" s="26" t="str">
        <f>IF(A170="","",CHOOSE(WEEKDAY(A170,2),"Segunda","Terça","Quarta","Quinta","Sexta","Sábado","Domingo"))</f>
        <v>Sexta</v>
      </c>
      <c r="O170" s="26" t="str">
        <f>IF(B170="","",IF(B170&lt;TIME(12,0,0),"Manhã",IF(B170&lt;TIME(18,0,0),"Tarde","Noite")))</f>
        <v>Manhã</v>
      </c>
      <c r="P170" s="32">
        <f>IF(G170="","",IFERROR(INDEX(Config!$I$5:$I$16,MATCH(G170,Config!$H$5:$H$16,0)),0))</f>
        <v>30</v>
      </c>
      <c r="Q170" s="30">
        <f>IF(OR(H170&lt;&gt;"Realizado",P170="",P170=0),"",A170+P170)</f>
        <v>46250.0</v>
      </c>
      <c r="R170" s="26" t="str">
        <f>IF(Q170="","",IF(COUNTIFS($E$5:$E$1204,E170,$A$5:$A$1204,"&gt;"&amp;A170,$H$5:$H$1204,"&lt;&gt;Falta",$H$5:$H$1204,"&lt;&gt;Cancelado",$H$5:$H$1204,"&lt;&gt;Remarcado")&gt;0,"Sim","Não"))</f>
        <v>Sim</v>
      </c>
      <c r="S170" s="32">
        <f>IF(R170&lt;&gt;"Não","",IF(Q170+Config!$B$9&lt;=Config!$B$8,Config!$B$8-Q170,""))</f>
        <v/>
      </c>
      <c r="T170" s="26">
        <f>IF(S170="","","Sim")</f>
        <v/>
      </c>
      <c r="U170" s="41">
        <f>IF(T170="Sim",S170+ROW()/100000,0)</f>
        <v>0</v>
      </c>
      <c r="V170" s="41">
        <f>IF(AND(H170="Falta",L170=Config!$B$7,M170=Config!$B$5,COUNTIFS($E$5:E170,E170,$H$5:H170,"Falta",$L$5:L170,Config!$B$7,$M$5:M170,Config!$B$5)=1),COUNTIFS($E$5:$E$1204,E170,$H$5:$H$1204,"Falta",$L$5:$L$1204,Config!$B$7,$M$5:$M$1204,Config!$B$5)*1000-ROW()/100000,0)</f>
        <v>0</v>
      </c>
    </row>
    <row r="171">
      <c r="A171" s="39" t="n">
        <v>46220</v>
      </c>
      <c r="B171" s="40" t="n">
        <v>0.375</v>
      </c>
      <c r="C171" s="35" t="inlineStr">
        <is>
          <t>Dr. Paulo Andrade</t>
        </is>
      </c>
      <c r="D171" s="35" t="inlineStr">
        <is>
          <t>Sala 2</t>
        </is>
      </c>
      <c r="E171" s="34" t="inlineStr">
        <is>
          <t>Mônica Teixeira</t>
        </is>
      </c>
      <c r="F171" s="35" t="inlineStr">
        <is>
          <t>Vida Care</t>
        </is>
      </c>
      <c r="G171" s="35" t="inlineStr">
        <is>
          <t>ECG</t>
        </is>
      </c>
      <c r="H171" s="35" t="inlineStr">
        <is>
          <t>Realizado</t>
        </is>
      </c>
      <c r="I171" s="35" t="inlineStr">
        <is>
          <t>Convênio</t>
        </is>
      </c>
      <c r="J171" s="35" t="n"/>
      <c r="K171" s="34" t="n"/>
      <c r="L171" s="26">
        <f>IF(A171="","",MONTH(A171))</f>
        <v>7</v>
      </c>
      <c r="M171" s="26">
        <f>IF(A171="","",YEAR(A171))</f>
        <v>2026</v>
      </c>
      <c r="N171" s="26" t="str">
        <f>IF(A171="","",CHOOSE(WEEKDAY(A171,2),"Segunda","Terça","Quarta","Quinta","Sexta","Sábado","Domingo"))</f>
        <v>Sexta</v>
      </c>
      <c r="O171" s="26" t="str">
        <f>IF(B171="","",IF(B171&lt;TIME(12,0,0),"Manhã",IF(B171&lt;TIME(18,0,0),"Tarde","Noite")))</f>
        <v>Manhã</v>
      </c>
      <c r="P171" s="32">
        <f>IF(G171="","",IFERROR(INDEX(Config!$I$5:$I$16,MATCH(G171,Config!$H$5:$H$16,0)),0))</f>
        <v>0</v>
      </c>
      <c r="Q171" s="30">
        <f>IF(OR(H171&lt;&gt;"Realizado",P171="",P171=0),"",A171+P171)</f>
        <v/>
      </c>
      <c r="R171" s="26">
        <f>IF(Q171="","",IF(COUNTIFS($E$5:$E$1204,E171,$A$5:$A$1204,"&gt;"&amp;A171,$H$5:$H$1204,"&lt;&gt;Falta",$H$5:$H$1204,"&lt;&gt;Cancelado",$H$5:$H$1204,"&lt;&gt;Remarcado")&gt;0,"Sim","Não"))</f>
        <v/>
      </c>
      <c r="S171" s="32">
        <f>IF(R171&lt;&gt;"Não","",IF(Q171+Config!$B$9&lt;=Config!$B$8,Config!$B$8-Q171,""))</f>
        <v/>
      </c>
      <c r="T171" s="26">
        <f>IF(S171="","","Sim")</f>
        <v/>
      </c>
      <c r="U171" s="41">
        <f>IF(T171="Sim",S171+ROW()/100000,0)</f>
        <v>0</v>
      </c>
      <c r="V171" s="41">
        <f>IF(AND(H171="Falta",L171=Config!$B$7,M171=Config!$B$5,COUNTIFS($E$5:E171,E171,$H$5:H171,"Falta",$L$5:L171,Config!$B$7,$M$5:M171,Config!$B$5)=1),COUNTIFS($E$5:$E$1204,E171,$H$5:$H$1204,"Falta",$L$5:$L$1204,Config!$B$7,$M$5:$M$1204,Config!$B$5)*1000-ROW()/100000,0)</f>
        <v>0</v>
      </c>
    </row>
    <row r="172">
      <c r="A172" s="39" t="n">
        <v>46220</v>
      </c>
      <c r="B172" s="40" t="n">
        <v>0.4305555555555556</v>
      </c>
      <c r="C172" s="35" t="inlineStr">
        <is>
          <t>Dr. Paulo Andrade</t>
        </is>
      </c>
      <c r="D172" s="35" t="inlineStr">
        <is>
          <t>Sala 2</t>
        </is>
      </c>
      <c r="E172" s="34" t="inlineStr">
        <is>
          <t>Wagner Costa</t>
        </is>
      </c>
      <c r="F172" s="35" t="inlineStr">
        <is>
          <t>Particular</t>
        </is>
      </c>
      <c r="G172" s="35" t="inlineStr">
        <is>
          <t>Consulta</t>
        </is>
      </c>
      <c r="H172" s="35" t="inlineStr">
        <is>
          <t>Falta</t>
        </is>
      </c>
      <c r="I172" s="35" t="n"/>
      <c r="J172" s="35" t="n"/>
      <c r="K172" s="34" t="n"/>
      <c r="L172" s="26">
        <f>IF(A172="","",MONTH(A172))</f>
        <v>7</v>
      </c>
      <c r="M172" s="26">
        <f>IF(A172="","",YEAR(A172))</f>
        <v>2026</v>
      </c>
      <c r="N172" s="26" t="str">
        <f>IF(A172="","",CHOOSE(WEEKDAY(A172,2),"Segunda","Terça","Quarta","Quinta","Sexta","Sábado","Domingo"))</f>
        <v>Sexta</v>
      </c>
      <c r="O172" s="26" t="str">
        <f>IF(B172="","",IF(B172&lt;TIME(12,0,0),"Manhã",IF(B172&lt;TIME(18,0,0),"Tarde","Noite")))</f>
        <v>Manhã</v>
      </c>
      <c r="P172" s="32">
        <f>IF(G172="","",IFERROR(INDEX(Config!$I$5:$I$16,MATCH(G172,Config!$H$5:$H$16,0)),0))</f>
        <v>30</v>
      </c>
      <c r="Q172" s="30">
        <f>IF(OR(H172&lt;&gt;"Realizado",P172="",P172=0),"",A172+P172)</f>
        <v/>
      </c>
      <c r="R172" s="26">
        <f>IF(Q172="","",IF(COUNTIFS($E$5:$E$1204,E172,$A$5:$A$1204,"&gt;"&amp;A172,$H$5:$H$1204,"&lt;&gt;Falta",$H$5:$H$1204,"&lt;&gt;Cancelado",$H$5:$H$1204,"&lt;&gt;Remarcado")&gt;0,"Sim","Não"))</f>
        <v/>
      </c>
      <c r="S172" s="32">
        <f>IF(R172&lt;&gt;"Não","",IF(Q172+Config!$B$9&lt;=Config!$B$8,Config!$B$8-Q172,""))</f>
        <v/>
      </c>
      <c r="T172" s="26">
        <f>IF(S172="","","Sim")</f>
        <v/>
      </c>
      <c r="U172" s="41">
        <f>IF(T172="Sim",S172+ROW()/100000,0)</f>
        <v>0</v>
      </c>
      <c r="V172" s="41">
        <f>IF(AND(H172="Falta",L172=Config!$B$7,M172=Config!$B$5,COUNTIFS($E$5:E172,E172,$H$5:H172,"Falta",$L$5:L172,Config!$B$7,$M$5:M172,Config!$B$5)=1),COUNTIFS($E$5:$E$1204,E172,$H$5:$H$1204,"Falta",$L$5:$L$1204,Config!$B$7,$M$5:$M$1204,Config!$B$5)*1000-ROW()/100000,0)</f>
        <v>0</v>
      </c>
    </row>
    <row r="173">
      <c r="A173" s="39" t="n">
        <v>46220</v>
      </c>
      <c r="B173" s="40" t="n">
        <v>0.4722222222222222</v>
      </c>
      <c r="C173" s="35" t="inlineStr">
        <is>
          <t>Dr. Paulo Andrade</t>
        </is>
      </c>
      <c r="D173" s="35" t="inlineStr">
        <is>
          <t>Sala 2</t>
        </is>
      </c>
      <c r="E173" s="34" t="inlineStr">
        <is>
          <t>Lucas Cardoso</t>
        </is>
      </c>
      <c r="F173" s="35" t="inlineStr">
        <is>
          <t>Particular</t>
        </is>
      </c>
      <c r="G173" s="35" t="inlineStr">
        <is>
          <t>Consulta</t>
        </is>
      </c>
      <c r="H173" s="35" t="inlineStr">
        <is>
          <t>Realizado</t>
        </is>
      </c>
      <c r="I173" s="35" t="inlineStr">
        <is>
          <t>Cartão de crédito</t>
        </is>
      </c>
      <c r="J173" s="35" t="n"/>
      <c r="K173" s="34" t="n"/>
      <c r="L173" s="26">
        <f>IF(A173="","",MONTH(A173))</f>
        <v>7</v>
      </c>
      <c r="M173" s="26">
        <f>IF(A173="","",YEAR(A173))</f>
        <v>2026</v>
      </c>
      <c r="N173" s="26" t="str">
        <f>IF(A173="","",CHOOSE(WEEKDAY(A173,2),"Segunda","Terça","Quarta","Quinta","Sexta","Sábado","Domingo"))</f>
        <v>Sexta</v>
      </c>
      <c r="O173" s="26" t="str">
        <f>IF(B173="","",IF(B173&lt;TIME(12,0,0),"Manhã",IF(B173&lt;TIME(18,0,0),"Tarde","Noite")))</f>
        <v>Manhã</v>
      </c>
      <c r="P173" s="32">
        <f>IF(G173="","",IFERROR(INDEX(Config!$I$5:$I$16,MATCH(G173,Config!$H$5:$H$16,0)),0))</f>
        <v>30</v>
      </c>
      <c r="Q173" s="30">
        <f>IF(OR(H173&lt;&gt;"Realizado",P173="",P173=0),"",A173+P173)</f>
        <v>46250.0</v>
      </c>
      <c r="R173" s="26" t="str">
        <f>IF(Q173="","",IF(COUNTIFS($E$5:$E$1204,E173,$A$5:$A$1204,"&gt;"&amp;A173,$H$5:$H$1204,"&lt;&gt;Falta",$H$5:$H$1204,"&lt;&gt;Cancelado",$H$5:$H$1204,"&lt;&gt;Remarcado")&gt;0,"Sim","Não"))</f>
        <v>Sim</v>
      </c>
      <c r="S173" s="32">
        <f>IF(R173&lt;&gt;"Não","",IF(Q173+Config!$B$9&lt;=Config!$B$8,Config!$B$8-Q173,""))</f>
        <v/>
      </c>
      <c r="T173" s="26">
        <f>IF(S173="","","Sim")</f>
        <v/>
      </c>
      <c r="U173" s="41">
        <f>IF(T173="Sim",S173+ROW()/100000,0)</f>
        <v>0</v>
      </c>
      <c r="V173" s="41">
        <f>IF(AND(H173="Falta",L173=Config!$B$7,M173=Config!$B$5,COUNTIFS($E$5:E173,E173,$H$5:H173,"Falta",$L$5:L173,Config!$B$7,$M$5:M173,Config!$B$5)=1),COUNTIFS($E$5:$E$1204,E173,$H$5:$H$1204,"Falta",$L$5:$L$1204,Config!$B$7,$M$5:$M$1204,Config!$B$5)*1000-ROW()/100000,0)</f>
        <v>0</v>
      </c>
    </row>
    <row r="174">
      <c r="A174" s="39" t="n">
        <v>46223</v>
      </c>
      <c r="B174" s="40" t="n">
        <v>0.3333333333333333</v>
      </c>
      <c r="C174" s="35" t="inlineStr">
        <is>
          <t>Dra. Carolina Mendes</t>
        </is>
      </c>
      <c r="D174" s="35" t="inlineStr">
        <is>
          <t>Sala 1</t>
        </is>
      </c>
      <c r="E174" s="34" t="inlineStr">
        <is>
          <t>Marcelo Moreira</t>
        </is>
      </c>
      <c r="F174" s="35" t="inlineStr">
        <is>
          <t>Particular</t>
        </is>
      </c>
      <c r="G174" s="35" t="inlineStr">
        <is>
          <t>Consulta</t>
        </is>
      </c>
      <c r="H174" s="35" t="inlineStr">
        <is>
          <t>Realizado</t>
        </is>
      </c>
      <c r="I174" s="35" t="inlineStr">
        <is>
          <t>Cartão de débito</t>
        </is>
      </c>
      <c r="J174" s="35" t="n"/>
      <c r="K174" s="34" t="n"/>
      <c r="L174" s="26">
        <f>IF(A174="","",MONTH(A174))</f>
        <v>7</v>
      </c>
      <c r="M174" s="26">
        <f>IF(A174="","",YEAR(A174))</f>
        <v>2026</v>
      </c>
      <c r="N174" s="26" t="str">
        <f>IF(A174="","",CHOOSE(WEEKDAY(A174,2),"Segunda","Terça","Quarta","Quinta","Sexta","Sábado","Domingo"))</f>
        <v>Segunda</v>
      </c>
      <c r="O174" s="26" t="str">
        <f>IF(B174="","",IF(B174&lt;TIME(12,0,0),"Manhã",IF(B174&lt;TIME(18,0,0),"Tarde","Noite")))</f>
        <v>Manhã</v>
      </c>
      <c r="P174" s="32">
        <f>IF(G174="","",IFERROR(INDEX(Config!$I$5:$I$16,MATCH(G174,Config!$H$5:$H$16,0)),0))</f>
        <v>30</v>
      </c>
      <c r="Q174" s="30">
        <f>IF(OR(H174&lt;&gt;"Realizado",P174="",P174=0),"",A174+P174)</f>
        <v>46253.0</v>
      </c>
      <c r="R174" s="26" t="str">
        <f>IF(Q174="","",IF(COUNTIFS($E$5:$E$1204,E174,$A$5:$A$1204,"&gt;"&amp;A174,$H$5:$H$1204,"&lt;&gt;Falta",$H$5:$H$1204,"&lt;&gt;Cancelado",$H$5:$H$1204,"&lt;&gt;Remarcado")&gt;0,"Sim","Não"))</f>
        <v>Sim</v>
      </c>
      <c r="S174" s="32">
        <f>IF(R174&lt;&gt;"Não","",IF(Q174+Config!$B$9&lt;=Config!$B$8,Config!$B$8-Q174,""))</f>
        <v/>
      </c>
      <c r="T174" s="26">
        <f>IF(S174="","","Sim")</f>
        <v/>
      </c>
      <c r="U174" s="41">
        <f>IF(T174="Sim",S174+ROW()/100000,0)</f>
        <v>0</v>
      </c>
      <c r="V174" s="41">
        <f>IF(AND(H174="Falta",L174=Config!$B$7,M174=Config!$B$5,COUNTIFS($E$5:E174,E174,$H$5:H174,"Falta",$L$5:L174,Config!$B$7,$M$5:M174,Config!$B$5)=1),COUNTIFS($E$5:$E$1204,E174,$H$5:$H$1204,"Falta",$L$5:$L$1204,Config!$B$7,$M$5:$M$1204,Config!$B$5)*1000-ROW()/100000,0)</f>
        <v>0</v>
      </c>
    </row>
    <row r="175">
      <c r="A175" s="39" t="n">
        <v>46223</v>
      </c>
      <c r="B175" s="40" t="n">
        <v>0.375</v>
      </c>
      <c r="C175" s="35" t="inlineStr">
        <is>
          <t>Dra. Carolina Mendes</t>
        </is>
      </c>
      <c r="D175" s="35" t="inlineStr">
        <is>
          <t>Sala 1</t>
        </is>
      </c>
      <c r="E175" s="34" t="inlineStr">
        <is>
          <t>Wagner Lima</t>
        </is>
      </c>
      <c r="F175" s="35" t="inlineStr">
        <is>
          <t>Particular</t>
        </is>
      </c>
      <c r="G175" s="35" t="inlineStr">
        <is>
          <t>Retorno</t>
        </is>
      </c>
      <c r="H175" s="35" t="inlineStr">
        <is>
          <t>Realizado</t>
        </is>
      </c>
      <c r="I175" s="35" t="inlineStr">
        <is>
          <t>Sem cobrança</t>
        </is>
      </c>
      <c r="J175" s="35" t="n"/>
      <c r="K175" s="34" t="n"/>
      <c r="L175" s="26">
        <f>IF(A175="","",MONTH(A175))</f>
        <v>7</v>
      </c>
      <c r="M175" s="26">
        <f>IF(A175="","",YEAR(A175))</f>
        <v>2026</v>
      </c>
      <c r="N175" s="26" t="str">
        <f>IF(A175="","",CHOOSE(WEEKDAY(A175,2),"Segunda","Terça","Quarta","Quinta","Sexta","Sábado","Domingo"))</f>
        <v>Segunda</v>
      </c>
      <c r="O175" s="26" t="str">
        <f>IF(B175="","",IF(B175&lt;TIME(12,0,0),"Manhã",IF(B175&lt;TIME(18,0,0),"Tarde","Noite")))</f>
        <v>Manhã</v>
      </c>
      <c r="P175" s="32">
        <f>IF(G175="","",IFERROR(INDEX(Config!$I$5:$I$16,MATCH(G175,Config!$H$5:$H$16,0)),0))</f>
        <v>0</v>
      </c>
      <c r="Q175" s="30">
        <f>IF(OR(H175&lt;&gt;"Realizado",P175="",P175=0),"",A175+P175)</f>
        <v/>
      </c>
      <c r="R175" s="26">
        <f>IF(Q175="","",IF(COUNTIFS($E$5:$E$1204,E175,$A$5:$A$1204,"&gt;"&amp;A175,$H$5:$H$1204,"&lt;&gt;Falta",$H$5:$H$1204,"&lt;&gt;Cancelado",$H$5:$H$1204,"&lt;&gt;Remarcado")&gt;0,"Sim","Não"))</f>
        <v/>
      </c>
      <c r="S175" s="32">
        <f>IF(R175&lt;&gt;"Não","",IF(Q175+Config!$B$9&lt;=Config!$B$8,Config!$B$8-Q175,""))</f>
        <v/>
      </c>
      <c r="T175" s="26">
        <f>IF(S175="","","Sim")</f>
        <v/>
      </c>
      <c r="U175" s="41">
        <f>IF(T175="Sim",S175+ROW()/100000,0)</f>
        <v>0</v>
      </c>
      <c r="V175" s="41">
        <f>IF(AND(H175="Falta",L175=Config!$B$7,M175=Config!$B$5,COUNTIFS($E$5:E175,E175,$H$5:H175,"Falta",$L$5:L175,Config!$B$7,$M$5:M175,Config!$B$5)=1),COUNTIFS($E$5:$E$1204,E175,$H$5:$H$1204,"Falta",$L$5:$L$1204,Config!$B$7,$M$5:$M$1204,Config!$B$5)*1000-ROW()/100000,0)</f>
        <v>0</v>
      </c>
    </row>
    <row r="176">
      <c r="A176" s="39" t="n">
        <v>46223</v>
      </c>
      <c r="B176" s="40" t="n">
        <v>0.3888888888888889</v>
      </c>
      <c r="C176" s="35" t="inlineStr">
        <is>
          <t>Dra. Carolina Mendes</t>
        </is>
      </c>
      <c r="D176" s="35" t="inlineStr">
        <is>
          <t>Sala 1</t>
        </is>
      </c>
      <c r="E176" s="34" t="inlineStr">
        <is>
          <t>Eduardo Lima</t>
        </is>
      </c>
      <c r="F176" s="35" t="inlineStr">
        <is>
          <t>Particular</t>
        </is>
      </c>
      <c r="G176" s="35" t="inlineStr">
        <is>
          <t>Consulta</t>
        </is>
      </c>
      <c r="H176" s="35" t="inlineStr">
        <is>
          <t>Realizado</t>
        </is>
      </c>
      <c r="I176" s="35" t="inlineStr">
        <is>
          <t>Cartão de crédito</t>
        </is>
      </c>
      <c r="J176" s="35" t="n"/>
      <c r="K176" s="34" t="n"/>
      <c r="L176" s="26">
        <f>IF(A176="","",MONTH(A176))</f>
        <v>7</v>
      </c>
      <c r="M176" s="26">
        <f>IF(A176="","",YEAR(A176))</f>
        <v>2026</v>
      </c>
      <c r="N176" s="26" t="str">
        <f>IF(A176="","",CHOOSE(WEEKDAY(A176,2),"Segunda","Terça","Quarta","Quinta","Sexta","Sábado","Domingo"))</f>
        <v>Segunda</v>
      </c>
      <c r="O176" s="26" t="str">
        <f>IF(B176="","",IF(B176&lt;TIME(12,0,0),"Manhã",IF(B176&lt;TIME(18,0,0),"Tarde","Noite")))</f>
        <v>Manhã</v>
      </c>
      <c r="P176" s="32">
        <f>IF(G176="","",IFERROR(INDEX(Config!$I$5:$I$16,MATCH(G176,Config!$H$5:$H$16,0)),0))</f>
        <v>30</v>
      </c>
      <c r="Q176" s="30">
        <f>IF(OR(H176&lt;&gt;"Realizado",P176="",P176=0),"",A176+P176)</f>
        <v>46253.0</v>
      </c>
      <c r="R176" s="26" t="str">
        <f>IF(Q176="","",IF(COUNTIFS($E$5:$E$1204,E176,$A$5:$A$1204,"&gt;"&amp;A176,$H$5:$H$1204,"&lt;&gt;Falta",$H$5:$H$1204,"&lt;&gt;Cancelado",$H$5:$H$1204,"&lt;&gt;Remarcado")&gt;0,"Sim","Não"))</f>
        <v>Sim</v>
      </c>
      <c r="S176" s="32">
        <f>IF(R176&lt;&gt;"Não","",IF(Q176+Config!$B$9&lt;=Config!$B$8,Config!$B$8-Q176,""))</f>
        <v/>
      </c>
      <c r="T176" s="26">
        <f>IF(S176="","","Sim")</f>
        <v/>
      </c>
      <c r="U176" s="41">
        <f>IF(T176="Sim",S176+ROW()/100000,0)</f>
        <v>0</v>
      </c>
      <c r="V176" s="41">
        <f>IF(AND(H176="Falta",L176=Config!$B$7,M176=Config!$B$5,COUNTIFS($E$5:E176,E176,$H$5:H176,"Falta",$L$5:L176,Config!$B$7,$M$5:M176,Config!$B$5)=1),COUNTIFS($E$5:$E$1204,E176,$H$5:$H$1204,"Falta",$L$5:$L$1204,Config!$B$7,$M$5:$M$1204,Config!$B$5)*1000-ROW()/100000,0)</f>
        <v>0</v>
      </c>
    </row>
    <row r="177">
      <c r="A177" s="39" t="n">
        <v>46223</v>
      </c>
      <c r="B177" s="40" t="n">
        <v>0.4097222222222222</v>
      </c>
      <c r="C177" s="35" t="inlineStr">
        <is>
          <t>Dra. Carolina Mendes</t>
        </is>
      </c>
      <c r="D177" s="35" t="inlineStr">
        <is>
          <t>Sala 1</t>
        </is>
      </c>
      <c r="E177" s="34" t="inlineStr">
        <is>
          <t>Gustavo Barbosa</t>
        </is>
      </c>
      <c r="F177" s="35" t="inlineStr">
        <is>
          <t>Saúde Total</t>
        </is>
      </c>
      <c r="G177" s="35" t="inlineStr">
        <is>
          <t>Consulta</t>
        </is>
      </c>
      <c r="H177" s="35" t="inlineStr">
        <is>
          <t>Realizado</t>
        </is>
      </c>
      <c r="I177" s="35" t="inlineStr">
        <is>
          <t>Convênio</t>
        </is>
      </c>
      <c r="J177" s="35" t="n"/>
      <c r="K177" s="34" t="n"/>
      <c r="L177" s="26">
        <f>IF(A177="","",MONTH(A177))</f>
        <v>7</v>
      </c>
      <c r="M177" s="26">
        <f>IF(A177="","",YEAR(A177))</f>
        <v>2026</v>
      </c>
      <c r="N177" s="26" t="str">
        <f>IF(A177="","",CHOOSE(WEEKDAY(A177,2),"Segunda","Terça","Quarta","Quinta","Sexta","Sábado","Domingo"))</f>
        <v>Segunda</v>
      </c>
      <c r="O177" s="26" t="str">
        <f>IF(B177="","",IF(B177&lt;TIME(12,0,0),"Manhã",IF(B177&lt;TIME(18,0,0),"Tarde","Noite")))</f>
        <v>Manhã</v>
      </c>
      <c r="P177" s="32">
        <f>IF(G177="","",IFERROR(INDEX(Config!$I$5:$I$16,MATCH(G177,Config!$H$5:$H$16,0)),0))</f>
        <v>30</v>
      </c>
      <c r="Q177" s="30">
        <f>IF(OR(H177&lt;&gt;"Realizado",P177="",P177=0),"",A177+P177)</f>
        <v>46253.0</v>
      </c>
      <c r="R177" s="26" t="str">
        <f>IF(Q177="","",IF(COUNTIFS($E$5:$E$1204,E177,$A$5:$A$1204,"&gt;"&amp;A177,$H$5:$H$1204,"&lt;&gt;Falta",$H$5:$H$1204,"&lt;&gt;Cancelado",$H$5:$H$1204,"&lt;&gt;Remarcado")&gt;0,"Sim","Não"))</f>
        <v>Sim</v>
      </c>
      <c r="S177" s="32">
        <f>IF(R177&lt;&gt;"Não","",IF(Q177+Config!$B$9&lt;=Config!$B$8,Config!$B$8-Q177,""))</f>
        <v/>
      </c>
      <c r="T177" s="26">
        <f>IF(S177="","","Sim")</f>
        <v/>
      </c>
      <c r="U177" s="41">
        <f>IF(T177="Sim",S177+ROW()/100000,0)</f>
        <v>0</v>
      </c>
      <c r="V177" s="41">
        <f>IF(AND(H177="Falta",L177=Config!$B$7,M177=Config!$B$5,COUNTIFS($E$5:E177,E177,$H$5:H177,"Falta",$L$5:L177,Config!$B$7,$M$5:M177,Config!$B$5)=1),COUNTIFS($E$5:$E$1204,E177,$H$5:$H$1204,"Falta",$L$5:$L$1204,Config!$B$7,$M$5:$M$1204,Config!$B$5)*1000-ROW()/100000,0)</f>
        <v>0</v>
      </c>
    </row>
    <row r="178">
      <c r="A178" s="39" t="n">
        <v>46223</v>
      </c>
      <c r="B178" s="40" t="n">
        <v>0.4305555555555556</v>
      </c>
      <c r="C178" s="35" t="inlineStr">
        <is>
          <t>Dra. Carolina Mendes</t>
        </is>
      </c>
      <c r="D178" s="35" t="inlineStr">
        <is>
          <t>Sala 1</t>
        </is>
      </c>
      <c r="E178" s="34" t="inlineStr">
        <is>
          <t>Rafael Dias</t>
        </is>
      </c>
      <c r="F178" s="35" t="inlineStr">
        <is>
          <t>Particular</t>
        </is>
      </c>
      <c r="G178" s="35" t="inlineStr">
        <is>
          <t>Consulta</t>
        </is>
      </c>
      <c r="H178" s="35" t="inlineStr">
        <is>
          <t>Realizado</t>
        </is>
      </c>
      <c r="I178" s="35" t="inlineStr">
        <is>
          <t>A prazo</t>
        </is>
      </c>
      <c r="J178" s="35" t="n"/>
      <c r="K178" s="34" t="n"/>
      <c r="L178" s="26">
        <f>IF(A178="","",MONTH(A178))</f>
        <v>7</v>
      </c>
      <c r="M178" s="26">
        <f>IF(A178="","",YEAR(A178))</f>
        <v>2026</v>
      </c>
      <c r="N178" s="26" t="str">
        <f>IF(A178="","",CHOOSE(WEEKDAY(A178,2),"Segunda","Terça","Quarta","Quinta","Sexta","Sábado","Domingo"))</f>
        <v>Segunda</v>
      </c>
      <c r="O178" s="26" t="str">
        <f>IF(B178="","",IF(B178&lt;TIME(12,0,0),"Manhã",IF(B178&lt;TIME(18,0,0),"Tarde","Noite")))</f>
        <v>Manhã</v>
      </c>
      <c r="P178" s="32">
        <f>IF(G178="","",IFERROR(INDEX(Config!$I$5:$I$16,MATCH(G178,Config!$H$5:$H$16,0)),0))</f>
        <v>30</v>
      </c>
      <c r="Q178" s="30">
        <f>IF(OR(H178&lt;&gt;"Realizado",P178="",P178=0),"",A178+P178)</f>
        <v>46253.0</v>
      </c>
      <c r="R178" s="26" t="str">
        <f>IF(Q178="","",IF(COUNTIFS($E$5:$E$1204,E178,$A$5:$A$1204,"&gt;"&amp;A178,$H$5:$H$1204,"&lt;&gt;Falta",$H$5:$H$1204,"&lt;&gt;Cancelado",$H$5:$H$1204,"&lt;&gt;Remarcado")&gt;0,"Sim","Não"))</f>
        <v>Sim</v>
      </c>
      <c r="S178" s="32">
        <f>IF(R178&lt;&gt;"Não","",IF(Q178+Config!$B$9&lt;=Config!$B$8,Config!$B$8-Q178,""))</f>
        <v/>
      </c>
      <c r="T178" s="26">
        <f>IF(S178="","","Sim")</f>
        <v/>
      </c>
      <c r="U178" s="41">
        <f>IF(T178="Sim",S178+ROW()/100000,0)</f>
        <v>0</v>
      </c>
      <c r="V178" s="41">
        <f>IF(AND(H178="Falta",L178=Config!$B$7,M178=Config!$B$5,COUNTIFS($E$5:E178,E178,$H$5:H178,"Falta",$L$5:L178,Config!$B$7,$M$5:M178,Config!$B$5)=1),COUNTIFS($E$5:$E$1204,E178,$H$5:$H$1204,"Falta",$L$5:$L$1204,Config!$B$7,$M$5:$M$1204,Config!$B$5)*1000-ROW()/100000,0)</f>
        <v>0</v>
      </c>
    </row>
    <row r="179">
      <c r="A179" s="39" t="n">
        <v>46223</v>
      </c>
      <c r="B179" s="40" t="n">
        <v>0.4513888888888889</v>
      </c>
      <c r="C179" s="35" t="inlineStr">
        <is>
          <t>Dra. Carolina Mendes</t>
        </is>
      </c>
      <c r="D179" s="35" t="inlineStr">
        <is>
          <t>Sala 1</t>
        </is>
      </c>
      <c r="E179" s="34" t="inlineStr">
        <is>
          <t>Isabela Pinto</t>
        </is>
      </c>
      <c r="F179" s="35" t="inlineStr">
        <is>
          <t>Saúde Total</t>
        </is>
      </c>
      <c r="G179" s="35" t="inlineStr">
        <is>
          <t>Consulta</t>
        </is>
      </c>
      <c r="H179" s="35" t="inlineStr">
        <is>
          <t>Realizado</t>
        </is>
      </c>
      <c r="I179" s="35" t="inlineStr">
        <is>
          <t>Convênio</t>
        </is>
      </c>
      <c r="J179" s="35" t="n"/>
      <c r="K179" s="34" t="n"/>
      <c r="L179" s="26">
        <f>IF(A179="","",MONTH(A179))</f>
        <v>7</v>
      </c>
      <c r="M179" s="26">
        <f>IF(A179="","",YEAR(A179))</f>
        <v>2026</v>
      </c>
      <c r="N179" s="26" t="str">
        <f>IF(A179="","",CHOOSE(WEEKDAY(A179,2),"Segunda","Terça","Quarta","Quinta","Sexta","Sábado","Domingo"))</f>
        <v>Segunda</v>
      </c>
      <c r="O179" s="26" t="str">
        <f>IF(B179="","",IF(B179&lt;TIME(12,0,0),"Manhã",IF(B179&lt;TIME(18,0,0),"Tarde","Noite")))</f>
        <v>Manhã</v>
      </c>
      <c r="P179" s="32">
        <f>IF(G179="","",IFERROR(INDEX(Config!$I$5:$I$16,MATCH(G179,Config!$H$5:$H$16,0)),0))</f>
        <v>30</v>
      </c>
      <c r="Q179" s="30">
        <f>IF(OR(H179&lt;&gt;"Realizado",P179="",P179=0),"",A179+P179)</f>
        <v>46253.0</v>
      </c>
      <c r="R179" s="26" t="str">
        <f>IF(Q179="","",IF(COUNTIFS($E$5:$E$1204,E179,$A$5:$A$1204,"&gt;"&amp;A179,$H$5:$H$1204,"&lt;&gt;Falta",$H$5:$H$1204,"&lt;&gt;Cancelado",$H$5:$H$1204,"&lt;&gt;Remarcado")&gt;0,"Sim","Não"))</f>
        <v>Sim</v>
      </c>
      <c r="S179" s="32">
        <f>IF(R179&lt;&gt;"Não","",IF(Q179+Config!$B$9&lt;=Config!$B$8,Config!$B$8-Q179,""))</f>
        <v/>
      </c>
      <c r="T179" s="26">
        <f>IF(S179="","","Sim")</f>
        <v/>
      </c>
      <c r="U179" s="41">
        <f>IF(T179="Sim",S179+ROW()/100000,0)</f>
        <v>0</v>
      </c>
      <c r="V179" s="41">
        <f>IF(AND(H179="Falta",L179=Config!$B$7,M179=Config!$B$5,COUNTIFS($E$5:E179,E179,$H$5:H179,"Falta",$L$5:L179,Config!$B$7,$M$5:M179,Config!$B$5)=1),COUNTIFS($E$5:$E$1204,E179,$H$5:$H$1204,"Falta",$L$5:$L$1204,Config!$B$7,$M$5:$M$1204,Config!$B$5)*1000-ROW()/100000,0)</f>
        <v>0</v>
      </c>
    </row>
    <row r="180">
      <c r="A180" s="39" t="n">
        <v>46223</v>
      </c>
      <c r="B180" s="40" t="n">
        <v>0.4722222222222222</v>
      </c>
      <c r="C180" s="35" t="inlineStr">
        <is>
          <t>Dra. Carolina Mendes</t>
        </is>
      </c>
      <c r="D180" s="35" t="inlineStr">
        <is>
          <t>Sala 1</t>
        </is>
      </c>
      <c r="E180" s="34" t="inlineStr">
        <is>
          <t>Cláudia Santos</t>
        </is>
      </c>
      <c r="F180" s="35" t="inlineStr">
        <is>
          <t>Particular</t>
        </is>
      </c>
      <c r="G180" s="35" t="inlineStr">
        <is>
          <t>Consulta</t>
        </is>
      </c>
      <c r="H180" s="35" t="inlineStr">
        <is>
          <t>Realizado</t>
        </is>
      </c>
      <c r="I180" s="35" t="inlineStr">
        <is>
          <t>A prazo</t>
        </is>
      </c>
      <c r="J180" s="35" t="n"/>
      <c r="K180" s="34" t="n"/>
      <c r="L180" s="26">
        <f>IF(A180="","",MONTH(A180))</f>
        <v>7</v>
      </c>
      <c r="M180" s="26">
        <f>IF(A180="","",YEAR(A180))</f>
        <v>2026</v>
      </c>
      <c r="N180" s="26" t="str">
        <f>IF(A180="","",CHOOSE(WEEKDAY(A180,2),"Segunda","Terça","Quarta","Quinta","Sexta","Sábado","Domingo"))</f>
        <v>Segunda</v>
      </c>
      <c r="O180" s="26" t="str">
        <f>IF(B180="","",IF(B180&lt;TIME(12,0,0),"Manhã",IF(B180&lt;TIME(18,0,0),"Tarde","Noite")))</f>
        <v>Manhã</v>
      </c>
      <c r="P180" s="32">
        <f>IF(G180="","",IFERROR(INDEX(Config!$I$5:$I$16,MATCH(G180,Config!$H$5:$H$16,0)),0))</f>
        <v>30</v>
      </c>
      <c r="Q180" s="30">
        <f>IF(OR(H180&lt;&gt;"Realizado",P180="",P180=0),"",A180+P180)</f>
        <v>46253.0</v>
      </c>
      <c r="R180" s="26" t="str">
        <f>IF(Q180="","",IF(COUNTIFS($E$5:$E$1204,E180,$A$5:$A$1204,"&gt;"&amp;A180,$H$5:$H$1204,"&lt;&gt;Falta",$H$5:$H$1204,"&lt;&gt;Cancelado",$H$5:$H$1204,"&lt;&gt;Remarcado")&gt;0,"Sim","Não"))</f>
        <v>Sim</v>
      </c>
      <c r="S180" s="32">
        <f>IF(R180&lt;&gt;"Não","",IF(Q180+Config!$B$9&lt;=Config!$B$8,Config!$B$8-Q180,""))</f>
        <v/>
      </c>
      <c r="T180" s="26">
        <f>IF(S180="","","Sim")</f>
        <v/>
      </c>
      <c r="U180" s="41">
        <f>IF(T180="Sim",S180+ROW()/100000,0)</f>
        <v>0</v>
      </c>
      <c r="V180" s="41">
        <f>IF(AND(H180="Falta",L180=Config!$B$7,M180=Config!$B$5,COUNTIFS($E$5:E180,E180,$H$5:H180,"Falta",$L$5:L180,Config!$B$7,$M$5:M180,Config!$B$5)=1),COUNTIFS($E$5:$E$1204,E180,$H$5:$H$1204,"Falta",$L$5:$L$1204,Config!$B$7,$M$5:$M$1204,Config!$B$5)*1000-ROW()/100000,0)</f>
        <v>0</v>
      </c>
    </row>
    <row r="181">
      <c r="A181" s="39" t="n">
        <v>46223</v>
      </c>
      <c r="B181" s="40" t="n">
        <v>0.5833333333333334</v>
      </c>
      <c r="C181" s="35" t="inlineStr">
        <is>
          <t>Dr. Paulo Andrade</t>
        </is>
      </c>
      <c r="D181" s="35" t="inlineStr">
        <is>
          <t>Sala 2</t>
        </is>
      </c>
      <c r="E181" s="34" t="inlineStr">
        <is>
          <t>Henrique Santos</t>
        </is>
      </c>
      <c r="F181" s="35" t="inlineStr">
        <is>
          <t>Vida Care</t>
        </is>
      </c>
      <c r="G181" s="35" t="inlineStr">
        <is>
          <t>Consulta</t>
        </is>
      </c>
      <c r="H181" s="35" t="inlineStr">
        <is>
          <t>Realizado</t>
        </is>
      </c>
      <c r="I181" s="35" t="inlineStr">
        <is>
          <t>Convênio</t>
        </is>
      </c>
      <c r="J181" s="35" t="n"/>
      <c r="K181" s="34" t="n"/>
      <c r="L181" s="26">
        <f>IF(A181="","",MONTH(A181))</f>
        <v>7</v>
      </c>
      <c r="M181" s="26">
        <f>IF(A181="","",YEAR(A181))</f>
        <v>2026</v>
      </c>
      <c r="N181" s="26" t="str">
        <f>IF(A181="","",CHOOSE(WEEKDAY(A181,2),"Segunda","Terça","Quarta","Quinta","Sexta","Sábado","Domingo"))</f>
        <v>Segunda</v>
      </c>
      <c r="O181" s="26" t="str">
        <f>IF(B181="","",IF(B181&lt;TIME(12,0,0),"Manhã",IF(B181&lt;TIME(18,0,0),"Tarde","Noite")))</f>
        <v>Tarde</v>
      </c>
      <c r="P181" s="32">
        <f>IF(G181="","",IFERROR(INDEX(Config!$I$5:$I$16,MATCH(G181,Config!$H$5:$H$16,0)),0))</f>
        <v>30</v>
      </c>
      <c r="Q181" s="30">
        <f>IF(OR(H181&lt;&gt;"Realizado",P181="",P181=0),"",A181+P181)</f>
        <v>46253.0</v>
      </c>
      <c r="R181" s="26" t="str">
        <f>IF(Q181="","",IF(COUNTIFS($E$5:$E$1204,E181,$A$5:$A$1204,"&gt;"&amp;A181,$H$5:$H$1204,"&lt;&gt;Falta",$H$5:$H$1204,"&lt;&gt;Cancelado",$H$5:$H$1204,"&lt;&gt;Remarcado")&gt;0,"Sim","Não"))</f>
        <v>Sim</v>
      </c>
      <c r="S181" s="32">
        <f>IF(R181&lt;&gt;"Não","",IF(Q181+Config!$B$9&lt;=Config!$B$8,Config!$B$8-Q181,""))</f>
        <v/>
      </c>
      <c r="T181" s="26">
        <f>IF(S181="","","Sim")</f>
        <v/>
      </c>
      <c r="U181" s="41">
        <f>IF(T181="Sim",S181+ROW()/100000,0)</f>
        <v>0</v>
      </c>
      <c r="V181" s="41">
        <f>IF(AND(H181="Falta",L181=Config!$B$7,M181=Config!$B$5,COUNTIFS($E$5:E181,E181,$H$5:H181,"Falta",$L$5:L181,Config!$B$7,$M$5:M181,Config!$B$5)=1),COUNTIFS($E$5:$E$1204,E181,$H$5:$H$1204,"Falta",$L$5:$L$1204,Config!$B$7,$M$5:$M$1204,Config!$B$5)*1000-ROW()/100000,0)</f>
        <v>0</v>
      </c>
    </row>
    <row r="182">
      <c r="A182" s="39" t="n">
        <v>46223</v>
      </c>
      <c r="B182" s="40" t="n">
        <v>0.6041666666666666</v>
      </c>
      <c r="C182" s="35" t="inlineStr">
        <is>
          <t>Dr. Paulo Andrade</t>
        </is>
      </c>
      <c r="D182" s="35" t="inlineStr">
        <is>
          <t>Sala 2</t>
        </is>
      </c>
      <c r="E182" s="34" t="inlineStr">
        <is>
          <t>Leandro Cardoso</t>
        </is>
      </c>
      <c r="F182" s="35" t="inlineStr">
        <is>
          <t>MediPlan</t>
        </is>
      </c>
      <c r="G182" s="35" t="inlineStr">
        <is>
          <t>Retorno</t>
        </is>
      </c>
      <c r="H182" s="35" t="inlineStr">
        <is>
          <t>Realizado</t>
        </is>
      </c>
      <c r="I182" s="35" t="inlineStr">
        <is>
          <t>Sem cobrança</t>
        </is>
      </c>
      <c r="J182" s="35" t="n"/>
      <c r="K182" s="34" t="n"/>
      <c r="L182" s="26">
        <f>IF(A182="","",MONTH(A182))</f>
        <v>7</v>
      </c>
      <c r="M182" s="26">
        <f>IF(A182="","",YEAR(A182))</f>
        <v>2026</v>
      </c>
      <c r="N182" s="26" t="str">
        <f>IF(A182="","",CHOOSE(WEEKDAY(A182,2),"Segunda","Terça","Quarta","Quinta","Sexta","Sábado","Domingo"))</f>
        <v>Segunda</v>
      </c>
      <c r="O182" s="26" t="str">
        <f>IF(B182="","",IF(B182&lt;TIME(12,0,0),"Manhã",IF(B182&lt;TIME(18,0,0),"Tarde","Noite")))</f>
        <v>Tarde</v>
      </c>
      <c r="P182" s="32">
        <f>IF(G182="","",IFERROR(INDEX(Config!$I$5:$I$16,MATCH(G182,Config!$H$5:$H$16,0)),0))</f>
        <v>0</v>
      </c>
      <c r="Q182" s="30">
        <f>IF(OR(H182&lt;&gt;"Realizado",P182="",P182=0),"",A182+P182)</f>
        <v/>
      </c>
      <c r="R182" s="26">
        <f>IF(Q182="","",IF(COUNTIFS($E$5:$E$1204,E182,$A$5:$A$1204,"&gt;"&amp;A182,$H$5:$H$1204,"&lt;&gt;Falta",$H$5:$H$1204,"&lt;&gt;Cancelado",$H$5:$H$1204,"&lt;&gt;Remarcado")&gt;0,"Sim","Não"))</f>
        <v/>
      </c>
      <c r="S182" s="32">
        <f>IF(R182&lt;&gt;"Não","",IF(Q182+Config!$B$9&lt;=Config!$B$8,Config!$B$8-Q182,""))</f>
        <v/>
      </c>
      <c r="T182" s="26">
        <f>IF(S182="","","Sim")</f>
        <v/>
      </c>
      <c r="U182" s="41">
        <f>IF(T182="Sim",S182+ROW()/100000,0)</f>
        <v>0</v>
      </c>
      <c r="V182" s="41">
        <f>IF(AND(H182="Falta",L182=Config!$B$7,M182=Config!$B$5,COUNTIFS($E$5:E182,E182,$H$5:H182,"Falta",$L$5:L182,Config!$B$7,$M$5:M182,Config!$B$5)=1),COUNTIFS($E$5:$E$1204,E182,$H$5:$H$1204,"Falta",$L$5:$L$1204,Config!$B$7,$M$5:$M$1204,Config!$B$5)*1000-ROW()/100000,0)</f>
        <v>0</v>
      </c>
    </row>
    <row r="183">
      <c r="A183" s="39" t="n">
        <v>46223</v>
      </c>
      <c r="B183" s="40" t="n">
        <v>0.6180555555555556</v>
      </c>
      <c r="C183" s="35" t="inlineStr">
        <is>
          <t>Dr. Paulo Andrade</t>
        </is>
      </c>
      <c r="D183" s="35" t="inlineStr">
        <is>
          <t>Sala 2</t>
        </is>
      </c>
      <c r="E183" s="34" t="inlineStr">
        <is>
          <t>Rafael Araújo</t>
        </is>
      </c>
      <c r="F183" s="35" t="inlineStr">
        <is>
          <t>MediPlan</t>
        </is>
      </c>
      <c r="G183" s="35" t="inlineStr">
        <is>
          <t>Retorno</t>
        </is>
      </c>
      <c r="H183" s="35" t="inlineStr">
        <is>
          <t>Realizado</t>
        </is>
      </c>
      <c r="I183" s="35" t="inlineStr">
        <is>
          <t>Sem cobrança</t>
        </is>
      </c>
      <c r="J183" s="35" t="n"/>
      <c r="K183" s="34" t="n"/>
      <c r="L183" s="26">
        <f>IF(A183="","",MONTH(A183))</f>
        <v>7</v>
      </c>
      <c r="M183" s="26">
        <f>IF(A183="","",YEAR(A183))</f>
        <v>2026</v>
      </c>
      <c r="N183" s="26" t="str">
        <f>IF(A183="","",CHOOSE(WEEKDAY(A183,2),"Segunda","Terça","Quarta","Quinta","Sexta","Sábado","Domingo"))</f>
        <v>Segunda</v>
      </c>
      <c r="O183" s="26" t="str">
        <f>IF(B183="","",IF(B183&lt;TIME(12,0,0),"Manhã",IF(B183&lt;TIME(18,0,0),"Tarde","Noite")))</f>
        <v>Tarde</v>
      </c>
      <c r="P183" s="32">
        <f>IF(G183="","",IFERROR(INDEX(Config!$I$5:$I$16,MATCH(G183,Config!$H$5:$H$16,0)),0))</f>
        <v>0</v>
      </c>
      <c r="Q183" s="30">
        <f>IF(OR(H183&lt;&gt;"Realizado",P183="",P183=0),"",A183+P183)</f>
        <v/>
      </c>
      <c r="R183" s="26">
        <f>IF(Q183="","",IF(COUNTIFS($E$5:$E$1204,E183,$A$5:$A$1204,"&gt;"&amp;A183,$H$5:$H$1204,"&lt;&gt;Falta",$H$5:$H$1204,"&lt;&gt;Cancelado",$H$5:$H$1204,"&lt;&gt;Remarcado")&gt;0,"Sim","Não"))</f>
        <v/>
      </c>
      <c r="S183" s="32">
        <f>IF(R183&lt;&gt;"Não","",IF(Q183+Config!$B$9&lt;=Config!$B$8,Config!$B$8-Q183,""))</f>
        <v/>
      </c>
      <c r="T183" s="26">
        <f>IF(S183="","","Sim")</f>
        <v/>
      </c>
      <c r="U183" s="41">
        <f>IF(T183="Sim",S183+ROW()/100000,0)</f>
        <v>0</v>
      </c>
      <c r="V183" s="41">
        <f>IF(AND(H183="Falta",L183=Config!$B$7,M183=Config!$B$5,COUNTIFS($E$5:E183,E183,$H$5:H183,"Falta",$L$5:L183,Config!$B$7,$M$5:M183,Config!$B$5)=1),COUNTIFS($E$5:$E$1204,E183,$H$5:$H$1204,"Falta",$L$5:$L$1204,Config!$B$7,$M$5:$M$1204,Config!$B$5)*1000-ROW()/100000,0)</f>
        <v>0</v>
      </c>
    </row>
    <row r="184">
      <c r="A184" s="39" t="n">
        <v>46223</v>
      </c>
      <c r="B184" s="40" t="n">
        <v>0.6527777777777778</v>
      </c>
      <c r="C184" s="35" t="inlineStr">
        <is>
          <t>Dr. Paulo Andrade</t>
        </is>
      </c>
      <c r="D184" s="35" t="inlineStr">
        <is>
          <t>Sala 2</t>
        </is>
      </c>
      <c r="E184" s="34" t="inlineStr">
        <is>
          <t>Gisele Lima</t>
        </is>
      </c>
      <c r="F184" s="35" t="inlineStr">
        <is>
          <t>Saúde Total</t>
        </is>
      </c>
      <c r="G184" s="35" t="inlineStr">
        <is>
          <t>Retorno</t>
        </is>
      </c>
      <c r="H184" s="35" t="inlineStr">
        <is>
          <t>Realizado</t>
        </is>
      </c>
      <c r="I184" s="35" t="inlineStr">
        <is>
          <t>Sem cobrança</t>
        </is>
      </c>
      <c r="J184" s="35" t="n"/>
      <c r="K184" s="34" t="n"/>
      <c r="L184" s="26">
        <f>IF(A184="","",MONTH(A184))</f>
        <v>7</v>
      </c>
      <c r="M184" s="26">
        <f>IF(A184="","",YEAR(A184))</f>
        <v>2026</v>
      </c>
      <c r="N184" s="26" t="str">
        <f>IF(A184="","",CHOOSE(WEEKDAY(A184,2),"Segunda","Terça","Quarta","Quinta","Sexta","Sábado","Domingo"))</f>
        <v>Segunda</v>
      </c>
      <c r="O184" s="26" t="str">
        <f>IF(B184="","",IF(B184&lt;TIME(12,0,0),"Manhã",IF(B184&lt;TIME(18,0,0),"Tarde","Noite")))</f>
        <v>Tarde</v>
      </c>
      <c r="P184" s="32">
        <f>IF(G184="","",IFERROR(INDEX(Config!$I$5:$I$16,MATCH(G184,Config!$H$5:$H$16,0)),0))</f>
        <v>0</v>
      </c>
      <c r="Q184" s="30">
        <f>IF(OR(H184&lt;&gt;"Realizado",P184="",P184=0),"",A184+P184)</f>
        <v/>
      </c>
      <c r="R184" s="26">
        <f>IF(Q184="","",IF(COUNTIFS($E$5:$E$1204,E184,$A$5:$A$1204,"&gt;"&amp;A184,$H$5:$H$1204,"&lt;&gt;Falta",$H$5:$H$1204,"&lt;&gt;Cancelado",$H$5:$H$1204,"&lt;&gt;Remarcado")&gt;0,"Sim","Não"))</f>
        <v/>
      </c>
      <c r="S184" s="32">
        <f>IF(R184&lt;&gt;"Não","",IF(Q184+Config!$B$9&lt;=Config!$B$8,Config!$B$8-Q184,""))</f>
        <v/>
      </c>
      <c r="T184" s="26">
        <f>IF(S184="","","Sim")</f>
        <v/>
      </c>
      <c r="U184" s="41">
        <f>IF(T184="Sim",S184+ROW()/100000,0)</f>
        <v>0</v>
      </c>
      <c r="V184" s="41">
        <f>IF(AND(H184="Falta",L184=Config!$B$7,M184=Config!$B$5,COUNTIFS($E$5:E184,E184,$H$5:H184,"Falta",$L$5:L184,Config!$B$7,$M$5:M184,Config!$B$5)=1),COUNTIFS($E$5:$E$1204,E184,$H$5:$H$1204,"Falta",$L$5:$L$1204,Config!$B$7,$M$5:$M$1204,Config!$B$5)*1000-ROW()/100000,0)</f>
        <v>0</v>
      </c>
    </row>
    <row r="185">
      <c r="A185" s="39" t="n">
        <v>46223</v>
      </c>
      <c r="B185" s="40" t="n">
        <v>0.6666666666666666</v>
      </c>
      <c r="C185" s="35" t="inlineStr">
        <is>
          <t>Dr. Paulo Andrade</t>
        </is>
      </c>
      <c r="D185" s="35" t="inlineStr">
        <is>
          <t>Sala 2</t>
        </is>
      </c>
      <c r="E185" s="34" t="inlineStr">
        <is>
          <t>Débora Ramos</t>
        </is>
      </c>
      <c r="F185" s="35" t="inlineStr">
        <is>
          <t>Particular</t>
        </is>
      </c>
      <c r="G185" s="35" t="inlineStr">
        <is>
          <t>Teste ergométrico</t>
        </is>
      </c>
      <c r="H185" s="35" t="inlineStr">
        <is>
          <t>Realizado</t>
        </is>
      </c>
      <c r="I185" s="35" t="inlineStr">
        <is>
          <t>Pix</t>
        </is>
      </c>
      <c r="J185" s="35" t="n"/>
      <c r="K185" s="34" t="n"/>
      <c r="L185" s="26">
        <f>IF(A185="","",MONTH(A185))</f>
        <v>7</v>
      </c>
      <c r="M185" s="26">
        <f>IF(A185="","",YEAR(A185))</f>
        <v>2026</v>
      </c>
      <c r="N185" s="26" t="str">
        <f>IF(A185="","",CHOOSE(WEEKDAY(A185,2),"Segunda","Terça","Quarta","Quinta","Sexta","Sábado","Domingo"))</f>
        <v>Segunda</v>
      </c>
      <c r="O185" s="26" t="str">
        <f>IF(B185="","",IF(B185&lt;TIME(12,0,0),"Manhã",IF(B185&lt;TIME(18,0,0),"Tarde","Noite")))</f>
        <v>Tarde</v>
      </c>
      <c r="P185" s="32">
        <f>IF(G185="","",IFERROR(INDEX(Config!$I$5:$I$16,MATCH(G185,Config!$H$5:$H$16,0)),0))</f>
        <v>0</v>
      </c>
      <c r="Q185" s="30">
        <f>IF(OR(H185&lt;&gt;"Realizado",P185="",P185=0),"",A185+P185)</f>
        <v/>
      </c>
      <c r="R185" s="26">
        <f>IF(Q185="","",IF(COUNTIFS($E$5:$E$1204,E185,$A$5:$A$1204,"&gt;"&amp;A185,$H$5:$H$1204,"&lt;&gt;Falta",$H$5:$H$1204,"&lt;&gt;Cancelado",$H$5:$H$1204,"&lt;&gt;Remarcado")&gt;0,"Sim","Não"))</f>
        <v/>
      </c>
      <c r="S185" s="32">
        <f>IF(R185&lt;&gt;"Não","",IF(Q185+Config!$B$9&lt;=Config!$B$8,Config!$B$8-Q185,""))</f>
        <v/>
      </c>
      <c r="T185" s="26">
        <f>IF(S185="","","Sim")</f>
        <v/>
      </c>
      <c r="U185" s="41">
        <f>IF(T185="Sim",S185+ROW()/100000,0)</f>
        <v>0</v>
      </c>
      <c r="V185" s="41">
        <f>IF(AND(H185="Falta",L185=Config!$B$7,M185=Config!$B$5,COUNTIFS($E$5:E185,E185,$H$5:H185,"Falta",$L$5:L185,Config!$B$7,$M$5:M185,Config!$B$5)=1),COUNTIFS($E$5:$E$1204,E185,$H$5:$H$1204,"Falta",$L$5:$L$1204,Config!$B$7,$M$5:$M$1204,Config!$B$5)*1000-ROW()/100000,0)</f>
        <v>0</v>
      </c>
    </row>
    <row r="186">
      <c r="A186" s="39" t="n">
        <v>46223</v>
      </c>
      <c r="B186" s="40" t="n">
        <v>0.6944444444444444</v>
      </c>
      <c r="C186" s="35" t="inlineStr">
        <is>
          <t>Dr. Paulo Andrade</t>
        </is>
      </c>
      <c r="D186" s="35" t="inlineStr">
        <is>
          <t>Sala 2</t>
        </is>
      </c>
      <c r="E186" s="34" t="inlineStr">
        <is>
          <t>Fábio Martins</t>
        </is>
      </c>
      <c r="F186" s="35" t="inlineStr">
        <is>
          <t>MediPlan</t>
        </is>
      </c>
      <c r="G186" s="35" t="inlineStr">
        <is>
          <t>Retorno</t>
        </is>
      </c>
      <c r="H186" s="35" t="inlineStr">
        <is>
          <t>Realizado</t>
        </is>
      </c>
      <c r="I186" s="35" t="inlineStr">
        <is>
          <t>Sem cobrança</t>
        </is>
      </c>
      <c r="J186" s="35" t="n"/>
      <c r="K186" s="34" t="n"/>
      <c r="L186" s="26">
        <f>IF(A186="","",MONTH(A186))</f>
        <v>7</v>
      </c>
      <c r="M186" s="26">
        <f>IF(A186="","",YEAR(A186))</f>
        <v>2026</v>
      </c>
      <c r="N186" s="26" t="str">
        <f>IF(A186="","",CHOOSE(WEEKDAY(A186,2),"Segunda","Terça","Quarta","Quinta","Sexta","Sábado","Domingo"))</f>
        <v>Segunda</v>
      </c>
      <c r="O186" s="26" t="str">
        <f>IF(B186="","",IF(B186&lt;TIME(12,0,0),"Manhã",IF(B186&lt;TIME(18,0,0),"Tarde","Noite")))</f>
        <v>Tarde</v>
      </c>
      <c r="P186" s="32">
        <f>IF(G186="","",IFERROR(INDEX(Config!$I$5:$I$16,MATCH(G186,Config!$H$5:$H$16,0)),0))</f>
        <v>0</v>
      </c>
      <c r="Q186" s="30">
        <f>IF(OR(H186&lt;&gt;"Realizado",P186="",P186=0),"",A186+P186)</f>
        <v/>
      </c>
      <c r="R186" s="26">
        <f>IF(Q186="","",IF(COUNTIFS($E$5:$E$1204,E186,$A$5:$A$1204,"&gt;"&amp;A186,$H$5:$H$1204,"&lt;&gt;Falta",$H$5:$H$1204,"&lt;&gt;Cancelado",$H$5:$H$1204,"&lt;&gt;Remarcado")&gt;0,"Sim","Não"))</f>
        <v/>
      </c>
      <c r="S186" s="32">
        <f>IF(R186&lt;&gt;"Não","",IF(Q186+Config!$B$9&lt;=Config!$B$8,Config!$B$8-Q186,""))</f>
        <v/>
      </c>
      <c r="T186" s="26">
        <f>IF(S186="","","Sim")</f>
        <v/>
      </c>
      <c r="U186" s="41">
        <f>IF(T186="Sim",S186+ROW()/100000,0)</f>
        <v>0</v>
      </c>
      <c r="V186" s="41">
        <f>IF(AND(H186="Falta",L186=Config!$B$7,M186=Config!$B$5,COUNTIFS($E$5:E186,E186,$H$5:H186,"Falta",$L$5:L186,Config!$B$7,$M$5:M186,Config!$B$5)=1),COUNTIFS($E$5:$E$1204,E186,$H$5:$H$1204,"Falta",$L$5:$L$1204,Config!$B$7,$M$5:$M$1204,Config!$B$5)*1000-ROW()/100000,0)</f>
        <v>0</v>
      </c>
    </row>
    <row r="187">
      <c r="A187" s="39" t="n">
        <v>46223</v>
      </c>
      <c r="B187" s="40" t="n">
        <v>0.7083333333333334</v>
      </c>
      <c r="C187" s="35" t="inlineStr">
        <is>
          <t>Dr. Paulo Andrade</t>
        </is>
      </c>
      <c r="D187" s="35" t="inlineStr">
        <is>
          <t>Sala 2</t>
        </is>
      </c>
      <c r="E187" s="34" t="inlineStr">
        <is>
          <t>Fábio Correia</t>
        </is>
      </c>
      <c r="F187" s="35" t="inlineStr">
        <is>
          <t>Particular</t>
        </is>
      </c>
      <c r="G187" s="35" t="inlineStr">
        <is>
          <t>Consulta</t>
        </is>
      </c>
      <c r="H187" s="35" t="inlineStr">
        <is>
          <t>Realizado</t>
        </is>
      </c>
      <c r="I187" s="35" t="inlineStr">
        <is>
          <t>Cartão de crédito</t>
        </is>
      </c>
      <c r="J187" s="35" t="n"/>
      <c r="K187" s="34" t="n"/>
      <c r="L187" s="26">
        <f>IF(A187="","",MONTH(A187))</f>
        <v>7</v>
      </c>
      <c r="M187" s="26">
        <f>IF(A187="","",YEAR(A187))</f>
        <v>2026</v>
      </c>
      <c r="N187" s="26" t="str">
        <f>IF(A187="","",CHOOSE(WEEKDAY(A187,2),"Segunda","Terça","Quarta","Quinta","Sexta","Sábado","Domingo"))</f>
        <v>Segunda</v>
      </c>
      <c r="O187" s="26" t="str">
        <f>IF(B187="","",IF(B187&lt;TIME(12,0,0),"Manhã",IF(B187&lt;TIME(18,0,0),"Tarde","Noite")))</f>
        <v>Tarde</v>
      </c>
      <c r="P187" s="32">
        <f>IF(G187="","",IFERROR(INDEX(Config!$I$5:$I$16,MATCH(G187,Config!$H$5:$H$16,0)),0))</f>
        <v>30</v>
      </c>
      <c r="Q187" s="30">
        <f>IF(OR(H187&lt;&gt;"Realizado",P187="",P187=0),"",A187+P187)</f>
        <v>46253.0</v>
      </c>
      <c r="R187" s="26" t="str">
        <f>IF(Q187="","",IF(COUNTIFS($E$5:$E$1204,E187,$A$5:$A$1204,"&gt;"&amp;A187,$H$5:$H$1204,"&lt;&gt;Falta",$H$5:$H$1204,"&lt;&gt;Cancelado",$H$5:$H$1204,"&lt;&gt;Remarcado")&gt;0,"Sim","Não"))</f>
        <v>Sim</v>
      </c>
      <c r="S187" s="32">
        <f>IF(R187&lt;&gt;"Não","",IF(Q187+Config!$B$9&lt;=Config!$B$8,Config!$B$8-Q187,""))</f>
        <v/>
      </c>
      <c r="T187" s="26">
        <f>IF(S187="","","Sim")</f>
        <v/>
      </c>
      <c r="U187" s="41">
        <f>IF(T187="Sim",S187+ROW()/100000,0)</f>
        <v>0</v>
      </c>
      <c r="V187" s="41">
        <f>IF(AND(H187="Falta",L187=Config!$B$7,M187=Config!$B$5,COUNTIFS($E$5:E187,E187,$H$5:H187,"Falta",$L$5:L187,Config!$B$7,$M$5:M187,Config!$B$5)=1),COUNTIFS($E$5:$E$1204,E187,$H$5:$H$1204,"Falta",$L$5:$L$1204,Config!$B$7,$M$5:$M$1204,Config!$B$5)*1000-ROW()/100000,0)</f>
        <v>0</v>
      </c>
    </row>
    <row r="188">
      <c r="A188" s="39" t="n">
        <v>46223</v>
      </c>
      <c r="B188" s="40" t="n">
        <v>0.7291666666666666</v>
      </c>
      <c r="C188" s="35" t="inlineStr">
        <is>
          <t>Dr. Paulo Andrade</t>
        </is>
      </c>
      <c r="D188" s="35" t="inlineStr">
        <is>
          <t>Sala 2</t>
        </is>
      </c>
      <c r="E188" s="34" t="inlineStr">
        <is>
          <t>Natália Xavier</t>
        </is>
      </c>
      <c r="F188" s="35" t="inlineStr">
        <is>
          <t>MediPlan</t>
        </is>
      </c>
      <c r="G188" s="35" t="inlineStr">
        <is>
          <t>Consulta</t>
        </is>
      </c>
      <c r="H188" s="35" t="inlineStr">
        <is>
          <t>Realizado</t>
        </is>
      </c>
      <c r="I188" s="35" t="inlineStr">
        <is>
          <t>Convênio</t>
        </is>
      </c>
      <c r="J188" s="35" t="n"/>
      <c r="K188" s="34" t="n"/>
      <c r="L188" s="26">
        <f>IF(A188="","",MONTH(A188))</f>
        <v>7</v>
      </c>
      <c r="M188" s="26">
        <f>IF(A188="","",YEAR(A188))</f>
        <v>2026</v>
      </c>
      <c r="N188" s="26" t="str">
        <f>IF(A188="","",CHOOSE(WEEKDAY(A188,2),"Segunda","Terça","Quarta","Quinta","Sexta","Sábado","Domingo"))</f>
        <v>Segunda</v>
      </c>
      <c r="O188" s="26" t="str">
        <f>IF(B188="","",IF(B188&lt;TIME(12,0,0),"Manhã",IF(B188&lt;TIME(18,0,0),"Tarde","Noite")))</f>
        <v>Tarde</v>
      </c>
      <c r="P188" s="32">
        <f>IF(G188="","",IFERROR(INDEX(Config!$I$5:$I$16,MATCH(G188,Config!$H$5:$H$16,0)),0))</f>
        <v>30</v>
      </c>
      <c r="Q188" s="30">
        <f>IF(OR(H188&lt;&gt;"Realizado",P188="",P188=0),"",A188+P188)</f>
        <v>46253.0</v>
      </c>
      <c r="R188" s="26" t="str">
        <f>IF(Q188="","",IF(COUNTIFS($E$5:$E$1204,E188,$A$5:$A$1204,"&gt;"&amp;A188,$H$5:$H$1204,"&lt;&gt;Falta",$H$5:$H$1204,"&lt;&gt;Cancelado",$H$5:$H$1204,"&lt;&gt;Remarcado")&gt;0,"Sim","Não"))</f>
        <v>Sim</v>
      </c>
      <c r="S188" s="32">
        <f>IF(R188&lt;&gt;"Não","",IF(Q188+Config!$B$9&lt;=Config!$B$8,Config!$B$8-Q188,""))</f>
        <v/>
      </c>
      <c r="T188" s="26">
        <f>IF(S188="","","Sim")</f>
        <v/>
      </c>
      <c r="U188" s="41">
        <f>IF(T188="Sim",S188+ROW()/100000,0)</f>
        <v>0</v>
      </c>
      <c r="V188" s="41">
        <f>IF(AND(H188="Falta",L188=Config!$B$7,M188=Config!$B$5,COUNTIFS($E$5:E188,E188,$H$5:H188,"Falta",$L$5:L188,Config!$B$7,$M$5:M188,Config!$B$5)=1),COUNTIFS($E$5:$E$1204,E188,$H$5:$H$1204,"Falta",$L$5:$L$1204,Config!$B$7,$M$5:$M$1204,Config!$B$5)*1000-ROW()/100000,0)</f>
        <v>0</v>
      </c>
    </row>
    <row r="189">
      <c r="A189" s="39" t="n">
        <v>46224</v>
      </c>
      <c r="B189" s="40" t="n">
        <v>0.3333333333333333</v>
      </c>
      <c r="C189" s="35" t="inlineStr">
        <is>
          <t>Dra. Carolina Mendes</t>
        </is>
      </c>
      <c r="D189" s="35" t="inlineStr">
        <is>
          <t>Sala 1</t>
        </is>
      </c>
      <c r="E189" s="34" t="inlineStr">
        <is>
          <t>Daniel Melo</t>
        </is>
      </c>
      <c r="F189" s="35" t="inlineStr">
        <is>
          <t>Saúde Total</t>
        </is>
      </c>
      <c r="G189" s="35" t="inlineStr">
        <is>
          <t>Retorno</t>
        </is>
      </c>
      <c r="H189" s="35" t="inlineStr">
        <is>
          <t>Realizado</t>
        </is>
      </c>
      <c r="I189" s="35" t="inlineStr">
        <is>
          <t>Sem cobrança</t>
        </is>
      </c>
      <c r="J189" s="35" t="n"/>
      <c r="K189" s="34" t="n"/>
      <c r="L189" s="26">
        <f>IF(A189="","",MONTH(A189))</f>
        <v>7</v>
      </c>
      <c r="M189" s="26">
        <f>IF(A189="","",YEAR(A189))</f>
        <v>2026</v>
      </c>
      <c r="N189" s="26" t="str">
        <f>IF(A189="","",CHOOSE(WEEKDAY(A189,2),"Segunda","Terça","Quarta","Quinta","Sexta","Sábado","Domingo"))</f>
        <v>Terça</v>
      </c>
      <c r="O189" s="26" t="str">
        <f>IF(B189="","",IF(B189&lt;TIME(12,0,0),"Manhã",IF(B189&lt;TIME(18,0,0),"Tarde","Noite")))</f>
        <v>Manhã</v>
      </c>
      <c r="P189" s="32">
        <f>IF(G189="","",IFERROR(INDEX(Config!$I$5:$I$16,MATCH(G189,Config!$H$5:$H$16,0)),0))</f>
        <v>0</v>
      </c>
      <c r="Q189" s="30">
        <f>IF(OR(H189&lt;&gt;"Realizado",P189="",P189=0),"",A189+P189)</f>
        <v/>
      </c>
      <c r="R189" s="26">
        <f>IF(Q189="","",IF(COUNTIFS($E$5:$E$1204,E189,$A$5:$A$1204,"&gt;"&amp;A189,$H$5:$H$1204,"&lt;&gt;Falta",$H$5:$H$1204,"&lt;&gt;Cancelado",$H$5:$H$1204,"&lt;&gt;Remarcado")&gt;0,"Sim","Não"))</f>
        <v/>
      </c>
      <c r="S189" s="32">
        <f>IF(R189&lt;&gt;"Não","",IF(Q189+Config!$B$9&lt;=Config!$B$8,Config!$B$8-Q189,""))</f>
        <v/>
      </c>
      <c r="T189" s="26">
        <f>IF(S189="","","Sim")</f>
        <v/>
      </c>
      <c r="U189" s="41">
        <f>IF(T189="Sim",S189+ROW()/100000,0)</f>
        <v>0</v>
      </c>
      <c r="V189" s="41">
        <f>IF(AND(H189="Falta",L189=Config!$B$7,M189=Config!$B$5,COUNTIFS($E$5:E189,E189,$H$5:H189,"Falta",$L$5:L189,Config!$B$7,$M$5:M189,Config!$B$5)=1),COUNTIFS($E$5:$E$1204,E189,$H$5:$H$1204,"Falta",$L$5:$L$1204,Config!$B$7,$M$5:$M$1204,Config!$B$5)*1000-ROW()/100000,0)</f>
        <v>0</v>
      </c>
    </row>
    <row r="190">
      <c r="A190" s="39" t="n">
        <v>46224</v>
      </c>
      <c r="B190" s="40" t="n">
        <v>0.3472222222222222</v>
      </c>
      <c r="C190" s="35" t="inlineStr">
        <is>
          <t>Dra. Carolina Mendes</t>
        </is>
      </c>
      <c r="D190" s="35" t="inlineStr">
        <is>
          <t>Sala 1</t>
        </is>
      </c>
      <c r="E190" s="34" t="inlineStr">
        <is>
          <t>Regina Teixeira</t>
        </is>
      </c>
      <c r="F190" s="35" t="inlineStr">
        <is>
          <t>Particular</t>
        </is>
      </c>
      <c r="G190" s="35" t="inlineStr">
        <is>
          <t>Consulta</t>
        </is>
      </c>
      <c r="H190" s="35" t="inlineStr">
        <is>
          <t>Realizado</t>
        </is>
      </c>
      <c r="I190" s="35" t="inlineStr">
        <is>
          <t>Cartão de crédito</t>
        </is>
      </c>
      <c r="J190" s="35" t="n">
        <v>2</v>
      </c>
      <c r="K190" s="34" t="n"/>
      <c r="L190" s="26">
        <f>IF(A190="","",MONTH(A190))</f>
        <v>7</v>
      </c>
      <c r="M190" s="26">
        <f>IF(A190="","",YEAR(A190))</f>
        <v>2026</v>
      </c>
      <c r="N190" s="26" t="str">
        <f>IF(A190="","",CHOOSE(WEEKDAY(A190,2),"Segunda","Terça","Quarta","Quinta","Sexta","Sábado","Domingo"))</f>
        <v>Terça</v>
      </c>
      <c r="O190" s="26" t="str">
        <f>IF(B190="","",IF(B190&lt;TIME(12,0,0),"Manhã",IF(B190&lt;TIME(18,0,0),"Tarde","Noite")))</f>
        <v>Manhã</v>
      </c>
      <c r="P190" s="32">
        <f>IF(G190="","",IFERROR(INDEX(Config!$I$5:$I$16,MATCH(G190,Config!$H$5:$H$16,0)),0))</f>
        <v>30</v>
      </c>
      <c r="Q190" s="30">
        <f>IF(OR(H190&lt;&gt;"Realizado",P190="",P190=0),"",A190+P190)</f>
        <v>46254.0</v>
      </c>
      <c r="R190" s="26" t="str">
        <f>IF(Q190="","",IF(COUNTIFS($E$5:$E$1204,E190,$A$5:$A$1204,"&gt;"&amp;A190,$H$5:$H$1204,"&lt;&gt;Falta",$H$5:$H$1204,"&lt;&gt;Cancelado",$H$5:$H$1204,"&lt;&gt;Remarcado")&gt;0,"Sim","Não"))</f>
        <v>Sim</v>
      </c>
      <c r="S190" s="32">
        <f>IF(R190&lt;&gt;"Não","",IF(Q190+Config!$B$9&lt;=Config!$B$8,Config!$B$8-Q190,""))</f>
        <v/>
      </c>
      <c r="T190" s="26">
        <f>IF(S190="","","Sim")</f>
        <v/>
      </c>
      <c r="U190" s="41">
        <f>IF(T190="Sim",S190+ROW()/100000,0)</f>
        <v>0</v>
      </c>
      <c r="V190" s="41">
        <f>IF(AND(H190="Falta",L190=Config!$B$7,M190=Config!$B$5,COUNTIFS($E$5:E190,E190,$H$5:H190,"Falta",$L$5:L190,Config!$B$7,$M$5:M190,Config!$B$5)=1),COUNTIFS($E$5:$E$1204,E190,$H$5:$H$1204,"Falta",$L$5:$L$1204,Config!$B$7,$M$5:$M$1204,Config!$B$5)*1000-ROW()/100000,0)</f>
        <v>0</v>
      </c>
    </row>
    <row r="191">
      <c r="A191" s="39" t="n">
        <v>46224</v>
      </c>
      <c r="B191" s="40" t="n">
        <v>0.3680555555555556</v>
      </c>
      <c r="C191" s="35" t="inlineStr">
        <is>
          <t>Dra. Carolina Mendes</t>
        </is>
      </c>
      <c r="D191" s="35" t="inlineStr">
        <is>
          <t>Sala 1</t>
        </is>
      </c>
      <c r="E191" s="34" t="inlineStr">
        <is>
          <t>Helena Moreira</t>
        </is>
      </c>
      <c r="F191" s="35" t="inlineStr">
        <is>
          <t>Particular</t>
        </is>
      </c>
      <c r="G191" s="35" t="inlineStr">
        <is>
          <t>Consulta</t>
        </is>
      </c>
      <c r="H191" s="35" t="inlineStr">
        <is>
          <t>Falta</t>
        </is>
      </c>
      <c r="I191" s="35" t="n"/>
      <c r="J191" s="35" t="n"/>
      <c r="K191" s="34" t="n"/>
      <c r="L191" s="26">
        <f>IF(A191="","",MONTH(A191))</f>
        <v>7</v>
      </c>
      <c r="M191" s="26">
        <f>IF(A191="","",YEAR(A191))</f>
        <v>2026</v>
      </c>
      <c r="N191" s="26" t="str">
        <f>IF(A191="","",CHOOSE(WEEKDAY(A191,2),"Segunda","Terça","Quarta","Quinta","Sexta","Sábado","Domingo"))</f>
        <v>Terça</v>
      </c>
      <c r="O191" s="26" t="str">
        <f>IF(B191="","",IF(B191&lt;TIME(12,0,0),"Manhã",IF(B191&lt;TIME(18,0,0),"Tarde","Noite")))</f>
        <v>Manhã</v>
      </c>
      <c r="P191" s="32">
        <f>IF(G191="","",IFERROR(INDEX(Config!$I$5:$I$16,MATCH(G191,Config!$H$5:$H$16,0)),0))</f>
        <v>30</v>
      </c>
      <c r="Q191" s="30">
        <f>IF(OR(H191&lt;&gt;"Realizado",P191="",P191=0),"",A191+P191)</f>
        <v/>
      </c>
      <c r="R191" s="26">
        <f>IF(Q191="","",IF(COUNTIFS($E$5:$E$1204,E191,$A$5:$A$1204,"&gt;"&amp;A191,$H$5:$H$1204,"&lt;&gt;Falta",$H$5:$H$1204,"&lt;&gt;Cancelado",$H$5:$H$1204,"&lt;&gt;Remarcado")&gt;0,"Sim","Não"))</f>
        <v/>
      </c>
      <c r="S191" s="32">
        <f>IF(R191&lt;&gt;"Não","",IF(Q191+Config!$B$9&lt;=Config!$B$8,Config!$B$8-Q191,""))</f>
        <v/>
      </c>
      <c r="T191" s="26">
        <f>IF(S191="","","Sim")</f>
        <v/>
      </c>
      <c r="U191" s="41">
        <f>IF(T191="Sim",S191+ROW()/100000,0)</f>
        <v>0</v>
      </c>
      <c r="V191" s="41">
        <f>IF(AND(H191="Falta",L191=Config!$B$7,M191=Config!$B$5,COUNTIFS($E$5:E191,E191,$H$5:H191,"Falta",$L$5:L191,Config!$B$7,$M$5:M191,Config!$B$5)=1),COUNTIFS($E$5:$E$1204,E191,$H$5:$H$1204,"Falta",$L$5:$L$1204,Config!$B$7,$M$5:$M$1204,Config!$B$5)*1000-ROW()/100000,0)</f>
        <v>0</v>
      </c>
    </row>
    <row r="192">
      <c r="A192" s="39" t="n">
        <v>46224</v>
      </c>
      <c r="B192" s="40" t="n">
        <v>0.3888888888888889</v>
      </c>
      <c r="C192" s="35" t="inlineStr">
        <is>
          <t>Dra. Carolina Mendes</t>
        </is>
      </c>
      <c r="D192" s="35" t="inlineStr">
        <is>
          <t>Sala 1</t>
        </is>
      </c>
      <c r="E192" s="34" t="inlineStr">
        <is>
          <t>Lucas Lopes</t>
        </is>
      </c>
      <c r="F192" s="35" t="inlineStr">
        <is>
          <t>Particular</t>
        </is>
      </c>
      <c r="G192" s="35" t="inlineStr">
        <is>
          <t>Consulta</t>
        </is>
      </c>
      <c r="H192" s="35" t="inlineStr">
        <is>
          <t>Realizado</t>
        </is>
      </c>
      <c r="I192" s="35" t="inlineStr">
        <is>
          <t>Pix</t>
        </is>
      </c>
      <c r="J192" s="35" t="n"/>
      <c r="K192" s="34" t="n"/>
      <c r="L192" s="26">
        <f>IF(A192="","",MONTH(A192))</f>
        <v>7</v>
      </c>
      <c r="M192" s="26">
        <f>IF(A192="","",YEAR(A192))</f>
        <v>2026</v>
      </c>
      <c r="N192" s="26" t="str">
        <f>IF(A192="","",CHOOSE(WEEKDAY(A192,2),"Segunda","Terça","Quarta","Quinta","Sexta","Sábado","Domingo"))</f>
        <v>Terça</v>
      </c>
      <c r="O192" s="26" t="str">
        <f>IF(B192="","",IF(B192&lt;TIME(12,0,0),"Manhã",IF(B192&lt;TIME(18,0,0),"Tarde","Noite")))</f>
        <v>Manhã</v>
      </c>
      <c r="P192" s="32">
        <f>IF(G192="","",IFERROR(INDEX(Config!$I$5:$I$16,MATCH(G192,Config!$H$5:$H$16,0)),0))</f>
        <v>30</v>
      </c>
      <c r="Q192" s="30">
        <f>IF(OR(H192&lt;&gt;"Realizado",P192="",P192=0),"",A192+P192)</f>
        <v>46254.0</v>
      </c>
      <c r="R192" s="26" t="str">
        <f>IF(Q192="","",IF(COUNTIFS($E$5:$E$1204,E192,$A$5:$A$1204,"&gt;"&amp;A192,$H$5:$H$1204,"&lt;&gt;Falta",$H$5:$H$1204,"&lt;&gt;Cancelado",$H$5:$H$1204,"&lt;&gt;Remarcado")&gt;0,"Sim","Não"))</f>
        <v>Sim</v>
      </c>
      <c r="S192" s="32">
        <f>IF(R192&lt;&gt;"Não","",IF(Q192+Config!$B$9&lt;=Config!$B$8,Config!$B$8-Q192,""))</f>
        <v/>
      </c>
      <c r="T192" s="26">
        <f>IF(S192="","","Sim")</f>
        <v/>
      </c>
      <c r="U192" s="41">
        <f>IF(T192="Sim",S192+ROW()/100000,0)</f>
        <v>0</v>
      </c>
      <c r="V192" s="41">
        <f>IF(AND(H192="Falta",L192=Config!$B$7,M192=Config!$B$5,COUNTIFS($E$5:E192,E192,$H$5:H192,"Falta",$L$5:L192,Config!$B$7,$M$5:M192,Config!$B$5)=1),COUNTIFS($E$5:$E$1204,E192,$H$5:$H$1204,"Falta",$L$5:$L$1204,Config!$B$7,$M$5:$M$1204,Config!$B$5)*1000-ROW()/100000,0)</f>
        <v>0</v>
      </c>
    </row>
    <row r="193">
      <c r="A193" s="39" t="n">
        <v>46224</v>
      </c>
      <c r="B193" s="40" t="n">
        <v>0.4305555555555556</v>
      </c>
      <c r="C193" s="35" t="inlineStr">
        <is>
          <t>Dra. Carolina Mendes</t>
        </is>
      </c>
      <c r="D193" s="35" t="inlineStr">
        <is>
          <t>Sala 1</t>
        </is>
      </c>
      <c r="E193" s="34" t="inlineStr">
        <is>
          <t>Otávio Nascimento</t>
        </is>
      </c>
      <c r="F193" s="35" t="inlineStr">
        <is>
          <t>Particular</t>
        </is>
      </c>
      <c r="G193" s="35" t="inlineStr">
        <is>
          <t>Consulta</t>
        </is>
      </c>
      <c r="H193" s="35" t="inlineStr">
        <is>
          <t>Falta</t>
        </is>
      </c>
      <c r="I193" s="35" t="n"/>
      <c r="J193" s="35" t="n"/>
      <c r="K193" s="34" t="n"/>
      <c r="L193" s="26">
        <f>IF(A193="","",MONTH(A193))</f>
        <v>7</v>
      </c>
      <c r="M193" s="26">
        <f>IF(A193="","",YEAR(A193))</f>
        <v>2026</v>
      </c>
      <c r="N193" s="26" t="str">
        <f>IF(A193="","",CHOOSE(WEEKDAY(A193,2),"Segunda","Terça","Quarta","Quinta","Sexta","Sábado","Domingo"))</f>
        <v>Terça</v>
      </c>
      <c r="O193" s="26" t="str">
        <f>IF(B193="","",IF(B193&lt;TIME(12,0,0),"Manhã",IF(B193&lt;TIME(18,0,0),"Tarde","Noite")))</f>
        <v>Manhã</v>
      </c>
      <c r="P193" s="32">
        <f>IF(G193="","",IFERROR(INDEX(Config!$I$5:$I$16,MATCH(G193,Config!$H$5:$H$16,0)),0))</f>
        <v>30</v>
      </c>
      <c r="Q193" s="30">
        <f>IF(OR(H193&lt;&gt;"Realizado",P193="",P193=0),"",A193+P193)</f>
        <v/>
      </c>
      <c r="R193" s="26">
        <f>IF(Q193="","",IF(COUNTIFS($E$5:$E$1204,E193,$A$5:$A$1204,"&gt;"&amp;A193,$H$5:$H$1204,"&lt;&gt;Falta",$H$5:$H$1204,"&lt;&gt;Cancelado",$H$5:$H$1204,"&lt;&gt;Remarcado")&gt;0,"Sim","Não"))</f>
        <v/>
      </c>
      <c r="S193" s="32">
        <f>IF(R193&lt;&gt;"Não","",IF(Q193+Config!$B$9&lt;=Config!$B$8,Config!$B$8-Q193,""))</f>
        <v/>
      </c>
      <c r="T193" s="26">
        <f>IF(S193="","","Sim")</f>
        <v/>
      </c>
      <c r="U193" s="41">
        <f>IF(T193="Sim",S193+ROW()/100000,0)</f>
        <v>0</v>
      </c>
      <c r="V193" s="41">
        <f>IF(AND(H193="Falta",L193=Config!$B$7,M193=Config!$B$5,COUNTIFS($E$5:E193,E193,$H$5:H193,"Falta",$L$5:L193,Config!$B$7,$M$5:M193,Config!$B$5)=1),COUNTIFS($E$5:$E$1204,E193,$H$5:$H$1204,"Falta",$L$5:$L$1204,Config!$B$7,$M$5:$M$1204,Config!$B$5)*1000-ROW()/100000,0)</f>
        <v>0</v>
      </c>
    </row>
    <row r="194">
      <c r="A194" s="39" t="n">
        <v>46224</v>
      </c>
      <c r="B194" s="40" t="n">
        <v>0.4513888888888889</v>
      </c>
      <c r="C194" s="35" t="inlineStr">
        <is>
          <t>Dra. Carolina Mendes</t>
        </is>
      </c>
      <c r="D194" s="35" t="inlineStr">
        <is>
          <t>Sala 1</t>
        </is>
      </c>
      <c r="E194" s="34" t="inlineStr">
        <is>
          <t>Helena Moreira</t>
        </is>
      </c>
      <c r="F194" s="35" t="inlineStr">
        <is>
          <t>Particular</t>
        </is>
      </c>
      <c r="G194" s="35" t="inlineStr">
        <is>
          <t>Consulta</t>
        </is>
      </c>
      <c r="H194" s="35" t="inlineStr">
        <is>
          <t>Cancelado</t>
        </is>
      </c>
      <c r="I194" s="35" t="n"/>
      <c r="J194" s="35" t="n"/>
      <c r="K194" s="34" t="n"/>
      <c r="L194" s="26">
        <f>IF(A194="","",MONTH(A194))</f>
        <v>7</v>
      </c>
      <c r="M194" s="26">
        <f>IF(A194="","",YEAR(A194))</f>
        <v>2026</v>
      </c>
      <c r="N194" s="26" t="str">
        <f>IF(A194="","",CHOOSE(WEEKDAY(A194,2),"Segunda","Terça","Quarta","Quinta","Sexta","Sábado","Domingo"))</f>
        <v>Terça</v>
      </c>
      <c r="O194" s="26" t="str">
        <f>IF(B194="","",IF(B194&lt;TIME(12,0,0),"Manhã",IF(B194&lt;TIME(18,0,0),"Tarde","Noite")))</f>
        <v>Manhã</v>
      </c>
      <c r="P194" s="32">
        <f>IF(G194="","",IFERROR(INDEX(Config!$I$5:$I$16,MATCH(G194,Config!$H$5:$H$16,0)),0))</f>
        <v>30</v>
      </c>
      <c r="Q194" s="30">
        <f>IF(OR(H194&lt;&gt;"Realizado",P194="",P194=0),"",A194+P194)</f>
        <v/>
      </c>
      <c r="R194" s="26">
        <f>IF(Q194="","",IF(COUNTIFS($E$5:$E$1204,E194,$A$5:$A$1204,"&gt;"&amp;A194,$H$5:$H$1204,"&lt;&gt;Falta",$H$5:$H$1204,"&lt;&gt;Cancelado",$H$5:$H$1204,"&lt;&gt;Remarcado")&gt;0,"Sim","Não"))</f>
        <v/>
      </c>
      <c r="S194" s="32">
        <f>IF(R194&lt;&gt;"Não","",IF(Q194+Config!$B$9&lt;=Config!$B$8,Config!$B$8-Q194,""))</f>
        <v/>
      </c>
      <c r="T194" s="26">
        <f>IF(S194="","","Sim")</f>
        <v/>
      </c>
      <c r="U194" s="41">
        <f>IF(T194="Sim",S194+ROW()/100000,0)</f>
        <v>0</v>
      </c>
      <c r="V194" s="41">
        <f>IF(AND(H194="Falta",L194=Config!$B$7,M194=Config!$B$5,COUNTIFS($E$5:E194,E194,$H$5:H194,"Falta",$L$5:L194,Config!$B$7,$M$5:M194,Config!$B$5)=1),COUNTIFS($E$5:$E$1204,E194,$H$5:$H$1204,"Falta",$L$5:$L$1204,Config!$B$7,$M$5:$M$1204,Config!$B$5)*1000-ROW()/100000,0)</f>
        <v>0</v>
      </c>
    </row>
    <row r="195">
      <c r="A195" s="39" t="n">
        <v>46224</v>
      </c>
      <c r="B195" s="40" t="n">
        <v>0.4722222222222222</v>
      </c>
      <c r="C195" s="35" t="inlineStr">
        <is>
          <t>Dra. Carolina Mendes</t>
        </is>
      </c>
      <c r="D195" s="35" t="inlineStr">
        <is>
          <t>Sala 1</t>
        </is>
      </c>
      <c r="E195" s="34" t="inlineStr">
        <is>
          <t>Otávio Nascimento</t>
        </is>
      </c>
      <c r="F195" s="35" t="inlineStr">
        <is>
          <t>Particular</t>
        </is>
      </c>
      <c r="G195" s="35" t="inlineStr">
        <is>
          <t>Consulta</t>
        </is>
      </c>
      <c r="H195" s="35" t="inlineStr">
        <is>
          <t>Realizado</t>
        </is>
      </c>
      <c r="I195" s="35" t="inlineStr">
        <is>
          <t>Cartão de crédito</t>
        </is>
      </c>
      <c r="J195" s="35" t="n"/>
      <c r="K195" s="34" t="n"/>
      <c r="L195" s="26">
        <f>IF(A195="","",MONTH(A195))</f>
        <v>7</v>
      </c>
      <c r="M195" s="26">
        <f>IF(A195="","",YEAR(A195))</f>
        <v>2026</v>
      </c>
      <c r="N195" s="26" t="str">
        <f>IF(A195="","",CHOOSE(WEEKDAY(A195,2),"Segunda","Terça","Quarta","Quinta","Sexta","Sábado","Domingo"))</f>
        <v>Terça</v>
      </c>
      <c r="O195" s="26" t="str">
        <f>IF(B195="","",IF(B195&lt;TIME(12,0,0),"Manhã",IF(B195&lt;TIME(18,0,0),"Tarde","Noite")))</f>
        <v>Manhã</v>
      </c>
      <c r="P195" s="32">
        <f>IF(G195="","",IFERROR(INDEX(Config!$I$5:$I$16,MATCH(G195,Config!$H$5:$H$16,0)),0))</f>
        <v>30</v>
      </c>
      <c r="Q195" s="30">
        <f>IF(OR(H195&lt;&gt;"Realizado",P195="",P195=0),"",A195+P195)</f>
        <v>46254.0</v>
      </c>
      <c r="R195" s="26" t="str">
        <f>IF(Q195="","",IF(COUNTIFS($E$5:$E$1204,E195,$A$5:$A$1204,"&gt;"&amp;A195,$H$5:$H$1204,"&lt;&gt;Falta",$H$5:$H$1204,"&lt;&gt;Cancelado",$H$5:$H$1204,"&lt;&gt;Remarcado")&gt;0,"Sim","Não"))</f>
        <v>Sim</v>
      </c>
      <c r="S195" s="32">
        <f>IF(R195&lt;&gt;"Não","",IF(Q195+Config!$B$9&lt;=Config!$B$8,Config!$B$8-Q195,""))</f>
        <v/>
      </c>
      <c r="T195" s="26">
        <f>IF(S195="","","Sim")</f>
        <v/>
      </c>
      <c r="U195" s="41">
        <f>IF(T195="Sim",S195+ROW()/100000,0)</f>
        <v>0</v>
      </c>
      <c r="V195" s="41">
        <f>IF(AND(H195="Falta",L195=Config!$B$7,M195=Config!$B$5,COUNTIFS($E$5:E195,E195,$H$5:H195,"Falta",$L$5:L195,Config!$B$7,$M$5:M195,Config!$B$5)=1),COUNTIFS($E$5:$E$1204,E195,$H$5:$H$1204,"Falta",$L$5:$L$1204,Config!$B$7,$M$5:$M$1204,Config!$B$5)*1000-ROW()/100000,0)</f>
        <v>0</v>
      </c>
    </row>
    <row r="196">
      <c r="A196" s="39" t="n">
        <v>46224</v>
      </c>
      <c r="B196" s="40" t="n">
        <v>0.5833333333333334</v>
      </c>
      <c r="C196" s="35" t="inlineStr">
        <is>
          <t>Dra. Renata Sousa</t>
        </is>
      </c>
      <c r="D196" s="35" t="inlineStr">
        <is>
          <t>Sala 1</t>
        </is>
      </c>
      <c r="E196" s="34" t="inlineStr">
        <is>
          <t>Cláudia Vieira</t>
        </is>
      </c>
      <c r="F196" s="35" t="inlineStr">
        <is>
          <t>Saúde Total</t>
        </is>
      </c>
      <c r="G196" s="35" t="inlineStr">
        <is>
          <t>Avaliação endócrina</t>
        </is>
      </c>
      <c r="H196" s="35" t="inlineStr">
        <is>
          <t>Falta</t>
        </is>
      </c>
      <c r="I196" s="35" t="n"/>
      <c r="J196" s="35" t="n"/>
      <c r="K196" s="34" t="n"/>
      <c r="L196" s="26">
        <f>IF(A196="","",MONTH(A196))</f>
        <v>7</v>
      </c>
      <c r="M196" s="26">
        <f>IF(A196="","",YEAR(A196))</f>
        <v>2026</v>
      </c>
      <c r="N196" s="26" t="str">
        <f>IF(A196="","",CHOOSE(WEEKDAY(A196,2),"Segunda","Terça","Quarta","Quinta","Sexta","Sábado","Domingo"))</f>
        <v>Terça</v>
      </c>
      <c r="O196" s="26" t="str">
        <f>IF(B196="","",IF(B196&lt;TIME(12,0,0),"Manhã",IF(B196&lt;TIME(18,0,0),"Tarde","Noite")))</f>
        <v>Tarde</v>
      </c>
      <c r="P196" s="32">
        <f>IF(G196="","",IFERROR(INDEX(Config!$I$5:$I$16,MATCH(G196,Config!$H$5:$H$16,0)),0))</f>
        <v>45</v>
      </c>
      <c r="Q196" s="30">
        <f>IF(OR(H196&lt;&gt;"Realizado",P196="",P196=0),"",A196+P196)</f>
        <v/>
      </c>
      <c r="R196" s="26">
        <f>IF(Q196="","",IF(COUNTIFS($E$5:$E$1204,E196,$A$5:$A$1204,"&gt;"&amp;A196,$H$5:$H$1204,"&lt;&gt;Falta",$H$5:$H$1204,"&lt;&gt;Cancelado",$H$5:$H$1204,"&lt;&gt;Remarcado")&gt;0,"Sim","Não"))</f>
        <v/>
      </c>
      <c r="S196" s="32">
        <f>IF(R196&lt;&gt;"Não","",IF(Q196+Config!$B$9&lt;=Config!$B$8,Config!$B$8-Q196,""))</f>
        <v/>
      </c>
      <c r="T196" s="26">
        <f>IF(S196="","","Sim")</f>
        <v/>
      </c>
      <c r="U196" s="41">
        <f>IF(T196="Sim",S196+ROW()/100000,0)</f>
        <v>0</v>
      </c>
      <c r="V196" s="41">
        <f>IF(AND(H196="Falta",L196=Config!$B$7,M196=Config!$B$5,COUNTIFS($E$5:E196,E196,$H$5:H196,"Falta",$L$5:L196,Config!$B$7,$M$5:M196,Config!$B$5)=1),COUNTIFS($E$5:$E$1204,E196,$H$5:$H$1204,"Falta",$L$5:$L$1204,Config!$B$7,$M$5:$M$1204,Config!$B$5)*1000-ROW()/100000,0)</f>
        <v>0</v>
      </c>
    </row>
    <row r="197">
      <c r="A197" s="39" t="n">
        <v>46224</v>
      </c>
      <c r="B197" s="40" t="n">
        <v>0.5833333333333334</v>
      </c>
      <c r="C197" s="35" t="inlineStr">
        <is>
          <t>Dr. Paulo Andrade</t>
        </is>
      </c>
      <c r="D197" s="35" t="inlineStr">
        <is>
          <t>Sala 2</t>
        </is>
      </c>
      <c r="E197" s="34" t="inlineStr">
        <is>
          <t>Sandra Martins</t>
        </is>
      </c>
      <c r="F197" s="35" t="inlineStr">
        <is>
          <t>MediPlan</t>
        </is>
      </c>
      <c r="G197" s="35" t="inlineStr">
        <is>
          <t>Consulta</t>
        </is>
      </c>
      <c r="H197" s="35" t="inlineStr">
        <is>
          <t>Realizado</t>
        </is>
      </c>
      <c r="I197" s="35" t="inlineStr">
        <is>
          <t>Convênio</t>
        </is>
      </c>
      <c r="J197" s="35" t="n"/>
      <c r="K197" s="34" t="n"/>
      <c r="L197" s="26">
        <f>IF(A197="","",MONTH(A197))</f>
        <v>7</v>
      </c>
      <c r="M197" s="26">
        <f>IF(A197="","",YEAR(A197))</f>
        <v>2026</v>
      </c>
      <c r="N197" s="26" t="str">
        <f>IF(A197="","",CHOOSE(WEEKDAY(A197,2),"Segunda","Terça","Quarta","Quinta","Sexta","Sábado","Domingo"))</f>
        <v>Terça</v>
      </c>
      <c r="O197" s="26" t="str">
        <f>IF(B197="","",IF(B197&lt;TIME(12,0,0),"Manhã",IF(B197&lt;TIME(18,0,0),"Tarde","Noite")))</f>
        <v>Tarde</v>
      </c>
      <c r="P197" s="32">
        <f>IF(G197="","",IFERROR(INDEX(Config!$I$5:$I$16,MATCH(G197,Config!$H$5:$H$16,0)),0))</f>
        <v>30</v>
      </c>
      <c r="Q197" s="30">
        <f>IF(OR(H197&lt;&gt;"Realizado",P197="",P197=0),"",A197+P197)</f>
        <v>46254.0</v>
      </c>
      <c r="R197" s="26" t="str">
        <f>IF(Q197="","",IF(COUNTIFS($E$5:$E$1204,E197,$A$5:$A$1204,"&gt;"&amp;A197,$H$5:$H$1204,"&lt;&gt;Falta",$H$5:$H$1204,"&lt;&gt;Cancelado",$H$5:$H$1204,"&lt;&gt;Remarcado")&gt;0,"Sim","Não"))</f>
        <v>Sim</v>
      </c>
      <c r="S197" s="32">
        <f>IF(R197&lt;&gt;"Não","",IF(Q197+Config!$B$9&lt;=Config!$B$8,Config!$B$8-Q197,""))</f>
        <v/>
      </c>
      <c r="T197" s="26">
        <f>IF(S197="","","Sim")</f>
        <v/>
      </c>
      <c r="U197" s="41">
        <f>IF(T197="Sim",S197+ROW()/100000,0)</f>
        <v>0</v>
      </c>
      <c r="V197" s="41">
        <f>IF(AND(H197="Falta",L197=Config!$B$7,M197=Config!$B$5,COUNTIFS($E$5:E197,E197,$H$5:H197,"Falta",$L$5:L197,Config!$B$7,$M$5:M197,Config!$B$5)=1),COUNTIFS($E$5:$E$1204,E197,$H$5:$H$1204,"Falta",$L$5:$L$1204,Config!$B$7,$M$5:$M$1204,Config!$B$5)*1000-ROW()/100000,0)</f>
        <v>0</v>
      </c>
    </row>
    <row r="198">
      <c r="A198" s="39" t="n">
        <v>46224</v>
      </c>
      <c r="B198" s="40" t="n">
        <v>0.6041666666666666</v>
      </c>
      <c r="C198" s="35" t="inlineStr">
        <is>
          <t>Dr. Paulo Andrade</t>
        </is>
      </c>
      <c r="D198" s="35" t="inlineStr">
        <is>
          <t>Sala 2</t>
        </is>
      </c>
      <c r="E198" s="34" t="inlineStr">
        <is>
          <t>Paulo Ribeiro</t>
        </is>
      </c>
      <c r="F198" s="35" t="inlineStr">
        <is>
          <t>Saúde Total</t>
        </is>
      </c>
      <c r="G198" s="35" t="inlineStr">
        <is>
          <t>Consulta</t>
        </is>
      </c>
      <c r="H198" s="35" t="inlineStr">
        <is>
          <t>Realizado</t>
        </is>
      </c>
      <c r="I198" s="35" t="inlineStr">
        <is>
          <t>Convênio</t>
        </is>
      </c>
      <c r="J198" s="35" t="n"/>
      <c r="K198" s="34" t="n"/>
      <c r="L198" s="26">
        <f>IF(A198="","",MONTH(A198))</f>
        <v>7</v>
      </c>
      <c r="M198" s="26">
        <f>IF(A198="","",YEAR(A198))</f>
        <v>2026</v>
      </c>
      <c r="N198" s="26" t="str">
        <f>IF(A198="","",CHOOSE(WEEKDAY(A198,2),"Segunda","Terça","Quarta","Quinta","Sexta","Sábado","Domingo"))</f>
        <v>Terça</v>
      </c>
      <c r="O198" s="26" t="str">
        <f>IF(B198="","",IF(B198&lt;TIME(12,0,0),"Manhã",IF(B198&lt;TIME(18,0,0),"Tarde","Noite")))</f>
        <v>Tarde</v>
      </c>
      <c r="P198" s="32">
        <f>IF(G198="","",IFERROR(INDEX(Config!$I$5:$I$16,MATCH(G198,Config!$H$5:$H$16,0)),0))</f>
        <v>30</v>
      </c>
      <c r="Q198" s="30">
        <f>IF(OR(H198&lt;&gt;"Realizado",P198="",P198=0),"",A198+P198)</f>
        <v>46254.0</v>
      </c>
      <c r="R198" s="26" t="str">
        <f>IF(Q198="","",IF(COUNTIFS($E$5:$E$1204,E198,$A$5:$A$1204,"&gt;"&amp;A198,$H$5:$H$1204,"&lt;&gt;Falta",$H$5:$H$1204,"&lt;&gt;Cancelado",$H$5:$H$1204,"&lt;&gt;Remarcado")&gt;0,"Sim","Não"))</f>
        <v>Sim</v>
      </c>
      <c r="S198" s="32">
        <f>IF(R198&lt;&gt;"Não","",IF(Q198+Config!$B$9&lt;=Config!$B$8,Config!$B$8-Q198,""))</f>
        <v/>
      </c>
      <c r="T198" s="26">
        <f>IF(S198="","","Sim")</f>
        <v/>
      </c>
      <c r="U198" s="41">
        <f>IF(T198="Sim",S198+ROW()/100000,0)</f>
        <v>0</v>
      </c>
      <c r="V198" s="41">
        <f>IF(AND(H198="Falta",L198=Config!$B$7,M198=Config!$B$5,COUNTIFS($E$5:E198,E198,$H$5:H198,"Falta",$L$5:L198,Config!$B$7,$M$5:M198,Config!$B$5)=1),COUNTIFS($E$5:$E$1204,E198,$H$5:$H$1204,"Falta",$L$5:$L$1204,Config!$B$7,$M$5:$M$1204,Config!$B$5)*1000-ROW()/100000,0)</f>
        <v>0</v>
      </c>
    </row>
    <row r="199">
      <c r="A199" s="39" t="n">
        <v>46224</v>
      </c>
      <c r="B199" s="40" t="n">
        <v>0.6111111111111112</v>
      </c>
      <c r="C199" s="35" t="inlineStr">
        <is>
          <t>Dra. Renata Sousa</t>
        </is>
      </c>
      <c r="D199" s="35" t="inlineStr">
        <is>
          <t>Sala 1</t>
        </is>
      </c>
      <c r="E199" s="34" t="inlineStr">
        <is>
          <t>Beatriz Reis</t>
        </is>
      </c>
      <c r="F199" s="35" t="inlineStr">
        <is>
          <t>Particular</t>
        </is>
      </c>
      <c r="G199" s="35" t="inlineStr">
        <is>
          <t>Retorno</t>
        </is>
      </c>
      <c r="H199" s="35" t="inlineStr">
        <is>
          <t>Realizado</t>
        </is>
      </c>
      <c r="I199" s="35" t="inlineStr">
        <is>
          <t>Sem cobrança</t>
        </is>
      </c>
      <c r="J199" s="35" t="n"/>
      <c r="K199" s="34" t="n"/>
      <c r="L199" s="26">
        <f>IF(A199="","",MONTH(A199))</f>
        <v>7</v>
      </c>
      <c r="M199" s="26">
        <f>IF(A199="","",YEAR(A199))</f>
        <v>2026</v>
      </c>
      <c r="N199" s="26" t="str">
        <f>IF(A199="","",CHOOSE(WEEKDAY(A199,2),"Segunda","Terça","Quarta","Quinta","Sexta","Sábado","Domingo"))</f>
        <v>Terça</v>
      </c>
      <c r="O199" s="26" t="str">
        <f>IF(B199="","",IF(B199&lt;TIME(12,0,0),"Manhã",IF(B199&lt;TIME(18,0,0),"Tarde","Noite")))</f>
        <v>Tarde</v>
      </c>
      <c r="P199" s="32">
        <f>IF(G199="","",IFERROR(INDEX(Config!$I$5:$I$16,MATCH(G199,Config!$H$5:$H$16,0)),0))</f>
        <v>0</v>
      </c>
      <c r="Q199" s="30">
        <f>IF(OR(H199&lt;&gt;"Realizado",P199="",P199=0),"",A199+P199)</f>
        <v/>
      </c>
      <c r="R199" s="26">
        <f>IF(Q199="","",IF(COUNTIFS($E$5:$E$1204,E199,$A$5:$A$1204,"&gt;"&amp;A199,$H$5:$H$1204,"&lt;&gt;Falta",$H$5:$H$1204,"&lt;&gt;Cancelado",$H$5:$H$1204,"&lt;&gt;Remarcado")&gt;0,"Sim","Não"))</f>
        <v/>
      </c>
      <c r="S199" s="32">
        <f>IF(R199&lt;&gt;"Não","",IF(Q199+Config!$B$9&lt;=Config!$B$8,Config!$B$8-Q199,""))</f>
        <v/>
      </c>
      <c r="T199" s="26">
        <f>IF(S199="","","Sim")</f>
        <v/>
      </c>
      <c r="U199" s="41">
        <f>IF(T199="Sim",S199+ROW()/100000,0)</f>
        <v>0</v>
      </c>
      <c r="V199" s="41">
        <f>IF(AND(H199="Falta",L199=Config!$B$7,M199=Config!$B$5,COUNTIFS($E$5:E199,E199,$H$5:H199,"Falta",$L$5:L199,Config!$B$7,$M$5:M199,Config!$B$5)=1),COUNTIFS($E$5:$E$1204,E199,$H$5:$H$1204,"Falta",$L$5:$L$1204,Config!$B$7,$M$5:$M$1204,Config!$B$5)*1000-ROW()/100000,0)</f>
        <v>0</v>
      </c>
    </row>
    <row r="200">
      <c r="A200" s="39" t="n">
        <v>46224</v>
      </c>
      <c r="B200" s="40" t="n">
        <v>0.625</v>
      </c>
      <c r="C200" s="35" t="inlineStr">
        <is>
          <t>Dra. Renata Sousa</t>
        </is>
      </c>
      <c r="D200" s="35" t="inlineStr">
        <is>
          <t>Sala 1</t>
        </is>
      </c>
      <c r="E200" s="34" t="inlineStr">
        <is>
          <t>Cláudia Vieira</t>
        </is>
      </c>
      <c r="F200" s="35" t="inlineStr">
        <is>
          <t>Saúde Total</t>
        </is>
      </c>
      <c r="G200" s="35" t="inlineStr">
        <is>
          <t>Avaliação endócrina</t>
        </is>
      </c>
      <c r="H200" s="35" t="inlineStr">
        <is>
          <t>Realizado</t>
        </is>
      </c>
      <c r="I200" s="35" t="inlineStr">
        <is>
          <t>Convênio</t>
        </is>
      </c>
      <c r="J200" s="35" t="n"/>
      <c r="K200" s="34" t="n"/>
      <c r="L200" s="26">
        <f>IF(A200="","",MONTH(A200))</f>
        <v>7</v>
      </c>
      <c r="M200" s="26">
        <f>IF(A200="","",YEAR(A200))</f>
        <v>2026</v>
      </c>
      <c r="N200" s="26" t="str">
        <f>IF(A200="","",CHOOSE(WEEKDAY(A200,2),"Segunda","Terça","Quarta","Quinta","Sexta","Sábado","Domingo"))</f>
        <v>Terça</v>
      </c>
      <c r="O200" s="26" t="str">
        <f>IF(B200="","",IF(B200&lt;TIME(12,0,0),"Manhã",IF(B200&lt;TIME(18,0,0),"Tarde","Noite")))</f>
        <v>Tarde</v>
      </c>
      <c r="P200" s="32">
        <f>IF(G200="","",IFERROR(INDEX(Config!$I$5:$I$16,MATCH(G200,Config!$H$5:$H$16,0)),0))</f>
        <v>45</v>
      </c>
      <c r="Q200" s="30">
        <f>IF(OR(H200&lt;&gt;"Realizado",P200="",P200=0),"",A200+P200)</f>
        <v>46269.0</v>
      </c>
      <c r="R200" s="26" t="str">
        <f>IF(Q200="","",IF(COUNTIFS($E$5:$E$1204,E200,$A$5:$A$1204,"&gt;"&amp;A200,$H$5:$H$1204,"&lt;&gt;Falta",$H$5:$H$1204,"&lt;&gt;Cancelado",$H$5:$H$1204,"&lt;&gt;Remarcado")&gt;0,"Sim","Não"))</f>
        <v>Sim</v>
      </c>
      <c r="S200" s="32">
        <f>IF(R200&lt;&gt;"Não","",IF(Q200+Config!$B$9&lt;=Config!$B$8,Config!$B$8-Q200,""))</f>
        <v/>
      </c>
      <c r="T200" s="26">
        <f>IF(S200="","","Sim")</f>
        <v/>
      </c>
      <c r="U200" s="41">
        <f>IF(T200="Sim",S200+ROW()/100000,0)</f>
        <v>0</v>
      </c>
      <c r="V200" s="41">
        <f>IF(AND(H200="Falta",L200=Config!$B$7,M200=Config!$B$5,COUNTIFS($E$5:E200,E200,$H$5:H200,"Falta",$L$5:L200,Config!$B$7,$M$5:M200,Config!$B$5)=1),COUNTIFS($E$5:$E$1204,E200,$H$5:$H$1204,"Falta",$L$5:$L$1204,Config!$B$7,$M$5:$M$1204,Config!$B$5)*1000-ROW()/100000,0)</f>
        <v>0</v>
      </c>
    </row>
    <row r="201">
      <c r="A201" s="39" t="n">
        <v>46224</v>
      </c>
      <c r="B201" s="40" t="n">
        <v>0.6527777777777778</v>
      </c>
      <c r="C201" s="35" t="inlineStr">
        <is>
          <t>Dra. Renata Sousa</t>
        </is>
      </c>
      <c r="D201" s="35" t="inlineStr">
        <is>
          <t>Sala 1</t>
        </is>
      </c>
      <c r="E201" s="34" t="inlineStr">
        <is>
          <t>Carlos Freitas</t>
        </is>
      </c>
      <c r="F201" s="35" t="inlineStr">
        <is>
          <t>Particular</t>
        </is>
      </c>
      <c r="G201" s="35" t="inlineStr">
        <is>
          <t>Avaliação endócrina</t>
        </is>
      </c>
      <c r="H201" s="35" t="inlineStr">
        <is>
          <t>Realizado</t>
        </is>
      </c>
      <c r="I201" s="35" t="inlineStr">
        <is>
          <t>Pix</t>
        </is>
      </c>
      <c r="J201" s="35" t="n"/>
      <c r="K201" s="34" t="n"/>
      <c r="L201" s="26">
        <f>IF(A201="","",MONTH(A201))</f>
        <v>7</v>
      </c>
      <c r="M201" s="26">
        <f>IF(A201="","",YEAR(A201))</f>
        <v>2026</v>
      </c>
      <c r="N201" s="26" t="str">
        <f>IF(A201="","",CHOOSE(WEEKDAY(A201,2),"Segunda","Terça","Quarta","Quinta","Sexta","Sábado","Domingo"))</f>
        <v>Terça</v>
      </c>
      <c r="O201" s="26" t="str">
        <f>IF(B201="","",IF(B201&lt;TIME(12,0,0),"Manhã",IF(B201&lt;TIME(18,0,0),"Tarde","Noite")))</f>
        <v>Tarde</v>
      </c>
      <c r="P201" s="32">
        <f>IF(G201="","",IFERROR(INDEX(Config!$I$5:$I$16,MATCH(G201,Config!$H$5:$H$16,0)),0))</f>
        <v>45</v>
      </c>
      <c r="Q201" s="30">
        <f>IF(OR(H201&lt;&gt;"Realizado",P201="",P201=0),"",A201+P201)</f>
        <v>46269.0</v>
      </c>
      <c r="R201" s="26" t="str">
        <f>IF(Q201="","",IF(COUNTIFS($E$5:$E$1204,E201,$A$5:$A$1204,"&gt;"&amp;A201,$H$5:$H$1204,"&lt;&gt;Falta",$H$5:$H$1204,"&lt;&gt;Cancelado",$H$5:$H$1204,"&lt;&gt;Remarcado")&gt;0,"Sim","Não"))</f>
        <v>Sim</v>
      </c>
      <c r="S201" s="32">
        <f>IF(R201&lt;&gt;"Não","",IF(Q201+Config!$B$9&lt;=Config!$B$8,Config!$B$8-Q201,""))</f>
        <v/>
      </c>
      <c r="T201" s="26">
        <f>IF(S201="","","Sim")</f>
        <v/>
      </c>
      <c r="U201" s="41">
        <f>IF(T201="Sim",S201+ROW()/100000,0)</f>
        <v>0</v>
      </c>
      <c r="V201" s="41">
        <f>IF(AND(H201="Falta",L201=Config!$B$7,M201=Config!$B$5,COUNTIFS($E$5:E201,E201,$H$5:H201,"Falta",$L$5:L201,Config!$B$7,$M$5:M201,Config!$B$5)=1),COUNTIFS($E$5:$E$1204,E201,$H$5:$H$1204,"Falta",$L$5:$L$1204,Config!$B$7,$M$5:$M$1204,Config!$B$5)*1000-ROW()/100000,0)</f>
        <v>0</v>
      </c>
    </row>
    <row r="202">
      <c r="A202" s="39" t="n">
        <v>46224</v>
      </c>
      <c r="B202" s="40" t="n">
        <v>0.6666666666666666</v>
      </c>
      <c r="C202" s="35" t="inlineStr">
        <is>
          <t>Dr. Paulo Andrade</t>
        </is>
      </c>
      <c r="D202" s="35" t="inlineStr">
        <is>
          <t>Sala 2</t>
        </is>
      </c>
      <c r="E202" s="34" t="inlineStr">
        <is>
          <t>Vanessa Moreira</t>
        </is>
      </c>
      <c r="F202" s="35" t="inlineStr">
        <is>
          <t>Saúde Total</t>
        </is>
      </c>
      <c r="G202" s="35" t="inlineStr">
        <is>
          <t>Consulta</t>
        </is>
      </c>
      <c r="H202" s="35" t="inlineStr">
        <is>
          <t>Realizado</t>
        </is>
      </c>
      <c r="I202" s="35" t="inlineStr">
        <is>
          <t>Convênio</t>
        </is>
      </c>
      <c r="J202" s="35" t="n"/>
      <c r="K202" s="34" t="n"/>
      <c r="L202" s="26">
        <f>IF(A202="","",MONTH(A202))</f>
        <v>7</v>
      </c>
      <c r="M202" s="26">
        <f>IF(A202="","",YEAR(A202))</f>
        <v>2026</v>
      </c>
      <c r="N202" s="26" t="str">
        <f>IF(A202="","",CHOOSE(WEEKDAY(A202,2),"Segunda","Terça","Quarta","Quinta","Sexta","Sábado","Domingo"))</f>
        <v>Terça</v>
      </c>
      <c r="O202" s="26" t="str">
        <f>IF(B202="","",IF(B202&lt;TIME(12,0,0),"Manhã",IF(B202&lt;TIME(18,0,0),"Tarde","Noite")))</f>
        <v>Tarde</v>
      </c>
      <c r="P202" s="32">
        <f>IF(G202="","",IFERROR(INDEX(Config!$I$5:$I$16,MATCH(G202,Config!$H$5:$H$16,0)),0))</f>
        <v>30</v>
      </c>
      <c r="Q202" s="30">
        <f>IF(OR(H202&lt;&gt;"Realizado",P202="",P202=0),"",A202+P202)</f>
        <v>46254.0</v>
      </c>
      <c r="R202" s="26" t="str">
        <f>IF(Q202="","",IF(COUNTIFS($E$5:$E$1204,E202,$A$5:$A$1204,"&gt;"&amp;A202,$H$5:$H$1204,"&lt;&gt;Falta",$H$5:$H$1204,"&lt;&gt;Cancelado",$H$5:$H$1204,"&lt;&gt;Remarcado")&gt;0,"Sim","Não"))</f>
        <v>Sim</v>
      </c>
      <c r="S202" s="32">
        <f>IF(R202&lt;&gt;"Não","",IF(Q202+Config!$B$9&lt;=Config!$B$8,Config!$B$8-Q202,""))</f>
        <v/>
      </c>
      <c r="T202" s="26">
        <f>IF(S202="","","Sim")</f>
        <v/>
      </c>
      <c r="U202" s="41">
        <f>IF(T202="Sim",S202+ROW()/100000,0)</f>
        <v>0</v>
      </c>
      <c r="V202" s="41">
        <f>IF(AND(H202="Falta",L202=Config!$B$7,M202=Config!$B$5,COUNTIFS($E$5:E202,E202,$H$5:H202,"Falta",$L$5:L202,Config!$B$7,$M$5:M202,Config!$B$5)=1),COUNTIFS($E$5:$E$1204,E202,$H$5:$H$1204,"Falta",$L$5:$L$1204,Config!$B$7,$M$5:$M$1204,Config!$B$5)*1000-ROW()/100000,0)</f>
        <v>0</v>
      </c>
    </row>
    <row r="203">
      <c r="A203" s="39" t="n">
        <v>46224</v>
      </c>
      <c r="B203" s="40" t="n">
        <v>0.6805555555555556</v>
      </c>
      <c r="C203" s="35" t="inlineStr">
        <is>
          <t>Dra. Renata Sousa</t>
        </is>
      </c>
      <c r="D203" s="35" t="inlineStr">
        <is>
          <t>Sala 1</t>
        </is>
      </c>
      <c r="E203" s="34" t="inlineStr">
        <is>
          <t>Gisele Lopes</t>
        </is>
      </c>
      <c r="F203" s="35" t="inlineStr">
        <is>
          <t>Saúde Total</t>
        </is>
      </c>
      <c r="G203" s="35" t="inlineStr">
        <is>
          <t>Retorno</t>
        </is>
      </c>
      <c r="H203" s="35" t="inlineStr">
        <is>
          <t>Realizado</t>
        </is>
      </c>
      <c r="I203" s="35" t="inlineStr">
        <is>
          <t>Sem cobrança</t>
        </is>
      </c>
      <c r="J203" s="35" t="n"/>
      <c r="K203" s="34" t="n"/>
      <c r="L203" s="26">
        <f>IF(A203="","",MONTH(A203))</f>
        <v>7</v>
      </c>
      <c r="M203" s="26">
        <f>IF(A203="","",YEAR(A203))</f>
        <v>2026</v>
      </c>
      <c r="N203" s="26" t="str">
        <f>IF(A203="","",CHOOSE(WEEKDAY(A203,2),"Segunda","Terça","Quarta","Quinta","Sexta","Sábado","Domingo"))</f>
        <v>Terça</v>
      </c>
      <c r="O203" s="26" t="str">
        <f>IF(B203="","",IF(B203&lt;TIME(12,0,0),"Manhã",IF(B203&lt;TIME(18,0,0),"Tarde","Noite")))</f>
        <v>Tarde</v>
      </c>
      <c r="P203" s="32">
        <f>IF(G203="","",IFERROR(INDEX(Config!$I$5:$I$16,MATCH(G203,Config!$H$5:$H$16,0)),0))</f>
        <v>0</v>
      </c>
      <c r="Q203" s="30">
        <f>IF(OR(H203&lt;&gt;"Realizado",P203="",P203=0),"",A203+P203)</f>
        <v/>
      </c>
      <c r="R203" s="26">
        <f>IF(Q203="","",IF(COUNTIFS($E$5:$E$1204,E203,$A$5:$A$1204,"&gt;"&amp;A203,$H$5:$H$1204,"&lt;&gt;Falta",$H$5:$H$1204,"&lt;&gt;Cancelado",$H$5:$H$1204,"&lt;&gt;Remarcado")&gt;0,"Sim","Não"))</f>
        <v/>
      </c>
      <c r="S203" s="32">
        <f>IF(R203&lt;&gt;"Não","",IF(Q203+Config!$B$9&lt;=Config!$B$8,Config!$B$8-Q203,""))</f>
        <v/>
      </c>
      <c r="T203" s="26">
        <f>IF(S203="","","Sim")</f>
        <v/>
      </c>
      <c r="U203" s="41">
        <f>IF(T203="Sim",S203+ROW()/100000,0)</f>
        <v>0</v>
      </c>
      <c r="V203" s="41">
        <f>IF(AND(H203="Falta",L203=Config!$B$7,M203=Config!$B$5,COUNTIFS($E$5:E203,E203,$H$5:H203,"Falta",$L$5:L203,Config!$B$7,$M$5:M203,Config!$B$5)=1),COUNTIFS($E$5:$E$1204,E203,$H$5:$H$1204,"Falta",$L$5:$L$1204,Config!$B$7,$M$5:$M$1204,Config!$B$5)*1000-ROW()/100000,0)</f>
        <v>0</v>
      </c>
    </row>
    <row r="204">
      <c r="A204" s="39" t="n">
        <v>46224</v>
      </c>
      <c r="B204" s="40" t="n">
        <v>0.6875</v>
      </c>
      <c r="C204" s="35" t="inlineStr">
        <is>
          <t>Dr. Paulo Andrade</t>
        </is>
      </c>
      <c r="D204" s="35" t="inlineStr">
        <is>
          <t>Sala 2</t>
        </is>
      </c>
      <c r="E204" s="34" t="inlineStr">
        <is>
          <t>Sandra Cardoso</t>
        </is>
      </c>
      <c r="F204" s="35" t="inlineStr">
        <is>
          <t>Saúde Total</t>
        </is>
      </c>
      <c r="G204" s="35" t="inlineStr">
        <is>
          <t>Consulta</t>
        </is>
      </c>
      <c r="H204" s="35" t="inlineStr">
        <is>
          <t>Realizado</t>
        </is>
      </c>
      <c r="I204" s="35" t="inlineStr">
        <is>
          <t>Convênio</t>
        </is>
      </c>
      <c r="J204" s="35" t="n"/>
      <c r="K204" s="34" t="n"/>
      <c r="L204" s="26">
        <f>IF(A204="","",MONTH(A204))</f>
        <v>7</v>
      </c>
      <c r="M204" s="26">
        <f>IF(A204="","",YEAR(A204))</f>
        <v>2026</v>
      </c>
      <c r="N204" s="26" t="str">
        <f>IF(A204="","",CHOOSE(WEEKDAY(A204,2),"Segunda","Terça","Quarta","Quinta","Sexta","Sábado","Domingo"))</f>
        <v>Terça</v>
      </c>
      <c r="O204" s="26" t="str">
        <f>IF(B204="","",IF(B204&lt;TIME(12,0,0),"Manhã",IF(B204&lt;TIME(18,0,0),"Tarde","Noite")))</f>
        <v>Tarde</v>
      </c>
      <c r="P204" s="32">
        <f>IF(G204="","",IFERROR(INDEX(Config!$I$5:$I$16,MATCH(G204,Config!$H$5:$H$16,0)),0))</f>
        <v>30</v>
      </c>
      <c r="Q204" s="30">
        <f>IF(OR(H204&lt;&gt;"Realizado",P204="",P204=0),"",A204+P204)</f>
        <v>46254.0</v>
      </c>
      <c r="R204" s="26" t="str">
        <f>IF(Q204="","",IF(COUNTIFS($E$5:$E$1204,E204,$A$5:$A$1204,"&gt;"&amp;A204,$H$5:$H$1204,"&lt;&gt;Falta",$H$5:$H$1204,"&lt;&gt;Cancelado",$H$5:$H$1204,"&lt;&gt;Remarcado")&gt;0,"Sim","Não"))</f>
        <v>Sim</v>
      </c>
      <c r="S204" s="32">
        <f>IF(R204&lt;&gt;"Não","",IF(Q204+Config!$B$9&lt;=Config!$B$8,Config!$B$8-Q204,""))</f>
        <v/>
      </c>
      <c r="T204" s="26">
        <f>IF(S204="","","Sim")</f>
        <v/>
      </c>
      <c r="U204" s="41">
        <f>IF(T204="Sim",S204+ROW()/100000,0)</f>
        <v>0</v>
      </c>
      <c r="V204" s="41">
        <f>IF(AND(H204="Falta",L204=Config!$B$7,M204=Config!$B$5,COUNTIFS($E$5:E204,E204,$H$5:H204,"Falta",$L$5:L204,Config!$B$7,$M$5:M204,Config!$B$5)=1),COUNTIFS($E$5:$E$1204,E204,$H$5:$H$1204,"Falta",$L$5:$L$1204,Config!$B$7,$M$5:$M$1204,Config!$B$5)*1000-ROW()/100000,0)</f>
        <v>0</v>
      </c>
    </row>
    <row r="205">
      <c r="A205" s="39" t="n">
        <v>46224</v>
      </c>
      <c r="B205" s="40" t="n">
        <v>0.6944444444444444</v>
      </c>
      <c r="C205" s="35" t="inlineStr">
        <is>
          <t>Dra. Renata Sousa</t>
        </is>
      </c>
      <c r="D205" s="35" t="inlineStr">
        <is>
          <t>Sala 1</t>
        </is>
      </c>
      <c r="E205" s="34" t="inlineStr">
        <is>
          <t>Isabela Xavier</t>
        </is>
      </c>
      <c r="F205" s="35" t="inlineStr">
        <is>
          <t>Particular</t>
        </is>
      </c>
      <c r="G205" s="35" t="inlineStr">
        <is>
          <t>Avaliação endócrina</t>
        </is>
      </c>
      <c r="H205" s="35" t="inlineStr">
        <is>
          <t>Realizado</t>
        </is>
      </c>
      <c r="I205" s="35" t="inlineStr">
        <is>
          <t>Cartão de crédito</t>
        </is>
      </c>
      <c r="J205" s="35" t="n"/>
      <c r="K205" s="34" t="n"/>
      <c r="L205" s="26">
        <f>IF(A205="","",MONTH(A205))</f>
        <v>7</v>
      </c>
      <c r="M205" s="26">
        <f>IF(A205="","",YEAR(A205))</f>
        <v>2026</v>
      </c>
      <c r="N205" s="26" t="str">
        <f>IF(A205="","",CHOOSE(WEEKDAY(A205,2),"Segunda","Terça","Quarta","Quinta","Sexta","Sábado","Domingo"))</f>
        <v>Terça</v>
      </c>
      <c r="O205" s="26" t="str">
        <f>IF(B205="","",IF(B205&lt;TIME(12,0,0),"Manhã",IF(B205&lt;TIME(18,0,0),"Tarde","Noite")))</f>
        <v>Tarde</v>
      </c>
      <c r="P205" s="32">
        <f>IF(G205="","",IFERROR(INDEX(Config!$I$5:$I$16,MATCH(G205,Config!$H$5:$H$16,0)),0))</f>
        <v>45</v>
      </c>
      <c r="Q205" s="30">
        <f>IF(OR(H205&lt;&gt;"Realizado",P205="",P205=0),"",A205+P205)</f>
        <v>46269.0</v>
      </c>
      <c r="R205" s="26" t="str">
        <f>IF(Q205="","",IF(COUNTIFS($E$5:$E$1204,E205,$A$5:$A$1204,"&gt;"&amp;A205,$H$5:$H$1204,"&lt;&gt;Falta",$H$5:$H$1204,"&lt;&gt;Cancelado",$H$5:$H$1204,"&lt;&gt;Remarcado")&gt;0,"Sim","Não"))</f>
        <v>Sim</v>
      </c>
      <c r="S205" s="32">
        <f>IF(R205&lt;&gt;"Não","",IF(Q205+Config!$B$9&lt;=Config!$B$8,Config!$B$8-Q205,""))</f>
        <v/>
      </c>
      <c r="T205" s="26">
        <f>IF(S205="","","Sim")</f>
        <v/>
      </c>
      <c r="U205" s="41">
        <f>IF(T205="Sim",S205+ROW()/100000,0)</f>
        <v>0</v>
      </c>
      <c r="V205" s="41">
        <f>IF(AND(H205="Falta",L205=Config!$B$7,M205=Config!$B$5,COUNTIFS($E$5:E205,E205,$H$5:H205,"Falta",$L$5:L205,Config!$B$7,$M$5:M205,Config!$B$5)=1),COUNTIFS($E$5:$E$1204,E205,$H$5:$H$1204,"Falta",$L$5:$L$1204,Config!$B$7,$M$5:$M$1204,Config!$B$5)*1000-ROW()/100000,0)</f>
        <v>0</v>
      </c>
    </row>
    <row r="206">
      <c r="A206" s="39" t="n">
        <v>46224</v>
      </c>
      <c r="B206" s="40" t="n">
        <v>0.7083333333333334</v>
      </c>
      <c r="C206" s="35" t="inlineStr">
        <is>
          <t>Dr. Paulo Andrade</t>
        </is>
      </c>
      <c r="D206" s="35" t="inlineStr">
        <is>
          <t>Sala 2</t>
        </is>
      </c>
      <c r="E206" s="34" t="inlineStr">
        <is>
          <t>Regina Macedo</t>
        </is>
      </c>
      <c r="F206" s="35" t="inlineStr">
        <is>
          <t>Particular</t>
        </is>
      </c>
      <c r="G206" s="35" t="inlineStr">
        <is>
          <t>ECG</t>
        </is>
      </c>
      <c r="H206" s="35" t="inlineStr">
        <is>
          <t>Realizado</t>
        </is>
      </c>
      <c r="I206" s="35" t="inlineStr">
        <is>
          <t>Pix</t>
        </is>
      </c>
      <c r="J206" s="35" t="n"/>
      <c r="K206" s="34" t="n"/>
      <c r="L206" s="26">
        <f>IF(A206="","",MONTH(A206))</f>
        <v>7</v>
      </c>
      <c r="M206" s="26">
        <f>IF(A206="","",YEAR(A206))</f>
        <v>2026</v>
      </c>
      <c r="N206" s="26" t="str">
        <f>IF(A206="","",CHOOSE(WEEKDAY(A206,2),"Segunda","Terça","Quarta","Quinta","Sexta","Sábado","Domingo"))</f>
        <v>Terça</v>
      </c>
      <c r="O206" s="26" t="str">
        <f>IF(B206="","",IF(B206&lt;TIME(12,0,0),"Manhã",IF(B206&lt;TIME(18,0,0),"Tarde","Noite")))</f>
        <v>Tarde</v>
      </c>
      <c r="P206" s="32">
        <f>IF(G206="","",IFERROR(INDEX(Config!$I$5:$I$16,MATCH(G206,Config!$H$5:$H$16,0)),0))</f>
        <v>0</v>
      </c>
      <c r="Q206" s="30">
        <f>IF(OR(H206&lt;&gt;"Realizado",P206="",P206=0),"",A206+P206)</f>
        <v/>
      </c>
      <c r="R206" s="26">
        <f>IF(Q206="","",IF(COUNTIFS($E$5:$E$1204,E206,$A$5:$A$1204,"&gt;"&amp;A206,$H$5:$H$1204,"&lt;&gt;Falta",$H$5:$H$1204,"&lt;&gt;Cancelado",$H$5:$H$1204,"&lt;&gt;Remarcado")&gt;0,"Sim","Não"))</f>
        <v/>
      </c>
      <c r="S206" s="32">
        <f>IF(R206&lt;&gt;"Não","",IF(Q206+Config!$B$9&lt;=Config!$B$8,Config!$B$8-Q206,""))</f>
        <v/>
      </c>
      <c r="T206" s="26">
        <f>IF(S206="","","Sim")</f>
        <v/>
      </c>
      <c r="U206" s="41">
        <f>IF(T206="Sim",S206+ROW()/100000,0)</f>
        <v>0</v>
      </c>
      <c r="V206" s="41">
        <f>IF(AND(H206="Falta",L206=Config!$B$7,M206=Config!$B$5,COUNTIFS($E$5:E206,E206,$H$5:H206,"Falta",$L$5:L206,Config!$B$7,$M$5:M206,Config!$B$5)=1),COUNTIFS($E$5:$E$1204,E206,$H$5:$H$1204,"Falta",$L$5:$L$1204,Config!$B$7,$M$5:$M$1204,Config!$B$5)*1000-ROW()/100000,0)</f>
        <v>0</v>
      </c>
    </row>
    <row r="207">
      <c r="A207" s="39" t="n">
        <v>46224</v>
      </c>
      <c r="B207" s="40" t="n">
        <v>0.7222222222222222</v>
      </c>
      <c r="C207" s="35" t="inlineStr">
        <is>
          <t>Dra. Renata Sousa</t>
        </is>
      </c>
      <c r="D207" s="35" t="inlineStr">
        <is>
          <t>Sala 1</t>
        </is>
      </c>
      <c r="E207" s="34" t="inlineStr">
        <is>
          <t>Carlos Gonçalves</t>
        </is>
      </c>
      <c r="F207" s="35" t="inlineStr">
        <is>
          <t>Saúde Total</t>
        </is>
      </c>
      <c r="G207" s="35" t="inlineStr">
        <is>
          <t>Avaliação endócrina</t>
        </is>
      </c>
      <c r="H207" s="35" t="inlineStr">
        <is>
          <t>Realizado</t>
        </is>
      </c>
      <c r="I207" s="35" t="inlineStr">
        <is>
          <t>Convênio</t>
        </is>
      </c>
      <c r="J207" s="35" t="n"/>
      <c r="K207" s="34" t="n"/>
      <c r="L207" s="26">
        <f>IF(A207="","",MONTH(A207))</f>
        <v>7</v>
      </c>
      <c r="M207" s="26">
        <f>IF(A207="","",YEAR(A207))</f>
        <v>2026</v>
      </c>
      <c r="N207" s="26" t="str">
        <f>IF(A207="","",CHOOSE(WEEKDAY(A207,2),"Segunda","Terça","Quarta","Quinta","Sexta","Sábado","Domingo"))</f>
        <v>Terça</v>
      </c>
      <c r="O207" s="26" t="str">
        <f>IF(B207="","",IF(B207&lt;TIME(12,0,0),"Manhã",IF(B207&lt;TIME(18,0,0),"Tarde","Noite")))</f>
        <v>Tarde</v>
      </c>
      <c r="P207" s="32">
        <f>IF(G207="","",IFERROR(INDEX(Config!$I$5:$I$16,MATCH(G207,Config!$H$5:$H$16,0)),0))</f>
        <v>45</v>
      </c>
      <c r="Q207" s="30">
        <f>IF(OR(H207&lt;&gt;"Realizado",P207="",P207=0),"",A207+P207)</f>
        <v>46269.0</v>
      </c>
      <c r="R207" s="26" t="str">
        <f>IF(Q207="","",IF(COUNTIFS($E$5:$E$1204,E207,$A$5:$A$1204,"&gt;"&amp;A207,$H$5:$H$1204,"&lt;&gt;Falta",$H$5:$H$1204,"&lt;&gt;Cancelado",$H$5:$H$1204,"&lt;&gt;Remarcado")&gt;0,"Sim","Não"))</f>
        <v>Sim</v>
      </c>
      <c r="S207" s="32">
        <f>IF(R207&lt;&gt;"Não","",IF(Q207+Config!$B$9&lt;=Config!$B$8,Config!$B$8-Q207,""))</f>
        <v/>
      </c>
      <c r="T207" s="26">
        <f>IF(S207="","","Sim")</f>
        <v/>
      </c>
      <c r="U207" s="41">
        <f>IF(T207="Sim",S207+ROW()/100000,0)</f>
        <v>0</v>
      </c>
      <c r="V207" s="41">
        <f>IF(AND(H207="Falta",L207=Config!$B$7,M207=Config!$B$5,COUNTIFS($E$5:E207,E207,$H$5:H207,"Falta",$L$5:L207,Config!$B$7,$M$5:M207,Config!$B$5)=1),COUNTIFS($E$5:$E$1204,E207,$H$5:$H$1204,"Falta",$L$5:$L$1204,Config!$B$7,$M$5:$M$1204,Config!$B$5)*1000-ROW()/100000,0)</f>
        <v>0</v>
      </c>
    </row>
    <row r="208">
      <c r="A208" s="39" t="n">
        <v>46224</v>
      </c>
      <c r="B208" s="40" t="n">
        <v>0.7222222222222222</v>
      </c>
      <c r="C208" s="35" t="inlineStr">
        <is>
          <t>Dr. Paulo Andrade</t>
        </is>
      </c>
      <c r="D208" s="35" t="inlineStr">
        <is>
          <t>Sala 2</t>
        </is>
      </c>
      <c r="E208" s="34" t="inlineStr">
        <is>
          <t>Mateus Dias</t>
        </is>
      </c>
      <c r="F208" s="35" t="inlineStr">
        <is>
          <t>Saúde Total</t>
        </is>
      </c>
      <c r="G208" s="35" t="inlineStr">
        <is>
          <t>Consulta</t>
        </is>
      </c>
      <c r="H208" s="35" t="inlineStr">
        <is>
          <t>Realizado</t>
        </is>
      </c>
      <c r="I208" s="35" t="inlineStr">
        <is>
          <t>Convênio</t>
        </is>
      </c>
      <c r="J208" s="35" t="n"/>
      <c r="K208" s="34" t="n"/>
      <c r="L208" s="26">
        <f>IF(A208="","",MONTH(A208))</f>
        <v>7</v>
      </c>
      <c r="M208" s="26">
        <f>IF(A208="","",YEAR(A208))</f>
        <v>2026</v>
      </c>
      <c r="N208" s="26" t="str">
        <f>IF(A208="","",CHOOSE(WEEKDAY(A208,2),"Segunda","Terça","Quarta","Quinta","Sexta","Sábado","Domingo"))</f>
        <v>Terça</v>
      </c>
      <c r="O208" s="26" t="str">
        <f>IF(B208="","",IF(B208&lt;TIME(12,0,0),"Manhã",IF(B208&lt;TIME(18,0,0),"Tarde","Noite")))</f>
        <v>Tarde</v>
      </c>
      <c r="P208" s="32">
        <f>IF(G208="","",IFERROR(INDEX(Config!$I$5:$I$16,MATCH(G208,Config!$H$5:$H$16,0)),0))</f>
        <v>30</v>
      </c>
      <c r="Q208" s="30">
        <f>IF(OR(H208&lt;&gt;"Realizado",P208="",P208=0),"",A208+P208)</f>
        <v>46254.0</v>
      </c>
      <c r="R208" s="26" t="str">
        <f>IF(Q208="","",IF(COUNTIFS($E$5:$E$1204,E208,$A$5:$A$1204,"&gt;"&amp;A208,$H$5:$H$1204,"&lt;&gt;Falta",$H$5:$H$1204,"&lt;&gt;Cancelado",$H$5:$H$1204,"&lt;&gt;Remarcado")&gt;0,"Sim","Não"))</f>
        <v>Sim</v>
      </c>
      <c r="S208" s="32">
        <f>IF(R208&lt;&gt;"Não","",IF(Q208+Config!$B$9&lt;=Config!$B$8,Config!$B$8-Q208,""))</f>
        <v/>
      </c>
      <c r="T208" s="26">
        <f>IF(S208="","","Sim")</f>
        <v/>
      </c>
      <c r="U208" s="41">
        <f>IF(T208="Sim",S208+ROW()/100000,0)</f>
        <v>0</v>
      </c>
      <c r="V208" s="41">
        <f>IF(AND(H208="Falta",L208=Config!$B$7,M208=Config!$B$5,COUNTIFS($E$5:E208,E208,$H$5:H208,"Falta",$L$5:L208,Config!$B$7,$M$5:M208,Config!$B$5)=1),COUNTIFS($E$5:$E$1204,E208,$H$5:$H$1204,"Falta",$L$5:$L$1204,Config!$B$7,$M$5:$M$1204,Config!$B$5)*1000-ROW()/100000,0)</f>
        <v>0</v>
      </c>
    </row>
    <row r="209">
      <c r="A209" s="39" t="n">
        <v>46225</v>
      </c>
      <c r="B209" s="40" t="n">
        <v>0.5833333333333334</v>
      </c>
      <c r="C209" s="35" t="inlineStr">
        <is>
          <t>Dra. Carolina Mendes</t>
        </is>
      </c>
      <c r="D209" s="35" t="inlineStr">
        <is>
          <t>Sala 1</t>
        </is>
      </c>
      <c r="E209" s="34" t="inlineStr">
        <is>
          <t>Ana Costa</t>
        </is>
      </c>
      <c r="F209" s="35" t="inlineStr">
        <is>
          <t>Particular</t>
        </is>
      </c>
      <c r="G209" s="35" t="inlineStr">
        <is>
          <t>Consulta</t>
        </is>
      </c>
      <c r="H209" s="35" t="inlineStr">
        <is>
          <t>Realizado</t>
        </is>
      </c>
      <c r="I209" s="35" t="inlineStr">
        <is>
          <t>Pix</t>
        </is>
      </c>
      <c r="J209" s="35" t="n"/>
      <c r="K209" s="34" t="n"/>
      <c r="L209" s="26">
        <f>IF(A209="","",MONTH(A209))</f>
        <v>7</v>
      </c>
      <c r="M209" s="26">
        <f>IF(A209="","",YEAR(A209))</f>
        <v>2026</v>
      </c>
      <c r="N209" s="26" t="str">
        <f>IF(A209="","",CHOOSE(WEEKDAY(A209,2),"Segunda","Terça","Quarta","Quinta","Sexta","Sábado","Domingo"))</f>
        <v>Quarta</v>
      </c>
      <c r="O209" s="26" t="str">
        <f>IF(B209="","",IF(B209&lt;TIME(12,0,0),"Manhã",IF(B209&lt;TIME(18,0,0),"Tarde","Noite")))</f>
        <v>Tarde</v>
      </c>
      <c r="P209" s="32">
        <f>IF(G209="","",IFERROR(INDEX(Config!$I$5:$I$16,MATCH(G209,Config!$H$5:$H$16,0)),0))</f>
        <v>30</v>
      </c>
      <c r="Q209" s="30">
        <f>IF(OR(H209&lt;&gt;"Realizado",P209="",P209=0),"",A209+P209)</f>
        <v>46255.0</v>
      </c>
      <c r="R209" s="26" t="str">
        <f>IF(Q209="","",IF(COUNTIFS($E$5:$E$1204,E209,$A$5:$A$1204,"&gt;"&amp;A209,$H$5:$H$1204,"&lt;&gt;Falta",$H$5:$H$1204,"&lt;&gt;Cancelado",$H$5:$H$1204,"&lt;&gt;Remarcado")&gt;0,"Sim","Não"))</f>
        <v>Sim</v>
      </c>
      <c r="S209" s="32">
        <f>IF(R209&lt;&gt;"Não","",IF(Q209+Config!$B$9&lt;=Config!$B$8,Config!$B$8-Q209,""))</f>
        <v/>
      </c>
      <c r="T209" s="26">
        <f>IF(S209="","","Sim")</f>
        <v/>
      </c>
      <c r="U209" s="41">
        <f>IF(T209="Sim",S209+ROW()/100000,0)</f>
        <v>0</v>
      </c>
      <c r="V209" s="41">
        <f>IF(AND(H209="Falta",L209=Config!$B$7,M209=Config!$B$5,COUNTIFS($E$5:E209,E209,$H$5:H209,"Falta",$L$5:L209,Config!$B$7,$M$5:M209,Config!$B$5)=1),COUNTIFS($E$5:$E$1204,E209,$H$5:$H$1204,"Falta",$L$5:$L$1204,Config!$B$7,$M$5:$M$1204,Config!$B$5)*1000-ROW()/100000,0)</f>
        <v>0</v>
      </c>
    </row>
    <row r="210">
      <c r="A210" s="39" t="n">
        <v>46225</v>
      </c>
      <c r="B210" s="40" t="n">
        <v>0.6041666666666666</v>
      </c>
      <c r="C210" s="35" t="inlineStr">
        <is>
          <t>Dra. Carolina Mendes</t>
        </is>
      </c>
      <c r="D210" s="35" t="inlineStr">
        <is>
          <t>Sala 1</t>
        </is>
      </c>
      <c r="E210" s="34" t="inlineStr">
        <is>
          <t>Rodrigo Moreira</t>
        </is>
      </c>
      <c r="F210" s="35" t="inlineStr">
        <is>
          <t>Particular</t>
        </is>
      </c>
      <c r="G210" s="35" t="inlineStr">
        <is>
          <t>Consulta</t>
        </is>
      </c>
      <c r="H210" s="35" t="inlineStr">
        <is>
          <t>Realizado</t>
        </is>
      </c>
      <c r="I210" s="35" t="inlineStr">
        <is>
          <t>Pix</t>
        </is>
      </c>
      <c r="J210" s="35" t="n"/>
      <c r="K210" s="34" t="n"/>
      <c r="L210" s="26">
        <f>IF(A210="","",MONTH(A210))</f>
        <v>7</v>
      </c>
      <c r="M210" s="26">
        <f>IF(A210="","",YEAR(A210))</f>
        <v>2026</v>
      </c>
      <c r="N210" s="26" t="str">
        <f>IF(A210="","",CHOOSE(WEEKDAY(A210,2),"Segunda","Terça","Quarta","Quinta","Sexta","Sábado","Domingo"))</f>
        <v>Quarta</v>
      </c>
      <c r="O210" s="26" t="str">
        <f>IF(B210="","",IF(B210&lt;TIME(12,0,0),"Manhã",IF(B210&lt;TIME(18,0,0),"Tarde","Noite")))</f>
        <v>Tarde</v>
      </c>
      <c r="P210" s="32">
        <f>IF(G210="","",IFERROR(INDEX(Config!$I$5:$I$16,MATCH(G210,Config!$H$5:$H$16,0)),0))</f>
        <v>30</v>
      </c>
      <c r="Q210" s="30">
        <f>IF(OR(H210&lt;&gt;"Realizado",P210="",P210=0),"",A210+P210)</f>
        <v>46255.0</v>
      </c>
      <c r="R210" s="26" t="str">
        <f>IF(Q210="","",IF(COUNTIFS($E$5:$E$1204,E210,$A$5:$A$1204,"&gt;"&amp;A210,$H$5:$H$1204,"&lt;&gt;Falta",$H$5:$H$1204,"&lt;&gt;Cancelado",$H$5:$H$1204,"&lt;&gt;Remarcado")&gt;0,"Sim","Não"))</f>
        <v>Sim</v>
      </c>
      <c r="S210" s="32">
        <f>IF(R210&lt;&gt;"Não","",IF(Q210+Config!$B$9&lt;=Config!$B$8,Config!$B$8-Q210,""))</f>
        <v/>
      </c>
      <c r="T210" s="26">
        <f>IF(S210="","","Sim")</f>
        <v/>
      </c>
      <c r="U210" s="41">
        <f>IF(T210="Sim",S210+ROW()/100000,0)</f>
        <v>0</v>
      </c>
      <c r="V210" s="41">
        <f>IF(AND(H210="Falta",L210=Config!$B$7,M210=Config!$B$5,COUNTIFS($E$5:E210,E210,$H$5:H210,"Falta",$L$5:L210,Config!$B$7,$M$5:M210,Config!$B$5)=1),COUNTIFS($E$5:$E$1204,E210,$H$5:$H$1204,"Falta",$L$5:$L$1204,Config!$B$7,$M$5:$M$1204,Config!$B$5)*1000-ROW()/100000,0)</f>
        <v>0</v>
      </c>
    </row>
    <row r="211">
      <c r="A211" s="39" t="n">
        <v>46225</v>
      </c>
      <c r="B211" s="40" t="n">
        <v>0.625</v>
      </c>
      <c r="C211" s="35" t="inlineStr">
        <is>
          <t>Dra. Carolina Mendes</t>
        </is>
      </c>
      <c r="D211" s="35" t="inlineStr">
        <is>
          <t>Sala 1</t>
        </is>
      </c>
      <c r="E211" s="34" t="inlineStr">
        <is>
          <t>Roberta Araújo</t>
        </is>
      </c>
      <c r="F211" s="35" t="inlineStr">
        <is>
          <t>Particular</t>
        </is>
      </c>
      <c r="G211" s="35" t="inlineStr">
        <is>
          <t>Consulta</t>
        </is>
      </c>
      <c r="H211" s="35" t="inlineStr">
        <is>
          <t>Realizado</t>
        </is>
      </c>
      <c r="I211" s="35" t="inlineStr">
        <is>
          <t>Pix</t>
        </is>
      </c>
      <c r="J211" s="35" t="n"/>
      <c r="K211" s="34" t="n"/>
      <c r="L211" s="26">
        <f>IF(A211="","",MONTH(A211))</f>
        <v>7</v>
      </c>
      <c r="M211" s="26">
        <f>IF(A211="","",YEAR(A211))</f>
        <v>2026</v>
      </c>
      <c r="N211" s="26" t="str">
        <f>IF(A211="","",CHOOSE(WEEKDAY(A211,2),"Segunda","Terça","Quarta","Quinta","Sexta","Sábado","Domingo"))</f>
        <v>Quarta</v>
      </c>
      <c r="O211" s="26" t="str">
        <f>IF(B211="","",IF(B211&lt;TIME(12,0,0),"Manhã",IF(B211&lt;TIME(18,0,0),"Tarde","Noite")))</f>
        <v>Tarde</v>
      </c>
      <c r="P211" s="32">
        <f>IF(G211="","",IFERROR(INDEX(Config!$I$5:$I$16,MATCH(G211,Config!$H$5:$H$16,0)),0))</f>
        <v>30</v>
      </c>
      <c r="Q211" s="30">
        <f>IF(OR(H211&lt;&gt;"Realizado",P211="",P211=0),"",A211+P211)</f>
        <v>46255.0</v>
      </c>
      <c r="R211" s="26" t="str">
        <f>IF(Q211="","",IF(COUNTIFS($E$5:$E$1204,E211,$A$5:$A$1204,"&gt;"&amp;A211,$H$5:$H$1204,"&lt;&gt;Falta",$H$5:$H$1204,"&lt;&gt;Cancelado",$H$5:$H$1204,"&lt;&gt;Remarcado")&gt;0,"Sim","Não"))</f>
        <v>Sim</v>
      </c>
      <c r="S211" s="32">
        <f>IF(R211&lt;&gt;"Não","",IF(Q211+Config!$B$9&lt;=Config!$B$8,Config!$B$8-Q211,""))</f>
        <v/>
      </c>
      <c r="T211" s="26">
        <f>IF(S211="","","Sim")</f>
        <v/>
      </c>
      <c r="U211" s="41">
        <f>IF(T211="Sim",S211+ROW()/100000,0)</f>
        <v>0</v>
      </c>
      <c r="V211" s="41">
        <f>IF(AND(H211="Falta",L211=Config!$B$7,M211=Config!$B$5,COUNTIFS($E$5:E211,E211,$H$5:H211,"Falta",$L$5:L211,Config!$B$7,$M$5:M211,Config!$B$5)=1),COUNTIFS($E$5:$E$1204,E211,$H$5:$H$1204,"Falta",$L$5:$L$1204,Config!$B$7,$M$5:$M$1204,Config!$B$5)*1000-ROW()/100000,0)</f>
        <v>0</v>
      </c>
    </row>
    <row r="212">
      <c r="A212" s="39" t="n">
        <v>46225</v>
      </c>
      <c r="B212" s="40" t="n">
        <v>0.6458333333333334</v>
      </c>
      <c r="C212" s="35" t="inlineStr">
        <is>
          <t>Dra. Carolina Mendes</t>
        </is>
      </c>
      <c r="D212" s="35" t="inlineStr">
        <is>
          <t>Sala 1</t>
        </is>
      </c>
      <c r="E212" s="34" t="inlineStr">
        <is>
          <t>Marcelo Santos</t>
        </is>
      </c>
      <c r="F212" s="35" t="inlineStr">
        <is>
          <t>Particular</t>
        </is>
      </c>
      <c r="G212" s="35" t="inlineStr">
        <is>
          <t>Consulta</t>
        </is>
      </c>
      <c r="H212" s="35" t="inlineStr">
        <is>
          <t>Realizado</t>
        </is>
      </c>
      <c r="I212" s="35" t="inlineStr">
        <is>
          <t>Cartão de crédito</t>
        </is>
      </c>
      <c r="J212" s="35" t="n"/>
      <c r="K212" s="34" t="n"/>
      <c r="L212" s="26">
        <f>IF(A212="","",MONTH(A212))</f>
        <v>7</v>
      </c>
      <c r="M212" s="26">
        <f>IF(A212="","",YEAR(A212))</f>
        <v>2026</v>
      </c>
      <c r="N212" s="26" t="str">
        <f>IF(A212="","",CHOOSE(WEEKDAY(A212,2),"Segunda","Terça","Quarta","Quinta","Sexta","Sábado","Domingo"))</f>
        <v>Quarta</v>
      </c>
      <c r="O212" s="26" t="str">
        <f>IF(B212="","",IF(B212&lt;TIME(12,0,0),"Manhã",IF(B212&lt;TIME(18,0,0),"Tarde","Noite")))</f>
        <v>Tarde</v>
      </c>
      <c r="P212" s="32">
        <f>IF(G212="","",IFERROR(INDEX(Config!$I$5:$I$16,MATCH(G212,Config!$H$5:$H$16,0)),0))</f>
        <v>30</v>
      </c>
      <c r="Q212" s="30">
        <f>IF(OR(H212&lt;&gt;"Realizado",P212="",P212=0),"",A212+P212)</f>
        <v>46255.0</v>
      </c>
      <c r="R212" s="26" t="str">
        <f>IF(Q212="","",IF(COUNTIFS($E$5:$E$1204,E212,$A$5:$A$1204,"&gt;"&amp;A212,$H$5:$H$1204,"&lt;&gt;Falta",$H$5:$H$1204,"&lt;&gt;Cancelado",$H$5:$H$1204,"&lt;&gt;Remarcado")&gt;0,"Sim","Não"))</f>
        <v>Sim</v>
      </c>
      <c r="S212" s="32">
        <f>IF(R212&lt;&gt;"Não","",IF(Q212+Config!$B$9&lt;=Config!$B$8,Config!$B$8-Q212,""))</f>
        <v/>
      </c>
      <c r="T212" s="26">
        <f>IF(S212="","","Sim")</f>
        <v/>
      </c>
      <c r="U212" s="41">
        <f>IF(T212="Sim",S212+ROW()/100000,0)</f>
        <v>0</v>
      </c>
      <c r="V212" s="41">
        <f>IF(AND(H212="Falta",L212=Config!$B$7,M212=Config!$B$5,COUNTIFS($E$5:E212,E212,$H$5:H212,"Falta",$L$5:L212,Config!$B$7,$M$5:M212,Config!$B$5)=1),COUNTIFS($E$5:$E$1204,E212,$H$5:$H$1204,"Falta",$L$5:$L$1204,Config!$B$7,$M$5:$M$1204,Config!$B$5)*1000-ROW()/100000,0)</f>
        <v>0</v>
      </c>
    </row>
    <row r="213">
      <c r="A213" s="39" t="n">
        <v>46225</v>
      </c>
      <c r="B213" s="40" t="n">
        <v>0.6666666666666666</v>
      </c>
      <c r="C213" s="35" t="inlineStr">
        <is>
          <t>Dra. Carolina Mendes</t>
        </is>
      </c>
      <c r="D213" s="35" t="inlineStr">
        <is>
          <t>Sala 1</t>
        </is>
      </c>
      <c r="E213" s="34" t="inlineStr">
        <is>
          <t>Eduardo Nunes</t>
        </is>
      </c>
      <c r="F213" s="35" t="inlineStr">
        <is>
          <t>MediPlan</t>
        </is>
      </c>
      <c r="G213" s="35" t="inlineStr">
        <is>
          <t>Consulta</t>
        </is>
      </c>
      <c r="H213" s="35" t="inlineStr">
        <is>
          <t>Realizado</t>
        </is>
      </c>
      <c r="I213" s="35" t="inlineStr">
        <is>
          <t>Convênio</t>
        </is>
      </c>
      <c r="J213" s="35" t="n"/>
      <c r="K213" s="34" t="n"/>
      <c r="L213" s="26">
        <f>IF(A213="","",MONTH(A213))</f>
        <v>7</v>
      </c>
      <c r="M213" s="26">
        <f>IF(A213="","",YEAR(A213))</f>
        <v>2026</v>
      </c>
      <c r="N213" s="26" t="str">
        <f>IF(A213="","",CHOOSE(WEEKDAY(A213,2),"Segunda","Terça","Quarta","Quinta","Sexta","Sábado","Domingo"))</f>
        <v>Quarta</v>
      </c>
      <c r="O213" s="26" t="str">
        <f>IF(B213="","",IF(B213&lt;TIME(12,0,0),"Manhã",IF(B213&lt;TIME(18,0,0),"Tarde","Noite")))</f>
        <v>Tarde</v>
      </c>
      <c r="P213" s="32">
        <f>IF(G213="","",IFERROR(INDEX(Config!$I$5:$I$16,MATCH(G213,Config!$H$5:$H$16,0)),0))</f>
        <v>30</v>
      </c>
      <c r="Q213" s="30">
        <f>IF(OR(H213&lt;&gt;"Realizado",P213="",P213=0),"",A213+P213)</f>
        <v>46255.0</v>
      </c>
      <c r="R213" s="26" t="str">
        <f>IF(Q213="","",IF(COUNTIFS($E$5:$E$1204,E213,$A$5:$A$1204,"&gt;"&amp;A213,$H$5:$H$1204,"&lt;&gt;Falta",$H$5:$H$1204,"&lt;&gt;Cancelado",$H$5:$H$1204,"&lt;&gt;Remarcado")&gt;0,"Sim","Não"))</f>
        <v>Sim</v>
      </c>
      <c r="S213" s="32">
        <f>IF(R213&lt;&gt;"Não","",IF(Q213+Config!$B$9&lt;=Config!$B$8,Config!$B$8-Q213,""))</f>
        <v/>
      </c>
      <c r="T213" s="26">
        <f>IF(S213="","","Sim")</f>
        <v/>
      </c>
      <c r="U213" s="41">
        <f>IF(T213="Sim",S213+ROW()/100000,0)</f>
        <v>0</v>
      </c>
      <c r="V213" s="41">
        <f>IF(AND(H213="Falta",L213=Config!$B$7,M213=Config!$B$5,COUNTIFS($E$5:E213,E213,$H$5:H213,"Falta",$L$5:L213,Config!$B$7,$M$5:M213,Config!$B$5)=1),COUNTIFS($E$5:$E$1204,E213,$H$5:$H$1204,"Falta",$L$5:$L$1204,Config!$B$7,$M$5:$M$1204,Config!$B$5)*1000-ROW()/100000,0)</f>
        <v>0</v>
      </c>
    </row>
    <row r="214">
      <c r="A214" s="39" t="n">
        <v>46225</v>
      </c>
      <c r="B214" s="40" t="n">
        <v>0.6875</v>
      </c>
      <c r="C214" s="35" t="inlineStr">
        <is>
          <t>Dra. Carolina Mendes</t>
        </is>
      </c>
      <c r="D214" s="35" t="inlineStr">
        <is>
          <t>Sala 1</t>
        </is>
      </c>
      <c r="E214" s="34" t="inlineStr">
        <is>
          <t>Mônica Martins</t>
        </is>
      </c>
      <c r="F214" s="35" t="inlineStr">
        <is>
          <t>Particular</t>
        </is>
      </c>
      <c r="G214" s="35" t="inlineStr">
        <is>
          <t>Consulta</t>
        </is>
      </c>
      <c r="H214" s="35" t="inlineStr">
        <is>
          <t>Realizado</t>
        </is>
      </c>
      <c r="I214" s="35" t="inlineStr">
        <is>
          <t>Cartão de crédito</t>
        </is>
      </c>
      <c r="J214" s="35" t="n"/>
      <c r="K214" s="34" t="n"/>
      <c r="L214" s="26">
        <f>IF(A214="","",MONTH(A214))</f>
        <v>7</v>
      </c>
      <c r="M214" s="26">
        <f>IF(A214="","",YEAR(A214))</f>
        <v>2026</v>
      </c>
      <c r="N214" s="26" t="str">
        <f>IF(A214="","",CHOOSE(WEEKDAY(A214,2),"Segunda","Terça","Quarta","Quinta","Sexta","Sábado","Domingo"))</f>
        <v>Quarta</v>
      </c>
      <c r="O214" s="26" t="str">
        <f>IF(B214="","",IF(B214&lt;TIME(12,0,0),"Manhã",IF(B214&lt;TIME(18,0,0),"Tarde","Noite")))</f>
        <v>Tarde</v>
      </c>
      <c r="P214" s="32">
        <f>IF(G214="","",IFERROR(INDEX(Config!$I$5:$I$16,MATCH(G214,Config!$H$5:$H$16,0)),0))</f>
        <v>30</v>
      </c>
      <c r="Q214" s="30">
        <f>IF(OR(H214&lt;&gt;"Realizado",P214="",P214=0),"",A214+P214)</f>
        <v>46255.0</v>
      </c>
      <c r="R214" s="26" t="str">
        <f>IF(Q214="","",IF(COUNTIFS($E$5:$E$1204,E214,$A$5:$A$1204,"&gt;"&amp;A214,$H$5:$H$1204,"&lt;&gt;Falta",$H$5:$H$1204,"&lt;&gt;Cancelado",$H$5:$H$1204,"&lt;&gt;Remarcado")&gt;0,"Sim","Não"))</f>
        <v>Sim</v>
      </c>
      <c r="S214" s="32">
        <f>IF(R214&lt;&gt;"Não","",IF(Q214+Config!$B$9&lt;=Config!$B$8,Config!$B$8-Q214,""))</f>
        <v/>
      </c>
      <c r="T214" s="26">
        <f>IF(S214="","","Sim")</f>
        <v/>
      </c>
      <c r="U214" s="41">
        <f>IF(T214="Sim",S214+ROW()/100000,0)</f>
        <v>0</v>
      </c>
      <c r="V214" s="41">
        <f>IF(AND(H214="Falta",L214=Config!$B$7,M214=Config!$B$5,COUNTIFS($E$5:E214,E214,$H$5:H214,"Falta",$L$5:L214,Config!$B$7,$M$5:M214,Config!$B$5)=1),COUNTIFS($E$5:$E$1204,E214,$H$5:$H$1204,"Falta",$L$5:$L$1204,Config!$B$7,$M$5:$M$1204,Config!$B$5)*1000-ROW()/100000,0)</f>
        <v>0</v>
      </c>
    </row>
    <row r="215">
      <c r="A215" s="39" t="n">
        <v>46225</v>
      </c>
      <c r="B215" s="40" t="n">
        <v>0.7083333333333334</v>
      </c>
      <c r="C215" s="35" t="inlineStr">
        <is>
          <t>Dra. Carolina Mendes</t>
        </is>
      </c>
      <c r="D215" s="35" t="inlineStr">
        <is>
          <t>Sala 1</t>
        </is>
      </c>
      <c r="E215" s="34" t="inlineStr">
        <is>
          <t>Débora Ramos</t>
        </is>
      </c>
      <c r="F215" s="35" t="inlineStr">
        <is>
          <t>Particular</t>
        </is>
      </c>
      <c r="G215" s="35" t="inlineStr">
        <is>
          <t>Consulta</t>
        </is>
      </c>
      <c r="H215" s="35" t="inlineStr">
        <is>
          <t>Realizado</t>
        </is>
      </c>
      <c r="I215" s="35" t="inlineStr">
        <is>
          <t>Pix</t>
        </is>
      </c>
      <c r="J215" s="35" t="n"/>
      <c r="K215" s="34" t="n"/>
      <c r="L215" s="26">
        <f>IF(A215="","",MONTH(A215))</f>
        <v>7</v>
      </c>
      <c r="M215" s="26">
        <f>IF(A215="","",YEAR(A215))</f>
        <v>2026</v>
      </c>
      <c r="N215" s="26" t="str">
        <f>IF(A215="","",CHOOSE(WEEKDAY(A215,2),"Segunda","Terça","Quarta","Quinta","Sexta","Sábado","Domingo"))</f>
        <v>Quarta</v>
      </c>
      <c r="O215" s="26" t="str">
        <f>IF(B215="","",IF(B215&lt;TIME(12,0,0),"Manhã",IF(B215&lt;TIME(18,0,0),"Tarde","Noite")))</f>
        <v>Tarde</v>
      </c>
      <c r="P215" s="32">
        <f>IF(G215="","",IFERROR(INDEX(Config!$I$5:$I$16,MATCH(G215,Config!$H$5:$H$16,0)),0))</f>
        <v>30</v>
      </c>
      <c r="Q215" s="30">
        <f>IF(OR(H215&lt;&gt;"Realizado",P215="",P215=0),"",A215+P215)</f>
        <v>46255.0</v>
      </c>
      <c r="R215" s="26" t="str">
        <f>IF(Q215="","",IF(COUNTIFS($E$5:$E$1204,E215,$A$5:$A$1204,"&gt;"&amp;A215,$H$5:$H$1204,"&lt;&gt;Falta",$H$5:$H$1204,"&lt;&gt;Cancelado",$H$5:$H$1204,"&lt;&gt;Remarcado")&gt;0,"Sim","Não"))</f>
        <v>Sim</v>
      </c>
      <c r="S215" s="32">
        <f>IF(R215&lt;&gt;"Não","",IF(Q215+Config!$B$9&lt;=Config!$B$8,Config!$B$8-Q215,""))</f>
        <v/>
      </c>
      <c r="T215" s="26">
        <f>IF(S215="","","Sim")</f>
        <v/>
      </c>
      <c r="U215" s="41">
        <f>IF(T215="Sim",S215+ROW()/100000,0)</f>
        <v>0</v>
      </c>
      <c r="V215" s="41">
        <f>IF(AND(H215="Falta",L215=Config!$B$7,M215=Config!$B$5,COUNTIFS($E$5:E215,E215,$H$5:H215,"Falta",$L$5:L215,Config!$B$7,$M$5:M215,Config!$B$5)=1),COUNTIFS($E$5:$E$1204,E215,$H$5:$H$1204,"Falta",$L$5:$L$1204,Config!$B$7,$M$5:$M$1204,Config!$B$5)*1000-ROW()/100000,0)</f>
        <v>0</v>
      </c>
    </row>
    <row r="216">
      <c r="A216" s="39" t="n">
        <v>46225</v>
      </c>
      <c r="B216" s="40" t="n">
        <v>0.7291666666666666</v>
      </c>
      <c r="C216" s="35" t="inlineStr">
        <is>
          <t>Dra. Carolina Mendes</t>
        </is>
      </c>
      <c r="D216" s="35" t="inlineStr">
        <is>
          <t>Sala 1</t>
        </is>
      </c>
      <c r="E216" s="34" t="inlineStr">
        <is>
          <t>Gustavo Ferreira</t>
        </is>
      </c>
      <c r="F216" s="35" t="inlineStr">
        <is>
          <t>Particular</t>
        </is>
      </c>
      <c r="G216" s="35" t="inlineStr">
        <is>
          <t>Consulta</t>
        </is>
      </c>
      <c r="H216" s="35" t="inlineStr">
        <is>
          <t>Realizado</t>
        </is>
      </c>
      <c r="I216" s="35" t="inlineStr">
        <is>
          <t>A prazo</t>
        </is>
      </c>
      <c r="J216" s="35" t="n"/>
      <c r="K216" s="34" t="n"/>
      <c r="L216" s="26">
        <f>IF(A216="","",MONTH(A216))</f>
        <v>7</v>
      </c>
      <c r="M216" s="26">
        <f>IF(A216="","",YEAR(A216))</f>
        <v>2026</v>
      </c>
      <c r="N216" s="26" t="str">
        <f>IF(A216="","",CHOOSE(WEEKDAY(A216,2),"Segunda","Terça","Quarta","Quinta","Sexta","Sábado","Domingo"))</f>
        <v>Quarta</v>
      </c>
      <c r="O216" s="26" t="str">
        <f>IF(B216="","",IF(B216&lt;TIME(12,0,0),"Manhã",IF(B216&lt;TIME(18,0,0),"Tarde","Noite")))</f>
        <v>Tarde</v>
      </c>
      <c r="P216" s="32">
        <f>IF(G216="","",IFERROR(INDEX(Config!$I$5:$I$16,MATCH(G216,Config!$H$5:$H$16,0)),0))</f>
        <v>30</v>
      </c>
      <c r="Q216" s="30">
        <f>IF(OR(H216&lt;&gt;"Realizado",P216="",P216=0),"",A216+P216)</f>
        <v>46255.0</v>
      </c>
      <c r="R216" s="26" t="str">
        <f>IF(Q216="","",IF(COUNTIFS($E$5:$E$1204,E216,$A$5:$A$1204,"&gt;"&amp;A216,$H$5:$H$1204,"&lt;&gt;Falta",$H$5:$H$1204,"&lt;&gt;Cancelado",$H$5:$H$1204,"&lt;&gt;Remarcado")&gt;0,"Sim","Não"))</f>
        <v>Sim</v>
      </c>
      <c r="S216" s="32">
        <f>IF(R216&lt;&gt;"Não","",IF(Q216+Config!$B$9&lt;=Config!$B$8,Config!$B$8-Q216,""))</f>
        <v/>
      </c>
      <c r="T216" s="26">
        <f>IF(S216="","","Sim")</f>
        <v/>
      </c>
      <c r="U216" s="41">
        <f>IF(T216="Sim",S216+ROW()/100000,0)</f>
        <v>0</v>
      </c>
      <c r="V216" s="41">
        <f>IF(AND(H216="Falta",L216=Config!$B$7,M216=Config!$B$5,COUNTIFS($E$5:E216,E216,$H$5:H216,"Falta",$L$5:L216,Config!$B$7,$M$5:M216,Config!$B$5)=1),COUNTIFS($E$5:$E$1204,E216,$H$5:$H$1204,"Falta",$L$5:$L$1204,Config!$B$7,$M$5:$M$1204,Config!$B$5)*1000-ROW()/100000,0)</f>
        <v>0</v>
      </c>
    </row>
    <row r="217">
      <c r="A217" s="39" t="n">
        <v>46226</v>
      </c>
      <c r="B217" s="40" t="n">
        <v>0.3333333333333333</v>
      </c>
      <c r="C217" s="35" t="inlineStr">
        <is>
          <t>Dra. Carolina Mendes</t>
        </is>
      </c>
      <c r="D217" s="35" t="inlineStr">
        <is>
          <t>Sala 1</t>
        </is>
      </c>
      <c r="E217" s="34" t="inlineStr">
        <is>
          <t>Mariana Nascimento</t>
        </is>
      </c>
      <c r="F217" s="35" t="inlineStr">
        <is>
          <t>Particular</t>
        </is>
      </c>
      <c r="G217" s="35" t="inlineStr">
        <is>
          <t>Consulta</t>
        </is>
      </c>
      <c r="H217" s="35" t="inlineStr">
        <is>
          <t>Realizado</t>
        </is>
      </c>
      <c r="I217" s="35" t="inlineStr">
        <is>
          <t>Cartão de débito</t>
        </is>
      </c>
      <c r="J217" s="35" t="n"/>
      <c r="K217" s="34" t="n"/>
      <c r="L217" s="26">
        <f>IF(A217="","",MONTH(A217))</f>
        <v>7</v>
      </c>
      <c r="M217" s="26">
        <f>IF(A217="","",YEAR(A217))</f>
        <v>2026</v>
      </c>
      <c r="N217" s="26" t="str">
        <f>IF(A217="","",CHOOSE(WEEKDAY(A217,2),"Segunda","Terça","Quarta","Quinta","Sexta","Sábado","Domingo"))</f>
        <v>Quinta</v>
      </c>
      <c r="O217" s="26" t="str">
        <f>IF(B217="","",IF(B217&lt;TIME(12,0,0),"Manhã",IF(B217&lt;TIME(18,0,0),"Tarde","Noite")))</f>
        <v>Manhã</v>
      </c>
      <c r="P217" s="32">
        <f>IF(G217="","",IFERROR(INDEX(Config!$I$5:$I$16,MATCH(G217,Config!$H$5:$H$16,0)),0))</f>
        <v>30</v>
      </c>
      <c r="Q217" s="30">
        <f>IF(OR(H217&lt;&gt;"Realizado",P217="",P217=0),"",A217+P217)</f>
        <v>46256.0</v>
      </c>
      <c r="R217" s="26" t="str">
        <f>IF(Q217="","",IF(COUNTIFS($E$5:$E$1204,E217,$A$5:$A$1204,"&gt;"&amp;A217,$H$5:$H$1204,"&lt;&gt;Falta",$H$5:$H$1204,"&lt;&gt;Cancelado",$H$5:$H$1204,"&lt;&gt;Remarcado")&gt;0,"Sim","Não"))</f>
        <v>Sim</v>
      </c>
      <c r="S217" s="32">
        <f>IF(R217&lt;&gt;"Não","",IF(Q217+Config!$B$9&lt;=Config!$B$8,Config!$B$8-Q217,""))</f>
        <v/>
      </c>
      <c r="T217" s="26">
        <f>IF(S217="","","Sim")</f>
        <v/>
      </c>
      <c r="U217" s="41">
        <f>IF(T217="Sim",S217+ROW()/100000,0)</f>
        <v>0</v>
      </c>
      <c r="V217" s="41">
        <f>IF(AND(H217="Falta",L217=Config!$B$7,M217=Config!$B$5,COUNTIFS($E$5:E217,E217,$H$5:H217,"Falta",$L$5:L217,Config!$B$7,$M$5:M217,Config!$B$5)=1),COUNTIFS($E$5:$E$1204,E217,$H$5:$H$1204,"Falta",$L$5:$L$1204,Config!$B$7,$M$5:$M$1204,Config!$B$5)*1000-ROW()/100000,0)</f>
        <v>0</v>
      </c>
    </row>
    <row r="218">
      <c r="A218" s="39" t="n">
        <v>46226</v>
      </c>
      <c r="B218" s="40" t="n">
        <v>0.3541666666666667</v>
      </c>
      <c r="C218" s="35" t="inlineStr">
        <is>
          <t>Dra. Carolina Mendes</t>
        </is>
      </c>
      <c r="D218" s="35" t="inlineStr">
        <is>
          <t>Sala 1</t>
        </is>
      </c>
      <c r="E218" s="34" t="inlineStr">
        <is>
          <t>Eduardo Reis</t>
        </is>
      </c>
      <c r="F218" s="35" t="inlineStr">
        <is>
          <t>Vida Care</t>
        </is>
      </c>
      <c r="G218" s="35" t="inlineStr">
        <is>
          <t>Consulta</t>
        </is>
      </c>
      <c r="H218" s="35" t="inlineStr">
        <is>
          <t>Realizado</t>
        </is>
      </c>
      <c r="I218" s="35" t="inlineStr">
        <is>
          <t>Convênio</t>
        </is>
      </c>
      <c r="J218" s="35" t="n"/>
      <c r="K218" s="34" t="n"/>
      <c r="L218" s="26">
        <f>IF(A218="","",MONTH(A218))</f>
        <v>7</v>
      </c>
      <c r="M218" s="26">
        <f>IF(A218="","",YEAR(A218))</f>
        <v>2026</v>
      </c>
      <c r="N218" s="26" t="str">
        <f>IF(A218="","",CHOOSE(WEEKDAY(A218,2),"Segunda","Terça","Quarta","Quinta","Sexta","Sábado","Domingo"))</f>
        <v>Quinta</v>
      </c>
      <c r="O218" s="26" t="str">
        <f>IF(B218="","",IF(B218&lt;TIME(12,0,0),"Manhã",IF(B218&lt;TIME(18,0,0),"Tarde","Noite")))</f>
        <v>Manhã</v>
      </c>
      <c r="P218" s="32">
        <f>IF(G218="","",IFERROR(INDEX(Config!$I$5:$I$16,MATCH(G218,Config!$H$5:$H$16,0)),0))</f>
        <v>30</v>
      </c>
      <c r="Q218" s="30">
        <f>IF(OR(H218&lt;&gt;"Realizado",P218="",P218=0),"",A218+P218)</f>
        <v>46256.0</v>
      </c>
      <c r="R218" s="26" t="str">
        <f>IF(Q218="","",IF(COUNTIFS($E$5:$E$1204,E218,$A$5:$A$1204,"&gt;"&amp;A218,$H$5:$H$1204,"&lt;&gt;Falta",$H$5:$H$1204,"&lt;&gt;Cancelado",$H$5:$H$1204,"&lt;&gt;Remarcado")&gt;0,"Sim","Não"))</f>
        <v>Sim</v>
      </c>
      <c r="S218" s="32">
        <f>IF(R218&lt;&gt;"Não","",IF(Q218+Config!$B$9&lt;=Config!$B$8,Config!$B$8-Q218,""))</f>
        <v/>
      </c>
      <c r="T218" s="26">
        <f>IF(S218="","","Sim")</f>
        <v/>
      </c>
      <c r="U218" s="41">
        <f>IF(T218="Sim",S218+ROW()/100000,0)</f>
        <v>0</v>
      </c>
      <c r="V218" s="41">
        <f>IF(AND(H218="Falta",L218=Config!$B$7,M218=Config!$B$5,COUNTIFS($E$5:E218,E218,$H$5:H218,"Falta",$L$5:L218,Config!$B$7,$M$5:M218,Config!$B$5)=1),COUNTIFS($E$5:$E$1204,E218,$H$5:$H$1204,"Falta",$L$5:$L$1204,Config!$B$7,$M$5:$M$1204,Config!$B$5)*1000-ROW()/100000,0)</f>
        <v>0</v>
      </c>
    </row>
    <row r="219">
      <c r="A219" s="39" t="n">
        <v>46226</v>
      </c>
      <c r="B219" s="40" t="n">
        <v>0.375</v>
      </c>
      <c r="C219" s="35" t="inlineStr">
        <is>
          <t>Dra. Carolina Mendes</t>
        </is>
      </c>
      <c r="D219" s="35" t="inlineStr">
        <is>
          <t>Sala 1</t>
        </is>
      </c>
      <c r="E219" s="34" t="inlineStr">
        <is>
          <t>Letícia Vieira</t>
        </is>
      </c>
      <c r="F219" s="35" t="inlineStr">
        <is>
          <t>Saúde Total</t>
        </is>
      </c>
      <c r="G219" s="35" t="inlineStr">
        <is>
          <t>Consulta</t>
        </is>
      </c>
      <c r="H219" s="35" t="inlineStr">
        <is>
          <t>Realizado</t>
        </is>
      </c>
      <c r="I219" s="35" t="inlineStr">
        <is>
          <t>Convênio</t>
        </is>
      </c>
      <c r="J219" s="35" t="n"/>
      <c r="K219" s="34" t="n"/>
      <c r="L219" s="26">
        <f>IF(A219="","",MONTH(A219))</f>
        <v>7</v>
      </c>
      <c r="M219" s="26">
        <f>IF(A219="","",YEAR(A219))</f>
        <v>2026</v>
      </c>
      <c r="N219" s="26" t="str">
        <f>IF(A219="","",CHOOSE(WEEKDAY(A219,2),"Segunda","Terça","Quarta","Quinta","Sexta","Sábado","Domingo"))</f>
        <v>Quinta</v>
      </c>
      <c r="O219" s="26" t="str">
        <f>IF(B219="","",IF(B219&lt;TIME(12,0,0),"Manhã",IF(B219&lt;TIME(18,0,0),"Tarde","Noite")))</f>
        <v>Manhã</v>
      </c>
      <c r="P219" s="32">
        <f>IF(G219="","",IFERROR(INDEX(Config!$I$5:$I$16,MATCH(G219,Config!$H$5:$H$16,0)),0))</f>
        <v>30</v>
      </c>
      <c r="Q219" s="30">
        <f>IF(OR(H219&lt;&gt;"Realizado",P219="",P219=0),"",A219+P219)</f>
        <v>46256.0</v>
      </c>
      <c r="R219" s="26" t="str">
        <f>IF(Q219="","",IF(COUNTIFS($E$5:$E$1204,E219,$A$5:$A$1204,"&gt;"&amp;A219,$H$5:$H$1204,"&lt;&gt;Falta",$H$5:$H$1204,"&lt;&gt;Cancelado",$H$5:$H$1204,"&lt;&gt;Remarcado")&gt;0,"Sim","Não"))</f>
        <v>Sim</v>
      </c>
      <c r="S219" s="32">
        <f>IF(R219&lt;&gt;"Não","",IF(Q219+Config!$B$9&lt;=Config!$B$8,Config!$B$8-Q219,""))</f>
        <v/>
      </c>
      <c r="T219" s="26">
        <f>IF(S219="","","Sim")</f>
        <v/>
      </c>
      <c r="U219" s="41">
        <f>IF(T219="Sim",S219+ROW()/100000,0)</f>
        <v>0</v>
      </c>
      <c r="V219" s="41">
        <f>IF(AND(H219="Falta",L219=Config!$B$7,M219=Config!$B$5,COUNTIFS($E$5:E219,E219,$H$5:H219,"Falta",$L$5:L219,Config!$B$7,$M$5:M219,Config!$B$5)=1),COUNTIFS($E$5:$E$1204,E219,$H$5:$H$1204,"Falta",$L$5:$L$1204,Config!$B$7,$M$5:$M$1204,Config!$B$5)*1000-ROW()/100000,0)</f>
        <v>0</v>
      </c>
    </row>
    <row r="220">
      <c r="A220" s="39" t="n">
        <v>46226</v>
      </c>
      <c r="B220" s="40" t="n">
        <v>0.3958333333333333</v>
      </c>
      <c r="C220" s="35" t="inlineStr">
        <is>
          <t>Dra. Carolina Mendes</t>
        </is>
      </c>
      <c r="D220" s="35" t="inlineStr">
        <is>
          <t>Sala 1</t>
        </is>
      </c>
      <c r="E220" s="34" t="inlineStr">
        <is>
          <t>Elaine Cardoso</t>
        </is>
      </c>
      <c r="F220" s="35" t="inlineStr">
        <is>
          <t>Particular</t>
        </is>
      </c>
      <c r="G220" s="35" t="inlineStr">
        <is>
          <t>Consulta</t>
        </is>
      </c>
      <c r="H220" s="35" t="inlineStr">
        <is>
          <t>Realizado</t>
        </is>
      </c>
      <c r="I220" s="35" t="inlineStr">
        <is>
          <t>Pix</t>
        </is>
      </c>
      <c r="J220" s="35" t="n"/>
      <c r="K220" s="34" t="n"/>
      <c r="L220" s="26">
        <f>IF(A220="","",MONTH(A220))</f>
        <v>7</v>
      </c>
      <c r="M220" s="26">
        <f>IF(A220="","",YEAR(A220))</f>
        <v>2026</v>
      </c>
      <c r="N220" s="26" t="str">
        <f>IF(A220="","",CHOOSE(WEEKDAY(A220,2),"Segunda","Terça","Quarta","Quinta","Sexta","Sábado","Domingo"))</f>
        <v>Quinta</v>
      </c>
      <c r="O220" s="26" t="str">
        <f>IF(B220="","",IF(B220&lt;TIME(12,0,0),"Manhã",IF(B220&lt;TIME(18,0,0),"Tarde","Noite")))</f>
        <v>Manhã</v>
      </c>
      <c r="P220" s="32">
        <f>IF(G220="","",IFERROR(INDEX(Config!$I$5:$I$16,MATCH(G220,Config!$H$5:$H$16,0)),0))</f>
        <v>30</v>
      </c>
      <c r="Q220" s="30">
        <f>IF(OR(H220&lt;&gt;"Realizado",P220="",P220=0),"",A220+P220)</f>
        <v>46256.0</v>
      </c>
      <c r="R220" s="26" t="str">
        <f>IF(Q220="","",IF(COUNTIFS($E$5:$E$1204,E220,$A$5:$A$1204,"&gt;"&amp;A220,$H$5:$H$1204,"&lt;&gt;Falta",$H$5:$H$1204,"&lt;&gt;Cancelado",$H$5:$H$1204,"&lt;&gt;Remarcado")&gt;0,"Sim","Não"))</f>
        <v>Sim</v>
      </c>
      <c r="S220" s="32">
        <f>IF(R220&lt;&gt;"Não","",IF(Q220+Config!$B$9&lt;=Config!$B$8,Config!$B$8-Q220,""))</f>
        <v/>
      </c>
      <c r="T220" s="26">
        <f>IF(S220="","","Sim")</f>
        <v/>
      </c>
      <c r="U220" s="41">
        <f>IF(T220="Sim",S220+ROW()/100000,0)</f>
        <v>0</v>
      </c>
      <c r="V220" s="41">
        <f>IF(AND(H220="Falta",L220=Config!$B$7,M220=Config!$B$5,COUNTIFS($E$5:E220,E220,$H$5:H220,"Falta",$L$5:L220,Config!$B$7,$M$5:M220,Config!$B$5)=1),COUNTIFS($E$5:$E$1204,E220,$H$5:$H$1204,"Falta",$L$5:$L$1204,Config!$B$7,$M$5:$M$1204,Config!$B$5)*1000-ROW()/100000,0)</f>
        <v>0</v>
      </c>
    </row>
    <row r="221">
      <c r="A221" s="39" t="n">
        <v>46226</v>
      </c>
      <c r="B221" s="40" t="n">
        <v>0.4375</v>
      </c>
      <c r="C221" s="35" t="inlineStr">
        <is>
          <t>Dra. Carolina Mendes</t>
        </is>
      </c>
      <c r="D221" s="35" t="inlineStr">
        <is>
          <t>Sala 1</t>
        </is>
      </c>
      <c r="E221" s="34" t="inlineStr">
        <is>
          <t>Priscila Castro</t>
        </is>
      </c>
      <c r="F221" s="35" t="inlineStr">
        <is>
          <t>Saúde Total</t>
        </is>
      </c>
      <c r="G221" s="35" t="inlineStr">
        <is>
          <t>Consulta</t>
        </is>
      </c>
      <c r="H221" s="35" t="inlineStr">
        <is>
          <t>Falta</t>
        </is>
      </c>
      <c r="I221" s="35" t="n"/>
      <c r="J221" s="35" t="n"/>
      <c r="K221" s="34" t="n"/>
      <c r="L221" s="26">
        <f>IF(A221="","",MONTH(A221))</f>
        <v>7</v>
      </c>
      <c r="M221" s="26">
        <f>IF(A221="","",YEAR(A221))</f>
        <v>2026</v>
      </c>
      <c r="N221" s="26" t="str">
        <f>IF(A221="","",CHOOSE(WEEKDAY(A221,2),"Segunda","Terça","Quarta","Quinta","Sexta","Sábado","Domingo"))</f>
        <v>Quinta</v>
      </c>
      <c r="O221" s="26" t="str">
        <f>IF(B221="","",IF(B221&lt;TIME(12,0,0),"Manhã",IF(B221&lt;TIME(18,0,0),"Tarde","Noite")))</f>
        <v>Manhã</v>
      </c>
      <c r="P221" s="32">
        <f>IF(G221="","",IFERROR(INDEX(Config!$I$5:$I$16,MATCH(G221,Config!$H$5:$H$16,0)),0))</f>
        <v>30</v>
      </c>
      <c r="Q221" s="30">
        <f>IF(OR(H221&lt;&gt;"Realizado",P221="",P221=0),"",A221+P221)</f>
        <v/>
      </c>
      <c r="R221" s="26">
        <f>IF(Q221="","",IF(COUNTIFS($E$5:$E$1204,E221,$A$5:$A$1204,"&gt;"&amp;A221,$H$5:$H$1204,"&lt;&gt;Falta",$H$5:$H$1204,"&lt;&gt;Cancelado",$H$5:$H$1204,"&lt;&gt;Remarcado")&gt;0,"Sim","Não"))</f>
        <v/>
      </c>
      <c r="S221" s="32">
        <f>IF(R221&lt;&gt;"Não","",IF(Q221+Config!$B$9&lt;=Config!$B$8,Config!$B$8-Q221,""))</f>
        <v/>
      </c>
      <c r="T221" s="26">
        <f>IF(S221="","","Sim")</f>
        <v/>
      </c>
      <c r="U221" s="41">
        <f>IF(T221="Sim",S221+ROW()/100000,0)</f>
        <v>0</v>
      </c>
      <c r="V221" s="41">
        <f>IF(AND(H221="Falta",L221=Config!$B$7,M221=Config!$B$5,COUNTIFS($E$5:E221,E221,$H$5:H221,"Falta",$L$5:L221,Config!$B$7,$M$5:M221,Config!$B$5)=1),COUNTIFS($E$5:$E$1204,E221,$H$5:$H$1204,"Falta",$L$5:$L$1204,Config!$B$7,$M$5:$M$1204,Config!$B$5)*1000-ROW()/100000,0)</f>
        <v>0</v>
      </c>
    </row>
    <row r="222">
      <c r="A222" s="39" t="n">
        <v>46226</v>
      </c>
      <c r="B222" s="40" t="n">
        <v>0.4583333333333333</v>
      </c>
      <c r="C222" s="35" t="inlineStr">
        <is>
          <t>Dra. Carolina Mendes</t>
        </is>
      </c>
      <c r="D222" s="35" t="inlineStr">
        <is>
          <t>Sala 1</t>
        </is>
      </c>
      <c r="E222" s="34" t="inlineStr">
        <is>
          <t>Otávio Cardoso</t>
        </is>
      </c>
      <c r="F222" s="35" t="inlineStr">
        <is>
          <t>Particular</t>
        </is>
      </c>
      <c r="G222" s="35" t="inlineStr">
        <is>
          <t>Consulta</t>
        </is>
      </c>
      <c r="H222" s="35" t="inlineStr">
        <is>
          <t>Realizado</t>
        </is>
      </c>
      <c r="I222" s="35" t="inlineStr">
        <is>
          <t>Cartão de crédito</t>
        </is>
      </c>
      <c r="J222" s="35" t="n">
        <v>2</v>
      </c>
      <c r="K222" s="34" t="n"/>
      <c r="L222" s="26">
        <f>IF(A222="","",MONTH(A222))</f>
        <v>7</v>
      </c>
      <c r="M222" s="26">
        <f>IF(A222="","",YEAR(A222))</f>
        <v>2026</v>
      </c>
      <c r="N222" s="26" t="str">
        <f>IF(A222="","",CHOOSE(WEEKDAY(A222,2),"Segunda","Terça","Quarta","Quinta","Sexta","Sábado","Domingo"))</f>
        <v>Quinta</v>
      </c>
      <c r="O222" s="26" t="str">
        <f>IF(B222="","",IF(B222&lt;TIME(12,0,0),"Manhã",IF(B222&lt;TIME(18,0,0),"Tarde","Noite")))</f>
        <v>Manhã</v>
      </c>
      <c r="P222" s="32">
        <f>IF(G222="","",IFERROR(INDEX(Config!$I$5:$I$16,MATCH(G222,Config!$H$5:$H$16,0)),0))</f>
        <v>30</v>
      </c>
      <c r="Q222" s="30">
        <f>IF(OR(H222&lt;&gt;"Realizado",P222="",P222=0),"",A222+P222)</f>
        <v>46256.0</v>
      </c>
      <c r="R222" s="26" t="str">
        <f>IF(Q222="","",IF(COUNTIFS($E$5:$E$1204,E222,$A$5:$A$1204,"&gt;"&amp;A222,$H$5:$H$1204,"&lt;&gt;Falta",$H$5:$H$1204,"&lt;&gt;Cancelado",$H$5:$H$1204,"&lt;&gt;Remarcado")&gt;0,"Sim","Não"))</f>
        <v>Sim</v>
      </c>
      <c r="S222" s="32">
        <f>IF(R222&lt;&gt;"Não","",IF(Q222+Config!$B$9&lt;=Config!$B$8,Config!$B$8-Q222,""))</f>
        <v/>
      </c>
      <c r="T222" s="26">
        <f>IF(S222="","","Sim")</f>
        <v/>
      </c>
      <c r="U222" s="41">
        <f>IF(T222="Sim",S222+ROW()/100000,0)</f>
        <v>0</v>
      </c>
      <c r="V222" s="41">
        <f>IF(AND(H222="Falta",L222=Config!$B$7,M222=Config!$B$5,COUNTIFS($E$5:E222,E222,$H$5:H222,"Falta",$L$5:L222,Config!$B$7,$M$5:M222,Config!$B$5)=1),COUNTIFS($E$5:$E$1204,E222,$H$5:$H$1204,"Falta",$L$5:$L$1204,Config!$B$7,$M$5:$M$1204,Config!$B$5)*1000-ROW()/100000,0)</f>
        <v>0</v>
      </c>
    </row>
    <row r="223">
      <c r="A223" s="39" t="n">
        <v>46226</v>
      </c>
      <c r="B223" s="40" t="n">
        <v>0.4791666666666667</v>
      </c>
      <c r="C223" s="35" t="inlineStr">
        <is>
          <t>Dra. Carolina Mendes</t>
        </is>
      </c>
      <c r="D223" s="35" t="inlineStr">
        <is>
          <t>Sala 1</t>
        </is>
      </c>
      <c r="E223" s="34" t="inlineStr">
        <is>
          <t>Helena Moreira</t>
        </is>
      </c>
      <c r="F223" s="35" t="inlineStr">
        <is>
          <t>Particular</t>
        </is>
      </c>
      <c r="G223" s="35" t="inlineStr">
        <is>
          <t>Consulta</t>
        </is>
      </c>
      <c r="H223" s="35" t="inlineStr">
        <is>
          <t>Realizado</t>
        </is>
      </c>
      <c r="I223" s="35" t="inlineStr">
        <is>
          <t>Cartão de crédito</t>
        </is>
      </c>
      <c r="J223" s="35" t="n"/>
      <c r="K223" s="34" t="n"/>
      <c r="L223" s="26">
        <f>IF(A223="","",MONTH(A223))</f>
        <v>7</v>
      </c>
      <c r="M223" s="26">
        <f>IF(A223="","",YEAR(A223))</f>
        <v>2026</v>
      </c>
      <c r="N223" s="26" t="str">
        <f>IF(A223="","",CHOOSE(WEEKDAY(A223,2),"Segunda","Terça","Quarta","Quinta","Sexta","Sábado","Domingo"))</f>
        <v>Quinta</v>
      </c>
      <c r="O223" s="26" t="str">
        <f>IF(B223="","",IF(B223&lt;TIME(12,0,0),"Manhã",IF(B223&lt;TIME(18,0,0),"Tarde","Noite")))</f>
        <v>Manhã</v>
      </c>
      <c r="P223" s="32">
        <f>IF(G223="","",IFERROR(INDEX(Config!$I$5:$I$16,MATCH(G223,Config!$H$5:$H$16,0)),0))</f>
        <v>30</v>
      </c>
      <c r="Q223" s="30">
        <f>IF(OR(H223&lt;&gt;"Realizado",P223="",P223=0),"",A223+P223)</f>
        <v>46256.0</v>
      </c>
      <c r="R223" s="26" t="str">
        <f>IF(Q223="","",IF(COUNTIFS($E$5:$E$1204,E223,$A$5:$A$1204,"&gt;"&amp;A223,$H$5:$H$1204,"&lt;&gt;Falta",$H$5:$H$1204,"&lt;&gt;Cancelado",$H$5:$H$1204,"&lt;&gt;Remarcado")&gt;0,"Sim","Não"))</f>
        <v>Sim</v>
      </c>
      <c r="S223" s="32">
        <f>IF(R223&lt;&gt;"Não","",IF(Q223+Config!$B$9&lt;=Config!$B$8,Config!$B$8-Q223,""))</f>
        <v/>
      </c>
      <c r="T223" s="26">
        <f>IF(S223="","","Sim")</f>
        <v/>
      </c>
      <c r="U223" s="41">
        <f>IF(T223="Sim",S223+ROW()/100000,0)</f>
        <v>0</v>
      </c>
      <c r="V223" s="41">
        <f>IF(AND(H223="Falta",L223=Config!$B$7,M223=Config!$B$5,COUNTIFS($E$5:E223,E223,$H$5:H223,"Falta",$L$5:L223,Config!$B$7,$M$5:M223,Config!$B$5)=1),COUNTIFS($E$5:$E$1204,E223,$H$5:$H$1204,"Falta",$L$5:$L$1204,Config!$B$7,$M$5:$M$1204,Config!$B$5)*1000-ROW()/100000,0)</f>
        <v>0</v>
      </c>
    </row>
    <row r="224">
      <c r="A224" s="39" t="n">
        <v>46226</v>
      </c>
      <c r="B224" s="40" t="n">
        <v>0.5833333333333334</v>
      </c>
      <c r="C224" s="35" t="inlineStr">
        <is>
          <t>Dra. Renata Sousa</t>
        </is>
      </c>
      <c r="D224" s="35" t="inlineStr">
        <is>
          <t>Sala 1</t>
        </is>
      </c>
      <c r="E224" s="34" t="inlineStr">
        <is>
          <t>Mariana Reis</t>
        </is>
      </c>
      <c r="F224" s="35" t="inlineStr">
        <is>
          <t>Particular</t>
        </is>
      </c>
      <c r="G224" s="35" t="inlineStr">
        <is>
          <t>Avaliação endócrina</t>
        </is>
      </c>
      <c r="H224" s="35" t="inlineStr">
        <is>
          <t>Realizado</t>
        </is>
      </c>
      <c r="I224" s="35" t="inlineStr">
        <is>
          <t>Pix</t>
        </is>
      </c>
      <c r="J224" s="35" t="n"/>
      <c r="K224" s="34" t="n"/>
      <c r="L224" s="26">
        <f>IF(A224="","",MONTH(A224))</f>
        <v>7</v>
      </c>
      <c r="M224" s="26">
        <f>IF(A224="","",YEAR(A224))</f>
        <v>2026</v>
      </c>
      <c r="N224" s="26" t="str">
        <f>IF(A224="","",CHOOSE(WEEKDAY(A224,2),"Segunda","Terça","Quarta","Quinta","Sexta","Sábado","Domingo"))</f>
        <v>Quinta</v>
      </c>
      <c r="O224" s="26" t="str">
        <f>IF(B224="","",IF(B224&lt;TIME(12,0,0),"Manhã",IF(B224&lt;TIME(18,0,0),"Tarde","Noite")))</f>
        <v>Tarde</v>
      </c>
      <c r="P224" s="32">
        <f>IF(G224="","",IFERROR(INDEX(Config!$I$5:$I$16,MATCH(G224,Config!$H$5:$H$16,0)),0))</f>
        <v>45</v>
      </c>
      <c r="Q224" s="30">
        <f>IF(OR(H224&lt;&gt;"Realizado",P224="",P224=0),"",A224+P224)</f>
        <v>46271.0</v>
      </c>
      <c r="R224" s="26" t="str">
        <f>IF(Q224="","",IF(COUNTIFS($E$5:$E$1204,E224,$A$5:$A$1204,"&gt;"&amp;A224,$H$5:$H$1204,"&lt;&gt;Falta",$H$5:$H$1204,"&lt;&gt;Cancelado",$H$5:$H$1204,"&lt;&gt;Remarcado")&gt;0,"Sim","Não"))</f>
        <v>Sim</v>
      </c>
      <c r="S224" s="32">
        <f>IF(R224&lt;&gt;"Não","",IF(Q224+Config!$B$9&lt;=Config!$B$8,Config!$B$8-Q224,""))</f>
        <v/>
      </c>
      <c r="T224" s="26">
        <f>IF(S224="","","Sim")</f>
        <v/>
      </c>
      <c r="U224" s="41">
        <f>IF(T224="Sim",S224+ROW()/100000,0)</f>
        <v>0</v>
      </c>
      <c r="V224" s="41">
        <f>IF(AND(H224="Falta",L224=Config!$B$7,M224=Config!$B$5,COUNTIFS($E$5:E224,E224,$H$5:H224,"Falta",$L$5:L224,Config!$B$7,$M$5:M224,Config!$B$5)=1),COUNTIFS($E$5:$E$1204,E224,$H$5:$H$1204,"Falta",$L$5:$L$1204,Config!$B$7,$M$5:$M$1204,Config!$B$5)*1000-ROW()/100000,0)</f>
        <v>0</v>
      </c>
    </row>
    <row r="225">
      <c r="A225" s="39" t="n">
        <v>46226</v>
      </c>
      <c r="B225" s="40" t="n">
        <v>0.5833333333333334</v>
      </c>
      <c r="C225" s="35" t="inlineStr">
        <is>
          <t>Dr. Paulo Andrade</t>
        </is>
      </c>
      <c r="D225" s="35" t="inlineStr">
        <is>
          <t>Sala 2</t>
        </is>
      </c>
      <c r="E225" s="34" t="inlineStr">
        <is>
          <t>Paulo Reis</t>
        </is>
      </c>
      <c r="F225" s="35" t="inlineStr">
        <is>
          <t>Particular</t>
        </is>
      </c>
      <c r="G225" s="35" t="inlineStr">
        <is>
          <t>Consulta</t>
        </is>
      </c>
      <c r="H225" s="35" t="inlineStr">
        <is>
          <t>Realizado</t>
        </is>
      </c>
      <c r="I225" s="35" t="inlineStr">
        <is>
          <t>Cartão de crédito</t>
        </is>
      </c>
      <c r="J225" s="35" t="n"/>
      <c r="K225" s="34" t="n"/>
      <c r="L225" s="26">
        <f>IF(A225="","",MONTH(A225))</f>
        <v>7</v>
      </c>
      <c r="M225" s="26">
        <f>IF(A225="","",YEAR(A225))</f>
        <v>2026</v>
      </c>
      <c r="N225" s="26" t="str">
        <f>IF(A225="","",CHOOSE(WEEKDAY(A225,2),"Segunda","Terça","Quarta","Quinta","Sexta","Sábado","Domingo"))</f>
        <v>Quinta</v>
      </c>
      <c r="O225" s="26" t="str">
        <f>IF(B225="","",IF(B225&lt;TIME(12,0,0),"Manhã",IF(B225&lt;TIME(18,0,0),"Tarde","Noite")))</f>
        <v>Tarde</v>
      </c>
      <c r="P225" s="32">
        <f>IF(G225="","",IFERROR(INDEX(Config!$I$5:$I$16,MATCH(G225,Config!$H$5:$H$16,0)),0))</f>
        <v>30</v>
      </c>
      <c r="Q225" s="30">
        <f>IF(OR(H225&lt;&gt;"Realizado",P225="",P225=0),"",A225+P225)</f>
        <v>46256.0</v>
      </c>
      <c r="R225" s="26" t="str">
        <f>IF(Q225="","",IF(COUNTIFS($E$5:$E$1204,E225,$A$5:$A$1204,"&gt;"&amp;A225,$H$5:$H$1204,"&lt;&gt;Falta",$H$5:$H$1204,"&lt;&gt;Cancelado",$H$5:$H$1204,"&lt;&gt;Remarcado")&gt;0,"Sim","Não"))</f>
        <v>Sim</v>
      </c>
      <c r="S225" s="32">
        <f>IF(R225&lt;&gt;"Não","",IF(Q225+Config!$B$9&lt;=Config!$B$8,Config!$B$8-Q225,""))</f>
        <v/>
      </c>
      <c r="T225" s="26">
        <f>IF(S225="","","Sim")</f>
        <v/>
      </c>
      <c r="U225" s="41">
        <f>IF(T225="Sim",S225+ROW()/100000,0)</f>
        <v>0</v>
      </c>
      <c r="V225" s="41">
        <f>IF(AND(H225="Falta",L225=Config!$B$7,M225=Config!$B$5,COUNTIFS($E$5:E225,E225,$H$5:H225,"Falta",$L$5:L225,Config!$B$7,$M$5:M225,Config!$B$5)=1),COUNTIFS($E$5:$E$1204,E225,$H$5:$H$1204,"Falta",$L$5:$L$1204,Config!$B$7,$M$5:$M$1204,Config!$B$5)*1000-ROW()/100000,0)</f>
        <v>0</v>
      </c>
    </row>
    <row r="226">
      <c r="A226" s="39" t="n">
        <v>46226</v>
      </c>
      <c r="B226" s="40" t="n">
        <v>0.6041666666666666</v>
      </c>
      <c r="C226" s="35" t="inlineStr">
        <is>
          <t>Dr. Paulo Andrade</t>
        </is>
      </c>
      <c r="D226" s="35" t="inlineStr">
        <is>
          <t>Sala 2</t>
        </is>
      </c>
      <c r="E226" s="34" t="inlineStr">
        <is>
          <t>Paulo Nascimento</t>
        </is>
      </c>
      <c r="F226" s="35" t="inlineStr">
        <is>
          <t>MediPlan</t>
        </is>
      </c>
      <c r="G226" s="35" t="inlineStr">
        <is>
          <t>Consulta</t>
        </is>
      </c>
      <c r="H226" s="35" t="inlineStr">
        <is>
          <t>Falta</t>
        </is>
      </c>
      <c r="I226" s="35" t="n"/>
      <c r="J226" s="35" t="n"/>
      <c r="K226" s="34" t="n"/>
      <c r="L226" s="26">
        <f>IF(A226="","",MONTH(A226))</f>
        <v>7</v>
      </c>
      <c r="M226" s="26">
        <f>IF(A226="","",YEAR(A226))</f>
        <v>2026</v>
      </c>
      <c r="N226" s="26" t="str">
        <f>IF(A226="","",CHOOSE(WEEKDAY(A226,2),"Segunda","Terça","Quarta","Quinta","Sexta","Sábado","Domingo"))</f>
        <v>Quinta</v>
      </c>
      <c r="O226" s="26" t="str">
        <f>IF(B226="","",IF(B226&lt;TIME(12,0,0),"Manhã",IF(B226&lt;TIME(18,0,0),"Tarde","Noite")))</f>
        <v>Tarde</v>
      </c>
      <c r="P226" s="32">
        <f>IF(G226="","",IFERROR(INDEX(Config!$I$5:$I$16,MATCH(G226,Config!$H$5:$H$16,0)),0))</f>
        <v>30</v>
      </c>
      <c r="Q226" s="30">
        <f>IF(OR(H226&lt;&gt;"Realizado",P226="",P226=0),"",A226+P226)</f>
        <v/>
      </c>
      <c r="R226" s="26">
        <f>IF(Q226="","",IF(COUNTIFS($E$5:$E$1204,E226,$A$5:$A$1204,"&gt;"&amp;A226,$H$5:$H$1204,"&lt;&gt;Falta",$H$5:$H$1204,"&lt;&gt;Cancelado",$H$5:$H$1204,"&lt;&gt;Remarcado")&gt;0,"Sim","Não"))</f>
        <v/>
      </c>
      <c r="S226" s="32">
        <f>IF(R226&lt;&gt;"Não","",IF(Q226+Config!$B$9&lt;=Config!$B$8,Config!$B$8-Q226,""))</f>
        <v/>
      </c>
      <c r="T226" s="26">
        <f>IF(S226="","","Sim")</f>
        <v/>
      </c>
      <c r="U226" s="41">
        <f>IF(T226="Sim",S226+ROW()/100000,0)</f>
        <v>0</v>
      </c>
      <c r="V226" s="41">
        <f>IF(AND(H226="Falta",L226=Config!$B$7,M226=Config!$B$5,COUNTIFS($E$5:E226,E226,$H$5:H226,"Falta",$L$5:L226,Config!$B$7,$M$5:M226,Config!$B$5)=1),COUNTIFS($E$5:$E$1204,E226,$H$5:$H$1204,"Falta",$L$5:$L$1204,Config!$B$7,$M$5:$M$1204,Config!$B$5)*1000-ROW()/100000,0)</f>
        <v>0</v>
      </c>
    </row>
    <row r="227">
      <c r="A227" s="39" t="n">
        <v>46226</v>
      </c>
      <c r="B227" s="40" t="n">
        <v>0.6111111111111112</v>
      </c>
      <c r="C227" s="35" t="inlineStr">
        <is>
          <t>Dra. Renata Sousa</t>
        </is>
      </c>
      <c r="D227" s="35" t="inlineStr">
        <is>
          <t>Sala 1</t>
        </is>
      </c>
      <c r="E227" s="34" t="inlineStr">
        <is>
          <t>Fábio Gomes</t>
        </is>
      </c>
      <c r="F227" s="35" t="inlineStr">
        <is>
          <t>Particular</t>
        </is>
      </c>
      <c r="G227" s="35" t="inlineStr">
        <is>
          <t>Retorno</t>
        </is>
      </c>
      <c r="H227" s="35" t="inlineStr">
        <is>
          <t>Realizado</t>
        </is>
      </c>
      <c r="I227" s="35" t="inlineStr">
        <is>
          <t>Sem cobrança</t>
        </is>
      </c>
      <c r="J227" s="35" t="n"/>
      <c r="K227" s="34" t="n"/>
      <c r="L227" s="26">
        <f>IF(A227="","",MONTH(A227))</f>
        <v>7</v>
      </c>
      <c r="M227" s="26">
        <f>IF(A227="","",YEAR(A227))</f>
        <v>2026</v>
      </c>
      <c r="N227" s="26" t="str">
        <f>IF(A227="","",CHOOSE(WEEKDAY(A227,2),"Segunda","Terça","Quarta","Quinta","Sexta","Sábado","Domingo"))</f>
        <v>Quinta</v>
      </c>
      <c r="O227" s="26" t="str">
        <f>IF(B227="","",IF(B227&lt;TIME(12,0,0),"Manhã",IF(B227&lt;TIME(18,0,0),"Tarde","Noite")))</f>
        <v>Tarde</v>
      </c>
      <c r="P227" s="32">
        <f>IF(G227="","",IFERROR(INDEX(Config!$I$5:$I$16,MATCH(G227,Config!$H$5:$H$16,0)),0))</f>
        <v>0</v>
      </c>
      <c r="Q227" s="30">
        <f>IF(OR(H227&lt;&gt;"Realizado",P227="",P227=0),"",A227+P227)</f>
        <v/>
      </c>
      <c r="R227" s="26">
        <f>IF(Q227="","",IF(COUNTIFS($E$5:$E$1204,E227,$A$5:$A$1204,"&gt;"&amp;A227,$H$5:$H$1204,"&lt;&gt;Falta",$H$5:$H$1204,"&lt;&gt;Cancelado",$H$5:$H$1204,"&lt;&gt;Remarcado")&gt;0,"Sim","Não"))</f>
        <v/>
      </c>
      <c r="S227" s="32">
        <f>IF(R227&lt;&gt;"Não","",IF(Q227+Config!$B$9&lt;=Config!$B$8,Config!$B$8-Q227,""))</f>
        <v/>
      </c>
      <c r="T227" s="26">
        <f>IF(S227="","","Sim")</f>
        <v/>
      </c>
      <c r="U227" s="41">
        <f>IF(T227="Sim",S227+ROW()/100000,0)</f>
        <v>0</v>
      </c>
      <c r="V227" s="41">
        <f>IF(AND(H227="Falta",L227=Config!$B$7,M227=Config!$B$5,COUNTIFS($E$5:E227,E227,$H$5:H227,"Falta",$L$5:L227,Config!$B$7,$M$5:M227,Config!$B$5)=1),COUNTIFS($E$5:$E$1204,E227,$H$5:$H$1204,"Falta",$L$5:$L$1204,Config!$B$7,$M$5:$M$1204,Config!$B$5)*1000-ROW()/100000,0)</f>
        <v>0</v>
      </c>
    </row>
    <row r="228">
      <c r="A228" s="39" t="n">
        <v>46226</v>
      </c>
      <c r="B228" s="40" t="n">
        <v>0.625</v>
      </c>
      <c r="C228" s="35" t="inlineStr">
        <is>
          <t>Dra. Renata Sousa</t>
        </is>
      </c>
      <c r="D228" s="35" t="inlineStr">
        <is>
          <t>Sala 1</t>
        </is>
      </c>
      <c r="E228" s="34" t="inlineStr">
        <is>
          <t>Márcia Duarte</t>
        </is>
      </c>
      <c r="F228" s="35" t="inlineStr">
        <is>
          <t>Particular</t>
        </is>
      </c>
      <c r="G228" s="35" t="inlineStr">
        <is>
          <t>Avaliação endócrina</t>
        </is>
      </c>
      <c r="H228" s="35" t="inlineStr">
        <is>
          <t>Realizado</t>
        </is>
      </c>
      <c r="I228" s="35" t="inlineStr">
        <is>
          <t>A prazo</t>
        </is>
      </c>
      <c r="J228" s="35" t="n"/>
      <c r="K228" s="34" t="n"/>
      <c r="L228" s="26">
        <f>IF(A228="","",MONTH(A228))</f>
        <v>7</v>
      </c>
      <c r="M228" s="26">
        <f>IF(A228="","",YEAR(A228))</f>
        <v>2026</v>
      </c>
      <c r="N228" s="26" t="str">
        <f>IF(A228="","",CHOOSE(WEEKDAY(A228,2),"Segunda","Terça","Quarta","Quinta","Sexta","Sábado","Domingo"))</f>
        <v>Quinta</v>
      </c>
      <c r="O228" s="26" t="str">
        <f>IF(B228="","",IF(B228&lt;TIME(12,0,0),"Manhã",IF(B228&lt;TIME(18,0,0),"Tarde","Noite")))</f>
        <v>Tarde</v>
      </c>
      <c r="P228" s="32">
        <f>IF(G228="","",IFERROR(INDEX(Config!$I$5:$I$16,MATCH(G228,Config!$H$5:$H$16,0)),0))</f>
        <v>45</v>
      </c>
      <c r="Q228" s="30">
        <f>IF(OR(H228&lt;&gt;"Realizado",P228="",P228=0),"",A228+P228)</f>
        <v>46271.0</v>
      </c>
      <c r="R228" s="26" t="str">
        <f>IF(Q228="","",IF(COUNTIFS($E$5:$E$1204,E228,$A$5:$A$1204,"&gt;"&amp;A228,$H$5:$H$1204,"&lt;&gt;Falta",$H$5:$H$1204,"&lt;&gt;Cancelado",$H$5:$H$1204,"&lt;&gt;Remarcado")&gt;0,"Sim","Não"))</f>
        <v>Sim</v>
      </c>
      <c r="S228" s="32">
        <f>IF(R228&lt;&gt;"Não","",IF(Q228+Config!$B$9&lt;=Config!$B$8,Config!$B$8-Q228,""))</f>
        <v/>
      </c>
      <c r="T228" s="26">
        <f>IF(S228="","","Sim")</f>
        <v/>
      </c>
      <c r="U228" s="41">
        <f>IF(T228="Sim",S228+ROW()/100000,0)</f>
        <v>0</v>
      </c>
      <c r="V228" s="41">
        <f>IF(AND(H228="Falta",L228=Config!$B$7,M228=Config!$B$5,COUNTIFS($E$5:E228,E228,$H$5:H228,"Falta",$L$5:L228,Config!$B$7,$M$5:M228,Config!$B$5)=1),COUNTIFS($E$5:$E$1204,E228,$H$5:$H$1204,"Falta",$L$5:$L$1204,Config!$B$7,$M$5:$M$1204,Config!$B$5)*1000-ROW()/100000,0)</f>
        <v>0</v>
      </c>
    </row>
    <row r="229">
      <c r="A229" s="39" t="n">
        <v>46226</v>
      </c>
      <c r="B229" s="40" t="n">
        <v>0.625</v>
      </c>
      <c r="C229" s="35" t="inlineStr">
        <is>
          <t>Dr. Paulo Andrade</t>
        </is>
      </c>
      <c r="D229" s="35" t="inlineStr">
        <is>
          <t>Sala 2</t>
        </is>
      </c>
      <c r="E229" s="34" t="inlineStr">
        <is>
          <t>Camila Batista</t>
        </is>
      </c>
      <c r="F229" s="35" t="inlineStr">
        <is>
          <t>MediPlan</t>
        </is>
      </c>
      <c r="G229" s="35" t="inlineStr">
        <is>
          <t>MAPA</t>
        </is>
      </c>
      <c r="H229" s="35" t="inlineStr">
        <is>
          <t>Realizado</t>
        </is>
      </c>
      <c r="I229" s="35" t="inlineStr">
        <is>
          <t>Convênio</t>
        </is>
      </c>
      <c r="J229" s="35" t="n"/>
      <c r="K229" s="34" t="n"/>
      <c r="L229" s="26">
        <f>IF(A229="","",MONTH(A229))</f>
        <v>7</v>
      </c>
      <c r="M229" s="26">
        <f>IF(A229="","",YEAR(A229))</f>
        <v>2026</v>
      </c>
      <c r="N229" s="26" t="str">
        <f>IF(A229="","",CHOOSE(WEEKDAY(A229,2),"Segunda","Terça","Quarta","Quinta","Sexta","Sábado","Domingo"))</f>
        <v>Quinta</v>
      </c>
      <c r="O229" s="26" t="str">
        <f>IF(B229="","",IF(B229&lt;TIME(12,0,0),"Manhã",IF(B229&lt;TIME(18,0,0),"Tarde","Noite")))</f>
        <v>Tarde</v>
      </c>
      <c r="P229" s="32">
        <f>IF(G229="","",IFERROR(INDEX(Config!$I$5:$I$16,MATCH(G229,Config!$H$5:$H$16,0)),0))</f>
        <v>0</v>
      </c>
      <c r="Q229" s="30">
        <f>IF(OR(H229&lt;&gt;"Realizado",P229="",P229=0),"",A229+P229)</f>
        <v/>
      </c>
      <c r="R229" s="26">
        <f>IF(Q229="","",IF(COUNTIFS($E$5:$E$1204,E229,$A$5:$A$1204,"&gt;"&amp;A229,$H$5:$H$1204,"&lt;&gt;Falta",$H$5:$H$1204,"&lt;&gt;Cancelado",$H$5:$H$1204,"&lt;&gt;Remarcado")&gt;0,"Sim","Não"))</f>
        <v/>
      </c>
      <c r="S229" s="32">
        <f>IF(R229&lt;&gt;"Não","",IF(Q229+Config!$B$9&lt;=Config!$B$8,Config!$B$8-Q229,""))</f>
        <v/>
      </c>
      <c r="T229" s="26">
        <f>IF(S229="","","Sim")</f>
        <v/>
      </c>
      <c r="U229" s="41">
        <f>IF(T229="Sim",S229+ROW()/100000,0)</f>
        <v>0</v>
      </c>
      <c r="V229" s="41">
        <f>IF(AND(H229="Falta",L229=Config!$B$7,M229=Config!$B$5,COUNTIFS($E$5:E229,E229,$H$5:H229,"Falta",$L$5:L229,Config!$B$7,$M$5:M229,Config!$B$5)=1),COUNTIFS($E$5:$E$1204,E229,$H$5:$H$1204,"Falta",$L$5:$L$1204,Config!$B$7,$M$5:$M$1204,Config!$B$5)*1000-ROW()/100000,0)</f>
        <v>0</v>
      </c>
    </row>
    <row r="230">
      <c r="A230" s="39" t="n">
        <v>46226</v>
      </c>
      <c r="B230" s="40" t="n">
        <v>0.6388888888888888</v>
      </c>
      <c r="C230" s="35" t="inlineStr">
        <is>
          <t>Dr. Paulo Andrade</t>
        </is>
      </c>
      <c r="D230" s="35" t="inlineStr">
        <is>
          <t>Sala 2</t>
        </is>
      </c>
      <c r="E230" s="34" t="inlineStr">
        <is>
          <t>Vanessa Moreira</t>
        </is>
      </c>
      <c r="F230" s="35" t="inlineStr">
        <is>
          <t>Saúde Total</t>
        </is>
      </c>
      <c r="G230" s="35" t="inlineStr">
        <is>
          <t>Retorno</t>
        </is>
      </c>
      <c r="H230" s="35" t="inlineStr">
        <is>
          <t>Realizado</t>
        </is>
      </c>
      <c r="I230" s="35" t="inlineStr">
        <is>
          <t>Sem cobrança</t>
        </is>
      </c>
      <c r="J230" s="35" t="n"/>
      <c r="K230" s="34" t="n"/>
      <c r="L230" s="26">
        <f>IF(A230="","",MONTH(A230))</f>
        <v>7</v>
      </c>
      <c r="M230" s="26">
        <f>IF(A230="","",YEAR(A230))</f>
        <v>2026</v>
      </c>
      <c r="N230" s="26" t="str">
        <f>IF(A230="","",CHOOSE(WEEKDAY(A230,2),"Segunda","Terça","Quarta","Quinta","Sexta","Sábado","Domingo"))</f>
        <v>Quinta</v>
      </c>
      <c r="O230" s="26" t="str">
        <f>IF(B230="","",IF(B230&lt;TIME(12,0,0),"Manhã",IF(B230&lt;TIME(18,0,0),"Tarde","Noite")))</f>
        <v>Tarde</v>
      </c>
      <c r="P230" s="32">
        <f>IF(G230="","",IFERROR(INDEX(Config!$I$5:$I$16,MATCH(G230,Config!$H$5:$H$16,0)),0))</f>
        <v>0</v>
      </c>
      <c r="Q230" s="30">
        <f>IF(OR(H230&lt;&gt;"Realizado",P230="",P230=0),"",A230+P230)</f>
        <v/>
      </c>
      <c r="R230" s="26">
        <f>IF(Q230="","",IF(COUNTIFS($E$5:$E$1204,E230,$A$5:$A$1204,"&gt;"&amp;A230,$H$5:$H$1204,"&lt;&gt;Falta",$H$5:$H$1204,"&lt;&gt;Cancelado",$H$5:$H$1204,"&lt;&gt;Remarcado")&gt;0,"Sim","Não"))</f>
        <v/>
      </c>
      <c r="S230" s="32">
        <f>IF(R230&lt;&gt;"Não","",IF(Q230+Config!$B$9&lt;=Config!$B$8,Config!$B$8-Q230,""))</f>
        <v/>
      </c>
      <c r="T230" s="26">
        <f>IF(S230="","","Sim")</f>
        <v/>
      </c>
      <c r="U230" s="41">
        <f>IF(T230="Sim",S230+ROW()/100000,0)</f>
        <v>0</v>
      </c>
      <c r="V230" s="41">
        <f>IF(AND(H230="Falta",L230=Config!$B$7,M230=Config!$B$5,COUNTIFS($E$5:E230,E230,$H$5:H230,"Falta",$L$5:L230,Config!$B$7,$M$5:M230,Config!$B$5)=1),COUNTIFS($E$5:$E$1204,E230,$H$5:$H$1204,"Falta",$L$5:$L$1204,Config!$B$7,$M$5:$M$1204,Config!$B$5)*1000-ROW()/100000,0)</f>
        <v>0</v>
      </c>
    </row>
    <row r="231">
      <c r="A231" s="39" t="n">
        <v>46226</v>
      </c>
      <c r="B231" s="40" t="n">
        <v>0.6527777777777778</v>
      </c>
      <c r="C231" s="35" t="inlineStr">
        <is>
          <t>Dra. Renata Sousa</t>
        </is>
      </c>
      <c r="D231" s="35" t="inlineStr">
        <is>
          <t>Sala 1</t>
        </is>
      </c>
      <c r="E231" s="34" t="inlineStr">
        <is>
          <t>Isabela Barbosa</t>
        </is>
      </c>
      <c r="F231" s="35" t="inlineStr">
        <is>
          <t>Saúde Total</t>
        </is>
      </c>
      <c r="G231" s="35" t="inlineStr">
        <is>
          <t>Retorno</t>
        </is>
      </c>
      <c r="H231" s="35" t="inlineStr">
        <is>
          <t>Realizado</t>
        </is>
      </c>
      <c r="I231" s="35" t="inlineStr">
        <is>
          <t>Sem cobrança</t>
        </is>
      </c>
      <c r="J231" s="35" t="n"/>
      <c r="K231" s="34" t="n"/>
      <c r="L231" s="26">
        <f>IF(A231="","",MONTH(A231))</f>
        <v>7</v>
      </c>
      <c r="M231" s="26">
        <f>IF(A231="","",YEAR(A231))</f>
        <v>2026</v>
      </c>
      <c r="N231" s="26" t="str">
        <f>IF(A231="","",CHOOSE(WEEKDAY(A231,2),"Segunda","Terça","Quarta","Quinta","Sexta","Sábado","Domingo"))</f>
        <v>Quinta</v>
      </c>
      <c r="O231" s="26" t="str">
        <f>IF(B231="","",IF(B231&lt;TIME(12,0,0),"Manhã",IF(B231&lt;TIME(18,0,0),"Tarde","Noite")))</f>
        <v>Tarde</v>
      </c>
      <c r="P231" s="32">
        <f>IF(G231="","",IFERROR(INDEX(Config!$I$5:$I$16,MATCH(G231,Config!$H$5:$H$16,0)),0))</f>
        <v>0</v>
      </c>
      <c r="Q231" s="30">
        <f>IF(OR(H231&lt;&gt;"Realizado",P231="",P231=0),"",A231+P231)</f>
        <v/>
      </c>
      <c r="R231" s="26">
        <f>IF(Q231="","",IF(COUNTIFS($E$5:$E$1204,E231,$A$5:$A$1204,"&gt;"&amp;A231,$H$5:$H$1204,"&lt;&gt;Falta",$H$5:$H$1204,"&lt;&gt;Cancelado",$H$5:$H$1204,"&lt;&gt;Remarcado")&gt;0,"Sim","Não"))</f>
        <v/>
      </c>
      <c r="S231" s="32">
        <f>IF(R231&lt;&gt;"Não","",IF(Q231+Config!$B$9&lt;=Config!$B$8,Config!$B$8-Q231,""))</f>
        <v/>
      </c>
      <c r="T231" s="26">
        <f>IF(S231="","","Sim")</f>
        <v/>
      </c>
      <c r="U231" s="41">
        <f>IF(T231="Sim",S231+ROW()/100000,0)</f>
        <v>0</v>
      </c>
      <c r="V231" s="41">
        <f>IF(AND(H231="Falta",L231=Config!$B$7,M231=Config!$B$5,COUNTIFS($E$5:E231,E231,$H$5:H231,"Falta",$L$5:L231,Config!$B$7,$M$5:M231,Config!$B$5)=1),COUNTIFS($E$5:$E$1204,E231,$H$5:$H$1204,"Falta",$L$5:$L$1204,Config!$B$7,$M$5:$M$1204,Config!$B$5)*1000-ROW()/100000,0)</f>
        <v>0</v>
      </c>
    </row>
    <row r="232">
      <c r="A232" s="39" t="n">
        <v>46226</v>
      </c>
      <c r="B232" s="40" t="n">
        <v>0.6527777777777778</v>
      </c>
      <c r="C232" s="35" t="inlineStr">
        <is>
          <t>Dr. Paulo Andrade</t>
        </is>
      </c>
      <c r="D232" s="35" t="inlineStr">
        <is>
          <t>Sala 2</t>
        </is>
      </c>
      <c r="E232" s="34" t="inlineStr">
        <is>
          <t>Priscila Nunes</t>
        </is>
      </c>
      <c r="F232" s="35" t="inlineStr">
        <is>
          <t>MediPlan</t>
        </is>
      </c>
      <c r="G232" s="35" t="inlineStr">
        <is>
          <t>ECG</t>
        </is>
      </c>
      <c r="H232" s="35" t="inlineStr">
        <is>
          <t>Realizado</t>
        </is>
      </c>
      <c r="I232" s="35" t="inlineStr">
        <is>
          <t>Convênio</t>
        </is>
      </c>
      <c r="J232" s="35" t="n"/>
      <c r="K232" s="34" t="n"/>
      <c r="L232" s="26">
        <f>IF(A232="","",MONTH(A232))</f>
        <v>7</v>
      </c>
      <c r="M232" s="26">
        <f>IF(A232="","",YEAR(A232))</f>
        <v>2026</v>
      </c>
      <c r="N232" s="26" t="str">
        <f>IF(A232="","",CHOOSE(WEEKDAY(A232,2),"Segunda","Terça","Quarta","Quinta","Sexta","Sábado","Domingo"))</f>
        <v>Quinta</v>
      </c>
      <c r="O232" s="26" t="str">
        <f>IF(B232="","",IF(B232&lt;TIME(12,0,0),"Manhã",IF(B232&lt;TIME(18,0,0),"Tarde","Noite")))</f>
        <v>Tarde</v>
      </c>
      <c r="P232" s="32">
        <f>IF(G232="","",IFERROR(INDEX(Config!$I$5:$I$16,MATCH(G232,Config!$H$5:$H$16,0)),0))</f>
        <v>0</v>
      </c>
      <c r="Q232" s="30">
        <f>IF(OR(H232&lt;&gt;"Realizado",P232="",P232=0),"",A232+P232)</f>
        <v/>
      </c>
      <c r="R232" s="26">
        <f>IF(Q232="","",IF(COUNTIFS($E$5:$E$1204,E232,$A$5:$A$1204,"&gt;"&amp;A232,$H$5:$H$1204,"&lt;&gt;Falta",$H$5:$H$1204,"&lt;&gt;Cancelado",$H$5:$H$1204,"&lt;&gt;Remarcado")&gt;0,"Sim","Não"))</f>
        <v/>
      </c>
      <c r="S232" s="32">
        <f>IF(R232&lt;&gt;"Não","",IF(Q232+Config!$B$9&lt;=Config!$B$8,Config!$B$8-Q232,""))</f>
        <v/>
      </c>
      <c r="T232" s="26">
        <f>IF(S232="","","Sim")</f>
        <v/>
      </c>
      <c r="U232" s="41">
        <f>IF(T232="Sim",S232+ROW()/100000,0)</f>
        <v>0</v>
      </c>
      <c r="V232" s="41">
        <f>IF(AND(H232="Falta",L232=Config!$B$7,M232=Config!$B$5,COUNTIFS($E$5:E232,E232,$H$5:H232,"Falta",$L$5:L232,Config!$B$7,$M$5:M232,Config!$B$5)=1),COUNTIFS($E$5:$E$1204,E232,$H$5:$H$1204,"Falta",$L$5:$L$1204,Config!$B$7,$M$5:$M$1204,Config!$B$5)*1000-ROW()/100000,0)</f>
        <v>0</v>
      </c>
    </row>
    <row r="233">
      <c r="A233" s="39" t="n">
        <v>46226</v>
      </c>
      <c r="B233" s="40" t="n">
        <v>0.6666666666666666</v>
      </c>
      <c r="C233" s="35" t="inlineStr">
        <is>
          <t>Dr. Paulo Andrade</t>
        </is>
      </c>
      <c r="D233" s="35" t="inlineStr">
        <is>
          <t>Sala 2</t>
        </is>
      </c>
      <c r="E233" s="34" t="inlineStr">
        <is>
          <t>Rafael Barros</t>
        </is>
      </c>
      <c r="F233" s="35" t="inlineStr">
        <is>
          <t>Particular</t>
        </is>
      </c>
      <c r="G233" s="35" t="inlineStr">
        <is>
          <t>Consulta</t>
        </is>
      </c>
      <c r="H233" s="35" t="inlineStr">
        <is>
          <t>Realizado</t>
        </is>
      </c>
      <c r="I233" s="35" t="inlineStr">
        <is>
          <t>A prazo</t>
        </is>
      </c>
      <c r="J233" s="35" t="n"/>
      <c r="K233" s="34" t="n"/>
      <c r="L233" s="26">
        <f>IF(A233="","",MONTH(A233))</f>
        <v>7</v>
      </c>
      <c r="M233" s="26">
        <f>IF(A233="","",YEAR(A233))</f>
        <v>2026</v>
      </c>
      <c r="N233" s="26" t="str">
        <f>IF(A233="","",CHOOSE(WEEKDAY(A233,2),"Segunda","Terça","Quarta","Quinta","Sexta","Sábado","Domingo"))</f>
        <v>Quinta</v>
      </c>
      <c r="O233" s="26" t="str">
        <f>IF(B233="","",IF(B233&lt;TIME(12,0,0),"Manhã",IF(B233&lt;TIME(18,0,0),"Tarde","Noite")))</f>
        <v>Tarde</v>
      </c>
      <c r="P233" s="32">
        <f>IF(G233="","",IFERROR(INDEX(Config!$I$5:$I$16,MATCH(G233,Config!$H$5:$H$16,0)),0))</f>
        <v>30</v>
      </c>
      <c r="Q233" s="30">
        <f>IF(OR(H233&lt;&gt;"Realizado",P233="",P233=0),"",A233+P233)</f>
        <v>46256.0</v>
      </c>
      <c r="R233" s="26" t="str">
        <f>IF(Q233="","",IF(COUNTIFS($E$5:$E$1204,E233,$A$5:$A$1204,"&gt;"&amp;A233,$H$5:$H$1204,"&lt;&gt;Falta",$H$5:$H$1204,"&lt;&gt;Cancelado",$H$5:$H$1204,"&lt;&gt;Remarcado")&gt;0,"Sim","Não"))</f>
        <v>Sim</v>
      </c>
      <c r="S233" s="32">
        <f>IF(R233&lt;&gt;"Não","",IF(Q233+Config!$B$9&lt;=Config!$B$8,Config!$B$8-Q233,""))</f>
        <v/>
      </c>
      <c r="T233" s="26">
        <f>IF(S233="","","Sim")</f>
        <v/>
      </c>
      <c r="U233" s="41">
        <f>IF(T233="Sim",S233+ROW()/100000,0)</f>
        <v>0</v>
      </c>
      <c r="V233" s="41">
        <f>IF(AND(H233="Falta",L233=Config!$B$7,M233=Config!$B$5,COUNTIFS($E$5:E233,E233,$H$5:H233,"Falta",$L$5:L233,Config!$B$7,$M$5:M233,Config!$B$5)=1),COUNTIFS($E$5:$E$1204,E233,$H$5:$H$1204,"Falta",$L$5:$L$1204,Config!$B$7,$M$5:$M$1204,Config!$B$5)*1000-ROW()/100000,0)</f>
        <v>0</v>
      </c>
    </row>
    <row r="234">
      <c r="A234" s="39" t="n">
        <v>46226</v>
      </c>
      <c r="B234" s="40" t="n">
        <v>0.6875</v>
      </c>
      <c r="C234" s="35" t="inlineStr">
        <is>
          <t>Dra. Renata Sousa</t>
        </is>
      </c>
      <c r="D234" s="35" t="inlineStr">
        <is>
          <t>Sala 1</t>
        </is>
      </c>
      <c r="E234" s="34" t="inlineStr">
        <is>
          <t>Priscila Reis</t>
        </is>
      </c>
      <c r="F234" s="35" t="inlineStr">
        <is>
          <t>Particular</t>
        </is>
      </c>
      <c r="G234" s="35" t="inlineStr">
        <is>
          <t>Avaliação endócrina</t>
        </is>
      </c>
      <c r="H234" s="35" t="inlineStr">
        <is>
          <t>Realizado</t>
        </is>
      </c>
      <c r="I234" s="35" t="inlineStr">
        <is>
          <t>Cartão de crédito</t>
        </is>
      </c>
      <c r="J234" s="35" t="n">
        <v>2</v>
      </c>
      <c r="K234" s="34" t="n"/>
      <c r="L234" s="26">
        <f>IF(A234="","",MONTH(A234))</f>
        <v>7</v>
      </c>
      <c r="M234" s="26">
        <f>IF(A234="","",YEAR(A234))</f>
        <v>2026</v>
      </c>
      <c r="N234" s="26" t="str">
        <f>IF(A234="","",CHOOSE(WEEKDAY(A234,2),"Segunda","Terça","Quarta","Quinta","Sexta","Sábado","Domingo"))</f>
        <v>Quinta</v>
      </c>
      <c r="O234" s="26" t="str">
        <f>IF(B234="","",IF(B234&lt;TIME(12,0,0),"Manhã",IF(B234&lt;TIME(18,0,0),"Tarde","Noite")))</f>
        <v>Tarde</v>
      </c>
      <c r="P234" s="32">
        <f>IF(G234="","",IFERROR(INDEX(Config!$I$5:$I$16,MATCH(G234,Config!$H$5:$H$16,0)),0))</f>
        <v>45</v>
      </c>
      <c r="Q234" s="30">
        <f>IF(OR(H234&lt;&gt;"Realizado",P234="",P234=0),"",A234+P234)</f>
        <v>46271.0</v>
      </c>
      <c r="R234" s="26" t="str">
        <f>IF(Q234="","",IF(COUNTIFS($E$5:$E$1204,E234,$A$5:$A$1204,"&gt;"&amp;A234,$H$5:$H$1204,"&lt;&gt;Falta",$H$5:$H$1204,"&lt;&gt;Cancelado",$H$5:$H$1204,"&lt;&gt;Remarcado")&gt;0,"Sim","Não"))</f>
        <v>Sim</v>
      </c>
      <c r="S234" s="32">
        <f>IF(R234&lt;&gt;"Não","",IF(Q234+Config!$B$9&lt;=Config!$B$8,Config!$B$8-Q234,""))</f>
        <v/>
      </c>
      <c r="T234" s="26">
        <f>IF(S234="","","Sim")</f>
        <v/>
      </c>
      <c r="U234" s="41">
        <f>IF(T234="Sim",S234+ROW()/100000,0)</f>
        <v>0</v>
      </c>
      <c r="V234" s="41">
        <f>IF(AND(H234="Falta",L234=Config!$B$7,M234=Config!$B$5,COUNTIFS($E$5:E234,E234,$H$5:H234,"Falta",$L$5:L234,Config!$B$7,$M$5:M234,Config!$B$5)=1),COUNTIFS($E$5:$E$1204,E234,$H$5:$H$1204,"Falta",$L$5:$L$1204,Config!$B$7,$M$5:$M$1204,Config!$B$5)*1000-ROW()/100000,0)</f>
        <v>0</v>
      </c>
    </row>
    <row r="235">
      <c r="A235" s="39" t="n">
        <v>46226</v>
      </c>
      <c r="B235" s="40" t="n">
        <v>0.6875</v>
      </c>
      <c r="C235" s="35" t="inlineStr">
        <is>
          <t>Dr. Paulo Andrade</t>
        </is>
      </c>
      <c r="D235" s="35" t="inlineStr">
        <is>
          <t>Sala 2</t>
        </is>
      </c>
      <c r="E235" s="34" t="inlineStr">
        <is>
          <t>Regina Castro</t>
        </is>
      </c>
      <c r="F235" s="35" t="inlineStr">
        <is>
          <t>Vida Care</t>
        </is>
      </c>
      <c r="G235" s="35" t="inlineStr">
        <is>
          <t>ECG</t>
        </is>
      </c>
      <c r="H235" s="35" t="inlineStr">
        <is>
          <t>Realizado</t>
        </is>
      </c>
      <c r="I235" s="35" t="inlineStr">
        <is>
          <t>Convênio</t>
        </is>
      </c>
      <c r="J235" s="35" t="n"/>
      <c r="K235" s="34" t="n"/>
      <c r="L235" s="26">
        <f>IF(A235="","",MONTH(A235))</f>
        <v>7</v>
      </c>
      <c r="M235" s="26">
        <f>IF(A235="","",YEAR(A235))</f>
        <v>2026</v>
      </c>
      <c r="N235" s="26" t="str">
        <f>IF(A235="","",CHOOSE(WEEKDAY(A235,2),"Segunda","Terça","Quarta","Quinta","Sexta","Sábado","Domingo"))</f>
        <v>Quinta</v>
      </c>
      <c r="O235" s="26" t="str">
        <f>IF(B235="","",IF(B235&lt;TIME(12,0,0),"Manhã",IF(B235&lt;TIME(18,0,0),"Tarde","Noite")))</f>
        <v>Tarde</v>
      </c>
      <c r="P235" s="32">
        <f>IF(G235="","",IFERROR(INDEX(Config!$I$5:$I$16,MATCH(G235,Config!$H$5:$H$16,0)),0))</f>
        <v>0</v>
      </c>
      <c r="Q235" s="30">
        <f>IF(OR(H235&lt;&gt;"Realizado",P235="",P235=0),"",A235+P235)</f>
        <v/>
      </c>
      <c r="R235" s="26">
        <f>IF(Q235="","",IF(COUNTIFS($E$5:$E$1204,E235,$A$5:$A$1204,"&gt;"&amp;A235,$H$5:$H$1204,"&lt;&gt;Falta",$H$5:$H$1204,"&lt;&gt;Cancelado",$H$5:$H$1204,"&lt;&gt;Remarcado")&gt;0,"Sim","Não"))</f>
        <v/>
      </c>
      <c r="S235" s="32">
        <f>IF(R235&lt;&gt;"Não","",IF(Q235+Config!$B$9&lt;=Config!$B$8,Config!$B$8-Q235,""))</f>
        <v/>
      </c>
      <c r="T235" s="26">
        <f>IF(S235="","","Sim")</f>
        <v/>
      </c>
      <c r="U235" s="41">
        <f>IF(T235="Sim",S235+ROW()/100000,0)</f>
        <v>0</v>
      </c>
      <c r="V235" s="41">
        <f>IF(AND(H235="Falta",L235=Config!$B$7,M235=Config!$B$5,COUNTIFS($E$5:E235,E235,$H$5:H235,"Falta",$L$5:L235,Config!$B$7,$M$5:M235,Config!$B$5)=1),COUNTIFS($E$5:$E$1204,E235,$H$5:$H$1204,"Falta",$L$5:$L$1204,Config!$B$7,$M$5:$M$1204,Config!$B$5)*1000-ROW()/100000,0)</f>
        <v>0</v>
      </c>
    </row>
    <row r="236">
      <c r="A236" s="39" t="n">
        <v>46226</v>
      </c>
      <c r="B236" s="40" t="n">
        <v>0.7013888888888888</v>
      </c>
      <c r="C236" s="35" t="inlineStr">
        <is>
          <t>Dr. Paulo Andrade</t>
        </is>
      </c>
      <c r="D236" s="35" t="inlineStr">
        <is>
          <t>Sala 2</t>
        </is>
      </c>
      <c r="E236" s="34" t="inlineStr">
        <is>
          <t>Camila Martins</t>
        </is>
      </c>
      <c r="F236" s="35" t="inlineStr">
        <is>
          <t>Vida Care</t>
        </is>
      </c>
      <c r="G236" s="35" t="inlineStr">
        <is>
          <t>Consulta</t>
        </is>
      </c>
      <c r="H236" s="35" t="inlineStr">
        <is>
          <t>Realizado</t>
        </is>
      </c>
      <c r="I236" s="35" t="inlineStr">
        <is>
          <t>Convênio</t>
        </is>
      </c>
      <c r="J236" s="35" t="n"/>
      <c r="K236" s="34" t="n"/>
      <c r="L236" s="26">
        <f>IF(A236="","",MONTH(A236))</f>
        <v>7</v>
      </c>
      <c r="M236" s="26">
        <f>IF(A236="","",YEAR(A236))</f>
        <v>2026</v>
      </c>
      <c r="N236" s="26" t="str">
        <f>IF(A236="","",CHOOSE(WEEKDAY(A236,2),"Segunda","Terça","Quarta","Quinta","Sexta","Sábado","Domingo"))</f>
        <v>Quinta</v>
      </c>
      <c r="O236" s="26" t="str">
        <f>IF(B236="","",IF(B236&lt;TIME(12,0,0),"Manhã",IF(B236&lt;TIME(18,0,0),"Tarde","Noite")))</f>
        <v>Tarde</v>
      </c>
      <c r="P236" s="32">
        <f>IF(G236="","",IFERROR(INDEX(Config!$I$5:$I$16,MATCH(G236,Config!$H$5:$H$16,0)),0))</f>
        <v>30</v>
      </c>
      <c r="Q236" s="30">
        <f>IF(OR(H236&lt;&gt;"Realizado",P236="",P236=0),"",A236+P236)</f>
        <v>46256.0</v>
      </c>
      <c r="R236" s="26" t="str">
        <f>IF(Q236="","",IF(COUNTIFS($E$5:$E$1204,E236,$A$5:$A$1204,"&gt;"&amp;A236,$H$5:$H$1204,"&lt;&gt;Falta",$H$5:$H$1204,"&lt;&gt;Cancelado",$H$5:$H$1204,"&lt;&gt;Remarcado")&gt;0,"Sim","Não"))</f>
        <v>Sim</v>
      </c>
      <c r="S236" s="32">
        <f>IF(R236&lt;&gt;"Não","",IF(Q236+Config!$B$9&lt;=Config!$B$8,Config!$B$8-Q236,""))</f>
        <v/>
      </c>
      <c r="T236" s="26">
        <f>IF(S236="","","Sim")</f>
        <v/>
      </c>
      <c r="U236" s="41">
        <f>IF(T236="Sim",S236+ROW()/100000,0)</f>
        <v>0</v>
      </c>
      <c r="V236" s="41">
        <f>IF(AND(H236="Falta",L236=Config!$B$7,M236=Config!$B$5,COUNTIFS($E$5:E236,E236,$H$5:H236,"Falta",$L$5:L236,Config!$B$7,$M$5:M236,Config!$B$5)=1),COUNTIFS($E$5:$E$1204,E236,$H$5:$H$1204,"Falta",$L$5:$L$1204,Config!$B$7,$M$5:$M$1204,Config!$B$5)*1000-ROW()/100000,0)</f>
        <v>0</v>
      </c>
    </row>
    <row r="237">
      <c r="A237" s="39" t="n">
        <v>46226</v>
      </c>
      <c r="B237" s="40" t="n">
        <v>0.7152777777777778</v>
      </c>
      <c r="C237" s="35" t="inlineStr">
        <is>
          <t>Dra. Renata Sousa</t>
        </is>
      </c>
      <c r="D237" s="35" t="inlineStr">
        <is>
          <t>Sala 1</t>
        </is>
      </c>
      <c r="E237" s="34" t="inlineStr">
        <is>
          <t>Daniel Moreira</t>
        </is>
      </c>
      <c r="F237" s="35" t="inlineStr">
        <is>
          <t>Saúde Total</t>
        </is>
      </c>
      <c r="G237" s="35" t="inlineStr">
        <is>
          <t>Avaliação endócrina</t>
        </is>
      </c>
      <c r="H237" s="35" t="inlineStr">
        <is>
          <t>Cancelado</t>
        </is>
      </c>
      <c r="I237" s="35" t="n"/>
      <c r="J237" s="35" t="n"/>
      <c r="K237" s="34" t="n"/>
      <c r="L237" s="26">
        <f>IF(A237="","",MONTH(A237))</f>
        <v>7</v>
      </c>
      <c r="M237" s="26">
        <f>IF(A237="","",YEAR(A237))</f>
        <v>2026</v>
      </c>
      <c r="N237" s="26" t="str">
        <f>IF(A237="","",CHOOSE(WEEKDAY(A237,2),"Segunda","Terça","Quarta","Quinta","Sexta","Sábado","Domingo"))</f>
        <v>Quinta</v>
      </c>
      <c r="O237" s="26" t="str">
        <f>IF(B237="","",IF(B237&lt;TIME(12,0,0),"Manhã",IF(B237&lt;TIME(18,0,0),"Tarde","Noite")))</f>
        <v>Tarde</v>
      </c>
      <c r="P237" s="32">
        <f>IF(G237="","",IFERROR(INDEX(Config!$I$5:$I$16,MATCH(G237,Config!$H$5:$H$16,0)),0))</f>
        <v>45</v>
      </c>
      <c r="Q237" s="30">
        <f>IF(OR(H237&lt;&gt;"Realizado",P237="",P237=0),"",A237+P237)</f>
        <v/>
      </c>
      <c r="R237" s="26">
        <f>IF(Q237="","",IF(COUNTIFS($E$5:$E$1204,E237,$A$5:$A$1204,"&gt;"&amp;A237,$H$5:$H$1204,"&lt;&gt;Falta",$H$5:$H$1204,"&lt;&gt;Cancelado",$H$5:$H$1204,"&lt;&gt;Remarcado")&gt;0,"Sim","Não"))</f>
        <v/>
      </c>
      <c r="S237" s="32">
        <f>IF(R237&lt;&gt;"Não","",IF(Q237+Config!$B$9&lt;=Config!$B$8,Config!$B$8-Q237,""))</f>
        <v/>
      </c>
      <c r="T237" s="26">
        <f>IF(S237="","","Sim")</f>
        <v/>
      </c>
      <c r="U237" s="41">
        <f>IF(T237="Sim",S237+ROW()/100000,0)</f>
        <v>0</v>
      </c>
      <c r="V237" s="41">
        <f>IF(AND(H237="Falta",L237=Config!$B$7,M237=Config!$B$5,COUNTIFS($E$5:E237,E237,$H$5:H237,"Falta",$L$5:L237,Config!$B$7,$M$5:M237,Config!$B$5)=1),COUNTIFS($E$5:$E$1204,E237,$H$5:$H$1204,"Falta",$L$5:$L$1204,Config!$B$7,$M$5:$M$1204,Config!$B$5)*1000-ROW()/100000,0)</f>
        <v>0</v>
      </c>
    </row>
    <row r="238">
      <c r="A238" s="39" t="n">
        <v>46226</v>
      </c>
      <c r="B238" s="40" t="n">
        <v>0.7222222222222222</v>
      </c>
      <c r="C238" s="35" t="inlineStr">
        <is>
          <t>Dr. Paulo Andrade</t>
        </is>
      </c>
      <c r="D238" s="35" t="inlineStr">
        <is>
          <t>Sala 2</t>
        </is>
      </c>
      <c r="E238" s="34" t="inlineStr">
        <is>
          <t>Rodrigo Gomes</t>
        </is>
      </c>
      <c r="F238" s="35" t="inlineStr">
        <is>
          <t>Vida Care</t>
        </is>
      </c>
      <c r="G238" s="35" t="inlineStr">
        <is>
          <t>ECG</t>
        </is>
      </c>
      <c r="H238" s="35" t="inlineStr">
        <is>
          <t>Realizado</t>
        </is>
      </c>
      <c r="I238" s="35" t="inlineStr">
        <is>
          <t>Convênio</t>
        </is>
      </c>
      <c r="J238" s="35" t="n"/>
      <c r="K238" s="34" t="n"/>
      <c r="L238" s="26">
        <f>IF(A238="","",MONTH(A238))</f>
        <v>7</v>
      </c>
      <c r="M238" s="26">
        <f>IF(A238="","",YEAR(A238))</f>
        <v>2026</v>
      </c>
      <c r="N238" s="26" t="str">
        <f>IF(A238="","",CHOOSE(WEEKDAY(A238,2),"Segunda","Terça","Quarta","Quinta","Sexta","Sábado","Domingo"))</f>
        <v>Quinta</v>
      </c>
      <c r="O238" s="26" t="str">
        <f>IF(B238="","",IF(B238&lt;TIME(12,0,0),"Manhã",IF(B238&lt;TIME(18,0,0),"Tarde","Noite")))</f>
        <v>Tarde</v>
      </c>
      <c r="P238" s="32">
        <f>IF(G238="","",IFERROR(INDEX(Config!$I$5:$I$16,MATCH(G238,Config!$H$5:$H$16,0)),0))</f>
        <v>0</v>
      </c>
      <c r="Q238" s="30">
        <f>IF(OR(H238&lt;&gt;"Realizado",P238="",P238=0),"",A238+P238)</f>
        <v/>
      </c>
      <c r="R238" s="26">
        <f>IF(Q238="","",IF(COUNTIFS($E$5:$E$1204,E238,$A$5:$A$1204,"&gt;"&amp;A238,$H$5:$H$1204,"&lt;&gt;Falta",$H$5:$H$1204,"&lt;&gt;Cancelado",$H$5:$H$1204,"&lt;&gt;Remarcado")&gt;0,"Sim","Não"))</f>
        <v/>
      </c>
      <c r="S238" s="32">
        <f>IF(R238&lt;&gt;"Não","",IF(Q238+Config!$B$9&lt;=Config!$B$8,Config!$B$8-Q238,""))</f>
        <v/>
      </c>
      <c r="T238" s="26">
        <f>IF(S238="","","Sim")</f>
        <v/>
      </c>
      <c r="U238" s="41">
        <f>IF(T238="Sim",S238+ROW()/100000,0)</f>
        <v>0</v>
      </c>
      <c r="V238" s="41">
        <f>IF(AND(H238="Falta",L238=Config!$B$7,M238=Config!$B$5,COUNTIFS($E$5:E238,E238,$H$5:H238,"Falta",$L$5:L238,Config!$B$7,$M$5:M238,Config!$B$5)=1),COUNTIFS($E$5:$E$1204,E238,$H$5:$H$1204,"Falta",$L$5:$L$1204,Config!$B$7,$M$5:$M$1204,Config!$B$5)*1000-ROW()/100000,0)</f>
        <v>0</v>
      </c>
    </row>
    <row r="239">
      <c r="A239" s="39" t="n">
        <v>46226</v>
      </c>
      <c r="B239" s="40" t="n">
        <v>0.7361111111111112</v>
      </c>
      <c r="C239" s="35" t="inlineStr">
        <is>
          <t>Dr. Paulo Andrade</t>
        </is>
      </c>
      <c r="D239" s="35" t="inlineStr">
        <is>
          <t>Sala 2</t>
        </is>
      </c>
      <c r="E239" s="34" t="inlineStr">
        <is>
          <t>Gabriel Vieira</t>
        </is>
      </c>
      <c r="F239" s="35" t="inlineStr">
        <is>
          <t>Vida Care</t>
        </is>
      </c>
      <c r="G239" s="35" t="inlineStr">
        <is>
          <t>Retorno</t>
        </is>
      </c>
      <c r="H239" s="35" t="inlineStr">
        <is>
          <t>Realizado</t>
        </is>
      </c>
      <c r="I239" s="35" t="inlineStr">
        <is>
          <t>Sem cobrança</t>
        </is>
      </c>
      <c r="J239" s="35" t="n"/>
      <c r="K239" s="34" t="n"/>
      <c r="L239" s="26">
        <f>IF(A239="","",MONTH(A239))</f>
        <v>7</v>
      </c>
      <c r="M239" s="26">
        <f>IF(A239="","",YEAR(A239))</f>
        <v>2026</v>
      </c>
      <c r="N239" s="26" t="str">
        <f>IF(A239="","",CHOOSE(WEEKDAY(A239,2),"Segunda","Terça","Quarta","Quinta","Sexta","Sábado","Domingo"))</f>
        <v>Quinta</v>
      </c>
      <c r="O239" s="26" t="str">
        <f>IF(B239="","",IF(B239&lt;TIME(12,0,0),"Manhã",IF(B239&lt;TIME(18,0,0),"Tarde","Noite")))</f>
        <v>Tarde</v>
      </c>
      <c r="P239" s="32">
        <f>IF(G239="","",IFERROR(INDEX(Config!$I$5:$I$16,MATCH(G239,Config!$H$5:$H$16,0)),0))</f>
        <v>0</v>
      </c>
      <c r="Q239" s="30">
        <f>IF(OR(H239&lt;&gt;"Realizado",P239="",P239=0),"",A239+P239)</f>
        <v/>
      </c>
      <c r="R239" s="26">
        <f>IF(Q239="","",IF(COUNTIFS($E$5:$E$1204,E239,$A$5:$A$1204,"&gt;"&amp;A239,$H$5:$H$1204,"&lt;&gt;Falta",$H$5:$H$1204,"&lt;&gt;Cancelado",$H$5:$H$1204,"&lt;&gt;Remarcado")&gt;0,"Sim","Não"))</f>
        <v/>
      </c>
      <c r="S239" s="32">
        <f>IF(R239&lt;&gt;"Não","",IF(Q239+Config!$B$9&lt;=Config!$B$8,Config!$B$8-Q239,""))</f>
        <v/>
      </c>
      <c r="T239" s="26">
        <f>IF(S239="","","Sim")</f>
        <v/>
      </c>
      <c r="U239" s="41">
        <f>IF(T239="Sim",S239+ROW()/100000,0)</f>
        <v>0</v>
      </c>
      <c r="V239" s="41">
        <f>IF(AND(H239="Falta",L239=Config!$B$7,M239=Config!$B$5,COUNTIFS($E$5:E239,E239,$H$5:H239,"Falta",$L$5:L239,Config!$B$7,$M$5:M239,Config!$B$5)=1),COUNTIFS($E$5:$E$1204,E239,$H$5:$H$1204,"Falta",$L$5:$L$1204,Config!$B$7,$M$5:$M$1204,Config!$B$5)*1000-ROW()/100000,0)</f>
        <v>0</v>
      </c>
    </row>
    <row r="240">
      <c r="A240" s="39" t="n">
        <v>46227</v>
      </c>
      <c r="B240" s="40" t="n">
        <v>0.3333333333333333</v>
      </c>
      <c r="C240" s="35" t="inlineStr">
        <is>
          <t>Dr. Paulo Andrade</t>
        </is>
      </c>
      <c r="D240" s="35" t="inlineStr">
        <is>
          <t>Sala 2</t>
        </is>
      </c>
      <c r="E240" s="34" t="inlineStr">
        <is>
          <t>Lucas Lopes</t>
        </is>
      </c>
      <c r="F240" s="35" t="inlineStr">
        <is>
          <t>Particular</t>
        </is>
      </c>
      <c r="G240" s="35" t="inlineStr">
        <is>
          <t>Teste ergométrico</t>
        </is>
      </c>
      <c r="H240" s="35" t="inlineStr">
        <is>
          <t>Realizado</t>
        </is>
      </c>
      <c r="I240" s="35" t="inlineStr">
        <is>
          <t>Dinheiro</t>
        </is>
      </c>
      <c r="J240" s="35" t="n"/>
      <c r="K240" s="34" t="n"/>
      <c r="L240" s="26">
        <f>IF(A240="","",MONTH(A240))</f>
        <v>7</v>
      </c>
      <c r="M240" s="26">
        <f>IF(A240="","",YEAR(A240))</f>
        <v>2026</v>
      </c>
      <c r="N240" s="26" t="str">
        <f>IF(A240="","",CHOOSE(WEEKDAY(A240,2),"Segunda","Terça","Quarta","Quinta","Sexta","Sábado","Domingo"))</f>
        <v>Sexta</v>
      </c>
      <c r="O240" s="26" t="str">
        <f>IF(B240="","",IF(B240&lt;TIME(12,0,0),"Manhã",IF(B240&lt;TIME(18,0,0),"Tarde","Noite")))</f>
        <v>Manhã</v>
      </c>
      <c r="P240" s="32">
        <f>IF(G240="","",IFERROR(INDEX(Config!$I$5:$I$16,MATCH(G240,Config!$H$5:$H$16,0)),0))</f>
        <v>0</v>
      </c>
      <c r="Q240" s="30">
        <f>IF(OR(H240&lt;&gt;"Realizado",P240="",P240=0),"",A240+P240)</f>
        <v/>
      </c>
      <c r="R240" s="26">
        <f>IF(Q240="","",IF(COUNTIFS($E$5:$E$1204,E240,$A$5:$A$1204,"&gt;"&amp;A240,$H$5:$H$1204,"&lt;&gt;Falta",$H$5:$H$1204,"&lt;&gt;Cancelado",$H$5:$H$1204,"&lt;&gt;Remarcado")&gt;0,"Sim","Não"))</f>
        <v/>
      </c>
      <c r="S240" s="32">
        <f>IF(R240&lt;&gt;"Não","",IF(Q240+Config!$B$9&lt;=Config!$B$8,Config!$B$8-Q240,""))</f>
        <v/>
      </c>
      <c r="T240" s="26">
        <f>IF(S240="","","Sim")</f>
        <v/>
      </c>
      <c r="U240" s="41">
        <f>IF(T240="Sim",S240+ROW()/100000,0)</f>
        <v>0</v>
      </c>
      <c r="V240" s="41">
        <f>IF(AND(H240="Falta",L240=Config!$B$7,M240=Config!$B$5,COUNTIFS($E$5:E240,E240,$H$5:H240,"Falta",$L$5:L240,Config!$B$7,$M$5:M240,Config!$B$5)=1),COUNTIFS($E$5:$E$1204,E240,$H$5:$H$1204,"Falta",$L$5:$L$1204,Config!$B$7,$M$5:$M$1204,Config!$B$5)*1000-ROW()/100000,0)</f>
        <v>0</v>
      </c>
    </row>
    <row r="241">
      <c r="A241" s="39" t="n">
        <v>46227</v>
      </c>
      <c r="B241" s="40" t="n">
        <v>0.3819444444444444</v>
      </c>
      <c r="C241" s="35" t="inlineStr">
        <is>
          <t>Dr. Paulo Andrade</t>
        </is>
      </c>
      <c r="D241" s="35" t="inlineStr">
        <is>
          <t>Sala 2</t>
        </is>
      </c>
      <c r="E241" s="34" t="inlineStr">
        <is>
          <t>Mateus Lima</t>
        </is>
      </c>
      <c r="F241" s="35" t="inlineStr">
        <is>
          <t>MediPlan</t>
        </is>
      </c>
      <c r="G241" s="35" t="inlineStr">
        <is>
          <t>MAPA</t>
        </is>
      </c>
      <c r="H241" s="35" t="inlineStr">
        <is>
          <t>Realizado</t>
        </is>
      </c>
      <c r="I241" s="35" t="inlineStr">
        <is>
          <t>Convênio</t>
        </is>
      </c>
      <c r="J241" s="35" t="n"/>
      <c r="K241" s="34" t="n"/>
      <c r="L241" s="26">
        <f>IF(A241="","",MONTH(A241))</f>
        <v>7</v>
      </c>
      <c r="M241" s="26">
        <f>IF(A241="","",YEAR(A241))</f>
        <v>2026</v>
      </c>
      <c r="N241" s="26" t="str">
        <f>IF(A241="","",CHOOSE(WEEKDAY(A241,2),"Segunda","Terça","Quarta","Quinta","Sexta","Sábado","Domingo"))</f>
        <v>Sexta</v>
      </c>
      <c r="O241" s="26" t="str">
        <f>IF(B241="","",IF(B241&lt;TIME(12,0,0),"Manhã",IF(B241&lt;TIME(18,0,0),"Tarde","Noite")))</f>
        <v>Manhã</v>
      </c>
      <c r="P241" s="32">
        <f>IF(G241="","",IFERROR(INDEX(Config!$I$5:$I$16,MATCH(G241,Config!$H$5:$H$16,0)),0))</f>
        <v>0</v>
      </c>
      <c r="Q241" s="30">
        <f>IF(OR(H241&lt;&gt;"Realizado",P241="",P241=0),"",A241+P241)</f>
        <v/>
      </c>
      <c r="R241" s="26">
        <f>IF(Q241="","",IF(COUNTIFS($E$5:$E$1204,E241,$A$5:$A$1204,"&gt;"&amp;A241,$H$5:$H$1204,"&lt;&gt;Falta",$H$5:$H$1204,"&lt;&gt;Cancelado",$H$5:$H$1204,"&lt;&gt;Remarcado")&gt;0,"Sim","Não"))</f>
        <v/>
      </c>
      <c r="S241" s="32">
        <f>IF(R241&lt;&gt;"Não","",IF(Q241+Config!$B$9&lt;=Config!$B$8,Config!$B$8-Q241,""))</f>
        <v/>
      </c>
      <c r="T241" s="26">
        <f>IF(S241="","","Sim")</f>
        <v/>
      </c>
      <c r="U241" s="41">
        <f>IF(T241="Sim",S241+ROW()/100000,0)</f>
        <v>0</v>
      </c>
      <c r="V241" s="41">
        <f>IF(AND(H241="Falta",L241=Config!$B$7,M241=Config!$B$5,COUNTIFS($E$5:E241,E241,$H$5:H241,"Falta",$L$5:L241,Config!$B$7,$M$5:M241,Config!$B$5)=1),COUNTIFS($E$5:$E$1204,E241,$H$5:$H$1204,"Falta",$L$5:$L$1204,Config!$B$7,$M$5:$M$1204,Config!$B$5)*1000-ROW()/100000,0)</f>
        <v>0</v>
      </c>
    </row>
    <row r="242">
      <c r="A242" s="39" t="n">
        <v>46227</v>
      </c>
      <c r="B242" s="40" t="n">
        <v>0.3958333333333333</v>
      </c>
      <c r="C242" s="35" t="inlineStr">
        <is>
          <t>Dr. Paulo Andrade</t>
        </is>
      </c>
      <c r="D242" s="35" t="inlineStr">
        <is>
          <t>Sala 2</t>
        </is>
      </c>
      <c r="E242" s="34" t="inlineStr">
        <is>
          <t>Gisele Pinto</t>
        </is>
      </c>
      <c r="F242" s="35" t="inlineStr">
        <is>
          <t>Saúde Total</t>
        </is>
      </c>
      <c r="G242" s="35" t="inlineStr">
        <is>
          <t>Consulta</t>
        </is>
      </c>
      <c r="H242" s="35" t="inlineStr">
        <is>
          <t>Realizado</t>
        </is>
      </c>
      <c r="I242" s="35" t="inlineStr">
        <is>
          <t>Convênio</t>
        </is>
      </c>
      <c r="J242" s="35" t="n"/>
      <c r="K242" s="34" t="n"/>
      <c r="L242" s="26">
        <f>IF(A242="","",MONTH(A242))</f>
        <v>7</v>
      </c>
      <c r="M242" s="26">
        <f>IF(A242="","",YEAR(A242))</f>
        <v>2026</v>
      </c>
      <c r="N242" s="26" t="str">
        <f>IF(A242="","",CHOOSE(WEEKDAY(A242,2),"Segunda","Terça","Quarta","Quinta","Sexta","Sábado","Domingo"))</f>
        <v>Sexta</v>
      </c>
      <c r="O242" s="26" t="str">
        <f>IF(B242="","",IF(B242&lt;TIME(12,0,0),"Manhã",IF(B242&lt;TIME(18,0,0),"Tarde","Noite")))</f>
        <v>Manhã</v>
      </c>
      <c r="P242" s="32">
        <f>IF(G242="","",IFERROR(INDEX(Config!$I$5:$I$16,MATCH(G242,Config!$H$5:$H$16,0)),0))</f>
        <v>30</v>
      </c>
      <c r="Q242" s="30">
        <f>IF(OR(H242&lt;&gt;"Realizado",P242="",P242=0),"",A242+P242)</f>
        <v>46257.0</v>
      </c>
      <c r="R242" s="26" t="str">
        <f>IF(Q242="","",IF(COUNTIFS($E$5:$E$1204,E242,$A$5:$A$1204,"&gt;"&amp;A242,$H$5:$H$1204,"&lt;&gt;Falta",$H$5:$H$1204,"&lt;&gt;Cancelado",$H$5:$H$1204,"&lt;&gt;Remarcado")&gt;0,"Sim","Não"))</f>
        <v>Sim</v>
      </c>
      <c r="S242" s="32">
        <f>IF(R242&lt;&gt;"Não","",IF(Q242+Config!$B$9&lt;=Config!$B$8,Config!$B$8-Q242,""))</f>
        <v/>
      </c>
      <c r="T242" s="26">
        <f>IF(S242="","","Sim")</f>
        <v/>
      </c>
      <c r="U242" s="41">
        <f>IF(T242="Sim",S242+ROW()/100000,0)</f>
        <v>0</v>
      </c>
      <c r="V242" s="41">
        <f>IF(AND(H242="Falta",L242=Config!$B$7,M242=Config!$B$5,COUNTIFS($E$5:E242,E242,$H$5:H242,"Falta",$L$5:L242,Config!$B$7,$M$5:M242,Config!$B$5)=1),COUNTIFS($E$5:$E$1204,E242,$H$5:$H$1204,"Falta",$L$5:$L$1204,Config!$B$7,$M$5:$M$1204,Config!$B$5)*1000-ROW()/100000,0)</f>
        <v>0</v>
      </c>
    </row>
    <row r="243">
      <c r="A243" s="39" t="n">
        <v>46227</v>
      </c>
      <c r="B243" s="40" t="n">
        <v>0.4166666666666667</v>
      </c>
      <c r="C243" s="35" t="inlineStr">
        <is>
          <t>Dr. Paulo Andrade</t>
        </is>
      </c>
      <c r="D243" s="35" t="inlineStr">
        <is>
          <t>Sala 2</t>
        </is>
      </c>
      <c r="E243" s="34" t="inlineStr">
        <is>
          <t>Helena Ribeiro</t>
        </is>
      </c>
      <c r="F243" s="35" t="inlineStr">
        <is>
          <t>MediPlan</t>
        </is>
      </c>
      <c r="G243" s="35" t="inlineStr">
        <is>
          <t>Retorno</t>
        </is>
      </c>
      <c r="H243" s="35" t="inlineStr">
        <is>
          <t>Realizado</t>
        </is>
      </c>
      <c r="I243" s="35" t="inlineStr">
        <is>
          <t>Sem cobrança</t>
        </is>
      </c>
      <c r="J243" s="35" t="n"/>
      <c r="K243" s="34" t="n"/>
      <c r="L243" s="26">
        <f>IF(A243="","",MONTH(A243))</f>
        <v>7</v>
      </c>
      <c r="M243" s="26">
        <f>IF(A243="","",YEAR(A243))</f>
        <v>2026</v>
      </c>
      <c r="N243" s="26" t="str">
        <f>IF(A243="","",CHOOSE(WEEKDAY(A243,2),"Segunda","Terça","Quarta","Quinta","Sexta","Sábado","Domingo"))</f>
        <v>Sexta</v>
      </c>
      <c r="O243" s="26" t="str">
        <f>IF(B243="","",IF(B243&lt;TIME(12,0,0),"Manhã",IF(B243&lt;TIME(18,0,0),"Tarde","Noite")))</f>
        <v>Manhã</v>
      </c>
      <c r="P243" s="32">
        <f>IF(G243="","",IFERROR(INDEX(Config!$I$5:$I$16,MATCH(G243,Config!$H$5:$H$16,0)),0))</f>
        <v>0</v>
      </c>
      <c r="Q243" s="30">
        <f>IF(OR(H243&lt;&gt;"Realizado",P243="",P243=0),"",A243+P243)</f>
        <v/>
      </c>
      <c r="R243" s="26">
        <f>IF(Q243="","",IF(COUNTIFS($E$5:$E$1204,E243,$A$5:$A$1204,"&gt;"&amp;A243,$H$5:$H$1204,"&lt;&gt;Falta",$H$5:$H$1204,"&lt;&gt;Cancelado",$H$5:$H$1204,"&lt;&gt;Remarcado")&gt;0,"Sim","Não"))</f>
        <v/>
      </c>
      <c r="S243" s="32">
        <f>IF(R243&lt;&gt;"Não","",IF(Q243+Config!$B$9&lt;=Config!$B$8,Config!$B$8-Q243,""))</f>
        <v/>
      </c>
      <c r="T243" s="26">
        <f>IF(S243="","","Sim")</f>
        <v/>
      </c>
      <c r="U243" s="41">
        <f>IF(T243="Sim",S243+ROW()/100000,0)</f>
        <v>0</v>
      </c>
      <c r="V243" s="41">
        <f>IF(AND(H243="Falta",L243=Config!$B$7,M243=Config!$B$5,COUNTIFS($E$5:E243,E243,$H$5:H243,"Falta",$L$5:L243,Config!$B$7,$M$5:M243,Config!$B$5)=1),COUNTIFS($E$5:$E$1204,E243,$H$5:$H$1204,"Falta",$L$5:$L$1204,Config!$B$7,$M$5:$M$1204,Config!$B$5)*1000-ROW()/100000,0)</f>
        <v>0</v>
      </c>
    </row>
    <row r="244">
      <c r="A244" s="39" t="n">
        <v>46227</v>
      </c>
      <c r="B244" s="40" t="n">
        <v>0.4305555555555556</v>
      </c>
      <c r="C244" s="35" t="inlineStr">
        <is>
          <t>Dr. Paulo Andrade</t>
        </is>
      </c>
      <c r="D244" s="35" t="inlineStr">
        <is>
          <t>Sala 2</t>
        </is>
      </c>
      <c r="E244" s="34" t="inlineStr">
        <is>
          <t>Ana Costa</t>
        </is>
      </c>
      <c r="F244" s="35" t="inlineStr">
        <is>
          <t>Particular</t>
        </is>
      </c>
      <c r="G244" s="35" t="inlineStr">
        <is>
          <t>ECG</t>
        </is>
      </c>
      <c r="H244" s="35" t="inlineStr">
        <is>
          <t>Realizado</t>
        </is>
      </c>
      <c r="I244" s="35" t="inlineStr">
        <is>
          <t>Pix</t>
        </is>
      </c>
      <c r="J244" s="35" t="n"/>
      <c r="K244" s="34" t="n"/>
      <c r="L244" s="26">
        <f>IF(A244="","",MONTH(A244))</f>
        <v>7</v>
      </c>
      <c r="M244" s="26">
        <f>IF(A244="","",YEAR(A244))</f>
        <v>2026</v>
      </c>
      <c r="N244" s="26" t="str">
        <f>IF(A244="","",CHOOSE(WEEKDAY(A244,2),"Segunda","Terça","Quarta","Quinta","Sexta","Sábado","Domingo"))</f>
        <v>Sexta</v>
      </c>
      <c r="O244" s="26" t="str">
        <f>IF(B244="","",IF(B244&lt;TIME(12,0,0),"Manhã",IF(B244&lt;TIME(18,0,0),"Tarde","Noite")))</f>
        <v>Manhã</v>
      </c>
      <c r="P244" s="32">
        <f>IF(G244="","",IFERROR(INDEX(Config!$I$5:$I$16,MATCH(G244,Config!$H$5:$H$16,0)),0))</f>
        <v>0</v>
      </c>
      <c r="Q244" s="30">
        <f>IF(OR(H244&lt;&gt;"Realizado",P244="",P244=0),"",A244+P244)</f>
        <v/>
      </c>
      <c r="R244" s="26">
        <f>IF(Q244="","",IF(COUNTIFS($E$5:$E$1204,E244,$A$5:$A$1204,"&gt;"&amp;A244,$H$5:$H$1204,"&lt;&gt;Falta",$H$5:$H$1204,"&lt;&gt;Cancelado",$H$5:$H$1204,"&lt;&gt;Remarcado")&gt;0,"Sim","Não"))</f>
        <v/>
      </c>
      <c r="S244" s="32">
        <f>IF(R244&lt;&gt;"Não","",IF(Q244+Config!$B$9&lt;=Config!$B$8,Config!$B$8-Q244,""))</f>
        <v/>
      </c>
      <c r="T244" s="26">
        <f>IF(S244="","","Sim")</f>
        <v/>
      </c>
      <c r="U244" s="41">
        <f>IF(T244="Sim",S244+ROW()/100000,0)</f>
        <v>0</v>
      </c>
      <c r="V244" s="41">
        <f>IF(AND(H244="Falta",L244=Config!$B$7,M244=Config!$B$5,COUNTIFS($E$5:E244,E244,$H$5:H244,"Falta",$L$5:L244,Config!$B$7,$M$5:M244,Config!$B$5)=1),COUNTIFS($E$5:$E$1204,E244,$H$5:$H$1204,"Falta",$L$5:$L$1204,Config!$B$7,$M$5:$M$1204,Config!$B$5)*1000-ROW()/100000,0)</f>
        <v>0</v>
      </c>
    </row>
    <row r="245">
      <c r="A245" s="39" t="n">
        <v>46227</v>
      </c>
      <c r="B245" s="40" t="n">
        <v>0.4444444444444444</v>
      </c>
      <c r="C245" s="35" t="inlineStr">
        <is>
          <t>Dr. Paulo Andrade</t>
        </is>
      </c>
      <c r="D245" s="35" t="inlineStr">
        <is>
          <t>Sala 2</t>
        </is>
      </c>
      <c r="E245" s="34" t="inlineStr">
        <is>
          <t>Wagner Costa</t>
        </is>
      </c>
      <c r="F245" s="35" t="inlineStr">
        <is>
          <t>Particular</t>
        </is>
      </c>
      <c r="G245" s="35" t="inlineStr">
        <is>
          <t>Retorno</t>
        </is>
      </c>
      <c r="H245" s="35" t="inlineStr">
        <is>
          <t>Realizado</t>
        </is>
      </c>
      <c r="I245" s="35" t="inlineStr">
        <is>
          <t>Sem cobrança</t>
        </is>
      </c>
      <c r="J245" s="35" t="n"/>
      <c r="K245" s="34" t="n"/>
      <c r="L245" s="26">
        <f>IF(A245="","",MONTH(A245))</f>
        <v>7</v>
      </c>
      <c r="M245" s="26">
        <f>IF(A245="","",YEAR(A245))</f>
        <v>2026</v>
      </c>
      <c r="N245" s="26" t="str">
        <f>IF(A245="","",CHOOSE(WEEKDAY(A245,2),"Segunda","Terça","Quarta","Quinta","Sexta","Sábado","Domingo"))</f>
        <v>Sexta</v>
      </c>
      <c r="O245" s="26" t="str">
        <f>IF(B245="","",IF(B245&lt;TIME(12,0,0),"Manhã",IF(B245&lt;TIME(18,0,0),"Tarde","Noite")))</f>
        <v>Manhã</v>
      </c>
      <c r="P245" s="32">
        <f>IF(G245="","",IFERROR(INDEX(Config!$I$5:$I$16,MATCH(G245,Config!$H$5:$H$16,0)),0))</f>
        <v>0</v>
      </c>
      <c r="Q245" s="30">
        <f>IF(OR(H245&lt;&gt;"Realizado",P245="",P245=0),"",A245+P245)</f>
        <v/>
      </c>
      <c r="R245" s="26">
        <f>IF(Q245="","",IF(COUNTIFS($E$5:$E$1204,E245,$A$5:$A$1204,"&gt;"&amp;A245,$H$5:$H$1204,"&lt;&gt;Falta",$H$5:$H$1204,"&lt;&gt;Cancelado",$H$5:$H$1204,"&lt;&gt;Remarcado")&gt;0,"Sim","Não"))</f>
        <v/>
      </c>
      <c r="S245" s="32">
        <f>IF(R245&lt;&gt;"Não","",IF(Q245+Config!$B$9&lt;=Config!$B$8,Config!$B$8-Q245,""))</f>
        <v/>
      </c>
      <c r="T245" s="26">
        <f>IF(S245="","","Sim")</f>
        <v/>
      </c>
      <c r="U245" s="41">
        <f>IF(T245="Sim",S245+ROW()/100000,0)</f>
        <v>0</v>
      </c>
      <c r="V245" s="41">
        <f>IF(AND(H245="Falta",L245=Config!$B$7,M245=Config!$B$5,COUNTIFS($E$5:E245,E245,$H$5:H245,"Falta",$L$5:L245,Config!$B$7,$M$5:M245,Config!$B$5)=1),COUNTIFS($E$5:$E$1204,E245,$H$5:$H$1204,"Falta",$L$5:$L$1204,Config!$B$7,$M$5:$M$1204,Config!$B$5)*1000-ROW()/100000,0)</f>
        <v>0</v>
      </c>
    </row>
    <row r="246">
      <c r="A246" s="39" t="n">
        <v>46227</v>
      </c>
      <c r="B246" s="40" t="n">
        <v>0.4583333333333333</v>
      </c>
      <c r="C246" s="35" t="inlineStr">
        <is>
          <t>Dr. Paulo Andrade</t>
        </is>
      </c>
      <c r="D246" s="35" t="inlineStr">
        <is>
          <t>Sala 2</t>
        </is>
      </c>
      <c r="E246" s="34" t="inlineStr">
        <is>
          <t>Eduardo Lima</t>
        </is>
      </c>
      <c r="F246" s="35" t="inlineStr">
        <is>
          <t>Particular</t>
        </is>
      </c>
      <c r="G246" s="35" t="inlineStr">
        <is>
          <t>Teste ergométrico</t>
        </is>
      </c>
      <c r="H246" s="35" t="inlineStr">
        <is>
          <t>Realizado</t>
        </is>
      </c>
      <c r="I246" s="35" t="inlineStr">
        <is>
          <t>A prazo</t>
        </is>
      </c>
      <c r="J246" s="35" t="n"/>
      <c r="K246" s="34" t="n"/>
      <c r="L246" s="26">
        <f>IF(A246="","",MONTH(A246))</f>
        <v>7</v>
      </c>
      <c r="M246" s="26">
        <f>IF(A246="","",YEAR(A246))</f>
        <v>2026</v>
      </c>
      <c r="N246" s="26" t="str">
        <f>IF(A246="","",CHOOSE(WEEKDAY(A246,2),"Segunda","Terça","Quarta","Quinta","Sexta","Sábado","Domingo"))</f>
        <v>Sexta</v>
      </c>
      <c r="O246" s="26" t="str">
        <f>IF(B246="","",IF(B246&lt;TIME(12,0,0),"Manhã",IF(B246&lt;TIME(18,0,0),"Tarde","Noite")))</f>
        <v>Manhã</v>
      </c>
      <c r="P246" s="32">
        <f>IF(G246="","",IFERROR(INDEX(Config!$I$5:$I$16,MATCH(G246,Config!$H$5:$H$16,0)),0))</f>
        <v>0</v>
      </c>
      <c r="Q246" s="30">
        <f>IF(OR(H246&lt;&gt;"Realizado",P246="",P246=0),"",A246+P246)</f>
        <v/>
      </c>
      <c r="R246" s="26">
        <f>IF(Q246="","",IF(COUNTIFS($E$5:$E$1204,E246,$A$5:$A$1204,"&gt;"&amp;A246,$H$5:$H$1204,"&lt;&gt;Falta",$H$5:$H$1204,"&lt;&gt;Cancelado",$H$5:$H$1204,"&lt;&gt;Remarcado")&gt;0,"Sim","Não"))</f>
        <v/>
      </c>
      <c r="S246" s="32">
        <f>IF(R246&lt;&gt;"Não","",IF(Q246+Config!$B$9&lt;=Config!$B$8,Config!$B$8-Q246,""))</f>
        <v/>
      </c>
      <c r="T246" s="26">
        <f>IF(S246="","","Sim")</f>
        <v/>
      </c>
      <c r="U246" s="41">
        <f>IF(T246="Sim",S246+ROW()/100000,0)</f>
        <v>0</v>
      </c>
      <c r="V246" s="41">
        <f>IF(AND(H246="Falta",L246=Config!$B$7,M246=Config!$B$5,COUNTIFS($E$5:E246,E246,$H$5:H246,"Falta",$L$5:L246,Config!$B$7,$M$5:M246,Config!$B$5)=1),COUNTIFS($E$5:$E$1204,E246,$H$5:$H$1204,"Falta",$L$5:$L$1204,Config!$B$7,$M$5:$M$1204,Config!$B$5)*1000-ROW()/100000,0)</f>
        <v>0</v>
      </c>
    </row>
    <row r="247">
      <c r="A247" s="39" t="n">
        <v>46230</v>
      </c>
      <c r="B247" s="40" t="n">
        <v>0.3333333333333333</v>
      </c>
      <c r="C247" s="35" t="inlineStr">
        <is>
          <t>Dra. Carolina Mendes</t>
        </is>
      </c>
      <c r="D247" s="35" t="inlineStr">
        <is>
          <t>Sala 1</t>
        </is>
      </c>
      <c r="E247" s="34" t="inlineStr">
        <is>
          <t>Regina Duarte</t>
        </is>
      </c>
      <c r="F247" s="35" t="inlineStr">
        <is>
          <t>Particular</t>
        </is>
      </c>
      <c r="G247" s="35" t="inlineStr">
        <is>
          <t>Consulta</t>
        </is>
      </c>
      <c r="H247" s="35" t="inlineStr">
        <is>
          <t>Realizado</t>
        </is>
      </c>
      <c r="I247" s="35" t="inlineStr">
        <is>
          <t>A prazo</t>
        </is>
      </c>
      <c r="J247" s="35" t="n"/>
      <c r="K247" s="34" t="n"/>
      <c r="L247" s="26">
        <f>IF(A247="","",MONTH(A247))</f>
        <v>7</v>
      </c>
      <c r="M247" s="26">
        <f>IF(A247="","",YEAR(A247))</f>
        <v>2026</v>
      </c>
      <c r="N247" s="26" t="str">
        <f>IF(A247="","",CHOOSE(WEEKDAY(A247,2),"Segunda","Terça","Quarta","Quinta","Sexta","Sábado","Domingo"))</f>
        <v>Segunda</v>
      </c>
      <c r="O247" s="26" t="str">
        <f>IF(B247="","",IF(B247&lt;TIME(12,0,0),"Manhã",IF(B247&lt;TIME(18,0,0),"Tarde","Noite")))</f>
        <v>Manhã</v>
      </c>
      <c r="P247" s="32">
        <f>IF(G247="","",IFERROR(INDEX(Config!$I$5:$I$16,MATCH(G247,Config!$H$5:$H$16,0)),0))</f>
        <v>30</v>
      </c>
      <c r="Q247" s="30">
        <f>IF(OR(H247&lt;&gt;"Realizado",P247="",P247=0),"",A247+P247)</f>
        <v>46260.0</v>
      </c>
      <c r="R247" s="26" t="str">
        <f>IF(Q247="","",IF(COUNTIFS($E$5:$E$1204,E247,$A$5:$A$1204,"&gt;"&amp;A247,$H$5:$H$1204,"&lt;&gt;Falta",$H$5:$H$1204,"&lt;&gt;Cancelado",$H$5:$H$1204,"&lt;&gt;Remarcado")&gt;0,"Sim","Não"))</f>
        <v>Sim</v>
      </c>
      <c r="S247" s="32">
        <f>IF(R247&lt;&gt;"Não","",IF(Q247+Config!$B$9&lt;=Config!$B$8,Config!$B$8-Q247,""))</f>
        <v/>
      </c>
      <c r="T247" s="26">
        <f>IF(S247="","","Sim")</f>
        <v/>
      </c>
      <c r="U247" s="41">
        <f>IF(T247="Sim",S247+ROW()/100000,0)</f>
        <v>0</v>
      </c>
      <c r="V247" s="41">
        <f>IF(AND(H247="Falta",L247=Config!$B$7,M247=Config!$B$5,COUNTIFS($E$5:E247,E247,$H$5:H247,"Falta",$L$5:L247,Config!$B$7,$M$5:M247,Config!$B$5)=1),COUNTIFS($E$5:$E$1204,E247,$H$5:$H$1204,"Falta",$L$5:$L$1204,Config!$B$7,$M$5:$M$1204,Config!$B$5)*1000-ROW()/100000,0)</f>
        <v>0</v>
      </c>
    </row>
    <row r="248">
      <c r="A248" s="39" t="n">
        <v>46230</v>
      </c>
      <c r="B248" s="40" t="n">
        <v>0.375</v>
      </c>
      <c r="C248" s="35" t="inlineStr">
        <is>
          <t>Dra. Carolina Mendes</t>
        </is>
      </c>
      <c r="D248" s="35" t="inlineStr">
        <is>
          <t>Sala 1</t>
        </is>
      </c>
      <c r="E248" s="34" t="inlineStr">
        <is>
          <t>Priscila Nunes</t>
        </is>
      </c>
      <c r="F248" s="35" t="inlineStr">
        <is>
          <t>MediPlan</t>
        </is>
      </c>
      <c r="G248" s="35" t="inlineStr">
        <is>
          <t>Consulta</t>
        </is>
      </c>
      <c r="H248" s="35" t="inlineStr">
        <is>
          <t>Realizado</t>
        </is>
      </c>
      <c r="I248" s="35" t="inlineStr">
        <is>
          <t>Convênio</t>
        </is>
      </c>
      <c r="J248" s="35" t="n"/>
      <c r="K248" s="34" t="n"/>
      <c r="L248" s="26">
        <f>IF(A248="","",MONTH(A248))</f>
        <v>7</v>
      </c>
      <c r="M248" s="26">
        <f>IF(A248="","",YEAR(A248))</f>
        <v>2026</v>
      </c>
      <c r="N248" s="26" t="str">
        <f>IF(A248="","",CHOOSE(WEEKDAY(A248,2),"Segunda","Terça","Quarta","Quinta","Sexta","Sábado","Domingo"))</f>
        <v>Segunda</v>
      </c>
      <c r="O248" s="26" t="str">
        <f>IF(B248="","",IF(B248&lt;TIME(12,0,0),"Manhã",IF(B248&lt;TIME(18,0,0),"Tarde","Noite")))</f>
        <v>Manhã</v>
      </c>
      <c r="P248" s="32">
        <f>IF(G248="","",IFERROR(INDEX(Config!$I$5:$I$16,MATCH(G248,Config!$H$5:$H$16,0)),0))</f>
        <v>30</v>
      </c>
      <c r="Q248" s="30">
        <f>IF(OR(H248&lt;&gt;"Realizado",P248="",P248=0),"",A248+P248)</f>
        <v>46260.0</v>
      </c>
      <c r="R248" s="26" t="str">
        <f>IF(Q248="","",IF(COUNTIFS($E$5:$E$1204,E248,$A$5:$A$1204,"&gt;"&amp;A248,$H$5:$H$1204,"&lt;&gt;Falta",$H$5:$H$1204,"&lt;&gt;Cancelado",$H$5:$H$1204,"&lt;&gt;Remarcado")&gt;0,"Sim","Não"))</f>
        <v>Sim</v>
      </c>
      <c r="S248" s="32">
        <f>IF(R248&lt;&gt;"Não","",IF(Q248+Config!$B$9&lt;=Config!$B$8,Config!$B$8-Q248,""))</f>
        <v/>
      </c>
      <c r="T248" s="26">
        <f>IF(S248="","","Sim")</f>
        <v/>
      </c>
      <c r="U248" s="41">
        <f>IF(T248="Sim",S248+ROW()/100000,0)</f>
        <v>0</v>
      </c>
      <c r="V248" s="41">
        <f>IF(AND(H248="Falta",L248=Config!$B$7,M248=Config!$B$5,COUNTIFS($E$5:E248,E248,$H$5:H248,"Falta",$L$5:L248,Config!$B$7,$M$5:M248,Config!$B$5)=1),COUNTIFS($E$5:$E$1204,E248,$H$5:$H$1204,"Falta",$L$5:$L$1204,Config!$B$7,$M$5:$M$1204,Config!$B$5)*1000-ROW()/100000,0)</f>
        <v>0</v>
      </c>
    </row>
    <row r="249">
      <c r="A249" s="39" t="n">
        <v>46230</v>
      </c>
      <c r="B249" s="40" t="n">
        <v>0.3958333333333333</v>
      </c>
      <c r="C249" s="35" t="inlineStr">
        <is>
          <t>Dra. Carolina Mendes</t>
        </is>
      </c>
      <c r="D249" s="35" t="inlineStr">
        <is>
          <t>Sala 1</t>
        </is>
      </c>
      <c r="E249" s="34" t="inlineStr">
        <is>
          <t>Isabela Pinto</t>
        </is>
      </c>
      <c r="F249" s="35" t="inlineStr">
        <is>
          <t>Saúde Total</t>
        </is>
      </c>
      <c r="G249" s="35" t="inlineStr">
        <is>
          <t>Consulta</t>
        </is>
      </c>
      <c r="H249" s="35" t="inlineStr">
        <is>
          <t>Realizado</t>
        </is>
      </c>
      <c r="I249" s="35" t="inlineStr">
        <is>
          <t>Convênio</t>
        </is>
      </c>
      <c r="J249" s="35" t="n"/>
      <c r="K249" s="34" t="n"/>
      <c r="L249" s="26">
        <f>IF(A249="","",MONTH(A249))</f>
        <v>7</v>
      </c>
      <c r="M249" s="26">
        <f>IF(A249="","",YEAR(A249))</f>
        <v>2026</v>
      </c>
      <c r="N249" s="26" t="str">
        <f>IF(A249="","",CHOOSE(WEEKDAY(A249,2),"Segunda","Terça","Quarta","Quinta","Sexta","Sábado","Domingo"))</f>
        <v>Segunda</v>
      </c>
      <c r="O249" s="26" t="str">
        <f>IF(B249="","",IF(B249&lt;TIME(12,0,0),"Manhã",IF(B249&lt;TIME(18,0,0),"Tarde","Noite")))</f>
        <v>Manhã</v>
      </c>
      <c r="P249" s="32">
        <f>IF(G249="","",IFERROR(INDEX(Config!$I$5:$I$16,MATCH(G249,Config!$H$5:$H$16,0)),0))</f>
        <v>30</v>
      </c>
      <c r="Q249" s="30">
        <f>IF(OR(H249&lt;&gt;"Realizado",P249="",P249=0),"",A249+P249)</f>
        <v>46260.0</v>
      </c>
      <c r="R249" s="26" t="str">
        <f>IF(Q249="","",IF(COUNTIFS($E$5:$E$1204,E249,$A$5:$A$1204,"&gt;"&amp;A249,$H$5:$H$1204,"&lt;&gt;Falta",$H$5:$H$1204,"&lt;&gt;Cancelado",$H$5:$H$1204,"&lt;&gt;Remarcado")&gt;0,"Sim","Não"))</f>
        <v>Sim</v>
      </c>
      <c r="S249" s="32">
        <f>IF(R249&lt;&gt;"Não","",IF(Q249+Config!$B$9&lt;=Config!$B$8,Config!$B$8-Q249,""))</f>
        <v/>
      </c>
      <c r="T249" s="26">
        <f>IF(S249="","","Sim")</f>
        <v/>
      </c>
      <c r="U249" s="41">
        <f>IF(T249="Sim",S249+ROW()/100000,0)</f>
        <v>0</v>
      </c>
      <c r="V249" s="41">
        <f>IF(AND(H249="Falta",L249=Config!$B$7,M249=Config!$B$5,COUNTIFS($E$5:E249,E249,$H$5:H249,"Falta",$L$5:L249,Config!$B$7,$M$5:M249,Config!$B$5)=1),COUNTIFS($E$5:$E$1204,E249,$H$5:$H$1204,"Falta",$L$5:$L$1204,Config!$B$7,$M$5:$M$1204,Config!$B$5)*1000-ROW()/100000,0)</f>
        <v>0</v>
      </c>
    </row>
    <row r="250">
      <c r="A250" s="39" t="n">
        <v>46230</v>
      </c>
      <c r="B250" s="40" t="n">
        <v>0.4375</v>
      </c>
      <c r="C250" s="35" t="inlineStr">
        <is>
          <t>Dra. Carolina Mendes</t>
        </is>
      </c>
      <c r="D250" s="35" t="inlineStr">
        <is>
          <t>Sala 1</t>
        </is>
      </c>
      <c r="E250" s="34" t="inlineStr">
        <is>
          <t>Eduardo Lima</t>
        </is>
      </c>
      <c r="F250" s="35" t="inlineStr">
        <is>
          <t>Particular</t>
        </is>
      </c>
      <c r="G250" s="35" t="inlineStr">
        <is>
          <t>Consulta</t>
        </is>
      </c>
      <c r="H250" s="35" t="inlineStr">
        <is>
          <t>Realizado</t>
        </is>
      </c>
      <c r="I250" s="35" t="inlineStr">
        <is>
          <t>Cartão de crédito</t>
        </is>
      </c>
      <c r="J250" s="35" t="n"/>
      <c r="K250" s="34" t="n"/>
      <c r="L250" s="26">
        <f>IF(A250="","",MONTH(A250))</f>
        <v>7</v>
      </c>
      <c r="M250" s="26">
        <f>IF(A250="","",YEAR(A250))</f>
        <v>2026</v>
      </c>
      <c r="N250" s="26" t="str">
        <f>IF(A250="","",CHOOSE(WEEKDAY(A250,2),"Segunda","Terça","Quarta","Quinta","Sexta","Sábado","Domingo"))</f>
        <v>Segunda</v>
      </c>
      <c r="O250" s="26" t="str">
        <f>IF(B250="","",IF(B250&lt;TIME(12,0,0),"Manhã",IF(B250&lt;TIME(18,0,0),"Tarde","Noite")))</f>
        <v>Manhã</v>
      </c>
      <c r="P250" s="32">
        <f>IF(G250="","",IFERROR(INDEX(Config!$I$5:$I$16,MATCH(G250,Config!$H$5:$H$16,0)),0))</f>
        <v>30</v>
      </c>
      <c r="Q250" s="30">
        <f>IF(OR(H250&lt;&gt;"Realizado",P250="",P250=0),"",A250+P250)</f>
        <v>46260.0</v>
      </c>
      <c r="R250" s="26" t="str">
        <f>IF(Q250="","",IF(COUNTIFS($E$5:$E$1204,E250,$A$5:$A$1204,"&gt;"&amp;A250,$H$5:$H$1204,"&lt;&gt;Falta",$H$5:$H$1204,"&lt;&gt;Cancelado",$H$5:$H$1204,"&lt;&gt;Remarcado")&gt;0,"Sim","Não"))</f>
        <v>Sim</v>
      </c>
      <c r="S250" s="32">
        <f>IF(R250&lt;&gt;"Não","",IF(Q250+Config!$B$9&lt;=Config!$B$8,Config!$B$8-Q250,""))</f>
        <v/>
      </c>
      <c r="T250" s="26">
        <f>IF(S250="","","Sim")</f>
        <v/>
      </c>
      <c r="U250" s="41">
        <f>IF(T250="Sim",S250+ROW()/100000,0)</f>
        <v>0</v>
      </c>
      <c r="V250" s="41">
        <f>IF(AND(H250="Falta",L250=Config!$B$7,M250=Config!$B$5,COUNTIFS($E$5:E250,E250,$H$5:H250,"Falta",$L$5:L250,Config!$B$7,$M$5:M250,Config!$B$5)=1),COUNTIFS($E$5:$E$1204,E250,$H$5:$H$1204,"Falta",$L$5:$L$1204,Config!$B$7,$M$5:$M$1204,Config!$B$5)*1000-ROW()/100000,0)</f>
        <v>0</v>
      </c>
    </row>
    <row r="251">
      <c r="A251" s="39" t="n">
        <v>46230</v>
      </c>
      <c r="B251" s="40" t="n">
        <v>0.4583333333333333</v>
      </c>
      <c r="C251" s="35" t="inlineStr">
        <is>
          <t>Dra. Carolina Mendes</t>
        </is>
      </c>
      <c r="D251" s="35" t="inlineStr">
        <is>
          <t>Sala 1</t>
        </is>
      </c>
      <c r="E251" s="34" t="inlineStr">
        <is>
          <t>Sérgio Martins</t>
        </is>
      </c>
      <c r="F251" s="35" t="inlineStr">
        <is>
          <t>Particular</t>
        </is>
      </c>
      <c r="G251" s="35" t="inlineStr">
        <is>
          <t>Consulta</t>
        </is>
      </c>
      <c r="H251" s="35" t="inlineStr">
        <is>
          <t>Realizado</t>
        </is>
      </c>
      <c r="I251" s="35" t="inlineStr">
        <is>
          <t>Dinheiro</t>
        </is>
      </c>
      <c r="J251" s="35" t="n"/>
      <c r="K251" s="34" t="n"/>
      <c r="L251" s="26">
        <f>IF(A251="","",MONTH(A251))</f>
        <v>7</v>
      </c>
      <c r="M251" s="26">
        <f>IF(A251="","",YEAR(A251))</f>
        <v>2026</v>
      </c>
      <c r="N251" s="26" t="str">
        <f>IF(A251="","",CHOOSE(WEEKDAY(A251,2),"Segunda","Terça","Quarta","Quinta","Sexta","Sábado","Domingo"))</f>
        <v>Segunda</v>
      </c>
      <c r="O251" s="26" t="str">
        <f>IF(B251="","",IF(B251&lt;TIME(12,0,0),"Manhã",IF(B251&lt;TIME(18,0,0),"Tarde","Noite")))</f>
        <v>Manhã</v>
      </c>
      <c r="P251" s="32">
        <f>IF(G251="","",IFERROR(INDEX(Config!$I$5:$I$16,MATCH(G251,Config!$H$5:$H$16,0)),0))</f>
        <v>30</v>
      </c>
      <c r="Q251" s="30">
        <f>IF(OR(H251&lt;&gt;"Realizado",P251="",P251=0),"",A251+P251)</f>
        <v>46260.0</v>
      </c>
      <c r="R251" s="26" t="str">
        <f>IF(Q251="","",IF(COUNTIFS($E$5:$E$1204,E251,$A$5:$A$1204,"&gt;"&amp;A251,$H$5:$H$1204,"&lt;&gt;Falta",$H$5:$H$1204,"&lt;&gt;Cancelado",$H$5:$H$1204,"&lt;&gt;Remarcado")&gt;0,"Sim","Não"))</f>
        <v>Sim</v>
      </c>
      <c r="S251" s="32">
        <f>IF(R251&lt;&gt;"Não","",IF(Q251+Config!$B$9&lt;=Config!$B$8,Config!$B$8-Q251,""))</f>
        <v/>
      </c>
      <c r="T251" s="26">
        <f>IF(S251="","","Sim")</f>
        <v/>
      </c>
      <c r="U251" s="41">
        <f>IF(T251="Sim",S251+ROW()/100000,0)</f>
        <v>0</v>
      </c>
      <c r="V251" s="41">
        <f>IF(AND(H251="Falta",L251=Config!$B$7,M251=Config!$B$5,COUNTIFS($E$5:E251,E251,$H$5:H251,"Falta",$L$5:L251,Config!$B$7,$M$5:M251,Config!$B$5)=1),COUNTIFS($E$5:$E$1204,E251,$H$5:$H$1204,"Falta",$L$5:$L$1204,Config!$B$7,$M$5:$M$1204,Config!$B$5)*1000-ROW()/100000,0)</f>
        <v>0</v>
      </c>
    </row>
    <row r="252">
      <c r="A252" s="39" t="n">
        <v>46230</v>
      </c>
      <c r="B252" s="40" t="n">
        <v>0.4791666666666667</v>
      </c>
      <c r="C252" s="35" t="inlineStr">
        <is>
          <t>Dra. Carolina Mendes</t>
        </is>
      </c>
      <c r="D252" s="35" t="inlineStr">
        <is>
          <t>Sala 1</t>
        </is>
      </c>
      <c r="E252" s="34" t="inlineStr">
        <is>
          <t>Débora Ramos</t>
        </is>
      </c>
      <c r="F252" s="35" t="inlineStr">
        <is>
          <t>Particular</t>
        </is>
      </c>
      <c r="G252" s="35" t="inlineStr">
        <is>
          <t>Retorno</t>
        </is>
      </c>
      <c r="H252" s="35" t="inlineStr">
        <is>
          <t>Realizado</t>
        </is>
      </c>
      <c r="I252" s="35" t="inlineStr">
        <is>
          <t>Sem cobrança</t>
        </is>
      </c>
      <c r="J252" s="35" t="n"/>
      <c r="K252" s="34" t="n"/>
      <c r="L252" s="26">
        <f>IF(A252="","",MONTH(A252))</f>
        <v>7</v>
      </c>
      <c r="M252" s="26">
        <f>IF(A252="","",YEAR(A252))</f>
        <v>2026</v>
      </c>
      <c r="N252" s="26" t="str">
        <f>IF(A252="","",CHOOSE(WEEKDAY(A252,2),"Segunda","Terça","Quarta","Quinta","Sexta","Sábado","Domingo"))</f>
        <v>Segunda</v>
      </c>
      <c r="O252" s="26" t="str">
        <f>IF(B252="","",IF(B252&lt;TIME(12,0,0),"Manhã",IF(B252&lt;TIME(18,0,0),"Tarde","Noite")))</f>
        <v>Manhã</v>
      </c>
      <c r="P252" s="32">
        <f>IF(G252="","",IFERROR(INDEX(Config!$I$5:$I$16,MATCH(G252,Config!$H$5:$H$16,0)),0))</f>
        <v>0</v>
      </c>
      <c r="Q252" s="30">
        <f>IF(OR(H252&lt;&gt;"Realizado",P252="",P252=0),"",A252+P252)</f>
        <v/>
      </c>
      <c r="R252" s="26">
        <f>IF(Q252="","",IF(COUNTIFS($E$5:$E$1204,E252,$A$5:$A$1204,"&gt;"&amp;A252,$H$5:$H$1204,"&lt;&gt;Falta",$H$5:$H$1204,"&lt;&gt;Cancelado",$H$5:$H$1204,"&lt;&gt;Remarcado")&gt;0,"Sim","Não"))</f>
        <v/>
      </c>
      <c r="S252" s="32">
        <f>IF(R252&lt;&gt;"Não","",IF(Q252+Config!$B$9&lt;=Config!$B$8,Config!$B$8-Q252,""))</f>
        <v/>
      </c>
      <c r="T252" s="26">
        <f>IF(S252="","","Sim")</f>
        <v/>
      </c>
      <c r="U252" s="41">
        <f>IF(T252="Sim",S252+ROW()/100000,0)</f>
        <v>0</v>
      </c>
      <c r="V252" s="41">
        <f>IF(AND(H252="Falta",L252=Config!$B$7,M252=Config!$B$5,COUNTIFS($E$5:E252,E252,$H$5:H252,"Falta",$L$5:L252,Config!$B$7,$M$5:M252,Config!$B$5)=1),COUNTIFS($E$5:$E$1204,E252,$H$5:$H$1204,"Falta",$L$5:$L$1204,Config!$B$7,$M$5:$M$1204,Config!$B$5)*1000-ROW()/100000,0)</f>
        <v>0</v>
      </c>
    </row>
    <row r="253">
      <c r="A253" s="39" t="n">
        <v>46230</v>
      </c>
      <c r="B253" s="40" t="n">
        <v>0.5833333333333334</v>
      </c>
      <c r="C253" s="35" t="inlineStr">
        <is>
          <t>Dr. Paulo Andrade</t>
        </is>
      </c>
      <c r="D253" s="35" t="inlineStr">
        <is>
          <t>Sala 2</t>
        </is>
      </c>
      <c r="E253" s="34" t="inlineStr">
        <is>
          <t>Débora Moreira</t>
        </is>
      </c>
      <c r="F253" s="35" t="inlineStr">
        <is>
          <t>Particular</t>
        </is>
      </c>
      <c r="G253" s="35" t="inlineStr">
        <is>
          <t>Consulta</t>
        </is>
      </c>
      <c r="H253" s="35" t="inlineStr">
        <is>
          <t>Realizado</t>
        </is>
      </c>
      <c r="I253" s="35" t="inlineStr">
        <is>
          <t>Pix</t>
        </is>
      </c>
      <c r="J253" s="35" t="n"/>
      <c r="K253" s="34" t="n"/>
      <c r="L253" s="26">
        <f>IF(A253="","",MONTH(A253))</f>
        <v>7</v>
      </c>
      <c r="M253" s="26">
        <f>IF(A253="","",YEAR(A253))</f>
        <v>2026</v>
      </c>
      <c r="N253" s="26" t="str">
        <f>IF(A253="","",CHOOSE(WEEKDAY(A253,2),"Segunda","Terça","Quarta","Quinta","Sexta","Sábado","Domingo"))</f>
        <v>Segunda</v>
      </c>
      <c r="O253" s="26" t="str">
        <f>IF(B253="","",IF(B253&lt;TIME(12,0,0),"Manhã",IF(B253&lt;TIME(18,0,0),"Tarde","Noite")))</f>
        <v>Tarde</v>
      </c>
      <c r="P253" s="32">
        <f>IF(G253="","",IFERROR(INDEX(Config!$I$5:$I$16,MATCH(G253,Config!$H$5:$H$16,0)),0))</f>
        <v>30</v>
      </c>
      <c r="Q253" s="30">
        <f>IF(OR(H253&lt;&gt;"Realizado",P253="",P253=0),"",A253+P253)</f>
        <v>46260.0</v>
      </c>
      <c r="R253" s="26" t="str">
        <f>IF(Q253="","",IF(COUNTIFS($E$5:$E$1204,E253,$A$5:$A$1204,"&gt;"&amp;A253,$H$5:$H$1204,"&lt;&gt;Falta",$H$5:$H$1204,"&lt;&gt;Cancelado",$H$5:$H$1204,"&lt;&gt;Remarcado")&gt;0,"Sim","Não"))</f>
        <v>Sim</v>
      </c>
      <c r="S253" s="32">
        <f>IF(R253&lt;&gt;"Não","",IF(Q253+Config!$B$9&lt;=Config!$B$8,Config!$B$8-Q253,""))</f>
        <v/>
      </c>
      <c r="T253" s="26">
        <f>IF(S253="","","Sim")</f>
        <v/>
      </c>
      <c r="U253" s="41">
        <f>IF(T253="Sim",S253+ROW()/100000,0)</f>
        <v>0</v>
      </c>
      <c r="V253" s="41">
        <f>IF(AND(H253="Falta",L253=Config!$B$7,M253=Config!$B$5,COUNTIFS($E$5:E253,E253,$H$5:H253,"Falta",$L$5:L253,Config!$B$7,$M$5:M253,Config!$B$5)=1),COUNTIFS($E$5:$E$1204,E253,$H$5:$H$1204,"Falta",$L$5:$L$1204,Config!$B$7,$M$5:$M$1204,Config!$B$5)*1000-ROW()/100000,0)</f>
        <v>0</v>
      </c>
    </row>
    <row r="254">
      <c r="A254" s="39" t="n">
        <v>46230</v>
      </c>
      <c r="B254" s="40" t="n">
        <v>0.6041666666666666</v>
      </c>
      <c r="C254" s="35" t="inlineStr">
        <is>
          <t>Dr. Paulo Andrade</t>
        </is>
      </c>
      <c r="D254" s="35" t="inlineStr">
        <is>
          <t>Sala 2</t>
        </is>
      </c>
      <c r="E254" s="34" t="inlineStr">
        <is>
          <t>Gabriel Oliveira</t>
        </is>
      </c>
      <c r="F254" s="35" t="inlineStr">
        <is>
          <t>Particular</t>
        </is>
      </c>
      <c r="G254" s="35" t="inlineStr">
        <is>
          <t>Consulta</t>
        </is>
      </c>
      <c r="H254" s="35" t="inlineStr">
        <is>
          <t>Falta</t>
        </is>
      </c>
      <c r="I254" s="35" t="n"/>
      <c r="J254" s="35" t="n"/>
      <c r="K254" s="34" t="n"/>
      <c r="L254" s="26">
        <f>IF(A254="","",MONTH(A254))</f>
        <v>7</v>
      </c>
      <c r="M254" s="26">
        <f>IF(A254="","",YEAR(A254))</f>
        <v>2026</v>
      </c>
      <c r="N254" s="26" t="str">
        <f>IF(A254="","",CHOOSE(WEEKDAY(A254,2),"Segunda","Terça","Quarta","Quinta","Sexta","Sábado","Domingo"))</f>
        <v>Segunda</v>
      </c>
      <c r="O254" s="26" t="str">
        <f>IF(B254="","",IF(B254&lt;TIME(12,0,0),"Manhã",IF(B254&lt;TIME(18,0,0),"Tarde","Noite")))</f>
        <v>Tarde</v>
      </c>
      <c r="P254" s="32">
        <f>IF(G254="","",IFERROR(INDEX(Config!$I$5:$I$16,MATCH(G254,Config!$H$5:$H$16,0)),0))</f>
        <v>30</v>
      </c>
      <c r="Q254" s="30">
        <f>IF(OR(H254&lt;&gt;"Realizado",P254="",P254=0),"",A254+P254)</f>
        <v/>
      </c>
      <c r="R254" s="26">
        <f>IF(Q254="","",IF(COUNTIFS($E$5:$E$1204,E254,$A$5:$A$1204,"&gt;"&amp;A254,$H$5:$H$1204,"&lt;&gt;Falta",$H$5:$H$1204,"&lt;&gt;Cancelado",$H$5:$H$1204,"&lt;&gt;Remarcado")&gt;0,"Sim","Não"))</f>
        <v/>
      </c>
      <c r="S254" s="32">
        <f>IF(R254&lt;&gt;"Não","",IF(Q254+Config!$B$9&lt;=Config!$B$8,Config!$B$8-Q254,""))</f>
        <v/>
      </c>
      <c r="T254" s="26">
        <f>IF(S254="","","Sim")</f>
        <v/>
      </c>
      <c r="U254" s="41">
        <f>IF(T254="Sim",S254+ROW()/100000,0)</f>
        <v>0</v>
      </c>
      <c r="V254" s="41">
        <f>IF(AND(H254="Falta",L254=Config!$B$7,M254=Config!$B$5,COUNTIFS($E$5:E254,E254,$H$5:H254,"Falta",$L$5:L254,Config!$B$7,$M$5:M254,Config!$B$5)=1),COUNTIFS($E$5:$E$1204,E254,$H$5:$H$1204,"Falta",$L$5:$L$1204,Config!$B$7,$M$5:$M$1204,Config!$B$5)*1000-ROW()/100000,0)</f>
        <v>0</v>
      </c>
    </row>
    <row r="255">
      <c r="A255" s="39" t="n">
        <v>46230</v>
      </c>
      <c r="B255" s="40" t="n">
        <v>0.6458333333333334</v>
      </c>
      <c r="C255" s="35" t="inlineStr">
        <is>
          <t>Dr. Paulo Andrade</t>
        </is>
      </c>
      <c r="D255" s="35" t="inlineStr">
        <is>
          <t>Sala 2</t>
        </is>
      </c>
      <c r="E255" s="34" t="inlineStr">
        <is>
          <t>Paulo Nascimento</t>
        </is>
      </c>
      <c r="F255" s="35" t="inlineStr">
        <is>
          <t>MediPlan</t>
        </is>
      </c>
      <c r="G255" s="35" t="inlineStr">
        <is>
          <t>Retorno</t>
        </is>
      </c>
      <c r="H255" s="35" t="inlineStr">
        <is>
          <t>Realizado</t>
        </is>
      </c>
      <c r="I255" s="35" t="inlineStr">
        <is>
          <t>Sem cobrança</t>
        </is>
      </c>
      <c r="J255" s="35" t="n"/>
      <c r="K255" s="34" t="n"/>
      <c r="L255" s="26">
        <f>IF(A255="","",MONTH(A255))</f>
        <v>7</v>
      </c>
      <c r="M255" s="26">
        <f>IF(A255="","",YEAR(A255))</f>
        <v>2026</v>
      </c>
      <c r="N255" s="26" t="str">
        <f>IF(A255="","",CHOOSE(WEEKDAY(A255,2),"Segunda","Terça","Quarta","Quinta","Sexta","Sábado","Domingo"))</f>
        <v>Segunda</v>
      </c>
      <c r="O255" s="26" t="str">
        <f>IF(B255="","",IF(B255&lt;TIME(12,0,0),"Manhã",IF(B255&lt;TIME(18,0,0),"Tarde","Noite")))</f>
        <v>Tarde</v>
      </c>
      <c r="P255" s="32">
        <f>IF(G255="","",IFERROR(INDEX(Config!$I$5:$I$16,MATCH(G255,Config!$H$5:$H$16,0)),0))</f>
        <v>0</v>
      </c>
      <c r="Q255" s="30">
        <f>IF(OR(H255&lt;&gt;"Realizado",P255="",P255=0),"",A255+P255)</f>
        <v/>
      </c>
      <c r="R255" s="26">
        <f>IF(Q255="","",IF(COUNTIFS($E$5:$E$1204,E255,$A$5:$A$1204,"&gt;"&amp;A255,$H$5:$H$1204,"&lt;&gt;Falta",$H$5:$H$1204,"&lt;&gt;Cancelado",$H$5:$H$1204,"&lt;&gt;Remarcado")&gt;0,"Sim","Não"))</f>
        <v/>
      </c>
      <c r="S255" s="32">
        <f>IF(R255&lt;&gt;"Não","",IF(Q255+Config!$B$9&lt;=Config!$B$8,Config!$B$8-Q255,""))</f>
        <v/>
      </c>
      <c r="T255" s="26">
        <f>IF(S255="","","Sim")</f>
        <v/>
      </c>
      <c r="U255" s="41">
        <f>IF(T255="Sim",S255+ROW()/100000,0)</f>
        <v>0</v>
      </c>
      <c r="V255" s="41">
        <f>IF(AND(H255="Falta",L255=Config!$B$7,M255=Config!$B$5,COUNTIFS($E$5:E255,E255,$H$5:H255,"Falta",$L$5:L255,Config!$B$7,$M$5:M255,Config!$B$5)=1),COUNTIFS($E$5:$E$1204,E255,$H$5:$H$1204,"Falta",$L$5:$L$1204,Config!$B$7,$M$5:$M$1204,Config!$B$5)*1000-ROW()/100000,0)</f>
        <v>0</v>
      </c>
    </row>
    <row r="256">
      <c r="A256" s="39" t="n">
        <v>46230</v>
      </c>
      <c r="B256" s="40" t="n">
        <v>0.6597222222222222</v>
      </c>
      <c r="C256" s="35" t="inlineStr">
        <is>
          <t>Dr. Paulo Andrade</t>
        </is>
      </c>
      <c r="D256" s="35" t="inlineStr">
        <is>
          <t>Sala 2</t>
        </is>
      </c>
      <c r="E256" s="34" t="inlineStr">
        <is>
          <t>Rodrigo Moreira</t>
        </is>
      </c>
      <c r="F256" s="35" t="inlineStr">
        <is>
          <t>Particular</t>
        </is>
      </c>
      <c r="G256" s="35" t="inlineStr">
        <is>
          <t>Teste ergométrico</t>
        </is>
      </c>
      <c r="H256" s="35" t="inlineStr">
        <is>
          <t>Realizado</t>
        </is>
      </c>
      <c r="I256" s="35" t="inlineStr">
        <is>
          <t>A prazo</t>
        </is>
      </c>
      <c r="J256" s="35" t="n"/>
      <c r="K256" s="34" t="n"/>
      <c r="L256" s="26">
        <f>IF(A256="","",MONTH(A256))</f>
        <v>7</v>
      </c>
      <c r="M256" s="26">
        <f>IF(A256="","",YEAR(A256))</f>
        <v>2026</v>
      </c>
      <c r="N256" s="26" t="str">
        <f>IF(A256="","",CHOOSE(WEEKDAY(A256,2),"Segunda","Terça","Quarta","Quinta","Sexta","Sábado","Domingo"))</f>
        <v>Segunda</v>
      </c>
      <c r="O256" s="26" t="str">
        <f>IF(B256="","",IF(B256&lt;TIME(12,0,0),"Manhã",IF(B256&lt;TIME(18,0,0),"Tarde","Noite")))</f>
        <v>Tarde</v>
      </c>
      <c r="P256" s="32">
        <f>IF(G256="","",IFERROR(INDEX(Config!$I$5:$I$16,MATCH(G256,Config!$H$5:$H$16,0)),0))</f>
        <v>0</v>
      </c>
      <c r="Q256" s="30">
        <f>IF(OR(H256&lt;&gt;"Realizado",P256="",P256=0),"",A256+P256)</f>
        <v/>
      </c>
      <c r="R256" s="26">
        <f>IF(Q256="","",IF(COUNTIFS($E$5:$E$1204,E256,$A$5:$A$1204,"&gt;"&amp;A256,$H$5:$H$1204,"&lt;&gt;Falta",$H$5:$H$1204,"&lt;&gt;Cancelado",$H$5:$H$1204,"&lt;&gt;Remarcado")&gt;0,"Sim","Não"))</f>
        <v/>
      </c>
      <c r="S256" s="32">
        <f>IF(R256&lt;&gt;"Não","",IF(Q256+Config!$B$9&lt;=Config!$B$8,Config!$B$8-Q256,""))</f>
        <v/>
      </c>
      <c r="T256" s="26">
        <f>IF(S256="","","Sim")</f>
        <v/>
      </c>
      <c r="U256" s="41">
        <f>IF(T256="Sim",S256+ROW()/100000,0)</f>
        <v>0</v>
      </c>
      <c r="V256" s="41">
        <f>IF(AND(H256="Falta",L256=Config!$B$7,M256=Config!$B$5,COUNTIFS($E$5:E256,E256,$H$5:H256,"Falta",$L$5:L256,Config!$B$7,$M$5:M256,Config!$B$5)=1),COUNTIFS($E$5:$E$1204,E256,$H$5:$H$1204,"Falta",$L$5:$L$1204,Config!$B$7,$M$5:$M$1204,Config!$B$5)*1000-ROW()/100000,0)</f>
        <v>0</v>
      </c>
    </row>
    <row r="257">
      <c r="A257" s="39" t="n">
        <v>46230</v>
      </c>
      <c r="B257" s="40" t="n">
        <v>0.6875</v>
      </c>
      <c r="C257" s="35" t="inlineStr">
        <is>
          <t>Dr. Paulo Andrade</t>
        </is>
      </c>
      <c r="D257" s="35" t="inlineStr">
        <is>
          <t>Sala 2</t>
        </is>
      </c>
      <c r="E257" s="34" t="inlineStr">
        <is>
          <t>Roberta Almeida</t>
        </is>
      </c>
      <c r="F257" s="35" t="inlineStr">
        <is>
          <t>Saúde Total</t>
        </is>
      </c>
      <c r="G257" s="35" t="inlineStr">
        <is>
          <t>Consulta</t>
        </is>
      </c>
      <c r="H257" s="35" t="inlineStr">
        <is>
          <t>Realizado</t>
        </is>
      </c>
      <c r="I257" s="35" t="inlineStr">
        <is>
          <t>Convênio</t>
        </is>
      </c>
      <c r="J257" s="35" t="n"/>
      <c r="K257" s="34" t="n"/>
      <c r="L257" s="26">
        <f>IF(A257="","",MONTH(A257))</f>
        <v>7</v>
      </c>
      <c r="M257" s="26">
        <f>IF(A257="","",YEAR(A257))</f>
        <v>2026</v>
      </c>
      <c r="N257" s="26" t="str">
        <f>IF(A257="","",CHOOSE(WEEKDAY(A257,2),"Segunda","Terça","Quarta","Quinta","Sexta","Sábado","Domingo"))</f>
        <v>Segunda</v>
      </c>
      <c r="O257" s="26" t="str">
        <f>IF(B257="","",IF(B257&lt;TIME(12,0,0),"Manhã",IF(B257&lt;TIME(18,0,0),"Tarde","Noite")))</f>
        <v>Tarde</v>
      </c>
      <c r="P257" s="32">
        <f>IF(G257="","",IFERROR(INDEX(Config!$I$5:$I$16,MATCH(G257,Config!$H$5:$H$16,0)),0))</f>
        <v>30</v>
      </c>
      <c r="Q257" s="30">
        <f>IF(OR(H257&lt;&gt;"Realizado",P257="",P257=0),"",A257+P257)</f>
        <v>46260.0</v>
      </c>
      <c r="R257" s="26" t="str">
        <f>IF(Q257="","",IF(COUNTIFS($E$5:$E$1204,E257,$A$5:$A$1204,"&gt;"&amp;A257,$H$5:$H$1204,"&lt;&gt;Falta",$H$5:$H$1204,"&lt;&gt;Cancelado",$H$5:$H$1204,"&lt;&gt;Remarcado")&gt;0,"Sim","Não"))</f>
        <v>Não</v>
      </c>
      <c r="S257" s="32">
        <f>IF(R257&lt;&gt;"Não","",IF(Q257+Config!$B$9&lt;=Config!$B$8,Config!$B$8-Q257,""))</f>
        <v>19</v>
      </c>
      <c r="T257" s="26" t="str">
        <f>IF(S257="","","Sim")</f>
        <v>Sim</v>
      </c>
      <c r="U257" s="41">
        <f>IF(T257="Sim",S257+ROW()/100000,0)</f>
        <v>19.00257</v>
      </c>
      <c r="V257" s="41">
        <f>IF(AND(H257="Falta",L257=Config!$B$7,M257=Config!$B$5,COUNTIFS($E$5:E257,E257,$H$5:H257,"Falta",$L$5:L257,Config!$B$7,$M$5:M257,Config!$B$5)=1),COUNTIFS($E$5:$E$1204,E257,$H$5:$H$1204,"Falta",$L$5:$L$1204,Config!$B$7,$M$5:$M$1204,Config!$B$5)*1000-ROW()/100000,0)</f>
        <v>0</v>
      </c>
    </row>
    <row r="258">
      <c r="A258" s="39" t="n">
        <v>46230</v>
      </c>
      <c r="B258" s="40" t="n">
        <v>0.7083333333333334</v>
      </c>
      <c r="C258" s="35" t="inlineStr">
        <is>
          <t>Dr. Paulo Andrade</t>
        </is>
      </c>
      <c r="D258" s="35" t="inlineStr">
        <is>
          <t>Sala 2</t>
        </is>
      </c>
      <c r="E258" s="34" t="inlineStr">
        <is>
          <t>Gabriel Oliveira</t>
        </is>
      </c>
      <c r="F258" s="35" t="inlineStr">
        <is>
          <t>Particular</t>
        </is>
      </c>
      <c r="G258" s="35" t="inlineStr">
        <is>
          <t>Retorno</t>
        </is>
      </c>
      <c r="H258" s="35" t="inlineStr">
        <is>
          <t>Realizado</t>
        </is>
      </c>
      <c r="I258" s="35" t="inlineStr">
        <is>
          <t>Sem cobrança</t>
        </is>
      </c>
      <c r="J258" s="35" t="n"/>
      <c r="K258" s="34" t="n"/>
      <c r="L258" s="26">
        <f>IF(A258="","",MONTH(A258))</f>
        <v>7</v>
      </c>
      <c r="M258" s="26">
        <f>IF(A258="","",YEAR(A258))</f>
        <v>2026</v>
      </c>
      <c r="N258" s="26" t="str">
        <f>IF(A258="","",CHOOSE(WEEKDAY(A258,2),"Segunda","Terça","Quarta","Quinta","Sexta","Sábado","Domingo"))</f>
        <v>Segunda</v>
      </c>
      <c r="O258" s="26" t="str">
        <f>IF(B258="","",IF(B258&lt;TIME(12,0,0),"Manhã",IF(B258&lt;TIME(18,0,0),"Tarde","Noite")))</f>
        <v>Tarde</v>
      </c>
      <c r="P258" s="32">
        <f>IF(G258="","",IFERROR(INDEX(Config!$I$5:$I$16,MATCH(G258,Config!$H$5:$H$16,0)),0))</f>
        <v>0</v>
      </c>
      <c r="Q258" s="30">
        <f>IF(OR(H258&lt;&gt;"Realizado",P258="",P258=0),"",A258+P258)</f>
        <v/>
      </c>
      <c r="R258" s="26">
        <f>IF(Q258="","",IF(COUNTIFS($E$5:$E$1204,E258,$A$5:$A$1204,"&gt;"&amp;A258,$H$5:$H$1204,"&lt;&gt;Falta",$H$5:$H$1204,"&lt;&gt;Cancelado",$H$5:$H$1204,"&lt;&gt;Remarcado")&gt;0,"Sim","Não"))</f>
        <v/>
      </c>
      <c r="S258" s="32">
        <f>IF(R258&lt;&gt;"Não","",IF(Q258+Config!$B$9&lt;=Config!$B$8,Config!$B$8-Q258,""))</f>
        <v/>
      </c>
      <c r="T258" s="26">
        <f>IF(S258="","","Sim")</f>
        <v/>
      </c>
      <c r="U258" s="41">
        <f>IF(T258="Sim",S258+ROW()/100000,0)</f>
        <v>0</v>
      </c>
      <c r="V258" s="41">
        <f>IF(AND(H258="Falta",L258=Config!$B$7,M258=Config!$B$5,COUNTIFS($E$5:E258,E258,$H$5:H258,"Falta",$L$5:L258,Config!$B$7,$M$5:M258,Config!$B$5)=1),COUNTIFS($E$5:$E$1204,E258,$H$5:$H$1204,"Falta",$L$5:$L$1204,Config!$B$7,$M$5:$M$1204,Config!$B$5)*1000-ROW()/100000,0)</f>
        <v>0</v>
      </c>
    </row>
    <row r="259">
      <c r="A259" s="39" t="n">
        <v>46230</v>
      </c>
      <c r="B259" s="40" t="n">
        <v>0.7222222222222222</v>
      </c>
      <c r="C259" s="35" t="inlineStr">
        <is>
          <t>Dr. Paulo Andrade</t>
        </is>
      </c>
      <c r="D259" s="35" t="inlineStr">
        <is>
          <t>Sala 2</t>
        </is>
      </c>
      <c r="E259" s="34" t="inlineStr">
        <is>
          <t>Natália Xavier</t>
        </is>
      </c>
      <c r="F259" s="35" t="inlineStr">
        <is>
          <t>MediPlan</t>
        </is>
      </c>
      <c r="G259" s="35" t="inlineStr">
        <is>
          <t>Consulta</t>
        </is>
      </c>
      <c r="H259" s="35" t="inlineStr">
        <is>
          <t>Realizado</t>
        </is>
      </c>
      <c r="I259" s="35" t="inlineStr">
        <is>
          <t>Convênio</t>
        </is>
      </c>
      <c r="J259" s="35" t="n"/>
      <c r="K259" s="34" t="n"/>
      <c r="L259" s="26">
        <f>IF(A259="","",MONTH(A259))</f>
        <v>7</v>
      </c>
      <c r="M259" s="26">
        <f>IF(A259="","",YEAR(A259))</f>
        <v>2026</v>
      </c>
      <c r="N259" s="26" t="str">
        <f>IF(A259="","",CHOOSE(WEEKDAY(A259,2),"Segunda","Terça","Quarta","Quinta","Sexta","Sábado","Domingo"))</f>
        <v>Segunda</v>
      </c>
      <c r="O259" s="26" t="str">
        <f>IF(B259="","",IF(B259&lt;TIME(12,0,0),"Manhã",IF(B259&lt;TIME(18,0,0),"Tarde","Noite")))</f>
        <v>Tarde</v>
      </c>
      <c r="P259" s="32">
        <f>IF(G259="","",IFERROR(INDEX(Config!$I$5:$I$16,MATCH(G259,Config!$H$5:$H$16,0)),0))</f>
        <v>30</v>
      </c>
      <c r="Q259" s="30">
        <f>IF(OR(H259&lt;&gt;"Realizado",P259="",P259=0),"",A259+P259)</f>
        <v>46260.0</v>
      </c>
      <c r="R259" s="26" t="str">
        <f>IF(Q259="","",IF(COUNTIFS($E$5:$E$1204,E259,$A$5:$A$1204,"&gt;"&amp;A259,$H$5:$H$1204,"&lt;&gt;Falta",$H$5:$H$1204,"&lt;&gt;Cancelado",$H$5:$H$1204,"&lt;&gt;Remarcado")&gt;0,"Sim","Não"))</f>
        <v>Sim</v>
      </c>
      <c r="S259" s="32">
        <f>IF(R259&lt;&gt;"Não","",IF(Q259+Config!$B$9&lt;=Config!$B$8,Config!$B$8-Q259,""))</f>
        <v/>
      </c>
      <c r="T259" s="26">
        <f>IF(S259="","","Sim")</f>
        <v/>
      </c>
      <c r="U259" s="41">
        <f>IF(T259="Sim",S259+ROW()/100000,0)</f>
        <v>0</v>
      </c>
      <c r="V259" s="41">
        <f>IF(AND(H259="Falta",L259=Config!$B$7,M259=Config!$B$5,COUNTIFS($E$5:E259,E259,$H$5:H259,"Falta",$L$5:L259,Config!$B$7,$M$5:M259,Config!$B$5)=1),COUNTIFS($E$5:$E$1204,E259,$H$5:$H$1204,"Falta",$L$5:$L$1204,Config!$B$7,$M$5:$M$1204,Config!$B$5)*1000-ROW()/100000,0)</f>
        <v>0</v>
      </c>
    </row>
    <row r="260">
      <c r="A260" s="39" t="n">
        <v>46231</v>
      </c>
      <c r="B260" s="40" t="n">
        <v>0.3333333333333333</v>
      </c>
      <c r="C260" s="35" t="inlineStr">
        <is>
          <t>Dra. Carolina Mendes</t>
        </is>
      </c>
      <c r="D260" s="35" t="inlineStr">
        <is>
          <t>Sala 1</t>
        </is>
      </c>
      <c r="E260" s="34" t="inlineStr">
        <is>
          <t>Lucas Lopes</t>
        </is>
      </c>
      <c r="F260" s="35" t="inlineStr">
        <is>
          <t>Particular</t>
        </is>
      </c>
      <c r="G260" s="35" t="inlineStr">
        <is>
          <t>Retorno</t>
        </is>
      </c>
      <c r="H260" s="35" t="inlineStr">
        <is>
          <t>Realizado</t>
        </is>
      </c>
      <c r="I260" s="35" t="inlineStr">
        <is>
          <t>Sem cobrança</t>
        </is>
      </c>
      <c r="J260" s="35" t="n"/>
      <c r="K260" s="34" t="n"/>
      <c r="L260" s="26">
        <f>IF(A260="","",MONTH(A260))</f>
        <v>7</v>
      </c>
      <c r="M260" s="26">
        <f>IF(A260="","",YEAR(A260))</f>
        <v>2026</v>
      </c>
      <c r="N260" s="26" t="str">
        <f>IF(A260="","",CHOOSE(WEEKDAY(A260,2),"Segunda","Terça","Quarta","Quinta","Sexta","Sábado","Domingo"))</f>
        <v>Terça</v>
      </c>
      <c r="O260" s="26" t="str">
        <f>IF(B260="","",IF(B260&lt;TIME(12,0,0),"Manhã",IF(B260&lt;TIME(18,0,0),"Tarde","Noite")))</f>
        <v>Manhã</v>
      </c>
      <c r="P260" s="32">
        <f>IF(G260="","",IFERROR(INDEX(Config!$I$5:$I$16,MATCH(G260,Config!$H$5:$H$16,0)),0))</f>
        <v>0</v>
      </c>
      <c r="Q260" s="30">
        <f>IF(OR(H260&lt;&gt;"Realizado",P260="",P260=0),"",A260+P260)</f>
        <v/>
      </c>
      <c r="R260" s="26">
        <f>IF(Q260="","",IF(COUNTIFS($E$5:$E$1204,E260,$A$5:$A$1204,"&gt;"&amp;A260,$H$5:$H$1204,"&lt;&gt;Falta",$H$5:$H$1204,"&lt;&gt;Cancelado",$H$5:$H$1204,"&lt;&gt;Remarcado")&gt;0,"Sim","Não"))</f>
        <v/>
      </c>
      <c r="S260" s="32">
        <f>IF(R260&lt;&gt;"Não","",IF(Q260+Config!$B$9&lt;=Config!$B$8,Config!$B$8-Q260,""))</f>
        <v/>
      </c>
      <c r="T260" s="26">
        <f>IF(S260="","","Sim")</f>
        <v/>
      </c>
      <c r="U260" s="41">
        <f>IF(T260="Sim",S260+ROW()/100000,0)</f>
        <v>0</v>
      </c>
      <c r="V260" s="41">
        <f>IF(AND(H260="Falta",L260=Config!$B$7,M260=Config!$B$5,COUNTIFS($E$5:E260,E260,$H$5:H260,"Falta",$L$5:L260,Config!$B$7,$M$5:M260,Config!$B$5)=1),COUNTIFS($E$5:$E$1204,E260,$H$5:$H$1204,"Falta",$L$5:$L$1204,Config!$B$7,$M$5:$M$1204,Config!$B$5)*1000-ROW()/100000,0)</f>
        <v>0</v>
      </c>
    </row>
    <row r="261">
      <c r="A261" s="39" t="n">
        <v>46231</v>
      </c>
      <c r="B261" s="40" t="n">
        <v>0.3472222222222222</v>
      </c>
      <c r="C261" s="35" t="inlineStr">
        <is>
          <t>Dra. Carolina Mendes</t>
        </is>
      </c>
      <c r="D261" s="35" t="inlineStr">
        <is>
          <t>Sala 1</t>
        </is>
      </c>
      <c r="E261" s="34" t="inlineStr">
        <is>
          <t>Mônica Pinto</t>
        </is>
      </c>
      <c r="F261" s="35" t="inlineStr">
        <is>
          <t>Saúde Total</t>
        </is>
      </c>
      <c r="G261" s="35" t="inlineStr">
        <is>
          <t>Consulta</t>
        </is>
      </c>
      <c r="H261" s="35" t="inlineStr">
        <is>
          <t>Realizado</t>
        </is>
      </c>
      <c r="I261" s="35" t="inlineStr">
        <is>
          <t>Convênio</t>
        </is>
      </c>
      <c r="J261" s="35" t="n"/>
      <c r="K261" s="34" t="n"/>
      <c r="L261" s="26">
        <f>IF(A261="","",MONTH(A261))</f>
        <v>7</v>
      </c>
      <c r="M261" s="26">
        <f>IF(A261="","",YEAR(A261))</f>
        <v>2026</v>
      </c>
      <c r="N261" s="26" t="str">
        <f>IF(A261="","",CHOOSE(WEEKDAY(A261,2),"Segunda","Terça","Quarta","Quinta","Sexta","Sábado","Domingo"))</f>
        <v>Terça</v>
      </c>
      <c r="O261" s="26" t="str">
        <f>IF(B261="","",IF(B261&lt;TIME(12,0,0),"Manhã",IF(B261&lt;TIME(18,0,0),"Tarde","Noite")))</f>
        <v>Manhã</v>
      </c>
      <c r="P261" s="32">
        <f>IF(G261="","",IFERROR(INDEX(Config!$I$5:$I$16,MATCH(G261,Config!$H$5:$H$16,0)),0))</f>
        <v>30</v>
      </c>
      <c r="Q261" s="30">
        <f>IF(OR(H261&lt;&gt;"Realizado",P261="",P261=0),"",A261+P261)</f>
        <v>46261.0</v>
      </c>
      <c r="R261" s="26" t="str">
        <f>IF(Q261="","",IF(COUNTIFS($E$5:$E$1204,E261,$A$5:$A$1204,"&gt;"&amp;A261,$H$5:$H$1204,"&lt;&gt;Falta",$H$5:$H$1204,"&lt;&gt;Cancelado",$H$5:$H$1204,"&lt;&gt;Remarcado")&gt;0,"Sim","Não"))</f>
        <v>Sim</v>
      </c>
      <c r="S261" s="32">
        <f>IF(R261&lt;&gt;"Não","",IF(Q261+Config!$B$9&lt;=Config!$B$8,Config!$B$8-Q261,""))</f>
        <v/>
      </c>
      <c r="T261" s="26">
        <f>IF(S261="","","Sim")</f>
        <v/>
      </c>
      <c r="U261" s="41">
        <f>IF(T261="Sim",S261+ROW()/100000,0)</f>
        <v>0</v>
      </c>
      <c r="V261" s="41">
        <f>IF(AND(H261="Falta",L261=Config!$B$7,M261=Config!$B$5,COUNTIFS($E$5:E261,E261,$H$5:H261,"Falta",$L$5:L261,Config!$B$7,$M$5:M261,Config!$B$5)=1),COUNTIFS($E$5:$E$1204,E261,$H$5:$H$1204,"Falta",$L$5:$L$1204,Config!$B$7,$M$5:$M$1204,Config!$B$5)*1000-ROW()/100000,0)</f>
        <v>0</v>
      </c>
    </row>
    <row r="262">
      <c r="A262" s="39" t="n">
        <v>46231</v>
      </c>
      <c r="B262" s="40" t="n">
        <v>0.3680555555555556</v>
      </c>
      <c r="C262" s="35" t="inlineStr">
        <is>
          <t>Dra. Carolina Mendes</t>
        </is>
      </c>
      <c r="D262" s="35" t="inlineStr">
        <is>
          <t>Sala 1</t>
        </is>
      </c>
      <c r="E262" s="34" t="inlineStr">
        <is>
          <t>Gisele Ribeiro</t>
        </is>
      </c>
      <c r="F262" s="35" t="inlineStr">
        <is>
          <t>Particular</t>
        </is>
      </c>
      <c r="G262" s="35" t="inlineStr">
        <is>
          <t>Consulta</t>
        </is>
      </c>
      <c r="H262" s="35" t="inlineStr">
        <is>
          <t>Realizado</t>
        </is>
      </c>
      <c r="I262" s="35" t="inlineStr">
        <is>
          <t>Cartão de débito</t>
        </is>
      </c>
      <c r="J262" s="35" t="n"/>
      <c r="K262" s="34" t="n"/>
      <c r="L262" s="26">
        <f>IF(A262="","",MONTH(A262))</f>
        <v>7</v>
      </c>
      <c r="M262" s="26">
        <f>IF(A262="","",YEAR(A262))</f>
        <v>2026</v>
      </c>
      <c r="N262" s="26" t="str">
        <f>IF(A262="","",CHOOSE(WEEKDAY(A262,2),"Segunda","Terça","Quarta","Quinta","Sexta","Sábado","Domingo"))</f>
        <v>Terça</v>
      </c>
      <c r="O262" s="26" t="str">
        <f>IF(B262="","",IF(B262&lt;TIME(12,0,0),"Manhã",IF(B262&lt;TIME(18,0,0),"Tarde","Noite")))</f>
        <v>Manhã</v>
      </c>
      <c r="P262" s="32">
        <f>IF(G262="","",IFERROR(INDEX(Config!$I$5:$I$16,MATCH(G262,Config!$H$5:$H$16,0)),0))</f>
        <v>30</v>
      </c>
      <c r="Q262" s="30">
        <f>IF(OR(H262&lt;&gt;"Realizado",P262="",P262=0),"",A262+P262)</f>
        <v>46261.0</v>
      </c>
      <c r="R262" s="26" t="str">
        <f>IF(Q262="","",IF(COUNTIFS($E$5:$E$1204,E262,$A$5:$A$1204,"&gt;"&amp;A262,$H$5:$H$1204,"&lt;&gt;Falta",$H$5:$H$1204,"&lt;&gt;Cancelado",$H$5:$H$1204,"&lt;&gt;Remarcado")&gt;0,"Sim","Não"))</f>
        <v>Sim</v>
      </c>
      <c r="S262" s="32">
        <f>IF(R262&lt;&gt;"Não","",IF(Q262+Config!$B$9&lt;=Config!$B$8,Config!$B$8-Q262,""))</f>
        <v/>
      </c>
      <c r="T262" s="26">
        <f>IF(S262="","","Sim")</f>
        <v/>
      </c>
      <c r="U262" s="41">
        <f>IF(T262="Sim",S262+ROW()/100000,0)</f>
        <v>0</v>
      </c>
      <c r="V262" s="41">
        <f>IF(AND(H262="Falta",L262=Config!$B$7,M262=Config!$B$5,COUNTIFS($E$5:E262,E262,$H$5:H262,"Falta",$L$5:L262,Config!$B$7,$M$5:M262,Config!$B$5)=1),COUNTIFS($E$5:$E$1204,E262,$H$5:$H$1204,"Falta",$L$5:$L$1204,Config!$B$7,$M$5:$M$1204,Config!$B$5)*1000-ROW()/100000,0)</f>
        <v>0</v>
      </c>
    </row>
    <row r="263">
      <c r="A263" s="39" t="n">
        <v>46231</v>
      </c>
      <c r="B263" s="40" t="n">
        <v>0.3888888888888889</v>
      </c>
      <c r="C263" s="35" t="inlineStr">
        <is>
          <t>Dra. Carolina Mendes</t>
        </is>
      </c>
      <c r="D263" s="35" t="inlineStr">
        <is>
          <t>Sala 1</t>
        </is>
      </c>
      <c r="E263" s="34" t="inlineStr">
        <is>
          <t>Wagner Santos</t>
        </is>
      </c>
      <c r="F263" s="35" t="inlineStr">
        <is>
          <t>Particular</t>
        </is>
      </c>
      <c r="G263" s="35" t="inlineStr">
        <is>
          <t>Consulta</t>
        </is>
      </c>
      <c r="H263" s="35" t="inlineStr">
        <is>
          <t>Realizado</t>
        </is>
      </c>
      <c r="I263" s="35" t="inlineStr">
        <is>
          <t>Cartão de crédito</t>
        </is>
      </c>
      <c r="J263" s="35" t="n"/>
      <c r="K263" s="34" t="n"/>
      <c r="L263" s="26">
        <f>IF(A263="","",MONTH(A263))</f>
        <v>7</v>
      </c>
      <c r="M263" s="26">
        <f>IF(A263="","",YEAR(A263))</f>
        <v>2026</v>
      </c>
      <c r="N263" s="26" t="str">
        <f>IF(A263="","",CHOOSE(WEEKDAY(A263,2),"Segunda","Terça","Quarta","Quinta","Sexta","Sábado","Domingo"))</f>
        <v>Terça</v>
      </c>
      <c r="O263" s="26" t="str">
        <f>IF(B263="","",IF(B263&lt;TIME(12,0,0),"Manhã",IF(B263&lt;TIME(18,0,0),"Tarde","Noite")))</f>
        <v>Manhã</v>
      </c>
      <c r="P263" s="32">
        <f>IF(G263="","",IFERROR(INDEX(Config!$I$5:$I$16,MATCH(G263,Config!$H$5:$H$16,0)),0))</f>
        <v>30</v>
      </c>
      <c r="Q263" s="30">
        <f>IF(OR(H263&lt;&gt;"Realizado",P263="",P263=0),"",A263+P263)</f>
        <v>46261.0</v>
      </c>
      <c r="R263" s="26" t="str">
        <f>IF(Q263="","",IF(COUNTIFS($E$5:$E$1204,E263,$A$5:$A$1204,"&gt;"&amp;A263,$H$5:$H$1204,"&lt;&gt;Falta",$H$5:$H$1204,"&lt;&gt;Cancelado",$H$5:$H$1204,"&lt;&gt;Remarcado")&gt;0,"Sim","Não"))</f>
        <v>Sim</v>
      </c>
      <c r="S263" s="32">
        <f>IF(R263&lt;&gt;"Não","",IF(Q263+Config!$B$9&lt;=Config!$B$8,Config!$B$8-Q263,""))</f>
        <v/>
      </c>
      <c r="T263" s="26">
        <f>IF(S263="","","Sim")</f>
        <v/>
      </c>
      <c r="U263" s="41">
        <f>IF(T263="Sim",S263+ROW()/100000,0)</f>
        <v>0</v>
      </c>
      <c r="V263" s="41">
        <f>IF(AND(H263="Falta",L263=Config!$B$7,M263=Config!$B$5,COUNTIFS($E$5:E263,E263,$H$5:H263,"Falta",$L$5:L263,Config!$B$7,$M$5:M263,Config!$B$5)=1),COUNTIFS($E$5:$E$1204,E263,$H$5:$H$1204,"Falta",$L$5:$L$1204,Config!$B$7,$M$5:$M$1204,Config!$B$5)*1000-ROW()/100000,0)</f>
        <v>0</v>
      </c>
    </row>
    <row r="264">
      <c r="A264" s="39" t="n">
        <v>46231</v>
      </c>
      <c r="B264" s="40" t="n">
        <v>0.4097222222222222</v>
      </c>
      <c r="C264" s="35" t="inlineStr">
        <is>
          <t>Dra. Carolina Mendes</t>
        </is>
      </c>
      <c r="D264" s="35" t="inlineStr">
        <is>
          <t>Sala 1</t>
        </is>
      </c>
      <c r="E264" s="34" t="inlineStr">
        <is>
          <t>Daniel Almeida</t>
        </is>
      </c>
      <c r="F264" s="35" t="inlineStr">
        <is>
          <t>Saúde Total</t>
        </is>
      </c>
      <c r="G264" s="35" t="inlineStr">
        <is>
          <t>Retorno</t>
        </is>
      </c>
      <c r="H264" s="35" t="inlineStr">
        <is>
          <t>Realizado</t>
        </is>
      </c>
      <c r="I264" s="35" t="inlineStr">
        <is>
          <t>Sem cobrança</t>
        </is>
      </c>
      <c r="J264" s="35" t="n"/>
      <c r="K264" s="34" t="n"/>
      <c r="L264" s="26">
        <f>IF(A264="","",MONTH(A264))</f>
        <v>7</v>
      </c>
      <c r="M264" s="26">
        <f>IF(A264="","",YEAR(A264))</f>
        <v>2026</v>
      </c>
      <c r="N264" s="26" t="str">
        <f>IF(A264="","",CHOOSE(WEEKDAY(A264,2),"Segunda","Terça","Quarta","Quinta","Sexta","Sábado","Domingo"))</f>
        <v>Terça</v>
      </c>
      <c r="O264" s="26" t="str">
        <f>IF(B264="","",IF(B264&lt;TIME(12,0,0),"Manhã",IF(B264&lt;TIME(18,0,0),"Tarde","Noite")))</f>
        <v>Manhã</v>
      </c>
      <c r="P264" s="32">
        <f>IF(G264="","",IFERROR(INDEX(Config!$I$5:$I$16,MATCH(G264,Config!$H$5:$H$16,0)),0))</f>
        <v>0</v>
      </c>
      <c r="Q264" s="30">
        <f>IF(OR(H264&lt;&gt;"Realizado",P264="",P264=0),"",A264+P264)</f>
        <v/>
      </c>
      <c r="R264" s="26">
        <f>IF(Q264="","",IF(COUNTIFS($E$5:$E$1204,E264,$A$5:$A$1204,"&gt;"&amp;A264,$H$5:$H$1204,"&lt;&gt;Falta",$H$5:$H$1204,"&lt;&gt;Cancelado",$H$5:$H$1204,"&lt;&gt;Remarcado")&gt;0,"Sim","Não"))</f>
        <v/>
      </c>
      <c r="S264" s="32">
        <f>IF(R264&lt;&gt;"Não","",IF(Q264+Config!$B$9&lt;=Config!$B$8,Config!$B$8-Q264,""))</f>
        <v/>
      </c>
      <c r="T264" s="26">
        <f>IF(S264="","","Sim")</f>
        <v/>
      </c>
      <c r="U264" s="41">
        <f>IF(T264="Sim",S264+ROW()/100000,0)</f>
        <v>0</v>
      </c>
      <c r="V264" s="41">
        <f>IF(AND(H264="Falta",L264=Config!$B$7,M264=Config!$B$5,COUNTIFS($E$5:E264,E264,$H$5:H264,"Falta",$L$5:L264,Config!$B$7,$M$5:M264,Config!$B$5)=1),COUNTIFS($E$5:$E$1204,E264,$H$5:$H$1204,"Falta",$L$5:$L$1204,Config!$B$7,$M$5:$M$1204,Config!$B$5)*1000-ROW()/100000,0)</f>
        <v>0</v>
      </c>
    </row>
    <row r="265">
      <c r="A265" s="39" t="n">
        <v>46231</v>
      </c>
      <c r="B265" s="40" t="n">
        <v>0.4444444444444444</v>
      </c>
      <c r="C265" s="35" t="inlineStr">
        <is>
          <t>Dra. Carolina Mendes</t>
        </is>
      </c>
      <c r="D265" s="35" t="inlineStr">
        <is>
          <t>Sala 1</t>
        </is>
      </c>
      <c r="E265" s="34" t="inlineStr">
        <is>
          <t>Eduardo Reis</t>
        </is>
      </c>
      <c r="F265" s="35" t="inlineStr">
        <is>
          <t>Vida Care</t>
        </is>
      </c>
      <c r="G265" s="35" t="inlineStr">
        <is>
          <t>Retorno</t>
        </is>
      </c>
      <c r="H265" s="35" t="inlineStr">
        <is>
          <t>Realizado</t>
        </is>
      </c>
      <c r="I265" s="35" t="inlineStr">
        <is>
          <t>Sem cobrança</t>
        </is>
      </c>
      <c r="J265" s="35" t="n"/>
      <c r="K265" s="34" t="n"/>
      <c r="L265" s="26">
        <f>IF(A265="","",MONTH(A265))</f>
        <v>7</v>
      </c>
      <c r="M265" s="26">
        <f>IF(A265="","",YEAR(A265))</f>
        <v>2026</v>
      </c>
      <c r="N265" s="26" t="str">
        <f>IF(A265="","",CHOOSE(WEEKDAY(A265,2),"Segunda","Terça","Quarta","Quinta","Sexta","Sábado","Domingo"))</f>
        <v>Terça</v>
      </c>
      <c r="O265" s="26" t="str">
        <f>IF(B265="","",IF(B265&lt;TIME(12,0,0),"Manhã",IF(B265&lt;TIME(18,0,0),"Tarde","Noite")))</f>
        <v>Manhã</v>
      </c>
      <c r="P265" s="32">
        <f>IF(G265="","",IFERROR(INDEX(Config!$I$5:$I$16,MATCH(G265,Config!$H$5:$H$16,0)),0))</f>
        <v>0</v>
      </c>
      <c r="Q265" s="30">
        <f>IF(OR(H265&lt;&gt;"Realizado",P265="",P265=0),"",A265+P265)</f>
        <v/>
      </c>
      <c r="R265" s="26">
        <f>IF(Q265="","",IF(COUNTIFS($E$5:$E$1204,E265,$A$5:$A$1204,"&gt;"&amp;A265,$H$5:$H$1204,"&lt;&gt;Falta",$H$5:$H$1204,"&lt;&gt;Cancelado",$H$5:$H$1204,"&lt;&gt;Remarcado")&gt;0,"Sim","Não"))</f>
        <v/>
      </c>
      <c r="S265" s="32">
        <f>IF(R265&lt;&gt;"Não","",IF(Q265+Config!$B$9&lt;=Config!$B$8,Config!$B$8-Q265,""))</f>
        <v/>
      </c>
      <c r="T265" s="26">
        <f>IF(S265="","","Sim")</f>
        <v/>
      </c>
      <c r="U265" s="41">
        <f>IF(T265="Sim",S265+ROW()/100000,0)</f>
        <v>0</v>
      </c>
      <c r="V265" s="41">
        <f>IF(AND(H265="Falta",L265=Config!$B$7,M265=Config!$B$5,COUNTIFS($E$5:E265,E265,$H$5:H265,"Falta",$L$5:L265,Config!$B$7,$M$5:M265,Config!$B$5)=1),COUNTIFS($E$5:$E$1204,E265,$H$5:$H$1204,"Falta",$L$5:$L$1204,Config!$B$7,$M$5:$M$1204,Config!$B$5)*1000-ROW()/100000,0)</f>
        <v>0</v>
      </c>
    </row>
    <row r="266">
      <c r="A266" s="39" t="n">
        <v>46231</v>
      </c>
      <c r="B266" s="40" t="n">
        <v>0.4583333333333333</v>
      </c>
      <c r="C266" s="35" t="inlineStr">
        <is>
          <t>Dra. Carolina Mendes</t>
        </is>
      </c>
      <c r="D266" s="35" t="inlineStr">
        <is>
          <t>Sala 1</t>
        </is>
      </c>
      <c r="E266" s="34" t="inlineStr">
        <is>
          <t>Cláudia Santos</t>
        </is>
      </c>
      <c r="F266" s="35" t="inlineStr">
        <is>
          <t>Particular</t>
        </is>
      </c>
      <c r="G266" s="35" t="inlineStr">
        <is>
          <t>Consulta</t>
        </is>
      </c>
      <c r="H266" s="35" t="inlineStr">
        <is>
          <t>Falta</t>
        </is>
      </c>
      <c r="I266" s="35" t="n"/>
      <c r="J266" s="35" t="n"/>
      <c r="K266" s="34" t="n"/>
      <c r="L266" s="26">
        <f>IF(A266="","",MONTH(A266))</f>
        <v>7</v>
      </c>
      <c r="M266" s="26">
        <f>IF(A266="","",YEAR(A266))</f>
        <v>2026</v>
      </c>
      <c r="N266" s="26" t="str">
        <f>IF(A266="","",CHOOSE(WEEKDAY(A266,2),"Segunda","Terça","Quarta","Quinta","Sexta","Sábado","Domingo"))</f>
        <v>Terça</v>
      </c>
      <c r="O266" s="26" t="str">
        <f>IF(B266="","",IF(B266&lt;TIME(12,0,0),"Manhã",IF(B266&lt;TIME(18,0,0),"Tarde","Noite")))</f>
        <v>Manhã</v>
      </c>
      <c r="P266" s="32">
        <f>IF(G266="","",IFERROR(INDEX(Config!$I$5:$I$16,MATCH(G266,Config!$H$5:$H$16,0)),0))</f>
        <v>30</v>
      </c>
      <c r="Q266" s="30">
        <f>IF(OR(H266&lt;&gt;"Realizado",P266="",P266=0),"",A266+P266)</f>
        <v/>
      </c>
      <c r="R266" s="26">
        <f>IF(Q266="","",IF(COUNTIFS($E$5:$E$1204,E266,$A$5:$A$1204,"&gt;"&amp;A266,$H$5:$H$1204,"&lt;&gt;Falta",$H$5:$H$1204,"&lt;&gt;Cancelado",$H$5:$H$1204,"&lt;&gt;Remarcado")&gt;0,"Sim","Não"))</f>
        <v/>
      </c>
      <c r="S266" s="32">
        <f>IF(R266&lt;&gt;"Não","",IF(Q266+Config!$B$9&lt;=Config!$B$8,Config!$B$8-Q266,""))</f>
        <v/>
      </c>
      <c r="T266" s="26">
        <f>IF(S266="","","Sim")</f>
        <v/>
      </c>
      <c r="U266" s="41">
        <f>IF(T266="Sim",S266+ROW()/100000,0)</f>
        <v>0</v>
      </c>
      <c r="V266" s="41">
        <f>IF(AND(H266="Falta",L266=Config!$B$7,M266=Config!$B$5,COUNTIFS($E$5:E266,E266,$H$5:H266,"Falta",$L$5:L266,Config!$B$7,$M$5:M266,Config!$B$5)=1),COUNTIFS($E$5:$E$1204,E266,$H$5:$H$1204,"Falta",$L$5:$L$1204,Config!$B$7,$M$5:$M$1204,Config!$B$5)*1000-ROW()/100000,0)</f>
        <v>0</v>
      </c>
    </row>
    <row r="267">
      <c r="A267" s="39" t="n">
        <v>46231</v>
      </c>
      <c r="B267" s="40" t="n">
        <v>0.4791666666666667</v>
      </c>
      <c r="C267" s="35" t="inlineStr">
        <is>
          <t>Dra. Carolina Mendes</t>
        </is>
      </c>
      <c r="D267" s="35" t="inlineStr">
        <is>
          <t>Sala 1</t>
        </is>
      </c>
      <c r="E267" s="34" t="inlineStr">
        <is>
          <t>Regina Teixeira</t>
        </is>
      </c>
      <c r="F267" s="35" t="inlineStr">
        <is>
          <t>Particular</t>
        </is>
      </c>
      <c r="G267" s="35" t="inlineStr">
        <is>
          <t>Retorno</t>
        </is>
      </c>
      <c r="H267" s="35" t="inlineStr">
        <is>
          <t>Realizado</t>
        </is>
      </c>
      <c r="I267" s="35" t="inlineStr">
        <is>
          <t>Sem cobrança</t>
        </is>
      </c>
      <c r="J267" s="35" t="n"/>
      <c r="K267" s="34" t="n"/>
      <c r="L267" s="26">
        <f>IF(A267="","",MONTH(A267))</f>
        <v>7</v>
      </c>
      <c r="M267" s="26">
        <f>IF(A267="","",YEAR(A267))</f>
        <v>2026</v>
      </c>
      <c r="N267" s="26" t="str">
        <f>IF(A267="","",CHOOSE(WEEKDAY(A267,2),"Segunda","Terça","Quarta","Quinta","Sexta","Sábado","Domingo"))</f>
        <v>Terça</v>
      </c>
      <c r="O267" s="26" t="str">
        <f>IF(B267="","",IF(B267&lt;TIME(12,0,0),"Manhã",IF(B267&lt;TIME(18,0,0),"Tarde","Noite")))</f>
        <v>Manhã</v>
      </c>
      <c r="P267" s="32">
        <f>IF(G267="","",IFERROR(INDEX(Config!$I$5:$I$16,MATCH(G267,Config!$H$5:$H$16,0)),0))</f>
        <v>0</v>
      </c>
      <c r="Q267" s="30">
        <f>IF(OR(H267&lt;&gt;"Realizado",P267="",P267=0),"",A267+P267)</f>
        <v/>
      </c>
      <c r="R267" s="26">
        <f>IF(Q267="","",IF(COUNTIFS($E$5:$E$1204,E267,$A$5:$A$1204,"&gt;"&amp;A267,$H$5:$H$1204,"&lt;&gt;Falta",$H$5:$H$1204,"&lt;&gt;Cancelado",$H$5:$H$1204,"&lt;&gt;Remarcado")&gt;0,"Sim","Não"))</f>
        <v/>
      </c>
      <c r="S267" s="32">
        <f>IF(R267&lt;&gt;"Não","",IF(Q267+Config!$B$9&lt;=Config!$B$8,Config!$B$8-Q267,""))</f>
        <v/>
      </c>
      <c r="T267" s="26">
        <f>IF(S267="","","Sim")</f>
        <v/>
      </c>
      <c r="U267" s="41">
        <f>IF(T267="Sim",S267+ROW()/100000,0)</f>
        <v>0</v>
      </c>
      <c r="V267" s="41">
        <f>IF(AND(H267="Falta",L267=Config!$B$7,M267=Config!$B$5,COUNTIFS($E$5:E267,E267,$H$5:H267,"Falta",$L$5:L267,Config!$B$7,$M$5:M267,Config!$B$5)=1),COUNTIFS($E$5:$E$1204,E267,$H$5:$H$1204,"Falta",$L$5:$L$1204,Config!$B$7,$M$5:$M$1204,Config!$B$5)*1000-ROW()/100000,0)</f>
        <v>0</v>
      </c>
    </row>
    <row r="268">
      <c r="A268" s="39" t="n">
        <v>46231</v>
      </c>
      <c r="B268" s="40" t="n">
        <v>0.5833333333333334</v>
      </c>
      <c r="C268" s="35" t="inlineStr">
        <is>
          <t>Dr. Paulo Andrade</t>
        </is>
      </c>
      <c r="D268" s="35" t="inlineStr">
        <is>
          <t>Sala 2</t>
        </is>
      </c>
      <c r="E268" s="34" t="inlineStr">
        <is>
          <t>Henrique Santos</t>
        </is>
      </c>
      <c r="F268" s="35" t="inlineStr">
        <is>
          <t>Vida Care</t>
        </is>
      </c>
      <c r="G268" s="35" t="inlineStr">
        <is>
          <t>Consulta</t>
        </is>
      </c>
      <c r="H268" s="35" t="inlineStr">
        <is>
          <t>Falta</t>
        </is>
      </c>
      <c r="I268" s="35" t="n"/>
      <c r="J268" s="35" t="n"/>
      <c r="K268" s="34" t="n"/>
      <c r="L268" s="26">
        <f>IF(A268="","",MONTH(A268))</f>
        <v>7</v>
      </c>
      <c r="M268" s="26">
        <f>IF(A268="","",YEAR(A268))</f>
        <v>2026</v>
      </c>
      <c r="N268" s="26" t="str">
        <f>IF(A268="","",CHOOSE(WEEKDAY(A268,2),"Segunda","Terça","Quarta","Quinta","Sexta","Sábado","Domingo"))</f>
        <v>Terça</v>
      </c>
      <c r="O268" s="26" t="str">
        <f>IF(B268="","",IF(B268&lt;TIME(12,0,0),"Manhã",IF(B268&lt;TIME(18,0,0),"Tarde","Noite")))</f>
        <v>Tarde</v>
      </c>
      <c r="P268" s="32">
        <f>IF(G268="","",IFERROR(INDEX(Config!$I$5:$I$16,MATCH(G268,Config!$H$5:$H$16,0)),0))</f>
        <v>30</v>
      </c>
      <c r="Q268" s="30">
        <f>IF(OR(H268&lt;&gt;"Realizado",P268="",P268=0),"",A268+P268)</f>
        <v/>
      </c>
      <c r="R268" s="26">
        <f>IF(Q268="","",IF(COUNTIFS($E$5:$E$1204,E268,$A$5:$A$1204,"&gt;"&amp;A268,$H$5:$H$1204,"&lt;&gt;Falta",$H$5:$H$1204,"&lt;&gt;Cancelado",$H$5:$H$1204,"&lt;&gt;Remarcado")&gt;0,"Sim","Não"))</f>
        <v/>
      </c>
      <c r="S268" s="32">
        <f>IF(R268&lt;&gt;"Não","",IF(Q268+Config!$B$9&lt;=Config!$B$8,Config!$B$8-Q268,""))</f>
        <v/>
      </c>
      <c r="T268" s="26">
        <f>IF(S268="","","Sim")</f>
        <v/>
      </c>
      <c r="U268" s="41">
        <f>IF(T268="Sim",S268+ROW()/100000,0)</f>
        <v>0</v>
      </c>
      <c r="V268" s="41">
        <f>IF(AND(H268="Falta",L268=Config!$B$7,M268=Config!$B$5,COUNTIFS($E$5:E268,E268,$H$5:H268,"Falta",$L$5:L268,Config!$B$7,$M$5:M268,Config!$B$5)=1),COUNTIFS($E$5:$E$1204,E268,$H$5:$H$1204,"Falta",$L$5:$L$1204,Config!$B$7,$M$5:$M$1204,Config!$B$5)*1000-ROW()/100000,0)</f>
        <v>0</v>
      </c>
    </row>
    <row r="269">
      <c r="A269" s="39" t="n">
        <v>46231</v>
      </c>
      <c r="B269" s="40" t="n">
        <v>0.6041666666666666</v>
      </c>
      <c r="C269" s="35" t="inlineStr">
        <is>
          <t>Dra. Renata Sousa</t>
        </is>
      </c>
      <c r="D269" s="35" t="inlineStr">
        <is>
          <t>Sala 1</t>
        </is>
      </c>
      <c r="E269" s="34" t="inlineStr">
        <is>
          <t>Thiago Melo</t>
        </is>
      </c>
      <c r="F269" s="35" t="inlineStr">
        <is>
          <t>Particular</t>
        </is>
      </c>
      <c r="G269" s="35" t="inlineStr">
        <is>
          <t>Retorno</t>
        </is>
      </c>
      <c r="H269" s="35" t="inlineStr">
        <is>
          <t>Realizado</t>
        </is>
      </c>
      <c r="I269" s="35" t="inlineStr">
        <is>
          <t>Sem cobrança</t>
        </is>
      </c>
      <c r="J269" s="35" t="n"/>
      <c r="K269" s="34" t="n"/>
      <c r="L269" s="26">
        <f>IF(A269="","",MONTH(A269))</f>
        <v>7</v>
      </c>
      <c r="M269" s="26">
        <f>IF(A269="","",YEAR(A269))</f>
        <v>2026</v>
      </c>
      <c r="N269" s="26" t="str">
        <f>IF(A269="","",CHOOSE(WEEKDAY(A269,2),"Segunda","Terça","Quarta","Quinta","Sexta","Sábado","Domingo"))</f>
        <v>Terça</v>
      </c>
      <c r="O269" s="26" t="str">
        <f>IF(B269="","",IF(B269&lt;TIME(12,0,0),"Manhã",IF(B269&lt;TIME(18,0,0),"Tarde","Noite")))</f>
        <v>Tarde</v>
      </c>
      <c r="P269" s="32">
        <f>IF(G269="","",IFERROR(INDEX(Config!$I$5:$I$16,MATCH(G269,Config!$H$5:$H$16,0)),0))</f>
        <v>0</v>
      </c>
      <c r="Q269" s="30">
        <f>IF(OR(H269&lt;&gt;"Realizado",P269="",P269=0),"",A269+P269)</f>
        <v/>
      </c>
      <c r="R269" s="26">
        <f>IF(Q269="","",IF(COUNTIFS($E$5:$E$1204,E269,$A$5:$A$1204,"&gt;"&amp;A269,$H$5:$H$1204,"&lt;&gt;Falta",$H$5:$H$1204,"&lt;&gt;Cancelado",$H$5:$H$1204,"&lt;&gt;Remarcado")&gt;0,"Sim","Não"))</f>
        <v/>
      </c>
      <c r="S269" s="32">
        <f>IF(R269&lt;&gt;"Não","",IF(Q269+Config!$B$9&lt;=Config!$B$8,Config!$B$8-Q269,""))</f>
        <v/>
      </c>
      <c r="T269" s="26">
        <f>IF(S269="","","Sim")</f>
        <v/>
      </c>
      <c r="U269" s="41">
        <f>IF(T269="Sim",S269+ROW()/100000,0)</f>
        <v>0</v>
      </c>
      <c r="V269" s="41">
        <f>IF(AND(H269="Falta",L269=Config!$B$7,M269=Config!$B$5,COUNTIFS($E$5:E269,E269,$H$5:H269,"Falta",$L$5:L269,Config!$B$7,$M$5:M269,Config!$B$5)=1),COUNTIFS($E$5:$E$1204,E269,$H$5:$H$1204,"Falta",$L$5:$L$1204,Config!$B$7,$M$5:$M$1204,Config!$B$5)*1000-ROW()/100000,0)</f>
        <v>0</v>
      </c>
    </row>
    <row r="270">
      <c r="A270" s="39" t="n">
        <v>46231</v>
      </c>
      <c r="B270" s="40" t="n">
        <v>0.6041666666666666</v>
      </c>
      <c r="C270" s="35" t="inlineStr">
        <is>
          <t>Dr. Paulo Andrade</t>
        </is>
      </c>
      <c r="D270" s="35" t="inlineStr">
        <is>
          <t>Sala 2</t>
        </is>
      </c>
      <c r="E270" s="34" t="inlineStr">
        <is>
          <t>Otávio Nascimento</t>
        </is>
      </c>
      <c r="F270" s="35" t="inlineStr">
        <is>
          <t>Particular</t>
        </is>
      </c>
      <c r="G270" s="35" t="inlineStr">
        <is>
          <t>Holter</t>
        </is>
      </c>
      <c r="H270" s="35" t="inlineStr">
        <is>
          <t>Realizado</t>
        </is>
      </c>
      <c r="I270" s="35" t="inlineStr">
        <is>
          <t>A prazo</t>
        </is>
      </c>
      <c r="J270" s="35" t="n"/>
      <c r="K270" s="34" t="n"/>
      <c r="L270" s="26">
        <f>IF(A270="","",MONTH(A270))</f>
        <v>7</v>
      </c>
      <c r="M270" s="26">
        <f>IF(A270="","",YEAR(A270))</f>
        <v>2026</v>
      </c>
      <c r="N270" s="26" t="str">
        <f>IF(A270="","",CHOOSE(WEEKDAY(A270,2),"Segunda","Terça","Quarta","Quinta","Sexta","Sábado","Domingo"))</f>
        <v>Terça</v>
      </c>
      <c r="O270" s="26" t="str">
        <f>IF(B270="","",IF(B270&lt;TIME(12,0,0),"Manhã",IF(B270&lt;TIME(18,0,0),"Tarde","Noite")))</f>
        <v>Tarde</v>
      </c>
      <c r="P270" s="32">
        <f>IF(G270="","",IFERROR(INDEX(Config!$I$5:$I$16,MATCH(G270,Config!$H$5:$H$16,0)),0))</f>
        <v>0</v>
      </c>
      <c r="Q270" s="30">
        <f>IF(OR(H270&lt;&gt;"Realizado",P270="",P270=0),"",A270+P270)</f>
        <v/>
      </c>
      <c r="R270" s="26">
        <f>IF(Q270="","",IF(COUNTIFS($E$5:$E$1204,E270,$A$5:$A$1204,"&gt;"&amp;A270,$H$5:$H$1204,"&lt;&gt;Falta",$H$5:$H$1204,"&lt;&gt;Cancelado",$H$5:$H$1204,"&lt;&gt;Remarcado")&gt;0,"Sim","Não"))</f>
        <v/>
      </c>
      <c r="S270" s="32">
        <f>IF(R270&lt;&gt;"Não","",IF(Q270+Config!$B$9&lt;=Config!$B$8,Config!$B$8-Q270,""))</f>
        <v/>
      </c>
      <c r="T270" s="26">
        <f>IF(S270="","","Sim")</f>
        <v/>
      </c>
      <c r="U270" s="41">
        <f>IF(T270="Sim",S270+ROW()/100000,0)</f>
        <v>0</v>
      </c>
      <c r="V270" s="41">
        <f>IF(AND(H270="Falta",L270=Config!$B$7,M270=Config!$B$5,COUNTIFS($E$5:E270,E270,$H$5:H270,"Falta",$L$5:L270,Config!$B$7,$M$5:M270,Config!$B$5)=1),COUNTIFS($E$5:$E$1204,E270,$H$5:$H$1204,"Falta",$L$5:$L$1204,Config!$B$7,$M$5:$M$1204,Config!$B$5)*1000-ROW()/100000,0)</f>
        <v>0</v>
      </c>
    </row>
    <row r="271">
      <c r="A271" s="39" t="n">
        <v>46231</v>
      </c>
      <c r="B271" s="40" t="n">
        <v>0.6180555555555556</v>
      </c>
      <c r="C271" s="35" t="inlineStr">
        <is>
          <t>Dra. Renata Sousa</t>
        </is>
      </c>
      <c r="D271" s="35" t="inlineStr">
        <is>
          <t>Sala 1</t>
        </is>
      </c>
      <c r="E271" s="34" t="inlineStr">
        <is>
          <t>Carlos Freitas</t>
        </is>
      </c>
      <c r="F271" s="35" t="inlineStr">
        <is>
          <t>Particular</t>
        </is>
      </c>
      <c r="G271" s="35" t="inlineStr">
        <is>
          <t>Avaliação endócrina</t>
        </is>
      </c>
      <c r="H271" s="35" t="inlineStr">
        <is>
          <t>Realizado</t>
        </is>
      </c>
      <c r="I271" s="35" t="inlineStr">
        <is>
          <t>Cartão de crédito</t>
        </is>
      </c>
      <c r="J271" s="35" t="n">
        <v>2</v>
      </c>
      <c r="K271" s="34" t="n"/>
      <c r="L271" s="26">
        <f>IF(A271="","",MONTH(A271))</f>
        <v>7</v>
      </c>
      <c r="M271" s="26">
        <f>IF(A271="","",YEAR(A271))</f>
        <v>2026</v>
      </c>
      <c r="N271" s="26" t="str">
        <f>IF(A271="","",CHOOSE(WEEKDAY(A271,2),"Segunda","Terça","Quarta","Quinta","Sexta","Sábado","Domingo"))</f>
        <v>Terça</v>
      </c>
      <c r="O271" s="26" t="str">
        <f>IF(B271="","",IF(B271&lt;TIME(12,0,0),"Manhã",IF(B271&lt;TIME(18,0,0),"Tarde","Noite")))</f>
        <v>Tarde</v>
      </c>
      <c r="P271" s="32">
        <f>IF(G271="","",IFERROR(INDEX(Config!$I$5:$I$16,MATCH(G271,Config!$H$5:$H$16,0)),0))</f>
        <v>45</v>
      </c>
      <c r="Q271" s="30">
        <f>IF(OR(H271&lt;&gt;"Realizado",P271="",P271=0),"",A271+P271)</f>
        <v>46276.0</v>
      </c>
      <c r="R271" s="26" t="str">
        <f>IF(Q271="","",IF(COUNTIFS($E$5:$E$1204,E271,$A$5:$A$1204,"&gt;"&amp;A271,$H$5:$H$1204,"&lt;&gt;Falta",$H$5:$H$1204,"&lt;&gt;Cancelado",$H$5:$H$1204,"&lt;&gt;Remarcado")&gt;0,"Sim","Não"))</f>
        <v>Sim</v>
      </c>
      <c r="S271" s="32">
        <f>IF(R271&lt;&gt;"Não","",IF(Q271+Config!$B$9&lt;=Config!$B$8,Config!$B$8-Q271,""))</f>
        <v/>
      </c>
      <c r="T271" s="26">
        <f>IF(S271="","","Sim")</f>
        <v/>
      </c>
      <c r="U271" s="41">
        <f>IF(T271="Sim",S271+ROW()/100000,0)</f>
        <v>0</v>
      </c>
      <c r="V271" s="41">
        <f>IF(AND(H271="Falta",L271=Config!$B$7,M271=Config!$B$5,COUNTIFS($E$5:E271,E271,$H$5:H271,"Falta",$L$5:L271,Config!$B$7,$M$5:M271,Config!$B$5)=1),COUNTIFS($E$5:$E$1204,E271,$H$5:$H$1204,"Falta",$L$5:$L$1204,Config!$B$7,$M$5:$M$1204,Config!$B$5)*1000-ROW()/100000,0)</f>
        <v>0</v>
      </c>
    </row>
    <row r="272">
      <c r="A272" s="39" t="n">
        <v>46231</v>
      </c>
      <c r="B272" s="40" t="n">
        <v>0.6458333333333334</v>
      </c>
      <c r="C272" s="35" t="inlineStr">
        <is>
          <t>Dra. Renata Sousa</t>
        </is>
      </c>
      <c r="D272" s="35" t="inlineStr">
        <is>
          <t>Sala 1</t>
        </is>
      </c>
      <c r="E272" s="34" t="inlineStr">
        <is>
          <t>Cláudia Melo</t>
        </is>
      </c>
      <c r="F272" s="35" t="inlineStr">
        <is>
          <t>Particular</t>
        </is>
      </c>
      <c r="G272" s="35" t="inlineStr">
        <is>
          <t>Avaliação endócrina</t>
        </is>
      </c>
      <c r="H272" s="35" t="inlineStr">
        <is>
          <t>Realizado</t>
        </is>
      </c>
      <c r="I272" s="35" t="inlineStr">
        <is>
          <t>Pix</t>
        </is>
      </c>
      <c r="J272" s="35" t="n"/>
      <c r="K272" s="34" t="n"/>
      <c r="L272" s="26">
        <f>IF(A272="","",MONTH(A272))</f>
        <v>7</v>
      </c>
      <c r="M272" s="26">
        <f>IF(A272="","",YEAR(A272))</f>
        <v>2026</v>
      </c>
      <c r="N272" s="26" t="str">
        <f>IF(A272="","",CHOOSE(WEEKDAY(A272,2),"Segunda","Terça","Quarta","Quinta","Sexta","Sábado","Domingo"))</f>
        <v>Terça</v>
      </c>
      <c r="O272" s="26" t="str">
        <f>IF(B272="","",IF(B272&lt;TIME(12,0,0),"Manhã",IF(B272&lt;TIME(18,0,0),"Tarde","Noite")))</f>
        <v>Tarde</v>
      </c>
      <c r="P272" s="32">
        <f>IF(G272="","",IFERROR(INDEX(Config!$I$5:$I$16,MATCH(G272,Config!$H$5:$H$16,0)),0))</f>
        <v>45</v>
      </c>
      <c r="Q272" s="30">
        <f>IF(OR(H272&lt;&gt;"Realizado",P272="",P272=0),"",A272+P272)</f>
        <v>46276.0</v>
      </c>
      <c r="R272" s="26" t="str">
        <f>IF(Q272="","",IF(COUNTIFS($E$5:$E$1204,E272,$A$5:$A$1204,"&gt;"&amp;A272,$H$5:$H$1204,"&lt;&gt;Falta",$H$5:$H$1204,"&lt;&gt;Cancelado",$H$5:$H$1204,"&lt;&gt;Remarcado")&gt;0,"Sim","Não"))</f>
        <v>Sim</v>
      </c>
      <c r="S272" s="32">
        <f>IF(R272&lt;&gt;"Não","",IF(Q272+Config!$B$9&lt;=Config!$B$8,Config!$B$8-Q272,""))</f>
        <v/>
      </c>
      <c r="T272" s="26">
        <f>IF(S272="","","Sim")</f>
        <v/>
      </c>
      <c r="U272" s="41">
        <f>IF(T272="Sim",S272+ROW()/100000,0)</f>
        <v>0</v>
      </c>
      <c r="V272" s="41">
        <f>IF(AND(H272="Falta",L272=Config!$B$7,M272=Config!$B$5,COUNTIFS($E$5:E272,E272,$H$5:H272,"Falta",$L$5:L272,Config!$B$7,$M$5:M272,Config!$B$5)=1),COUNTIFS($E$5:$E$1204,E272,$H$5:$H$1204,"Falta",$L$5:$L$1204,Config!$B$7,$M$5:$M$1204,Config!$B$5)*1000-ROW()/100000,0)</f>
        <v>0</v>
      </c>
    </row>
    <row r="273">
      <c r="A273" s="39" t="n">
        <v>46231</v>
      </c>
      <c r="B273" s="40" t="n">
        <v>0.6597222222222222</v>
      </c>
      <c r="C273" s="35" t="inlineStr">
        <is>
          <t>Dr. Paulo Andrade</t>
        </is>
      </c>
      <c r="D273" s="35" t="inlineStr">
        <is>
          <t>Sala 2</t>
        </is>
      </c>
      <c r="E273" s="34" t="inlineStr">
        <is>
          <t>Marcelo Ferreira</t>
        </is>
      </c>
      <c r="F273" s="35" t="inlineStr">
        <is>
          <t>Particular</t>
        </is>
      </c>
      <c r="G273" s="35" t="inlineStr">
        <is>
          <t>Consulta</t>
        </is>
      </c>
      <c r="H273" s="35" t="inlineStr">
        <is>
          <t>Realizado</t>
        </is>
      </c>
      <c r="I273" s="35" t="inlineStr">
        <is>
          <t>Cartão de débito</t>
        </is>
      </c>
      <c r="J273" s="35" t="n"/>
      <c r="K273" s="34" t="n"/>
      <c r="L273" s="26">
        <f>IF(A273="","",MONTH(A273))</f>
        <v>7</v>
      </c>
      <c r="M273" s="26">
        <f>IF(A273="","",YEAR(A273))</f>
        <v>2026</v>
      </c>
      <c r="N273" s="26" t="str">
        <f>IF(A273="","",CHOOSE(WEEKDAY(A273,2),"Segunda","Terça","Quarta","Quinta","Sexta","Sábado","Domingo"))</f>
        <v>Terça</v>
      </c>
      <c r="O273" s="26" t="str">
        <f>IF(B273="","",IF(B273&lt;TIME(12,0,0),"Manhã",IF(B273&lt;TIME(18,0,0),"Tarde","Noite")))</f>
        <v>Tarde</v>
      </c>
      <c r="P273" s="32">
        <f>IF(G273="","",IFERROR(INDEX(Config!$I$5:$I$16,MATCH(G273,Config!$H$5:$H$16,0)),0))</f>
        <v>30</v>
      </c>
      <c r="Q273" s="30">
        <f>IF(OR(H273&lt;&gt;"Realizado",P273="",P273=0),"",A273+P273)</f>
        <v>46261.0</v>
      </c>
      <c r="R273" s="26" t="str">
        <f>IF(Q273="","",IF(COUNTIFS($E$5:$E$1204,E273,$A$5:$A$1204,"&gt;"&amp;A273,$H$5:$H$1204,"&lt;&gt;Falta",$H$5:$H$1204,"&lt;&gt;Cancelado",$H$5:$H$1204,"&lt;&gt;Remarcado")&gt;0,"Sim","Não"))</f>
        <v>Sim</v>
      </c>
      <c r="S273" s="32">
        <f>IF(R273&lt;&gt;"Não","",IF(Q273+Config!$B$9&lt;=Config!$B$8,Config!$B$8-Q273,""))</f>
        <v/>
      </c>
      <c r="T273" s="26">
        <f>IF(S273="","","Sim")</f>
        <v/>
      </c>
      <c r="U273" s="41">
        <f>IF(T273="Sim",S273+ROW()/100000,0)</f>
        <v>0</v>
      </c>
      <c r="V273" s="41">
        <f>IF(AND(H273="Falta",L273=Config!$B$7,M273=Config!$B$5,COUNTIFS($E$5:E273,E273,$H$5:H273,"Falta",$L$5:L273,Config!$B$7,$M$5:M273,Config!$B$5)=1),COUNTIFS($E$5:$E$1204,E273,$H$5:$H$1204,"Falta",$L$5:$L$1204,Config!$B$7,$M$5:$M$1204,Config!$B$5)*1000-ROW()/100000,0)</f>
        <v>0</v>
      </c>
    </row>
    <row r="274">
      <c r="A274" s="39" t="n">
        <v>46231</v>
      </c>
      <c r="B274" s="40" t="n">
        <v>0.6736111111111112</v>
      </c>
      <c r="C274" s="35" t="inlineStr">
        <is>
          <t>Dra. Renata Sousa</t>
        </is>
      </c>
      <c r="D274" s="35" t="inlineStr">
        <is>
          <t>Sala 1</t>
        </is>
      </c>
      <c r="E274" s="34" t="inlineStr">
        <is>
          <t>Rafael Pereira</t>
        </is>
      </c>
      <c r="F274" s="35" t="inlineStr">
        <is>
          <t>Particular</t>
        </is>
      </c>
      <c r="G274" s="35" t="inlineStr">
        <is>
          <t>Avaliação endócrina</t>
        </is>
      </c>
      <c r="H274" s="35" t="inlineStr">
        <is>
          <t>Realizado</t>
        </is>
      </c>
      <c r="I274" s="35" t="inlineStr">
        <is>
          <t>A prazo</t>
        </is>
      </c>
      <c r="J274" s="35" t="n"/>
      <c r="K274" s="34" t="n"/>
      <c r="L274" s="26">
        <f>IF(A274="","",MONTH(A274))</f>
        <v>7</v>
      </c>
      <c r="M274" s="26">
        <f>IF(A274="","",YEAR(A274))</f>
        <v>2026</v>
      </c>
      <c r="N274" s="26" t="str">
        <f>IF(A274="","",CHOOSE(WEEKDAY(A274,2),"Segunda","Terça","Quarta","Quinta","Sexta","Sábado","Domingo"))</f>
        <v>Terça</v>
      </c>
      <c r="O274" s="26" t="str">
        <f>IF(B274="","",IF(B274&lt;TIME(12,0,0),"Manhã",IF(B274&lt;TIME(18,0,0),"Tarde","Noite")))</f>
        <v>Tarde</v>
      </c>
      <c r="P274" s="32">
        <f>IF(G274="","",IFERROR(INDEX(Config!$I$5:$I$16,MATCH(G274,Config!$H$5:$H$16,0)),0))</f>
        <v>45</v>
      </c>
      <c r="Q274" s="30">
        <f>IF(OR(H274&lt;&gt;"Realizado",P274="",P274=0),"",A274+P274)</f>
        <v>46276.0</v>
      </c>
      <c r="R274" s="26" t="str">
        <f>IF(Q274="","",IF(COUNTIFS($E$5:$E$1204,E274,$A$5:$A$1204,"&gt;"&amp;A274,$H$5:$H$1204,"&lt;&gt;Falta",$H$5:$H$1204,"&lt;&gt;Cancelado",$H$5:$H$1204,"&lt;&gt;Remarcado")&gt;0,"Sim","Não"))</f>
        <v>Sim</v>
      </c>
      <c r="S274" s="32">
        <f>IF(R274&lt;&gt;"Não","",IF(Q274+Config!$B$9&lt;=Config!$B$8,Config!$B$8-Q274,""))</f>
        <v/>
      </c>
      <c r="T274" s="26">
        <f>IF(S274="","","Sim")</f>
        <v/>
      </c>
      <c r="U274" s="41">
        <f>IF(T274="Sim",S274+ROW()/100000,0)</f>
        <v>0</v>
      </c>
      <c r="V274" s="41">
        <f>IF(AND(H274="Falta",L274=Config!$B$7,M274=Config!$B$5,COUNTIFS($E$5:E274,E274,$H$5:H274,"Falta",$L$5:L274,Config!$B$7,$M$5:M274,Config!$B$5)=1),COUNTIFS($E$5:$E$1204,E274,$H$5:$H$1204,"Falta",$L$5:$L$1204,Config!$B$7,$M$5:$M$1204,Config!$B$5)*1000-ROW()/100000,0)</f>
        <v>0</v>
      </c>
    </row>
    <row r="275">
      <c r="A275" s="39" t="n">
        <v>46231</v>
      </c>
      <c r="B275" s="40" t="n">
        <v>0.6805555555555556</v>
      </c>
      <c r="C275" s="35" t="inlineStr">
        <is>
          <t>Dr. Paulo Andrade</t>
        </is>
      </c>
      <c r="D275" s="35" t="inlineStr">
        <is>
          <t>Sala 2</t>
        </is>
      </c>
      <c r="E275" s="34" t="inlineStr">
        <is>
          <t>Patrícia Vieira</t>
        </is>
      </c>
      <c r="F275" s="35" t="inlineStr">
        <is>
          <t>Saúde Total</t>
        </is>
      </c>
      <c r="G275" s="35" t="inlineStr">
        <is>
          <t>Consulta</t>
        </is>
      </c>
      <c r="H275" s="35" t="inlineStr">
        <is>
          <t>Realizado</t>
        </is>
      </c>
      <c r="I275" s="35" t="inlineStr">
        <is>
          <t>Convênio</t>
        </is>
      </c>
      <c r="J275" s="35" t="n"/>
      <c r="K275" s="34" t="n"/>
      <c r="L275" s="26">
        <f>IF(A275="","",MONTH(A275))</f>
        <v>7</v>
      </c>
      <c r="M275" s="26">
        <f>IF(A275="","",YEAR(A275))</f>
        <v>2026</v>
      </c>
      <c r="N275" s="26" t="str">
        <f>IF(A275="","",CHOOSE(WEEKDAY(A275,2),"Segunda","Terça","Quarta","Quinta","Sexta","Sábado","Domingo"))</f>
        <v>Terça</v>
      </c>
      <c r="O275" s="26" t="str">
        <f>IF(B275="","",IF(B275&lt;TIME(12,0,0),"Manhã",IF(B275&lt;TIME(18,0,0),"Tarde","Noite")))</f>
        <v>Tarde</v>
      </c>
      <c r="P275" s="32">
        <f>IF(G275="","",IFERROR(INDEX(Config!$I$5:$I$16,MATCH(G275,Config!$H$5:$H$16,0)),0))</f>
        <v>30</v>
      </c>
      <c r="Q275" s="30">
        <f>IF(OR(H275&lt;&gt;"Realizado",P275="",P275=0),"",A275+P275)</f>
        <v>46261.0</v>
      </c>
      <c r="R275" s="26" t="str">
        <f>IF(Q275="","",IF(COUNTIFS($E$5:$E$1204,E275,$A$5:$A$1204,"&gt;"&amp;A275,$H$5:$H$1204,"&lt;&gt;Falta",$H$5:$H$1204,"&lt;&gt;Cancelado",$H$5:$H$1204,"&lt;&gt;Remarcado")&gt;0,"Sim","Não"))</f>
        <v>Sim</v>
      </c>
      <c r="S275" s="32">
        <f>IF(R275&lt;&gt;"Não","",IF(Q275+Config!$B$9&lt;=Config!$B$8,Config!$B$8-Q275,""))</f>
        <v/>
      </c>
      <c r="T275" s="26">
        <f>IF(S275="","","Sim")</f>
        <v/>
      </c>
      <c r="U275" s="41">
        <f>IF(T275="Sim",S275+ROW()/100000,0)</f>
        <v>0</v>
      </c>
      <c r="V275" s="41">
        <f>IF(AND(H275="Falta",L275=Config!$B$7,M275=Config!$B$5,COUNTIFS($E$5:E275,E275,$H$5:H275,"Falta",$L$5:L275,Config!$B$7,$M$5:M275,Config!$B$5)=1),COUNTIFS($E$5:$E$1204,E275,$H$5:$H$1204,"Falta",$L$5:$L$1204,Config!$B$7,$M$5:$M$1204,Config!$B$5)*1000-ROW()/100000,0)</f>
        <v>0</v>
      </c>
    </row>
    <row r="276">
      <c r="A276" s="39" t="n">
        <v>46231</v>
      </c>
      <c r="B276" s="40" t="n">
        <v>0.7013888888888888</v>
      </c>
      <c r="C276" s="35" t="inlineStr">
        <is>
          <t>Dra. Renata Sousa</t>
        </is>
      </c>
      <c r="D276" s="35" t="inlineStr">
        <is>
          <t>Sala 1</t>
        </is>
      </c>
      <c r="E276" s="34" t="inlineStr">
        <is>
          <t>Roberta Lima</t>
        </is>
      </c>
      <c r="F276" s="35" t="inlineStr">
        <is>
          <t>Particular</t>
        </is>
      </c>
      <c r="G276" s="35" t="inlineStr">
        <is>
          <t>Retorno</t>
        </is>
      </c>
      <c r="H276" s="35" t="inlineStr">
        <is>
          <t>Realizado</t>
        </is>
      </c>
      <c r="I276" s="35" t="inlineStr">
        <is>
          <t>Sem cobrança</t>
        </is>
      </c>
      <c r="J276" s="35" t="n"/>
      <c r="K276" s="34" t="n"/>
      <c r="L276" s="26">
        <f>IF(A276="","",MONTH(A276))</f>
        <v>7</v>
      </c>
      <c r="M276" s="26">
        <f>IF(A276="","",YEAR(A276))</f>
        <v>2026</v>
      </c>
      <c r="N276" s="26" t="str">
        <f>IF(A276="","",CHOOSE(WEEKDAY(A276,2),"Segunda","Terça","Quarta","Quinta","Sexta","Sábado","Domingo"))</f>
        <v>Terça</v>
      </c>
      <c r="O276" s="26" t="str">
        <f>IF(B276="","",IF(B276&lt;TIME(12,0,0),"Manhã",IF(B276&lt;TIME(18,0,0),"Tarde","Noite")))</f>
        <v>Tarde</v>
      </c>
      <c r="P276" s="32">
        <f>IF(G276="","",IFERROR(INDEX(Config!$I$5:$I$16,MATCH(G276,Config!$H$5:$H$16,0)),0))</f>
        <v>0</v>
      </c>
      <c r="Q276" s="30">
        <f>IF(OR(H276&lt;&gt;"Realizado",P276="",P276=0),"",A276+P276)</f>
        <v/>
      </c>
      <c r="R276" s="26">
        <f>IF(Q276="","",IF(COUNTIFS($E$5:$E$1204,E276,$A$5:$A$1204,"&gt;"&amp;A276,$H$5:$H$1204,"&lt;&gt;Falta",$H$5:$H$1204,"&lt;&gt;Cancelado",$H$5:$H$1204,"&lt;&gt;Remarcado")&gt;0,"Sim","Não"))</f>
        <v/>
      </c>
      <c r="S276" s="32">
        <f>IF(R276&lt;&gt;"Não","",IF(Q276+Config!$B$9&lt;=Config!$B$8,Config!$B$8-Q276,""))</f>
        <v/>
      </c>
      <c r="T276" s="26">
        <f>IF(S276="","","Sim")</f>
        <v/>
      </c>
      <c r="U276" s="41">
        <f>IF(T276="Sim",S276+ROW()/100000,0)</f>
        <v>0</v>
      </c>
      <c r="V276" s="41">
        <f>IF(AND(H276="Falta",L276=Config!$B$7,M276=Config!$B$5,COUNTIFS($E$5:E276,E276,$H$5:H276,"Falta",$L$5:L276,Config!$B$7,$M$5:M276,Config!$B$5)=1),COUNTIFS($E$5:$E$1204,E276,$H$5:$H$1204,"Falta",$L$5:$L$1204,Config!$B$7,$M$5:$M$1204,Config!$B$5)*1000-ROW()/100000,0)</f>
        <v>0</v>
      </c>
    </row>
    <row r="277">
      <c r="A277" s="39" t="n">
        <v>46231</v>
      </c>
      <c r="B277" s="40" t="n">
        <v>0.7013888888888888</v>
      </c>
      <c r="C277" s="35" t="inlineStr">
        <is>
          <t>Dr. Paulo Andrade</t>
        </is>
      </c>
      <c r="D277" s="35" t="inlineStr">
        <is>
          <t>Sala 2</t>
        </is>
      </c>
      <c r="E277" s="34" t="inlineStr">
        <is>
          <t>Fernanda Freitas</t>
        </is>
      </c>
      <c r="F277" s="35" t="inlineStr">
        <is>
          <t>Particular</t>
        </is>
      </c>
      <c r="G277" s="35" t="inlineStr">
        <is>
          <t>Teste ergométrico</t>
        </is>
      </c>
      <c r="H277" s="35" t="inlineStr">
        <is>
          <t>Realizado</t>
        </is>
      </c>
      <c r="I277" s="35" t="inlineStr">
        <is>
          <t>Cartão de crédito</t>
        </is>
      </c>
      <c r="J277" s="35" t="n"/>
      <c r="K277" s="34" t="n"/>
      <c r="L277" s="26">
        <f>IF(A277="","",MONTH(A277))</f>
        <v>7</v>
      </c>
      <c r="M277" s="26">
        <f>IF(A277="","",YEAR(A277))</f>
        <v>2026</v>
      </c>
      <c r="N277" s="26" t="str">
        <f>IF(A277="","",CHOOSE(WEEKDAY(A277,2),"Segunda","Terça","Quarta","Quinta","Sexta","Sábado","Domingo"))</f>
        <v>Terça</v>
      </c>
      <c r="O277" s="26" t="str">
        <f>IF(B277="","",IF(B277&lt;TIME(12,0,0),"Manhã",IF(B277&lt;TIME(18,0,0),"Tarde","Noite")))</f>
        <v>Tarde</v>
      </c>
      <c r="P277" s="32">
        <f>IF(G277="","",IFERROR(INDEX(Config!$I$5:$I$16,MATCH(G277,Config!$H$5:$H$16,0)),0))</f>
        <v>0</v>
      </c>
      <c r="Q277" s="30">
        <f>IF(OR(H277&lt;&gt;"Realizado",P277="",P277=0),"",A277+P277)</f>
        <v/>
      </c>
      <c r="R277" s="26">
        <f>IF(Q277="","",IF(COUNTIFS($E$5:$E$1204,E277,$A$5:$A$1204,"&gt;"&amp;A277,$H$5:$H$1204,"&lt;&gt;Falta",$H$5:$H$1204,"&lt;&gt;Cancelado",$H$5:$H$1204,"&lt;&gt;Remarcado")&gt;0,"Sim","Não"))</f>
        <v/>
      </c>
      <c r="S277" s="32">
        <f>IF(R277&lt;&gt;"Não","",IF(Q277+Config!$B$9&lt;=Config!$B$8,Config!$B$8-Q277,""))</f>
        <v/>
      </c>
      <c r="T277" s="26">
        <f>IF(S277="","","Sim")</f>
        <v/>
      </c>
      <c r="U277" s="41">
        <f>IF(T277="Sim",S277+ROW()/100000,0)</f>
        <v>0</v>
      </c>
      <c r="V277" s="41">
        <f>IF(AND(H277="Falta",L277=Config!$B$7,M277=Config!$B$5,COUNTIFS($E$5:E277,E277,$H$5:H277,"Falta",$L$5:L277,Config!$B$7,$M$5:M277,Config!$B$5)=1),COUNTIFS($E$5:$E$1204,E277,$H$5:$H$1204,"Falta",$L$5:$L$1204,Config!$B$7,$M$5:$M$1204,Config!$B$5)*1000-ROW()/100000,0)</f>
        <v>0</v>
      </c>
    </row>
    <row r="278">
      <c r="A278" s="39" t="n">
        <v>46231</v>
      </c>
      <c r="B278" s="40" t="n">
        <v>0.7152777777777778</v>
      </c>
      <c r="C278" s="35" t="inlineStr">
        <is>
          <t>Dra. Renata Sousa</t>
        </is>
      </c>
      <c r="D278" s="35" t="inlineStr">
        <is>
          <t>Sala 1</t>
        </is>
      </c>
      <c r="E278" s="34" t="inlineStr">
        <is>
          <t>Fábio Ferreira</t>
        </is>
      </c>
      <c r="F278" s="35" t="inlineStr">
        <is>
          <t>Particular</t>
        </is>
      </c>
      <c r="G278" s="35" t="inlineStr">
        <is>
          <t>Avaliação endócrina</t>
        </is>
      </c>
      <c r="H278" s="35" t="inlineStr">
        <is>
          <t>Cancelado</t>
        </is>
      </c>
      <c r="I278" s="35" t="n"/>
      <c r="J278" s="35" t="n"/>
      <c r="K278" s="34" t="n"/>
      <c r="L278" s="26">
        <f>IF(A278="","",MONTH(A278))</f>
        <v>7</v>
      </c>
      <c r="M278" s="26">
        <f>IF(A278="","",YEAR(A278))</f>
        <v>2026</v>
      </c>
      <c r="N278" s="26" t="str">
        <f>IF(A278="","",CHOOSE(WEEKDAY(A278,2),"Segunda","Terça","Quarta","Quinta","Sexta","Sábado","Domingo"))</f>
        <v>Terça</v>
      </c>
      <c r="O278" s="26" t="str">
        <f>IF(B278="","",IF(B278&lt;TIME(12,0,0),"Manhã",IF(B278&lt;TIME(18,0,0),"Tarde","Noite")))</f>
        <v>Tarde</v>
      </c>
      <c r="P278" s="32">
        <f>IF(G278="","",IFERROR(INDEX(Config!$I$5:$I$16,MATCH(G278,Config!$H$5:$H$16,0)),0))</f>
        <v>45</v>
      </c>
      <c r="Q278" s="30">
        <f>IF(OR(H278&lt;&gt;"Realizado",P278="",P278=0),"",A278+P278)</f>
        <v/>
      </c>
      <c r="R278" s="26">
        <f>IF(Q278="","",IF(COUNTIFS($E$5:$E$1204,E278,$A$5:$A$1204,"&gt;"&amp;A278,$H$5:$H$1204,"&lt;&gt;Falta",$H$5:$H$1204,"&lt;&gt;Cancelado",$H$5:$H$1204,"&lt;&gt;Remarcado")&gt;0,"Sim","Não"))</f>
        <v/>
      </c>
      <c r="S278" s="32">
        <f>IF(R278&lt;&gt;"Não","",IF(Q278+Config!$B$9&lt;=Config!$B$8,Config!$B$8-Q278,""))</f>
        <v/>
      </c>
      <c r="T278" s="26">
        <f>IF(S278="","","Sim")</f>
        <v/>
      </c>
      <c r="U278" s="41">
        <f>IF(T278="Sim",S278+ROW()/100000,0)</f>
        <v>0</v>
      </c>
      <c r="V278" s="41">
        <f>IF(AND(H278="Falta",L278=Config!$B$7,M278=Config!$B$5,COUNTIFS($E$5:E278,E278,$H$5:H278,"Falta",$L$5:L278,Config!$B$7,$M$5:M278,Config!$B$5)=1),COUNTIFS($E$5:$E$1204,E278,$H$5:$H$1204,"Falta",$L$5:$L$1204,Config!$B$7,$M$5:$M$1204,Config!$B$5)*1000-ROW()/100000,0)</f>
        <v>0</v>
      </c>
    </row>
    <row r="279">
      <c r="A279" s="39" t="n">
        <v>46231</v>
      </c>
      <c r="B279" s="40" t="n">
        <v>0.7291666666666666</v>
      </c>
      <c r="C279" s="35" t="inlineStr">
        <is>
          <t>Dr. Paulo Andrade</t>
        </is>
      </c>
      <c r="D279" s="35" t="inlineStr">
        <is>
          <t>Sala 2</t>
        </is>
      </c>
      <c r="E279" s="34" t="inlineStr">
        <is>
          <t>Priscila Rocha</t>
        </is>
      </c>
      <c r="F279" s="35" t="inlineStr">
        <is>
          <t>MediPlan</t>
        </is>
      </c>
      <c r="G279" s="35" t="inlineStr">
        <is>
          <t>Retorno</t>
        </is>
      </c>
      <c r="H279" s="35" t="inlineStr">
        <is>
          <t>Realizado</t>
        </is>
      </c>
      <c r="I279" s="35" t="inlineStr">
        <is>
          <t>Sem cobrança</t>
        </is>
      </c>
      <c r="J279" s="35" t="n"/>
      <c r="K279" s="34" t="n"/>
      <c r="L279" s="26">
        <f>IF(A279="","",MONTH(A279))</f>
        <v>7</v>
      </c>
      <c r="M279" s="26">
        <f>IF(A279="","",YEAR(A279))</f>
        <v>2026</v>
      </c>
      <c r="N279" s="26" t="str">
        <f>IF(A279="","",CHOOSE(WEEKDAY(A279,2),"Segunda","Terça","Quarta","Quinta","Sexta","Sábado","Domingo"))</f>
        <v>Terça</v>
      </c>
      <c r="O279" s="26" t="str">
        <f>IF(B279="","",IF(B279&lt;TIME(12,0,0),"Manhã",IF(B279&lt;TIME(18,0,0),"Tarde","Noite")))</f>
        <v>Tarde</v>
      </c>
      <c r="P279" s="32">
        <f>IF(G279="","",IFERROR(INDEX(Config!$I$5:$I$16,MATCH(G279,Config!$H$5:$H$16,0)),0))</f>
        <v>0</v>
      </c>
      <c r="Q279" s="30">
        <f>IF(OR(H279&lt;&gt;"Realizado",P279="",P279=0),"",A279+P279)</f>
        <v/>
      </c>
      <c r="R279" s="26">
        <f>IF(Q279="","",IF(COUNTIFS($E$5:$E$1204,E279,$A$5:$A$1204,"&gt;"&amp;A279,$H$5:$H$1204,"&lt;&gt;Falta",$H$5:$H$1204,"&lt;&gt;Cancelado",$H$5:$H$1204,"&lt;&gt;Remarcado")&gt;0,"Sim","Não"))</f>
        <v/>
      </c>
      <c r="S279" s="32">
        <f>IF(R279&lt;&gt;"Não","",IF(Q279+Config!$B$9&lt;=Config!$B$8,Config!$B$8-Q279,""))</f>
        <v/>
      </c>
      <c r="T279" s="26">
        <f>IF(S279="","","Sim")</f>
        <v/>
      </c>
      <c r="U279" s="41">
        <f>IF(T279="Sim",S279+ROW()/100000,0)</f>
        <v>0</v>
      </c>
      <c r="V279" s="41">
        <f>IF(AND(H279="Falta",L279=Config!$B$7,M279=Config!$B$5,COUNTIFS($E$5:E279,E279,$H$5:H279,"Falta",$L$5:L279,Config!$B$7,$M$5:M279,Config!$B$5)=1),COUNTIFS($E$5:$E$1204,E279,$H$5:$H$1204,"Falta",$L$5:$L$1204,Config!$B$7,$M$5:$M$1204,Config!$B$5)*1000-ROW()/100000,0)</f>
        <v>0</v>
      </c>
    </row>
    <row r="280">
      <c r="A280" s="39" t="n">
        <v>46232</v>
      </c>
      <c r="B280" s="40" t="n">
        <v>0.5833333333333334</v>
      </c>
      <c r="C280" s="35" t="inlineStr">
        <is>
          <t>Dra. Carolina Mendes</t>
        </is>
      </c>
      <c r="D280" s="35" t="inlineStr">
        <is>
          <t>Sala 1</t>
        </is>
      </c>
      <c r="E280" s="34" t="inlineStr">
        <is>
          <t>Priscila Carvalho</t>
        </is>
      </c>
      <c r="F280" s="35" t="inlineStr">
        <is>
          <t>Vida Care</t>
        </is>
      </c>
      <c r="G280" s="35" t="inlineStr">
        <is>
          <t>Retorno</t>
        </is>
      </c>
      <c r="H280" s="35" t="inlineStr">
        <is>
          <t>Realizado</t>
        </is>
      </c>
      <c r="I280" s="35" t="inlineStr">
        <is>
          <t>Sem cobrança</t>
        </is>
      </c>
      <c r="J280" s="35" t="n"/>
      <c r="K280" s="34" t="n"/>
      <c r="L280" s="26">
        <f>IF(A280="","",MONTH(A280))</f>
        <v>7</v>
      </c>
      <c r="M280" s="26">
        <f>IF(A280="","",YEAR(A280))</f>
        <v>2026</v>
      </c>
      <c r="N280" s="26" t="str">
        <f>IF(A280="","",CHOOSE(WEEKDAY(A280,2),"Segunda","Terça","Quarta","Quinta","Sexta","Sábado","Domingo"))</f>
        <v>Quarta</v>
      </c>
      <c r="O280" s="26" t="str">
        <f>IF(B280="","",IF(B280&lt;TIME(12,0,0),"Manhã",IF(B280&lt;TIME(18,0,0),"Tarde","Noite")))</f>
        <v>Tarde</v>
      </c>
      <c r="P280" s="32">
        <f>IF(G280="","",IFERROR(INDEX(Config!$I$5:$I$16,MATCH(G280,Config!$H$5:$H$16,0)),0))</f>
        <v>0</v>
      </c>
      <c r="Q280" s="30">
        <f>IF(OR(H280&lt;&gt;"Realizado",P280="",P280=0),"",A280+P280)</f>
        <v/>
      </c>
      <c r="R280" s="26">
        <f>IF(Q280="","",IF(COUNTIFS($E$5:$E$1204,E280,$A$5:$A$1204,"&gt;"&amp;A280,$H$5:$H$1204,"&lt;&gt;Falta",$H$5:$H$1204,"&lt;&gt;Cancelado",$H$5:$H$1204,"&lt;&gt;Remarcado")&gt;0,"Sim","Não"))</f>
        <v/>
      </c>
      <c r="S280" s="32">
        <f>IF(R280&lt;&gt;"Não","",IF(Q280+Config!$B$9&lt;=Config!$B$8,Config!$B$8-Q280,""))</f>
        <v/>
      </c>
      <c r="T280" s="26">
        <f>IF(S280="","","Sim")</f>
        <v/>
      </c>
      <c r="U280" s="41">
        <f>IF(T280="Sim",S280+ROW()/100000,0)</f>
        <v>0</v>
      </c>
      <c r="V280" s="41">
        <f>IF(AND(H280="Falta",L280=Config!$B$7,M280=Config!$B$5,COUNTIFS($E$5:E280,E280,$H$5:H280,"Falta",$L$5:L280,Config!$B$7,$M$5:M280,Config!$B$5)=1),COUNTIFS($E$5:$E$1204,E280,$H$5:$H$1204,"Falta",$L$5:$L$1204,Config!$B$7,$M$5:$M$1204,Config!$B$5)*1000-ROW()/100000,0)</f>
        <v>0</v>
      </c>
    </row>
    <row r="281">
      <c r="A281" s="39" t="n">
        <v>46232</v>
      </c>
      <c r="B281" s="40" t="n">
        <v>0.5972222222222222</v>
      </c>
      <c r="C281" s="35" t="inlineStr">
        <is>
          <t>Dra. Carolina Mendes</t>
        </is>
      </c>
      <c r="D281" s="35" t="inlineStr">
        <is>
          <t>Sala 1</t>
        </is>
      </c>
      <c r="E281" s="34" t="inlineStr">
        <is>
          <t>Marcelo Santos</t>
        </is>
      </c>
      <c r="F281" s="35" t="inlineStr">
        <is>
          <t>Particular</t>
        </is>
      </c>
      <c r="G281" s="35" t="inlineStr">
        <is>
          <t>Consulta</t>
        </is>
      </c>
      <c r="H281" s="35" t="inlineStr">
        <is>
          <t>Falta</t>
        </is>
      </c>
      <c r="I281" s="35" t="n"/>
      <c r="J281" s="35" t="n"/>
      <c r="K281" s="34" t="n"/>
      <c r="L281" s="26">
        <f>IF(A281="","",MONTH(A281))</f>
        <v>7</v>
      </c>
      <c r="M281" s="26">
        <f>IF(A281="","",YEAR(A281))</f>
        <v>2026</v>
      </c>
      <c r="N281" s="26" t="str">
        <f>IF(A281="","",CHOOSE(WEEKDAY(A281,2),"Segunda","Terça","Quarta","Quinta","Sexta","Sábado","Domingo"))</f>
        <v>Quarta</v>
      </c>
      <c r="O281" s="26" t="str">
        <f>IF(B281="","",IF(B281&lt;TIME(12,0,0),"Manhã",IF(B281&lt;TIME(18,0,0),"Tarde","Noite")))</f>
        <v>Tarde</v>
      </c>
      <c r="P281" s="32">
        <f>IF(G281="","",IFERROR(INDEX(Config!$I$5:$I$16,MATCH(G281,Config!$H$5:$H$16,0)),0))</f>
        <v>30</v>
      </c>
      <c r="Q281" s="30">
        <f>IF(OR(H281&lt;&gt;"Realizado",P281="",P281=0),"",A281+P281)</f>
        <v/>
      </c>
      <c r="R281" s="26">
        <f>IF(Q281="","",IF(COUNTIFS($E$5:$E$1204,E281,$A$5:$A$1204,"&gt;"&amp;A281,$H$5:$H$1204,"&lt;&gt;Falta",$H$5:$H$1204,"&lt;&gt;Cancelado",$H$5:$H$1204,"&lt;&gt;Remarcado")&gt;0,"Sim","Não"))</f>
        <v/>
      </c>
      <c r="S281" s="32">
        <f>IF(R281&lt;&gt;"Não","",IF(Q281+Config!$B$9&lt;=Config!$B$8,Config!$B$8-Q281,""))</f>
        <v/>
      </c>
      <c r="T281" s="26">
        <f>IF(S281="","","Sim")</f>
        <v/>
      </c>
      <c r="U281" s="41">
        <f>IF(T281="Sim",S281+ROW()/100000,0)</f>
        <v>0</v>
      </c>
      <c r="V281" s="41">
        <f>IF(AND(H281="Falta",L281=Config!$B$7,M281=Config!$B$5,COUNTIFS($E$5:E281,E281,$H$5:H281,"Falta",$L$5:L281,Config!$B$7,$M$5:M281,Config!$B$5)=1),COUNTIFS($E$5:$E$1204,E281,$H$5:$H$1204,"Falta",$L$5:$L$1204,Config!$B$7,$M$5:$M$1204,Config!$B$5)*1000-ROW()/100000,0)</f>
        <v>0</v>
      </c>
    </row>
    <row r="282">
      <c r="A282" s="39" t="n">
        <v>46232</v>
      </c>
      <c r="B282" s="40" t="n">
        <v>0.6180555555555556</v>
      </c>
      <c r="C282" s="35" t="inlineStr">
        <is>
          <t>Dra. Carolina Mendes</t>
        </is>
      </c>
      <c r="D282" s="35" t="inlineStr">
        <is>
          <t>Sala 1</t>
        </is>
      </c>
      <c r="E282" s="34" t="inlineStr">
        <is>
          <t>Gisele Xavier</t>
        </is>
      </c>
      <c r="F282" s="35" t="inlineStr">
        <is>
          <t>Particular</t>
        </is>
      </c>
      <c r="G282" s="35" t="inlineStr">
        <is>
          <t>Consulta</t>
        </is>
      </c>
      <c r="H282" s="35" t="inlineStr">
        <is>
          <t>Realizado</t>
        </is>
      </c>
      <c r="I282" s="35" t="inlineStr">
        <is>
          <t>Pix</t>
        </is>
      </c>
      <c r="J282" s="35" t="n"/>
      <c r="K282" s="34" t="n"/>
      <c r="L282" s="26">
        <f>IF(A282="","",MONTH(A282))</f>
        <v>7</v>
      </c>
      <c r="M282" s="26">
        <f>IF(A282="","",YEAR(A282))</f>
        <v>2026</v>
      </c>
      <c r="N282" s="26" t="str">
        <f>IF(A282="","",CHOOSE(WEEKDAY(A282,2),"Segunda","Terça","Quarta","Quinta","Sexta","Sábado","Domingo"))</f>
        <v>Quarta</v>
      </c>
      <c r="O282" s="26" t="str">
        <f>IF(B282="","",IF(B282&lt;TIME(12,0,0),"Manhã",IF(B282&lt;TIME(18,0,0),"Tarde","Noite")))</f>
        <v>Tarde</v>
      </c>
      <c r="P282" s="32">
        <f>IF(G282="","",IFERROR(INDEX(Config!$I$5:$I$16,MATCH(G282,Config!$H$5:$H$16,0)),0))</f>
        <v>30</v>
      </c>
      <c r="Q282" s="30">
        <f>IF(OR(H282&lt;&gt;"Realizado",P282="",P282=0),"",A282+P282)</f>
        <v>46262.0</v>
      </c>
      <c r="R282" s="26" t="str">
        <f>IF(Q282="","",IF(COUNTIFS($E$5:$E$1204,E282,$A$5:$A$1204,"&gt;"&amp;A282,$H$5:$H$1204,"&lt;&gt;Falta",$H$5:$H$1204,"&lt;&gt;Cancelado",$H$5:$H$1204,"&lt;&gt;Remarcado")&gt;0,"Sim","Não"))</f>
        <v>Sim</v>
      </c>
      <c r="S282" s="32">
        <f>IF(R282&lt;&gt;"Não","",IF(Q282+Config!$B$9&lt;=Config!$B$8,Config!$B$8-Q282,""))</f>
        <v/>
      </c>
      <c r="T282" s="26">
        <f>IF(S282="","","Sim")</f>
        <v/>
      </c>
      <c r="U282" s="41">
        <f>IF(T282="Sim",S282+ROW()/100000,0)</f>
        <v>0</v>
      </c>
      <c r="V282" s="41">
        <f>IF(AND(H282="Falta",L282=Config!$B$7,M282=Config!$B$5,COUNTIFS($E$5:E282,E282,$H$5:H282,"Falta",$L$5:L282,Config!$B$7,$M$5:M282,Config!$B$5)=1),COUNTIFS($E$5:$E$1204,E282,$H$5:$H$1204,"Falta",$L$5:$L$1204,Config!$B$7,$M$5:$M$1204,Config!$B$5)*1000-ROW()/100000,0)</f>
        <v>0</v>
      </c>
    </row>
    <row r="283">
      <c r="A283" s="39" t="n">
        <v>46232</v>
      </c>
      <c r="B283" s="40" t="n">
        <v>0.6388888888888888</v>
      </c>
      <c r="C283" s="35" t="inlineStr">
        <is>
          <t>Dra. Carolina Mendes</t>
        </is>
      </c>
      <c r="D283" s="35" t="inlineStr">
        <is>
          <t>Sala 1</t>
        </is>
      </c>
      <c r="E283" s="34" t="inlineStr">
        <is>
          <t>Cláudia Santos</t>
        </is>
      </c>
      <c r="F283" s="35" t="inlineStr">
        <is>
          <t>Particular</t>
        </is>
      </c>
      <c r="G283" s="35" t="inlineStr">
        <is>
          <t>Consulta</t>
        </is>
      </c>
      <c r="H283" s="35" t="inlineStr">
        <is>
          <t>Realizado</t>
        </is>
      </c>
      <c r="I283" s="35" t="inlineStr">
        <is>
          <t>Pix</t>
        </is>
      </c>
      <c r="J283" s="35" t="n"/>
      <c r="K283" s="34" t="n"/>
      <c r="L283" s="26">
        <f>IF(A283="","",MONTH(A283))</f>
        <v>7</v>
      </c>
      <c r="M283" s="26">
        <f>IF(A283="","",YEAR(A283))</f>
        <v>2026</v>
      </c>
      <c r="N283" s="26" t="str">
        <f>IF(A283="","",CHOOSE(WEEKDAY(A283,2),"Segunda","Terça","Quarta","Quinta","Sexta","Sábado","Domingo"))</f>
        <v>Quarta</v>
      </c>
      <c r="O283" s="26" t="str">
        <f>IF(B283="","",IF(B283&lt;TIME(12,0,0),"Manhã",IF(B283&lt;TIME(18,0,0),"Tarde","Noite")))</f>
        <v>Tarde</v>
      </c>
      <c r="P283" s="32">
        <f>IF(G283="","",IFERROR(INDEX(Config!$I$5:$I$16,MATCH(G283,Config!$H$5:$H$16,0)),0))</f>
        <v>30</v>
      </c>
      <c r="Q283" s="30">
        <f>IF(OR(H283&lt;&gt;"Realizado",P283="",P283=0),"",A283+P283)</f>
        <v>46262.0</v>
      </c>
      <c r="R283" s="26" t="str">
        <f>IF(Q283="","",IF(COUNTIFS($E$5:$E$1204,E283,$A$5:$A$1204,"&gt;"&amp;A283,$H$5:$H$1204,"&lt;&gt;Falta",$H$5:$H$1204,"&lt;&gt;Cancelado",$H$5:$H$1204,"&lt;&gt;Remarcado")&gt;0,"Sim","Não"))</f>
        <v>Sim</v>
      </c>
      <c r="S283" s="32">
        <f>IF(R283&lt;&gt;"Não","",IF(Q283+Config!$B$9&lt;=Config!$B$8,Config!$B$8-Q283,""))</f>
        <v/>
      </c>
      <c r="T283" s="26">
        <f>IF(S283="","","Sim")</f>
        <v/>
      </c>
      <c r="U283" s="41">
        <f>IF(T283="Sim",S283+ROW()/100000,0)</f>
        <v>0</v>
      </c>
      <c r="V283" s="41">
        <f>IF(AND(H283="Falta",L283=Config!$B$7,M283=Config!$B$5,COUNTIFS($E$5:E283,E283,$H$5:H283,"Falta",$L$5:L283,Config!$B$7,$M$5:M283,Config!$B$5)=1),COUNTIFS($E$5:$E$1204,E283,$H$5:$H$1204,"Falta",$L$5:$L$1204,Config!$B$7,$M$5:$M$1204,Config!$B$5)*1000-ROW()/100000,0)</f>
        <v>0</v>
      </c>
    </row>
    <row r="284">
      <c r="A284" s="39" t="n">
        <v>46232</v>
      </c>
      <c r="B284" s="40" t="n">
        <v>0.6597222222222222</v>
      </c>
      <c r="C284" s="35" t="inlineStr">
        <is>
          <t>Dra. Carolina Mendes</t>
        </is>
      </c>
      <c r="D284" s="35" t="inlineStr">
        <is>
          <t>Sala 1</t>
        </is>
      </c>
      <c r="E284" s="34" t="inlineStr">
        <is>
          <t>Regina Castro</t>
        </is>
      </c>
      <c r="F284" s="35" t="inlineStr">
        <is>
          <t>Vida Care</t>
        </is>
      </c>
      <c r="G284" s="35" t="inlineStr">
        <is>
          <t>Consulta</t>
        </is>
      </c>
      <c r="H284" s="35" t="inlineStr">
        <is>
          <t>Realizado</t>
        </is>
      </c>
      <c r="I284" s="35" t="inlineStr">
        <is>
          <t>Convênio</t>
        </is>
      </c>
      <c r="J284" s="35" t="n"/>
      <c r="K284" s="34" t="n"/>
      <c r="L284" s="26">
        <f>IF(A284="","",MONTH(A284))</f>
        <v>7</v>
      </c>
      <c r="M284" s="26">
        <f>IF(A284="","",YEAR(A284))</f>
        <v>2026</v>
      </c>
      <c r="N284" s="26" t="str">
        <f>IF(A284="","",CHOOSE(WEEKDAY(A284,2),"Segunda","Terça","Quarta","Quinta","Sexta","Sábado","Domingo"))</f>
        <v>Quarta</v>
      </c>
      <c r="O284" s="26" t="str">
        <f>IF(B284="","",IF(B284&lt;TIME(12,0,0),"Manhã",IF(B284&lt;TIME(18,0,0),"Tarde","Noite")))</f>
        <v>Tarde</v>
      </c>
      <c r="P284" s="32">
        <f>IF(G284="","",IFERROR(INDEX(Config!$I$5:$I$16,MATCH(G284,Config!$H$5:$H$16,0)),0))</f>
        <v>30</v>
      </c>
      <c r="Q284" s="30">
        <f>IF(OR(H284&lt;&gt;"Realizado",P284="",P284=0),"",A284+P284)</f>
        <v>46262.0</v>
      </c>
      <c r="R284" s="26" t="str">
        <f>IF(Q284="","",IF(COUNTIFS($E$5:$E$1204,E284,$A$5:$A$1204,"&gt;"&amp;A284,$H$5:$H$1204,"&lt;&gt;Falta",$H$5:$H$1204,"&lt;&gt;Cancelado",$H$5:$H$1204,"&lt;&gt;Remarcado")&gt;0,"Sim","Não"))</f>
        <v>Sim</v>
      </c>
      <c r="S284" s="32">
        <f>IF(R284&lt;&gt;"Não","",IF(Q284+Config!$B$9&lt;=Config!$B$8,Config!$B$8-Q284,""))</f>
        <v/>
      </c>
      <c r="T284" s="26">
        <f>IF(S284="","","Sim")</f>
        <v/>
      </c>
      <c r="U284" s="41">
        <f>IF(T284="Sim",S284+ROW()/100000,0)</f>
        <v>0</v>
      </c>
      <c r="V284" s="41">
        <f>IF(AND(H284="Falta",L284=Config!$B$7,M284=Config!$B$5,COUNTIFS($E$5:E284,E284,$H$5:H284,"Falta",$L$5:L284,Config!$B$7,$M$5:M284,Config!$B$5)=1),COUNTIFS($E$5:$E$1204,E284,$H$5:$H$1204,"Falta",$L$5:$L$1204,Config!$B$7,$M$5:$M$1204,Config!$B$5)*1000-ROW()/100000,0)</f>
        <v>0</v>
      </c>
    </row>
    <row r="285">
      <c r="A285" s="39" t="n">
        <v>46232</v>
      </c>
      <c r="B285" s="40" t="n">
        <v>0.6805555555555556</v>
      </c>
      <c r="C285" s="35" t="inlineStr">
        <is>
          <t>Dra. Carolina Mendes</t>
        </is>
      </c>
      <c r="D285" s="35" t="inlineStr">
        <is>
          <t>Sala 1</t>
        </is>
      </c>
      <c r="E285" s="34" t="inlineStr">
        <is>
          <t>Gustavo Ferreira</t>
        </is>
      </c>
      <c r="F285" s="35" t="inlineStr">
        <is>
          <t>Particular</t>
        </is>
      </c>
      <c r="G285" s="35" t="inlineStr">
        <is>
          <t>Consulta</t>
        </is>
      </c>
      <c r="H285" s="35" t="inlineStr">
        <is>
          <t>Remarcado</t>
        </is>
      </c>
      <c r="I285" s="35" t="n"/>
      <c r="J285" s="35" t="n"/>
      <c r="K285" s="34" t="inlineStr">
        <is>
          <t>Paciente pediu outra data</t>
        </is>
      </c>
      <c r="L285" s="26">
        <f>IF(A285="","",MONTH(A285))</f>
        <v>7</v>
      </c>
      <c r="M285" s="26">
        <f>IF(A285="","",YEAR(A285))</f>
        <v>2026</v>
      </c>
      <c r="N285" s="26" t="str">
        <f>IF(A285="","",CHOOSE(WEEKDAY(A285,2),"Segunda","Terça","Quarta","Quinta","Sexta","Sábado","Domingo"))</f>
        <v>Quarta</v>
      </c>
      <c r="O285" s="26" t="str">
        <f>IF(B285="","",IF(B285&lt;TIME(12,0,0),"Manhã",IF(B285&lt;TIME(18,0,0),"Tarde","Noite")))</f>
        <v>Tarde</v>
      </c>
      <c r="P285" s="32">
        <f>IF(G285="","",IFERROR(INDEX(Config!$I$5:$I$16,MATCH(G285,Config!$H$5:$H$16,0)),0))</f>
        <v>30</v>
      </c>
      <c r="Q285" s="30">
        <f>IF(OR(H285&lt;&gt;"Realizado",P285="",P285=0),"",A285+P285)</f>
        <v/>
      </c>
      <c r="R285" s="26">
        <f>IF(Q285="","",IF(COUNTIFS($E$5:$E$1204,E285,$A$5:$A$1204,"&gt;"&amp;A285,$H$5:$H$1204,"&lt;&gt;Falta",$H$5:$H$1204,"&lt;&gt;Cancelado",$H$5:$H$1204,"&lt;&gt;Remarcado")&gt;0,"Sim","Não"))</f>
        <v/>
      </c>
      <c r="S285" s="32">
        <f>IF(R285&lt;&gt;"Não","",IF(Q285+Config!$B$9&lt;=Config!$B$8,Config!$B$8-Q285,""))</f>
        <v/>
      </c>
      <c r="T285" s="26">
        <f>IF(S285="","","Sim")</f>
        <v/>
      </c>
      <c r="U285" s="41">
        <f>IF(T285="Sim",S285+ROW()/100000,0)</f>
        <v>0</v>
      </c>
      <c r="V285" s="41">
        <f>IF(AND(H285="Falta",L285=Config!$B$7,M285=Config!$B$5,COUNTIFS($E$5:E285,E285,$H$5:H285,"Falta",$L$5:L285,Config!$B$7,$M$5:M285,Config!$B$5)=1),COUNTIFS($E$5:$E$1204,E285,$H$5:$H$1204,"Falta",$L$5:$L$1204,Config!$B$7,$M$5:$M$1204,Config!$B$5)*1000-ROW()/100000,0)</f>
        <v>0</v>
      </c>
    </row>
    <row r="286">
      <c r="A286" s="39" t="n">
        <v>46232</v>
      </c>
      <c r="B286" s="40" t="n">
        <v>0.7013888888888888</v>
      </c>
      <c r="C286" s="35" t="inlineStr">
        <is>
          <t>Dra. Carolina Mendes</t>
        </is>
      </c>
      <c r="D286" s="35" t="inlineStr">
        <is>
          <t>Sala 1</t>
        </is>
      </c>
      <c r="E286" s="34" t="inlineStr">
        <is>
          <t>Gustavo Ferreira</t>
        </is>
      </c>
      <c r="F286" s="35" t="inlineStr">
        <is>
          <t>Particular</t>
        </is>
      </c>
      <c r="G286" s="35" t="inlineStr">
        <is>
          <t>Consulta</t>
        </is>
      </c>
      <c r="H286" s="35" t="inlineStr">
        <is>
          <t>Realizado</t>
        </is>
      </c>
      <c r="I286" s="35" t="inlineStr">
        <is>
          <t>Cartão de débito</t>
        </is>
      </c>
      <c r="J286" s="35" t="n"/>
      <c r="K286" s="34" t="n"/>
      <c r="L286" s="26">
        <f>IF(A286="","",MONTH(A286))</f>
        <v>7</v>
      </c>
      <c r="M286" s="26">
        <f>IF(A286="","",YEAR(A286))</f>
        <v>2026</v>
      </c>
      <c r="N286" s="26" t="str">
        <f>IF(A286="","",CHOOSE(WEEKDAY(A286,2),"Segunda","Terça","Quarta","Quinta","Sexta","Sábado","Domingo"))</f>
        <v>Quarta</v>
      </c>
      <c r="O286" s="26" t="str">
        <f>IF(B286="","",IF(B286&lt;TIME(12,0,0),"Manhã",IF(B286&lt;TIME(18,0,0),"Tarde","Noite")))</f>
        <v>Tarde</v>
      </c>
      <c r="P286" s="32">
        <f>IF(G286="","",IFERROR(INDEX(Config!$I$5:$I$16,MATCH(G286,Config!$H$5:$H$16,0)),0))</f>
        <v>30</v>
      </c>
      <c r="Q286" s="30">
        <f>IF(OR(H286&lt;&gt;"Realizado",P286="",P286=0),"",A286+P286)</f>
        <v>46262.0</v>
      </c>
      <c r="R286" s="26" t="str">
        <f>IF(Q286="","",IF(COUNTIFS($E$5:$E$1204,E286,$A$5:$A$1204,"&gt;"&amp;A286,$H$5:$H$1204,"&lt;&gt;Falta",$H$5:$H$1204,"&lt;&gt;Cancelado",$H$5:$H$1204,"&lt;&gt;Remarcado")&gt;0,"Sim","Não"))</f>
        <v>Sim</v>
      </c>
      <c r="S286" s="32">
        <f>IF(R286&lt;&gt;"Não","",IF(Q286+Config!$B$9&lt;=Config!$B$8,Config!$B$8-Q286,""))</f>
        <v/>
      </c>
      <c r="T286" s="26">
        <f>IF(S286="","","Sim")</f>
        <v/>
      </c>
      <c r="U286" s="41">
        <f>IF(T286="Sim",S286+ROW()/100000,0)</f>
        <v>0</v>
      </c>
      <c r="V286" s="41">
        <f>IF(AND(H286="Falta",L286=Config!$B$7,M286=Config!$B$5,COUNTIFS($E$5:E286,E286,$H$5:H286,"Falta",$L$5:L286,Config!$B$7,$M$5:M286,Config!$B$5)=1),COUNTIFS($E$5:$E$1204,E286,$H$5:$H$1204,"Falta",$L$5:$L$1204,Config!$B$7,$M$5:$M$1204,Config!$B$5)*1000-ROW()/100000,0)</f>
        <v>0</v>
      </c>
    </row>
    <row r="287">
      <c r="A287" s="39" t="n">
        <v>46232</v>
      </c>
      <c r="B287" s="40" t="n">
        <v>0.7222222222222222</v>
      </c>
      <c r="C287" s="35" t="inlineStr">
        <is>
          <t>Dra. Carolina Mendes</t>
        </is>
      </c>
      <c r="D287" s="35" t="inlineStr">
        <is>
          <t>Sala 1</t>
        </is>
      </c>
      <c r="E287" s="34" t="inlineStr">
        <is>
          <t>Rafael Dias</t>
        </is>
      </c>
      <c r="F287" s="35" t="inlineStr">
        <is>
          <t>Particular</t>
        </is>
      </c>
      <c r="G287" s="35" t="inlineStr">
        <is>
          <t>Consulta</t>
        </is>
      </c>
      <c r="H287" s="35" t="inlineStr">
        <is>
          <t>Realizado</t>
        </is>
      </c>
      <c r="I287" s="35" t="inlineStr">
        <is>
          <t>Cartão de débito</t>
        </is>
      </c>
      <c r="J287" s="35" t="n"/>
      <c r="K287" s="34" t="n"/>
      <c r="L287" s="26">
        <f>IF(A287="","",MONTH(A287))</f>
        <v>7</v>
      </c>
      <c r="M287" s="26">
        <f>IF(A287="","",YEAR(A287))</f>
        <v>2026</v>
      </c>
      <c r="N287" s="26" t="str">
        <f>IF(A287="","",CHOOSE(WEEKDAY(A287,2),"Segunda","Terça","Quarta","Quinta","Sexta","Sábado","Domingo"))</f>
        <v>Quarta</v>
      </c>
      <c r="O287" s="26" t="str">
        <f>IF(B287="","",IF(B287&lt;TIME(12,0,0),"Manhã",IF(B287&lt;TIME(18,0,0),"Tarde","Noite")))</f>
        <v>Tarde</v>
      </c>
      <c r="P287" s="32">
        <f>IF(G287="","",IFERROR(INDEX(Config!$I$5:$I$16,MATCH(G287,Config!$H$5:$H$16,0)),0))</f>
        <v>30</v>
      </c>
      <c r="Q287" s="30">
        <f>IF(OR(H287&lt;&gt;"Realizado",P287="",P287=0),"",A287+P287)</f>
        <v>46262.0</v>
      </c>
      <c r="R287" s="26" t="str">
        <f>IF(Q287="","",IF(COUNTIFS($E$5:$E$1204,E287,$A$5:$A$1204,"&gt;"&amp;A287,$H$5:$H$1204,"&lt;&gt;Falta",$H$5:$H$1204,"&lt;&gt;Cancelado",$H$5:$H$1204,"&lt;&gt;Remarcado")&gt;0,"Sim","Não"))</f>
        <v>Sim</v>
      </c>
      <c r="S287" s="32">
        <f>IF(R287&lt;&gt;"Não","",IF(Q287+Config!$B$9&lt;=Config!$B$8,Config!$B$8-Q287,""))</f>
        <v/>
      </c>
      <c r="T287" s="26">
        <f>IF(S287="","","Sim")</f>
        <v/>
      </c>
      <c r="U287" s="41">
        <f>IF(T287="Sim",S287+ROW()/100000,0)</f>
        <v>0</v>
      </c>
      <c r="V287" s="41">
        <f>IF(AND(H287="Falta",L287=Config!$B$7,M287=Config!$B$5,COUNTIFS($E$5:E287,E287,$H$5:H287,"Falta",$L$5:L287,Config!$B$7,$M$5:M287,Config!$B$5)=1),COUNTIFS($E$5:$E$1204,E287,$H$5:$H$1204,"Falta",$L$5:$L$1204,Config!$B$7,$M$5:$M$1204,Config!$B$5)*1000-ROW()/100000,0)</f>
        <v>0</v>
      </c>
    </row>
    <row r="288">
      <c r="A288" s="39" t="n">
        <v>46233</v>
      </c>
      <c r="B288" s="40" t="n">
        <v>0.3333333333333333</v>
      </c>
      <c r="C288" s="35" t="inlineStr">
        <is>
          <t>Dra. Carolina Mendes</t>
        </is>
      </c>
      <c r="D288" s="35" t="inlineStr">
        <is>
          <t>Sala 1</t>
        </is>
      </c>
      <c r="E288" s="34" t="inlineStr">
        <is>
          <t>Priscila Castro</t>
        </is>
      </c>
      <c r="F288" s="35" t="inlineStr">
        <is>
          <t>Saúde Total</t>
        </is>
      </c>
      <c r="G288" s="35" t="inlineStr">
        <is>
          <t>Retorno</t>
        </is>
      </c>
      <c r="H288" s="35" t="inlineStr">
        <is>
          <t>Realizado</t>
        </is>
      </c>
      <c r="I288" s="35" t="inlineStr">
        <is>
          <t>Sem cobrança</t>
        </is>
      </c>
      <c r="J288" s="35" t="n"/>
      <c r="K288" s="34" t="n"/>
      <c r="L288" s="26">
        <f>IF(A288="","",MONTH(A288))</f>
        <v>7</v>
      </c>
      <c r="M288" s="26">
        <f>IF(A288="","",YEAR(A288))</f>
        <v>2026</v>
      </c>
      <c r="N288" s="26" t="str">
        <f>IF(A288="","",CHOOSE(WEEKDAY(A288,2),"Segunda","Terça","Quarta","Quinta","Sexta","Sábado","Domingo"))</f>
        <v>Quinta</v>
      </c>
      <c r="O288" s="26" t="str">
        <f>IF(B288="","",IF(B288&lt;TIME(12,0,0),"Manhã",IF(B288&lt;TIME(18,0,0),"Tarde","Noite")))</f>
        <v>Manhã</v>
      </c>
      <c r="P288" s="32">
        <f>IF(G288="","",IFERROR(INDEX(Config!$I$5:$I$16,MATCH(G288,Config!$H$5:$H$16,0)),0))</f>
        <v>0</v>
      </c>
      <c r="Q288" s="30">
        <f>IF(OR(H288&lt;&gt;"Realizado",P288="",P288=0),"",A288+P288)</f>
        <v/>
      </c>
      <c r="R288" s="26">
        <f>IF(Q288="","",IF(COUNTIFS($E$5:$E$1204,E288,$A$5:$A$1204,"&gt;"&amp;A288,$H$5:$H$1204,"&lt;&gt;Falta",$H$5:$H$1204,"&lt;&gt;Cancelado",$H$5:$H$1204,"&lt;&gt;Remarcado")&gt;0,"Sim","Não"))</f>
        <v/>
      </c>
      <c r="S288" s="32">
        <f>IF(R288&lt;&gt;"Não","",IF(Q288+Config!$B$9&lt;=Config!$B$8,Config!$B$8-Q288,""))</f>
        <v/>
      </c>
      <c r="T288" s="26">
        <f>IF(S288="","","Sim")</f>
        <v/>
      </c>
      <c r="U288" s="41">
        <f>IF(T288="Sim",S288+ROW()/100000,0)</f>
        <v>0</v>
      </c>
      <c r="V288" s="41">
        <f>IF(AND(H288="Falta",L288=Config!$B$7,M288=Config!$B$5,COUNTIFS($E$5:E288,E288,$H$5:H288,"Falta",$L$5:L288,Config!$B$7,$M$5:M288,Config!$B$5)=1),COUNTIFS($E$5:$E$1204,E288,$H$5:$H$1204,"Falta",$L$5:$L$1204,Config!$B$7,$M$5:$M$1204,Config!$B$5)*1000-ROW()/100000,0)</f>
        <v>0</v>
      </c>
    </row>
    <row r="289">
      <c r="A289" s="39" t="n">
        <v>46233</v>
      </c>
      <c r="B289" s="40" t="n">
        <v>0.3472222222222222</v>
      </c>
      <c r="C289" s="35" t="inlineStr">
        <is>
          <t>Dra. Carolina Mendes</t>
        </is>
      </c>
      <c r="D289" s="35" t="inlineStr">
        <is>
          <t>Sala 1</t>
        </is>
      </c>
      <c r="E289" s="34" t="inlineStr">
        <is>
          <t>Regina Macedo</t>
        </is>
      </c>
      <c r="F289" s="35" t="inlineStr">
        <is>
          <t>Particular</t>
        </is>
      </c>
      <c r="G289" s="35" t="inlineStr">
        <is>
          <t>Consulta</t>
        </is>
      </c>
      <c r="H289" s="35" t="inlineStr">
        <is>
          <t>Realizado</t>
        </is>
      </c>
      <c r="I289" s="35" t="inlineStr">
        <is>
          <t>Pix</t>
        </is>
      </c>
      <c r="J289" s="35" t="n"/>
      <c r="K289" s="34" t="n"/>
      <c r="L289" s="26">
        <f>IF(A289="","",MONTH(A289))</f>
        <v>7</v>
      </c>
      <c r="M289" s="26">
        <f>IF(A289="","",YEAR(A289))</f>
        <v>2026</v>
      </c>
      <c r="N289" s="26" t="str">
        <f>IF(A289="","",CHOOSE(WEEKDAY(A289,2),"Segunda","Terça","Quarta","Quinta","Sexta","Sábado","Domingo"))</f>
        <v>Quinta</v>
      </c>
      <c r="O289" s="26" t="str">
        <f>IF(B289="","",IF(B289&lt;TIME(12,0,0),"Manhã",IF(B289&lt;TIME(18,0,0),"Tarde","Noite")))</f>
        <v>Manhã</v>
      </c>
      <c r="P289" s="32">
        <f>IF(G289="","",IFERROR(INDEX(Config!$I$5:$I$16,MATCH(G289,Config!$H$5:$H$16,0)),0))</f>
        <v>30</v>
      </c>
      <c r="Q289" s="30">
        <f>IF(OR(H289&lt;&gt;"Realizado",P289="",P289=0),"",A289+P289)</f>
        <v>46263.0</v>
      </c>
      <c r="R289" s="26" t="str">
        <f>IF(Q289="","",IF(COUNTIFS($E$5:$E$1204,E289,$A$5:$A$1204,"&gt;"&amp;A289,$H$5:$H$1204,"&lt;&gt;Falta",$H$5:$H$1204,"&lt;&gt;Cancelado",$H$5:$H$1204,"&lt;&gt;Remarcado")&gt;0,"Sim","Não"))</f>
        <v>Sim</v>
      </c>
      <c r="S289" s="32">
        <f>IF(R289&lt;&gt;"Não","",IF(Q289+Config!$B$9&lt;=Config!$B$8,Config!$B$8-Q289,""))</f>
        <v/>
      </c>
      <c r="T289" s="26">
        <f>IF(S289="","","Sim")</f>
        <v/>
      </c>
      <c r="U289" s="41">
        <f>IF(T289="Sim",S289+ROW()/100000,0)</f>
        <v>0</v>
      </c>
      <c r="V289" s="41">
        <f>IF(AND(H289="Falta",L289=Config!$B$7,M289=Config!$B$5,COUNTIFS($E$5:E289,E289,$H$5:H289,"Falta",$L$5:L289,Config!$B$7,$M$5:M289,Config!$B$5)=1),COUNTIFS($E$5:$E$1204,E289,$H$5:$H$1204,"Falta",$L$5:$L$1204,Config!$B$7,$M$5:$M$1204,Config!$B$5)*1000-ROW()/100000,0)</f>
        <v>0</v>
      </c>
    </row>
    <row r="290">
      <c r="A290" s="39" t="n">
        <v>46233</v>
      </c>
      <c r="B290" s="40" t="n">
        <v>0.3680555555555556</v>
      </c>
      <c r="C290" s="35" t="inlineStr">
        <is>
          <t>Dra. Carolina Mendes</t>
        </is>
      </c>
      <c r="D290" s="35" t="inlineStr">
        <is>
          <t>Sala 1</t>
        </is>
      </c>
      <c r="E290" s="34" t="inlineStr">
        <is>
          <t>Gustavo Barbosa</t>
        </is>
      </c>
      <c r="F290" s="35" t="inlineStr">
        <is>
          <t>Saúde Total</t>
        </is>
      </c>
      <c r="G290" s="35" t="inlineStr">
        <is>
          <t>Consulta</t>
        </is>
      </c>
      <c r="H290" s="35" t="inlineStr">
        <is>
          <t>Realizado</t>
        </is>
      </c>
      <c r="I290" s="35" t="inlineStr">
        <is>
          <t>Convênio</t>
        </is>
      </c>
      <c r="J290" s="35" t="n"/>
      <c r="K290" s="34" t="n"/>
      <c r="L290" s="26">
        <f>IF(A290="","",MONTH(A290))</f>
        <v>7</v>
      </c>
      <c r="M290" s="26">
        <f>IF(A290="","",YEAR(A290))</f>
        <v>2026</v>
      </c>
      <c r="N290" s="26" t="str">
        <f>IF(A290="","",CHOOSE(WEEKDAY(A290,2),"Segunda","Terça","Quarta","Quinta","Sexta","Sábado","Domingo"))</f>
        <v>Quinta</v>
      </c>
      <c r="O290" s="26" t="str">
        <f>IF(B290="","",IF(B290&lt;TIME(12,0,0),"Manhã",IF(B290&lt;TIME(18,0,0),"Tarde","Noite")))</f>
        <v>Manhã</v>
      </c>
      <c r="P290" s="32">
        <f>IF(G290="","",IFERROR(INDEX(Config!$I$5:$I$16,MATCH(G290,Config!$H$5:$H$16,0)),0))</f>
        <v>30</v>
      </c>
      <c r="Q290" s="30">
        <f>IF(OR(H290&lt;&gt;"Realizado",P290="",P290=0),"",A290+P290)</f>
        <v>46263.0</v>
      </c>
      <c r="R290" s="26" t="str">
        <f>IF(Q290="","",IF(COUNTIFS($E$5:$E$1204,E290,$A$5:$A$1204,"&gt;"&amp;A290,$H$5:$H$1204,"&lt;&gt;Falta",$H$5:$H$1204,"&lt;&gt;Cancelado",$H$5:$H$1204,"&lt;&gt;Remarcado")&gt;0,"Sim","Não"))</f>
        <v>Sim</v>
      </c>
      <c r="S290" s="32">
        <f>IF(R290&lt;&gt;"Não","",IF(Q290+Config!$B$9&lt;=Config!$B$8,Config!$B$8-Q290,""))</f>
        <v/>
      </c>
      <c r="T290" s="26">
        <f>IF(S290="","","Sim")</f>
        <v/>
      </c>
      <c r="U290" s="41">
        <f>IF(T290="Sim",S290+ROW()/100000,0)</f>
        <v>0</v>
      </c>
      <c r="V290" s="41">
        <f>IF(AND(H290="Falta",L290=Config!$B$7,M290=Config!$B$5,COUNTIFS($E$5:E290,E290,$H$5:H290,"Falta",$L$5:L290,Config!$B$7,$M$5:M290,Config!$B$5)=1),COUNTIFS($E$5:$E$1204,E290,$H$5:$H$1204,"Falta",$L$5:$L$1204,Config!$B$7,$M$5:$M$1204,Config!$B$5)*1000-ROW()/100000,0)</f>
        <v>0</v>
      </c>
    </row>
    <row r="291">
      <c r="A291" s="39" t="n">
        <v>46233</v>
      </c>
      <c r="B291" s="40" t="n">
        <v>0.4097222222222222</v>
      </c>
      <c r="C291" s="35" t="inlineStr">
        <is>
          <t>Dra. Carolina Mendes</t>
        </is>
      </c>
      <c r="D291" s="35" t="inlineStr">
        <is>
          <t>Sala 1</t>
        </is>
      </c>
      <c r="E291" s="34" t="inlineStr">
        <is>
          <t>Mônica Batista</t>
        </is>
      </c>
      <c r="F291" s="35" t="inlineStr">
        <is>
          <t>MediPlan</t>
        </is>
      </c>
      <c r="G291" s="35" t="inlineStr">
        <is>
          <t>Consulta</t>
        </is>
      </c>
      <c r="H291" s="35" t="inlineStr">
        <is>
          <t>Realizado</t>
        </is>
      </c>
      <c r="I291" s="35" t="inlineStr">
        <is>
          <t>Convênio</t>
        </is>
      </c>
      <c r="J291" s="35" t="n"/>
      <c r="K291" s="34" t="n"/>
      <c r="L291" s="26">
        <f>IF(A291="","",MONTH(A291))</f>
        <v>7</v>
      </c>
      <c r="M291" s="26">
        <f>IF(A291="","",YEAR(A291))</f>
        <v>2026</v>
      </c>
      <c r="N291" s="26" t="str">
        <f>IF(A291="","",CHOOSE(WEEKDAY(A291,2),"Segunda","Terça","Quarta","Quinta","Sexta","Sábado","Domingo"))</f>
        <v>Quinta</v>
      </c>
      <c r="O291" s="26" t="str">
        <f>IF(B291="","",IF(B291&lt;TIME(12,0,0),"Manhã",IF(B291&lt;TIME(18,0,0),"Tarde","Noite")))</f>
        <v>Manhã</v>
      </c>
      <c r="P291" s="32">
        <f>IF(G291="","",IFERROR(INDEX(Config!$I$5:$I$16,MATCH(G291,Config!$H$5:$H$16,0)),0))</f>
        <v>30</v>
      </c>
      <c r="Q291" s="30">
        <f>IF(OR(H291&lt;&gt;"Realizado",P291="",P291=0),"",A291+P291)</f>
        <v>46263.0</v>
      </c>
      <c r="R291" s="26" t="str">
        <f>IF(Q291="","",IF(COUNTIFS($E$5:$E$1204,E291,$A$5:$A$1204,"&gt;"&amp;A291,$H$5:$H$1204,"&lt;&gt;Falta",$H$5:$H$1204,"&lt;&gt;Cancelado",$H$5:$H$1204,"&lt;&gt;Remarcado")&gt;0,"Sim","Não"))</f>
        <v>Sim</v>
      </c>
      <c r="S291" s="32">
        <f>IF(R291&lt;&gt;"Não","",IF(Q291+Config!$B$9&lt;=Config!$B$8,Config!$B$8-Q291,""))</f>
        <v/>
      </c>
      <c r="T291" s="26">
        <f>IF(S291="","","Sim")</f>
        <v/>
      </c>
      <c r="U291" s="41">
        <f>IF(T291="Sim",S291+ROW()/100000,0)</f>
        <v>0</v>
      </c>
      <c r="V291" s="41">
        <f>IF(AND(H291="Falta",L291=Config!$B$7,M291=Config!$B$5,COUNTIFS($E$5:E291,E291,$H$5:H291,"Falta",$L$5:L291,Config!$B$7,$M$5:M291,Config!$B$5)=1),COUNTIFS($E$5:$E$1204,E291,$H$5:$H$1204,"Falta",$L$5:$L$1204,Config!$B$7,$M$5:$M$1204,Config!$B$5)*1000-ROW()/100000,0)</f>
        <v>0</v>
      </c>
    </row>
    <row r="292">
      <c r="A292" s="39" t="n">
        <v>46233</v>
      </c>
      <c r="B292" s="40" t="n">
        <v>0.4305555555555556</v>
      </c>
      <c r="C292" s="35" t="inlineStr">
        <is>
          <t>Dra. Carolina Mendes</t>
        </is>
      </c>
      <c r="D292" s="35" t="inlineStr">
        <is>
          <t>Sala 1</t>
        </is>
      </c>
      <c r="E292" s="34" t="inlineStr">
        <is>
          <t>Roberta Araújo</t>
        </is>
      </c>
      <c r="F292" s="35" t="inlineStr">
        <is>
          <t>Particular</t>
        </is>
      </c>
      <c r="G292" s="35" t="inlineStr">
        <is>
          <t>Consulta</t>
        </is>
      </c>
      <c r="H292" s="35" t="inlineStr">
        <is>
          <t>Realizado</t>
        </is>
      </c>
      <c r="I292" s="35" t="inlineStr">
        <is>
          <t>Pix</t>
        </is>
      </c>
      <c r="J292" s="35" t="n"/>
      <c r="K292" s="34" t="n"/>
      <c r="L292" s="26">
        <f>IF(A292="","",MONTH(A292))</f>
        <v>7</v>
      </c>
      <c r="M292" s="26">
        <f>IF(A292="","",YEAR(A292))</f>
        <v>2026</v>
      </c>
      <c r="N292" s="26" t="str">
        <f>IF(A292="","",CHOOSE(WEEKDAY(A292,2),"Segunda","Terça","Quarta","Quinta","Sexta","Sábado","Domingo"))</f>
        <v>Quinta</v>
      </c>
      <c r="O292" s="26" t="str">
        <f>IF(B292="","",IF(B292&lt;TIME(12,0,0),"Manhã",IF(B292&lt;TIME(18,0,0),"Tarde","Noite")))</f>
        <v>Manhã</v>
      </c>
      <c r="P292" s="32">
        <f>IF(G292="","",IFERROR(INDEX(Config!$I$5:$I$16,MATCH(G292,Config!$H$5:$H$16,0)),0))</f>
        <v>30</v>
      </c>
      <c r="Q292" s="30">
        <f>IF(OR(H292&lt;&gt;"Realizado",P292="",P292=0),"",A292+P292)</f>
        <v>46263.0</v>
      </c>
      <c r="R292" s="26" t="str">
        <f>IF(Q292="","",IF(COUNTIFS($E$5:$E$1204,E292,$A$5:$A$1204,"&gt;"&amp;A292,$H$5:$H$1204,"&lt;&gt;Falta",$H$5:$H$1204,"&lt;&gt;Cancelado",$H$5:$H$1204,"&lt;&gt;Remarcado")&gt;0,"Sim","Não"))</f>
        <v>Sim</v>
      </c>
      <c r="S292" s="32">
        <f>IF(R292&lt;&gt;"Não","",IF(Q292+Config!$B$9&lt;=Config!$B$8,Config!$B$8-Q292,""))</f>
        <v/>
      </c>
      <c r="T292" s="26">
        <f>IF(S292="","","Sim")</f>
        <v/>
      </c>
      <c r="U292" s="41">
        <f>IF(T292="Sim",S292+ROW()/100000,0)</f>
        <v>0</v>
      </c>
      <c r="V292" s="41">
        <f>IF(AND(H292="Falta",L292=Config!$B$7,M292=Config!$B$5,COUNTIFS($E$5:E292,E292,$H$5:H292,"Falta",$L$5:L292,Config!$B$7,$M$5:M292,Config!$B$5)=1),COUNTIFS($E$5:$E$1204,E292,$H$5:$H$1204,"Falta",$L$5:$L$1204,Config!$B$7,$M$5:$M$1204,Config!$B$5)*1000-ROW()/100000,0)</f>
        <v>0</v>
      </c>
    </row>
    <row r="293">
      <c r="A293" s="39" t="n">
        <v>46233</v>
      </c>
      <c r="B293" s="40" t="n">
        <v>0.4513888888888889</v>
      </c>
      <c r="C293" s="35" t="inlineStr">
        <is>
          <t>Dra. Carolina Mendes</t>
        </is>
      </c>
      <c r="D293" s="35" t="inlineStr">
        <is>
          <t>Sala 1</t>
        </is>
      </c>
      <c r="E293" s="34" t="inlineStr">
        <is>
          <t>Otávio Nascimento</t>
        </is>
      </c>
      <c r="F293" s="35" t="inlineStr">
        <is>
          <t>Particular</t>
        </is>
      </c>
      <c r="G293" s="35" t="inlineStr">
        <is>
          <t>Consulta</t>
        </is>
      </c>
      <c r="H293" s="35" t="inlineStr">
        <is>
          <t>Realizado</t>
        </is>
      </c>
      <c r="I293" s="35" t="inlineStr">
        <is>
          <t>Dinheiro</t>
        </is>
      </c>
      <c r="J293" s="35" t="n"/>
      <c r="K293" s="34" t="n"/>
      <c r="L293" s="26">
        <f>IF(A293="","",MONTH(A293))</f>
        <v>7</v>
      </c>
      <c r="M293" s="26">
        <f>IF(A293="","",YEAR(A293))</f>
        <v>2026</v>
      </c>
      <c r="N293" s="26" t="str">
        <f>IF(A293="","",CHOOSE(WEEKDAY(A293,2),"Segunda","Terça","Quarta","Quinta","Sexta","Sábado","Domingo"))</f>
        <v>Quinta</v>
      </c>
      <c r="O293" s="26" t="str">
        <f>IF(B293="","",IF(B293&lt;TIME(12,0,0),"Manhã",IF(B293&lt;TIME(18,0,0),"Tarde","Noite")))</f>
        <v>Manhã</v>
      </c>
      <c r="P293" s="32">
        <f>IF(G293="","",IFERROR(INDEX(Config!$I$5:$I$16,MATCH(G293,Config!$H$5:$H$16,0)),0))</f>
        <v>30</v>
      </c>
      <c r="Q293" s="30">
        <f>IF(OR(H293&lt;&gt;"Realizado",P293="",P293=0),"",A293+P293)</f>
        <v>46263.0</v>
      </c>
      <c r="R293" s="26" t="str">
        <f>IF(Q293="","",IF(COUNTIFS($E$5:$E$1204,E293,$A$5:$A$1204,"&gt;"&amp;A293,$H$5:$H$1204,"&lt;&gt;Falta",$H$5:$H$1204,"&lt;&gt;Cancelado",$H$5:$H$1204,"&lt;&gt;Remarcado")&gt;0,"Sim","Não"))</f>
        <v>Sim</v>
      </c>
      <c r="S293" s="32">
        <f>IF(R293&lt;&gt;"Não","",IF(Q293+Config!$B$9&lt;=Config!$B$8,Config!$B$8-Q293,""))</f>
        <v/>
      </c>
      <c r="T293" s="26">
        <f>IF(S293="","","Sim")</f>
        <v/>
      </c>
      <c r="U293" s="41">
        <f>IF(T293="Sim",S293+ROW()/100000,0)</f>
        <v>0</v>
      </c>
      <c r="V293" s="41">
        <f>IF(AND(H293="Falta",L293=Config!$B$7,M293=Config!$B$5,COUNTIFS($E$5:E293,E293,$H$5:H293,"Falta",$L$5:L293,Config!$B$7,$M$5:M293,Config!$B$5)=1),COUNTIFS($E$5:$E$1204,E293,$H$5:$H$1204,"Falta",$L$5:$L$1204,Config!$B$7,$M$5:$M$1204,Config!$B$5)*1000-ROW()/100000,0)</f>
        <v>0</v>
      </c>
    </row>
    <row r="294">
      <c r="A294" s="39" t="n">
        <v>46233</v>
      </c>
      <c r="B294" s="40" t="n">
        <v>0.4722222222222222</v>
      </c>
      <c r="C294" s="35" t="inlineStr">
        <is>
          <t>Dra. Carolina Mendes</t>
        </is>
      </c>
      <c r="D294" s="35" t="inlineStr">
        <is>
          <t>Sala 1</t>
        </is>
      </c>
      <c r="E294" s="34" t="inlineStr">
        <is>
          <t>Camila Batista</t>
        </is>
      </c>
      <c r="F294" s="35" t="inlineStr">
        <is>
          <t>MediPlan</t>
        </is>
      </c>
      <c r="G294" s="35" t="inlineStr">
        <is>
          <t>Consulta</t>
        </is>
      </c>
      <c r="H294" s="35" t="inlineStr">
        <is>
          <t>Realizado</t>
        </is>
      </c>
      <c r="I294" s="35" t="inlineStr">
        <is>
          <t>Convênio</t>
        </is>
      </c>
      <c r="J294" s="35" t="n"/>
      <c r="K294" s="34" t="n"/>
      <c r="L294" s="26">
        <f>IF(A294="","",MONTH(A294))</f>
        <v>7</v>
      </c>
      <c r="M294" s="26">
        <f>IF(A294="","",YEAR(A294))</f>
        <v>2026</v>
      </c>
      <c r="N294" s="26" t="str">
        <f>IF(A294="","",CHOOSE(WEEKDAY(A294,2),"Segunda","Terça","Quarta","Quinta","Sexta","Sábado","Domingo"))</f>
        <v>Quinta</v>
      </c>
      <c r="O294" s="26" t="str">
        <f>IF(B294="","",IF(B294&lt;TIME(12,0,0),"Manhã",IF(B294&lt;TIME(18,0,0),"Tarde","Noite")))</f>
        <v>Manhã</v>
      </c>
      <c r="P294" s="32">
        <f>IF(G294="","",IFERROR(INDEX(Config!$I$5:$I$16,MATCH(G294,Config!$H$5:$H$16,0)),0))</f>
        <v>30</v>
      </c>
      <c r="Q294" s="30">
        <f>IF(OR(H294&lt;&gt;"Realizado",P294="",P294=0),"",A294+P294)</f>
        <v>46263.0</v>
      </c>
      <c r="R294" s="26" t="str">
        <f>IF(Q294="","",IF(COUNTIFS($E$5:$E$1204,E294,$A$5:$A$1204,"&gt;"&amp;A294,$H$5:$H$1204,"&lt;&gt;Falta",$H$5:$H$1204,"&lt;&gt;Cancelado",$H$5:$H$1204,"&lt;&gt;Remarcado")&gt;0,"Sim","Não"))</f>
        <v>Sim</v>
      </c>
      <c r="S294" s="32">
        <f>IF(R294&lt;&gt;"Não","",IF(Q294+Config!$B$9&lt;=Config!$B$8,Config!$B$8-Q294,""))</f>
        <v/>
      </c>
      <c r="T294" s="26">
        <f>IF(S294="","","Sim")</f>
        <v/>
      </c>
      <c r="U294" s="41">
        <f>IF(T294="Sim",S294+ROW()/100000,0)</f>
        <v>0</v>
      </c>
      <c r="V294" s="41">
        <f>IF(AND(H294="Falta",L294=Config!$B$7,M294=Config!$B$5,COUNTIFS($E$5:E294,E294,$H$5:H294,"Falta",$L$5:L294,Config!$B$7,$M$5:M294,Config!$B$5)=1),COUNTIFS($E$5:$E$1204,E294,$H$5:$H$1204,"Falta",$L$5:$L$1204,Config!$B$7,$M$5:$M$1204,Config!$B$5)*1000-ROW()/100000,0)</f>
        <v>0</v>
      </c>
    </row>
    <row r="295">
      <c r="A295" s="39" t="n">
        <v>46233</v>
      </c>
      <c r="B295" s="40" t="n">
        <v>0.5833333333333334</v>
      </c>
      <c r="C295" s="35" t="inlineStr">
        <is>
          <t>Dra. Renata Sousa</t>
        </is>
      </c>
      <c r="D295" s="35" t="inlineStr">
        <is>
          <t>Sala 1</t>
        </is>
      </c>
      <c r="E295" s="34" t="inlineStr">
        <is>
          <t>Rodrigo Cardoso</t>
        </is>
      </c>
      <c r="F295" s="35" t="inlineStr">
        <is>
          <t>Saúde Total</t>
        </is>
      </c>
      <c r="G295" s="35" t="inlineStr">
        <is>
          <t>Avaliação endócrina</t>
        </is>
      </c>
      <c r="H295" s="35" t="inlineStr">
        <is>
          <t>Realizado</t>
        </is>
      </c>
      <c r="I295" s="35" t="inlineStr">
        <is>
          <t>Convênio</t>
        </is>
      </c>
      <c r="J295" s="35" t="n"/>
      <c r="K295" s="34" t="n"/>
      <c r="L295" s="26">
        <f>IF(A295="","",MONTH(A295))</f>
        <v>7</v>
      </c>
      <c r="M295" s="26">
        <f>IF(A295="","",YEAR(A295))</f>
        <v>2026</v>
      </c>
      <c r="N295" s="26" t="str">
        <f>IF(A295="","",CHOOSE(WEEKDAY(A295,2),"Segunda","Terça","Quarta","Quinta","Sexta","Sábado","Domingo"))</f>
        <v>Quinta</v>
      </c>
      <c r="O295" s="26" t="str">
        <f>IF(B295="","",IF(B295&lt;TIME(12,0,0),"Manhã",IF(B295&lt;TIME(18,0,0),"Tarde","Noite")))</f>
        <v>Tarde</v>
      </c>
      <c r="P295" s="32">
        <f>IF(G295="","",IFERROR(INDEX(Config!$I$5:$I$16,MATCH(G295,Config!$H$5:$H$16,0)),0))</f>
        <v>45</v>
      </c>
      <c r="Q295" s="30">
        <f>IF(OR(H295&lt;&gt;"Realizado",P295="",P295=0),"",A295+P295)</f>
        <v>46278.0</v>
      </c>
      <c r="R295" s="26" t="str">
        <f>IF(Q295="","",IF(COUNTIFS($E$5:$E$1204,E295,$A$5:$A$1204,"&gt;"&amp;A295,$H$5:$H$1204,"&lt;&gt;Falta",$H$5:$H$1204,"&lt;&gt;Cancelado",$H$5:$H$1204,"&lt;&gt;Remarcado")&gt;0,"Sim","Não"))</f>
        <v>Sim</v>
      </c>
      <c r="S295" s="32">
        <f>IF(R295&lt;&gt;"Não","",IF(Q295+Config!$B$9&lt;=Config!$B$8,Config!$B$8-Q295,""))</f>
        <v/>
      </c>
      <c r="T295" s="26">
        <f>IF(S295="","","Sim")</f>
        <v/>
      </c>
      <c r="U295" s="41">
        <f>IF(T295="Sim",S295+ROW()/100000,0)</f>
        <v>0</v>
      </c>
      <c r="V295" s="41">
        <f>IF(AND(H295="Falta",L295=Config!$B$7,M295=Config!$B$5,COUNTIFS($E$5:E295,E295,$H$5:H295,"Falta",$L$5:L295,Config!$B$7,$M$5:M295,Config!$B$5)=1),COUNTIFS($E$5:$E$1204,E295,$H$5:$H$1204,"Falta",$L$5:$L$1204,Config!$B$7,$M$5:$M$1204,Config!$B$5)*1000-ROW()/100000,0)</f>
        <v>0</v>
      </c>
    </row>
    <row r="296">
      <c r="A296" s="39" t="n">
        <v>46233</v>
      </c>
      <c r="B296" s="40" t="n">
        <v>0.5833333333333334</v>
      </c>
      <c r="C296" s="35" t="inlineStr">
        <is>
          <t>Dr. Paulo Andrade</t>
        </is>
      </c>
      <c r="D296" s="35" t="inlineStr">
        <is>
          <t>Sala 2</t>
        </is>
      </c>
      <c r="E296" s="34" t="inlineStr">
        <is>
          <t>Rodrigo Teixeira</t>
        </is>
      </c>
      <c r="F296" s="35" t="inlineStr">
        <is>
          <t>Vida Care</t>
        </is>
      </c>
      <c r="G296" s="35" t="inlineStr">
        <is>
          <t>MAPA</t>
        </is>
      </c>
      <c r="H296" s="35" t="inlineStr">
        <is>
          <t>Falta</t>
        </is>
      </c>
      <c r="I296" s="35" t="n"/>
      <c r="J296" s="35" t="n"/>
      <c r="K296" s="34" t="n"/>
      <c r="L296" s="26">
        <f>IF(A296="","",MONTH(A296))</f>
        <v>7</v>
      </c>
      <c r="M296" s="26">
        <f>IF(A296="","",YEAR(A296))</f>
        <v>2026</v>
      </c>
      <c r="N296" s="26" t="str">
        <f>IF(A296="","",CHOOSE(WEEKDAY(A296,2),"Segunda","Terça","Quarta","Quinta","Sexta","Sábado","Domingo"))</f>
        <v>Quinta</v>
      </c>
      <c r="O296" s="26" t="str">
        <f>IF(B296="","",IF(B296&lt;TIME(12,0,0),"Manhã",IF(B296&lt;TIME(18,0,0),"Tarde","Noite")))</f>
        <v>Tarde</v>
      </c>
      <c r="P296" s="32">
        <f>IF(G296="","",IFERROR(INDEX(Config!$I$5:$I$16,MATCH(G296,Config!$H$5:$H$16,0)),0))</f>
        <v>0</v>
      </c>
      <c r="Q296" s="30">
        <f>IF(OR(H296&lt;&gt;"Realizado",P296="",P296=0),"",A296+P296)</f>
        <v/>
      </c>
      <c r="R296" s="26">
        <f>IF(Q296="","",IF(COUNTIFS($E$5:$E$1204,E296,$A$5:$A$1204,"&gt;"&amp;A296,$H$5:$H$1204,"&lt;&gt;Falta",$H$5:$H$1204,"&lt;&gt;Cancelado",$H$5:$H$1204,"&lt;&gt;Remarcado")&gt;0,"Sim","Não"))</f>
        <v/>
      </c>
      <c r="S296" s="32">
        <f>IF(R296&lt;&gt;"Não","",IF(Q296+Config!$B$9&lt;=Config!$B$8,Config!$B$8-Q296,""))</f>
        <v/>
      </c>
      <c r="T296" s="26">
        <f>IF(S296="","","Sim")</f>
        <v/>
      </c>
      <c r="U296" s="41">
        <f>IF(T296="Sim",S296+ROW()/100000,0)</f>
        <v>0</v>
      </c>
      <c r="V296" s="41">
        <f>IF(AND(H296="Falta",L296=Config!$B$7,M296=Config!$B$5,COUNTIFS($E$5:E296,E296,$H$5:H296,"Falta",$L$5:L296,Config!$B$7,$M$5:M296,Config!$B$5)=1),COUNTIFS($E$5:$E$1204,E296,$H$5:$H$1204,"Falta",$L$5:$L$1204,Config!$B$7,$M$5:$M$1204,Config!$B$5)*1000-ROW()/100000,0)</f>
        <v>0</v>
      </c>
    </row>
    <row r="297">
      <c r="A297" s="39" t="n">
        <v>46233</v>
      </c>
      <c r="B297" s="40" t="n">
        <v>0.6111111111111112</v>
      </c>
      <c r="C297" s="35" t="inlineStr">
        <is>
          <t>Dra. Renata Sousa</t>
        </is>
      </c>
      <c r="D297" s="35" t="inlineStr">
        <is>
          <t>Sala 1</t>
        </is>
      </c>
      <c r="E297" s="34" t="inlineStr">
        <is>
          <t>Márcia Duarte</t>
        </is>
      </c>
      <c r="F297" s="35" t="inlineStr">
        <is>
          <t>Particular</t>
        </is>
      </c>
      <c r="G297" s="35" t="inlineStr">
        <is>
          <t>Retorno</t>
        </is>
      </c>
      <c r="H297" s="35" t="inlineStr">
        <is>
          <t>Realizado</t>
        </is>
      </c>
      <c r="I297" s="35" t="inlineStr">
        <is>
          <t>Sem cobrança</t>
        </is>
      </c>
      <c r="J297" s="35" t="n"/>
      <c r="K297" s="34" t="n"/>
      <c r="L297" s="26">
        <f>IF(A297="","",MONTH(A297))</f>
        <v>7</v>
      </c>
      <c r="M297" s="26">
        <f>IF(A297="","",YEAR(A297))</f>
        <v>2026</v>
      </c>
      <c r="N297" s="26" t="str">
        <f>IF(A297="","",CHOOSE(WEEKDAY(A297,2),"Segunda","Terça","Quarta","Quinta","Sexta","Sábado","Domingo"))</f>
        <v>Quinta</v>
      </c>
      <c r="O297" s="26" t="str">
        <f>IF(B297="","",IF(B297&lt;TIME(12,0,0),"Manhã",IF(B297&lt;TIME(18,0,0),"Tarde","Noite")))</f>
        <v>Tarde</v>
      </c>
      <c r="P297" s="32">
        <f>IF(G297="","",IFERROR(INDEX(Config!$I$5:$I$16,MATCH(G297,Config!$H$5:$H$16,0)),0))</f>
        <v>0</v>
      </c>
      <c r="Q297" s="30">
        <f>IF(OR(H297&lt;&gt;"Realizado",P297="",P297=0),"",A297+P297)</f>
        <v/>
      </c>
      <c r="R297" s="26">
        <f>IF(Q297="","",IF(COUNTIFS($E$5:$E$1204,E297,$A$5:$A$1204,"&gt;"&amp;A297,$H$5:$H$1204,"&lt;&gt;Falta",$H$5:$H$1204,"&lt;&gt;Cancelado",$H$5:$H$1204,"&lt;&gt;Remarcado")&gt;0,"Sim","Não"))</f>
        <v/>
      </c>
      <c r="S297" s="32">
        <f>IF(R297&lt;&gt;"Não","",IF(Q297+Config!$B$9&lt;=Config!$B$8,Config!$B$8-Q297,""))</f>
        <v/>
      </c>
      <c r="T297" s="26">
        <f>IF(S297="","","Sim")</f>
        <v/>
      </c>
      <c r="U297" s="41">
        <f>IF(T297="Sim",S297+ROW()/100000,0)</f>
        <v>0</v>
      </c>
      <c r="V297" s="41">
        <f>IF(AND(H297="Falta",L297=Config!$B$7,M297=Config!$B$5,COUNTIFS($E$5:E297,E297,$H$5:H297,"Falta",$L$5:L297,Config!$B$7,$M$5:M297,Config!$B$5)=1),COUNTIFS($E$5:$E$1204,E297,$H$5:$H$1204,"Falta",$L$5:$L$1204,Config!$B$7,$M$5:$M$1204,Config!$B$5)*1000-ROW()/100000,0)</f>
        <v>0</v>
      </c>
    </row>
    <row r="298">
      <c r="A298" s="39" t="n">
        <v>46233</v>
      </c>
      <c r="B298" s="40" t="n">
        <v>0.625</v>
      </c>
      <c r="C298" s="35" t="inlineStr">
        <is>
          <t>Dra. Renata Sousa</t>
        </is>
      </c>
      <c r="D298" s="35" t="inlineStr">
        <is>
          <t>Sala 1</t>
        </is>
      </c>
      <c r="E298" s="34" t="inlineStr">
        <is>
          <t>Patrícia Dias</t>
        </is>
      </c>
      <c r="F298" s="35" t="inlineStr">
        <is>
          <t>Particular</t>
        </is>
      </c>
      <c r="G298" s="35" t="inlineStr">
        <is>
          <t>Avaliação endócrina</t>
        </is>
      </c>
      <c r="H298" s="35" t="inlineStr">
        <is>
          <t>Realizado</t>
        </is>
      </c>
      <c r="I298" s="35" t="inlineStr">
        <is>
          <t>Cartão de crédito</t>
        </is>
      </c>
      <c r="J298" s="35" t="n"/>
      <c r="K298" s="34" t="n"/>
      <c r="L298" s="26">
        <f>IF(A298="","",MONTH(A298))</f>
        <v>7</v>
      </c>
      <c r="M298" s="26">
        <f>IF(A298="","",YEAR(A298))</f>
        <v>2026</v>
      </c>
      <c r="N298" s="26" t="str">
        <f>IF(A298="","",CHOOSE(WEEKDAY(A298,2),"Segunda","Terça","Quarta","Quinta","Sexta","Sábado","Domingo"))</f>
        <v>Quinta</v>
      </c>
      <c r="O298" s="26" t="str">
        <f>IF(B298="","",IF(B298&lt;TIME(12,0,0),"Manhã",IF(B298&lt;TIME(18,0,0),"Tarde","Noite")))</f>
        <v>Tarde</v>
      </c>
      <c r="P298" s="32">
        <f>IF(G298="","",IFERROR(INDEX(Config!$I$5:$I$16,MATCH(G298,Config!$H$5:$H$16,0)),0))</f>
        <v>45</v>
      </c>
      <c r="Q298" s="30">
        <f>IF(OR(H298&lt;&gt;"Realizado",P298="",P298=0),"",A298+P298)</f>
        <v>46278.0</v>
      </c>
      <c r="R298" s="26" t="str">
        <f>IF(Q298="","",IF(COUNTIFS($E$5:$E$1204,E298,$A$5:$A$1204,"&gt;"&amp;A298,$H$5:$H$1204,"&lt;&gt;Falta",$H$5:$H$1204,"&lt;&gt;Cancelado",$H$5:$H$1204,"&lt;&gt;Remarcado")&gt;0,"Sim","Não"))</f>
        <v>Sim</v>
      </c>
      <c r="S298" s="32">
        <f>IF(R298&lt;&gt;"Não","",IF(Q298+Config!$B$9&lt;=Config!$B$8,Config!$B$8-Q298,""))</f>
        <v/>
      </c>
      <c r="T298" s="26">
        <f>IF(S298="","","Sim")</f>
        <v/>
      </c>
      <c r="U298" s="41">
        <f>IF(T298="Sim",S298+ROW()/100000,0)</f>
        <v>0</v>
      </c>
      <c r="V298" s="41">
        <f>IF(AND(H298="Falta",L298=Config!$B$7,M298=Config!$B$5,COUNTIFS($E$5:E298,E298,$H$5:H298,"Falta",$L$5:L298,Config!$B$7,$M$5:M298,Config!$B$5)=1),COUNTIFS($E$5:$E$1204,E298,$H$5:$H$1204,"Falta",$L$5:$L$1204,Config!$B$7,$M$5:$M$1204,Config!$B$5)*1000-ROW()/100000,0)</f>
        <v>0</v>
      </c>
    </row>
    <row r="299">
      <c r="A299" s="39" t="n">
        <v>46233</v>
      </c>
      <c r="B299" s="40" t="n">
        <v>0.6388888888888888</v>
      </c>
      <c r="C299" s="35" t="inlineStr">
        <is>
          <t>Dr. Paulo Andrade</t>
        </is>
      </c>
      <c r="D299" s="35" t="inlineStr">
        <is>
          <t>Sala 2</t>
        </is>
      </c>
      <c r="E299" s="34" t="inlineStr">
        <is>
          <t>Eduardo Reis</t>
        </is>
      </c>
      <c r="F299" s="35" t="inlineStr">
        <is>
          <t>Vida Care</t>
        </is>
      </c>
      <c r="G299" s="35" t="inlineStr">
        <is>
          <t>ECG</t>
        </is>
      </c>
      <c r="H299" s="35" t="inlineStr">
        <is>
          <t>Realizado</t>
        </is>
      </c>
      <c r="I299" s="35" t="inlineStr">
        <is>
          <t>Convênio</t>
        </is>
      </c>
      <c r="J299" s="35" t="n"/>
      <c r="K299" s="34" t="n"/>
      <c r="L299" s="26">
        <f>IF(A299="","",MONTH(A299))</f>
        <v>7</v>
      </c>
      <c r="M299" s="26">
        <f>IF(A299="","",YEAR(A299))</f>
        <v>2026</v>
      </c>
      <c r="N299" s="26" t="str">
        <f>IF(A299="","",CHOOSE(WEEKDAY(A299,2),"Segunda","Terça","Quarta","Quinta","Sexta","Sábado","Domingo"))</f>
        <v>Quinta</v>
      </c>
      <c r="O299" s="26" t="str">
        <f>IF(B299="","",IF(B299&lt;TIME(12,0,0),"Manhã",IF(B299&lt;TIME(18,0,0),"Tarde","Noite")))</f>
        <v>Tarde</v>
      </c>
      <c r="P299" s="32">
        <f>IF(G299="","",IFERROR(INDEX(Config!$I$5:$I$16,MATCH(G299,Config!$H$5:$H$16,0)),0))</f>
        <v>0</v>
      </c>
      <c r="Q299" s="30">
        <f>IF(OR(H299&lt;&gt;"Realizado",P299="",P299=0),"",A299+P299)</f>
        <v/>
      </c>
      <c r="R299" s="26">
        <f>IF(Q299="","",IF(COUNTIFS($E$5:$E$1204,E299,$A$5:$A$1204,"&gt;"&amp;A299,$H$5:$H$1204,"&lt;&gt;Falta",$H$5:$H$1204,"&lt;&gt;Cancelado",$H$5:$H$1204,"&lt;&gt;Remarcado")&gt;0,"Sim","Não"))</f>
        <v/>
      </c>
      <c r="S299" s="32">
        <f>IF(R299&lt;&gt;"Não","",IF(Q299+Config!$B$9&lt;=Config!$B$8,Config!$B$8-Q299,""))</f>
        <v/>
      </c>
      <c r="T299" s="26">
        <f>IF(S299="","","Sim")</f>
        <v/>
      </c>
      <c r="U299" s="41">
        <f>IF(T299="Sim",S299+ROW()/100000,0)</f>
        <v>0</v>
      </c>
      <c r="V299" s="41">
        <f>IF(AND(H299="Falta",L299=Config!$B$7,M299=Config!$B$5,COUNTIFS($E$5:E299,E299,$H$5:H299,"Falta",$L$5:L299,Config!$B$7,$M$5:M299,Config!$B$5)=1),COUNTIFS($E$5:$E$1204,E299,$H$5:$H$1204,"Falta",$L$5:$L$1204,Config!$B$7,$M$5:$M$1204,Config!$B$5)*1000-ROW()/100000,0)</f>
        <v>0</v>
      </c>
    </row>
    <row r="300">
      <c r="A300" s="39" t="n">
        <v>46233</v>
      </c>
      <c r="B300" s="40" t="n">
        <v>0.6527777777777778</v>
      </c>
      <c r="C300" s="35" t="inlineStr">
        <is>
          <t>Dra. Renata Sousa</t>
        </is>
      </c>
      <c r="D300" s="35" t="inlineStr">
        <is>
          <t>Sala 1</t>
        </is>
      </c>
      <c r="E300" s="34" t="inlineStr">
        <is>
          <t>Carlos Gonçalves</t>
        </is>
      </c>
      <c r="F300" s="35" t="inlineStr">
        <is>
          <t>Saúde Total</t>
        </is>
      </c>
      <c r="G300" s="35" t="inlineStr">
        <is>
          <t>Avaliação endócrina</t>
        </is>
      </c>
      <c r="H300" s="35" t="inlineStr">
        <is>
          <t>Realizado</t>
        </is>
      </c>
      <c r="I300" s="35" t="inlineStr">
        <is>
          <t>Convênio</t>
        </is>
      </c>
      <c r="J300" s="35" t="n"/>
      <c r="K300" s="34" t="n"/>
      <c r="L300" s="26">
        <f>IF(A300="","",MONTH(A300))</f>
        <v>7</v>
      </c>
      <c r="M300" s="26">
        <f>IF(A300="","",YEAR(A300))</f>
        <v>2026</v>
      </c>
      <c r="N300" s="26" t="str">
        <f>IF(A300="","",CHOOSE(WEEKDAY(A300,2),"Segunda","Terça","Quarta","Quinta","Sexta","Sábado","Domingo"))</f>
        <v>Quinta</v>
      </c>
      <c r="O300" s="26" t="str">
        <f>IF(B300="","",IF(B300&lt;TIME(12,0,0),"Manhã",IF(B300&lt;TIME(18,0,0),"Tarde","Noite")))</f>
        <v>Tarde</v>
      </c>
      <c r="P300" s="32">
        <f>IF(G300="","",IFERROR(INDEX(Config!$I$5:$I$16,MATCH(G300,Config!$H$5:$H$16,0)),0))</f>
        <v>45</v>
      </c>
      <c r="Q300" s="30">
        <f>IF(OR(H300&lt;&gt;"Realizado",P300="",P300=0),"",A300+P300)</f>
        <v>46278.0</v>
      </c>
      <c r="R300" s="26" t="str">
        <f>IF(Q300="","",IF(COUNTIFS($E$5:$E$1204,E300,$A$5:$A$1204,"&gt;"&amp;A300,$H$5:$H$1204,"&lt;&gt;Falta",$H$5:$H$1204,"&lt;&gt;Cancelado",$H$5:$H$1204,"&lt;&gt;Remarcado")&gt;0,"Sim","Não"))</f>
        <v>Sim</v>
      </c>
      <c r="S300" s="32">
        <f>IF(R300&lt;&gt;"Não","",IF(Q300+Config!$B$9&lt;=Config!$B$8,Config!$B$8-Q300,""))</f>
        <v/>
      </c>
      <c r="T300" s="26">
        <f>IF(S300="","","Sim")</f>
        <v/>
      </c>
      <c r="U300" s="41">
        <f>IF(T300="Sim",S300+ROW()/100000,0)</f>
        <v>0</v>
      </c>
      <c r="V300" s="41">
        <f>IF(AND(H300="Falta",L300=Config!$B$7,M300=Config!$B$5,COUNTIFS($E$5:E300,E300,$H$5:H300,"Falta",$L$5:L300,Config!$B$7,$M$5:M300,Config!$B$5)=1),COUNTIFS($E$5:$E$1204,E300,$H$5:$H$1204,"Falta",$L$5:$L$1204,Config!$B$7,$M$5:$M$1204,Config!$B$5)*1000-ROW()/100000,0)</f>
        <v>0</v>
      </c>
    </row>
    <row r="301">
      <c r="A301" s="39" t="n">
        <v>46233</v>
      </c>
      <c r="B301" s="40" t="n">
        <v>0.6736111111111112</v>
      </c>
      <c r="C301" s="35" t="inlineStr">
        <is>
          <t>Dr. Paulo Andrade</t>
        </is>
      </c>
      <c r="D301" s="35" t="inlineStr">
        <is>
          <t>Sala 2</t>
        </is>
      </c>
      <c r="E301" s="34" t="inlineStr">
        <is>
          <t>Viviane Duarte</t>
        </is>
      </c>
      <c r="F301" s="35" t="inlineStr">
        <is>
          <t>MediPlan</t>
        </is>
      </c>
      <c r="G301" s="35" t="inlineStr">
        <is>
          <t>Consulta</t>
        </is>
      </c>
      <c r="H301" s="35" t="inlineStr">
        <is>
          <t>Realizado</t>
        </is>
      </c>
      <c r="I301" s="35" t="inlineStr">
        <is>
          <t>Convênio</t>
        </is>
      </c>
      <c r="J301" s="35" t="n"/>
      <c r="K301" s="34" t="n"/>
      <c r="L301" s="26">
        <f>IF(A301="","",MONTH(A301))</f>
        <v>7</v>
      </c>
      <c r="M301" s="26">
        <f>IF(A301="","",YEAR(A301))</f>
        <v>2026</v>
      </c>
      <c r="N301" s="26" t="str">
        <f>IF(A301="","",CHOOSE(WEEKDAY(A301,2),"Segunda","Terça","Quarta","Quinta","Sexta","Sábado","Domingo"))</f>
        <v>Quinta</v>
      </c>
      <c r="O301" s="26" t="str">
        <f>IF(B301="","",IF(B301&lt;TIME(12,0,0),"Manhã",IF(B301&lt;TIME(18,0,0),"Tarde","Noite")))</f>
        <v>Tarde</v>
      </c>
      <c r="P301" s="32">
        <f>IF(G301="","",IFERROR(INDEX(Config!$I$5:$I$16,MATCH(G301,Config!$H$5:$H$16,0)),0))</f>
        <v>30</v>
      </c>
      <c r="Q301" s="30">
        <f>IF(OR(H301&lt;&gt;"Realizado",P301="",P301=0),"",A301+P301)</f>
        <v>46263.0</v>
      </c>
      <c r="R301" s="26" t="str">
        <f>IF(Q301="","",IF(COUNTIFS($E$5:$E$1204,E301,$A$5:$A$1204,"&gt;"&amp;A301,$H$5:$H$1204,"&lt;&gt;Falta",$H$5:$H$1204,"&lt;&gt;Cancelado",$H$5:$H$1204,"&lt;&gt;Remarcado")&gt;0,"Sim","Não"))</f>
        <v>Sim</v>
      </c>
      <c r="S301" s="32">
        <f>IF(R301&lt;&gt;"Não","",IF(Q301+Config!$B$9&lt;=Config!$B$8,Config!$B$8-Q301,""))</f>
        <v/>
      </c>
      <c r="T301" s="26">
        <f>IF(S301="","","Sim")</f>
        <v/>
      </c>
      <c r="U301" s="41">
        <f>IF(T301="Sim",S301+ROW()/100000,0)</f>
        <v>0</v>
      </c>
      <c r="V301" s="41">
        <f>IF(AND(H301="Falta",L301=Config!$B$7,M301=Config!$B$5,COUNTIFS($E$5:E301,E301,$H$5:H301,"Falta",$L$5:L301,Config!$B$7,$M$5:M301,Config!$B$5)=1),COUNTIFS($E$5:$E$1204,E301,$H$5:$H$1204,"Falta",$L$5:$L$1204,Config!$B$7,$M$5:$M$1204,Config!$B$5)*1000-ROW()/100000,0)</f>
        <v>0</v>
      </c>
    </row>
    <row r="302">
      <c r="A302" s="39" t="n">
        <v>46233</v>
      </c>
      <c r="B302" s="40" t="n">
        <v>0.6805555555555556</v>
      </c>
      <c r="C302" s="35" t="inlineStr">
        <is>
          <t>Dra. Renata Sousa</t>
        </is>
      </c>
      <c r="D302" s="35" t="inlineStr">
        <is>
          <t>Sala 1</t>
        </is>
      </c>
      <c r="E302" s="34" t="inlineStr">
        <is>
          <t>Fernanda Gonçalves</t>
        </is>
      </c>
      <c r="F302" s="35" t="inlineStr">
        <is>
          <t>Saúde Total</t>
        </is>
      </c>
      <c r="G302" s="35" t="inlineStr">
        <is>
          <t>Retorno</t>
        </is>
      </c>
      <c r="H302" s="35" t="inlineStr">
        <is>
          <t>Realizado</t>
        </is>
      </c>
      <c r="I302" s="35" t="inlineStr">
        <is>
          <t>Sem cobrança</t>
        </is>
      </c>
      <c r="J302" s="35" t="n"/>
      <c r="K302" s="34" t="n"/>
      <c r="L302" s="26">
        <f>IF(A302="","",MONTH(A302))</f>
        <v>7</v>
      </c>
      <c r="M302" s="26">
        <f>IF(A302="","",YEAR(A302))</f>
        <v>2026</v>
      </c>
      <c r="N302" s="26" t="str">
        <f>IF(A302="","",CHOOSE(WEEKDAY(A302,2),"Segunda","Terça","Quarta","Quinta","Sexta","Sábado","Domingo"))</f>
        <v>Quinta</v>
      </c>
      <c r="O302" s="26" t="str">
        <f>IF(B302="","",IF(B302&lt;TIME(12,0,0),"Manhã",IF(B302&lt;TIME(18,0,0),"Tarde","Noite")))</f>
        <v>Tarde</v>
      </c>
      <c r="P302" s="32">
        <f>IF(G302="","",IFERROR(INDEX(Config!$I$5:$I$16,MATCH(G302,Config!$H$5:$H$16,0)),0))</f>
        <v>0</v>
      </c>
      <c r="Q302" s="30">
        <f>IF(OR(H302&lt;&gt;"Realizado",P302="",P302=0),"",A302+P302)</f>
        <v/>
      </c>
      <c r="R302" s="26">
        <f>IF(Q302="","",IF(COUNTIFS($E$5:$E$1204,E302,$A$5:$A$1204,"&gt;"&amp;A302,$H$5:$H$1204,"&lt;&gt;Falta",$H$5:$H$1204,"&lt;&gt;Cancelado",$H$5:$H$1204,"&lt;&gt;Remarcado")&gt;0,"Sim","Não"))</f>
        <v/>
      </c>
      <c r="S302" s="32">
        <f>IF(R302&lt;&gt;"Não","",IF(Q302+Config!$B$9&lt;=Config!$B$8,Config!$B$8-Q302,""))</f>
        <v/>
      </c>
      <c r="T302" s="26">
        <f>IF(S302="","","Sim")</f>
        <v/>
      </c>
      <c r="U302" s="41">
        <f>IF(T302="Sim",S302+ROW()/100000,0)</f>
        <v>0</v>
      </c>
      <c r="V302" s="41">
        <f>IF(AND(H302="Falta",L302=Config!$B$7,M302=Config!$B$5,COUNTIFS($E$5:E302,E302,$H$5:H302,"Falta",$L$5:L302,Config!$B$7,$M$5:M302,Config!$B$5)=1),COUNTIFS($E$5:$E$1204,E302,$H$5:$H$1204,"Falta",$L$5:$L$1204,Config!$B$7,$M$5:$M$1204,Config!$B$5)*1000-ROW()/100000,0)</f>
        <v>0</v>
      </c>
    </row>
    <row r="303">
      <c r="A303" s="39" t="n">
        <v>46233</v>
      </c>
      <c r="B303" s="40" t="n">
        <v>0.6944444444444444</v>
      </c>
      <c r="C303" s="35" t="inlineStr">
        <is>
          <t>Dr. Paulo Andrade</t>
        </is>
      </c>
      <c r="D303" s="35" t="inlineStr">
        <is>
          <t>Sala 2</t>
        </is>
      </c>
      <c r="E303" s="34" t="inlineStr">
        <is>
          <t>Wagner Carvalho</t>
        </is>
      </c>
      <c r="F303" s="35" t="inlineStr">
        <is>
          <t>Vida Care</t>
        </is>
      </c>
      <c r="G303" s="35" t="inlineStr">
        <is>
          <t>Retorno</t>
        </is>
      </c>
      <c r="H303" s="35" t="inlineStr">
        <is>
          <t>Falta</t>
        </is>
      </c>
      <c r="I303" s="35" t="n"/>
      <c r="J303" s="35" t="n"/>
      <c r="K303" s="34" t="n"/>
      <c r="L303" s="26">
        <f>IF(A303="","",MONTH(A303))</f>
        <v>7</v>
      </c>
      <c r="M303" s="26">
        <f>IF(A303="","",YEAR(A303))</f>
        <v>2026</v>
      </c>
      <c r="N303" s="26" t="str">
        <f>IF(A303="","",CHOOSE(WEEKDAY(A303,2),"Segunda","Terça","Quarta","Quinta","Sexta","Sábado","Domingo"))</f>
        <v>Quinta</v>
      </c>
      <c r="O303" s="26" t="str">
        <f>IF(B303="","",IF(B303&lt;TIME(12,0,0),"Manhã",IF(B303&lt;TIME(18,0,0),"Tarde","Noite")))</f>
        <v>Tarde</v>
      </c>
      <c r="P303" s="32">
        <f>IF(G303="","",IFERROR(INDEX(Config!$I$5:$I$16,MATCH(G303,Config!$H$5:$H$16,0)),0))</f>
        <v>0</v>
      </c>
      <c r="Q303" s="30">
        <f>IF(OR(H303&lt;&gt;"Realizado",P303="",P303=0),"",A303+P303)</f>
        <v/>
      </c>
      <c r="R303" s="26">
        <f>IF(Q303="","",IF(COUNTIFS($E$5:$E$1204,E303,$A$5:$A$1204,"&gt;"&amp;A303,$H$5:$H$1204,"&lt;&gt;Falta",$H$5:$H$1204,"&lt;&gt;Cancelado",$H$5:$H$1204,"&lt;&gt;Remarcado")&gt;0,"Sim","Não"))</f>
        <v/>
      </c>
      <c r="S303" s="32">
        <f>IF(R303&lt;&gt;"Não","",IF(Q303+Config!$B$9&lt;=Config!$B$8,Config!$B$8-Q303,""))</f>
        <v/>
      </c>
      <c r="T303" s="26">
        <f>IF(S303="","","Sim")</f>
        <v/>
      </c>
      <c r="U303" s="41">
        <f>IF(T303="Sim",S303+ROW()/100000,0)</f>
        <v>0</v>
      </c>
      <c r="V303" s="41">
        <f>IF(AND(H303="Falta",L303=Config!$B$7,M303=Config!$B$5,COUNTIFS($E$5:E303,E303,$H$5:H303,"Falta",$L$5:L303,Config!$B$7,$M$5:M303,Config!$B$5)=1),COUNTIFS($E$5:$E$1204,E303,$H$5:$H$1204,"Falta",$L$5:$L$1204,Config!$B$7,$M$5:$M$1204,Config!$B$5)*1000-ROW()/100000,0)</f>
        <v>0</v>
      </c>
    </row>
    <row r="304">
      <c r="A304" s="39" t="n">
        <v>46233</v>
      </c>
      <c r="B304" s="40" t="n">
        <v>0.7083333333333334</v>
      </c>
      <c r="C304" s="35" t="inlineStr">
        <is>
          <t>Dr. Paulo Andrade</t>
        </is>
      </c>
      <c r="D304" s="35" t="inlineStr">
        <is>
          <t>Sala 2</t>
        </is>
      </c>
      <c r="E304" s="34" t="inlineStr">
        <is>
          <t>Otávio Martins</t>
        </is>
      </c>
      <c r="F304" s="35" t="inlineStr">
        <is>
          <t>MediPlan</t>
        </is>
      </c>
      <c r="G304" s="35" t="inlineStr">
        <is>
          <t>Consulta</t>
        </is>
      </c>
      <c r="H304" s="35" t="inlineStr">
        <is>
          <t>Falta</t>
        </is>
      </c>
      <c r="I304" s="35" t="n"/>
      <c r="J304" s="35" t="n"/>
      <c r="K304" s="34" t="n"/>
      <c r="L304" s="26">
        <f>IF(A304="","",MONTH(A304))</f>
        <v>7</v>
      </c>
      <c r="M304" s="26">
        <f>IF(A304="","",YEAR(A304))</f>
        <v>2026</v>
      </c>
      <c r="N304" s="26" t="str">
        <f>IF(A304="","",CHOOSE(WEEKDAY(A304,2),"Segunda","Terça","Quarta","Quinta","Sexta","Sábado","Domingo"))</f>
        <v>Quinta</v>
      </c>
      <c r="O304" s="26" t="str">
        <f>IF(B304="","",IF(B304&lt;TIME(12,0,0),"Manhã",IF(B304&lt;TIME(18,0,0),"Tarde","Noite")))</f>
        <v>Tarde</v>
      </c>
      <c r="P304" s="32">
        <f>IF(G304="","",IFERROR(INDEX(Config!$I$5:$I$16,MATCH(G304,Config!$H$5:$H$16,0)),0))</f>
        <v>30</v>
      </c>
      <c r="Q304" s="30">
        <f>IF(OR(H304&lt;&gt;"Realizado",P304="",P304=0),"",A304+P304)</f>
        <v/>
      </c>
      <c r="R304" s="26">
        <f>IF(Q304="","",IF(COUNTIFS($E$5:$E$1204,E304,$A$5:$A$1204,"&gt;"&amp;A304,$H$5:$H$1204,"&lt;&gt;Falta",$H$5:$H$1204,"&lt;&gt;Cancelado",$H$5:$H$1204,"&lt;&gt;Remarcado")&gt;0,"Sim","Não"))</f>
        <v/>
      </c>
      <c r="S304" s="32">
        <f>IF(R304&lt;&gt;"Não","",IF(Q304+Config!$B$9&lt;=Config!$B$8,Config!$B$8-Q304,""))</f>
        <v/>
      </c>
      <c r="T304" s="26">
        <f>IF(S304="","","Sim")</f>
        <v/>
      </c>
      <c r="U304" s="41">
        <f>IF(T304="Sim",S304+ROW()/100000,0)</f>
        <v>0</v>
      </c>
      <c r="V304" s="41">
        <f>IF(AND(H304="Falta",L304=Config!$B$7,M304=Config!$B$5,COUNTIFS($E$5:E304,E304,$H$5:H304,"Falta",$L$5:L304,Config!$B$7,$M$5:M304,Config!$B$5)=1),COUNTIFS($E$5:$E$1204,E304,$H$5:$H$1204,"Falta",$L$5:$L$1204,Config!$B$7,$M$5:$M$1204,Config!$B$5)*1000-ROW()/100000,0)</f>
        <v>0</v>
      </c>
    </row>
    <row r="305">
      <c r="A305" s="39" t="n">
        <v>46233</v>
      </c>
      <c r="B305" s="40" t="n">
        <v>0.7152777777777778</v>
      </c>
      <c r="C305" s="35" t="inlineStr">
        <is>
          <t>Dra. Renata Sousa</t>
        </is>
      </c>
      <c r="D305" s="35" t="inlineStr">
        <is>
          <t>Sala 1</t>
        </is>
      </c>
      <c r="E305" s="34" t="inlineStr">
        <is>
          <t>Paulo Freitas</t>
        </is>
      </c>
      <c r="F305" s="35" t="inlineStr">
        <is>
          <t>Saúde Total</t>
        </is>
      </c>
      <c r="G305" s="35" t="inlineStr">
        <is>
          <t>Avaliação endócrina</t>
        </is>
      </c>
      <c r="H305" s="35" t="inlineStr">
        <is>
          <t>Realizado</t>
        </is>
      </c>
      <c r="I305" s="35" t="inlineStr">
        <is>
          <t>Convênio</t>
        </is>
      </c>
      <c r="J305" s="35" t="n"/>
      <c r="K305" s="34" t="n"/>
      <c r="L305" s="26">
        <f>IF(A305="","",MONTH(A305))</f>
        <v>7</v>
      </c>
      <c r="M305" s="26">
        <f>IF(A305="","",YEAR(A305))</f>
        <v>2026</v>
      </c>
      <c r="N305" s="26" t="str">
        <f>IF(A305="","",CHOOSE(WEEKDAY(A305,2),"Segunda","Terça","Quarta","Quinta","Sexta","Sábado","Domingo"))</f>
        <v>Quinta</v>
      </c>
      <c r="O305" s="26" t="str">
        <f>IF(B305="","",IF(B305&lt;TIME(12,0,0),"Manhã",IF(B305&lt;TIME(18,0,0),"Tarde","Noite")))</f>
        <v>Tarde</v>
      </c>
      <c r="P305" s="32">
        <f>IF(G305="","",IFERROR(INDEX(Config!$I$5:$I$16,MATCH(G305,Config!$H$5:$H$16,0)),0))</f>
        <v>45</v>
      </c>
      <c r="Q305" s="30">
        <f>IF(OR(H305&lt;&gt;"Realizado",P305="",P305=0),"",A305+P305)</f>
        <v>46278.0</v>
      </c>
      <c r="R305" s="26" t="str">
        <f>IF(Q305="","",IF(COUNTIFS($E$5:$E$1204,E305,$A$5:$A$1204,"&gt;"&amp;A305,$H$5:$H$1204,"&lt;&gt;Falta",$H$5:$H$1204,"&lt;&gt;Cancelado",$H$5:$H$1204,"&lt;&gt;Remarcado")&gt;0,"Sim","Não"))</f>
        <v>Não</v>
      </c>
      <c r="S305" s="32">
        <f>IF(R305&lt;&gt;"Não","",IF(Q305+Config!$B$9&lt;=Config!$B$8,Config!$B$8-Q305,""))</f>
        <v>1</v>
      </c>
      <c r="T305" s="26" t="str">
        <f>IF(S305="","","Sim")</f>
        <v>Sim</v>
      </c>
      <c r="U305" s="41">
        <f>IF(T305="Sim",S305+ROW()/100000,0)</f>
        <v>1.00305</v>
      </c>
      <c r="V305" s="41">
        <f>IF(AND(H305="Falta",L305=Config!$B$7,M305=Config!$B$5,COUNTIFS($E$5:E305,E305,$H$5:H305,"Falta",$L$5:L305,Config!$B$7,$M$5:M305,Config!$B$5)=1),COUNTIFS($E$5:$E$1204,E305,$H$5:$H$1204,"Falta",$L$5:$L$1204,Config!$B$7,$M$5:$M$1204,Config!$B$5)*1000-ROW()/100000,0)</f>
        <v>0</v>
      </c>
    </row>
    <row r="306">
      <c r="A306" s="39" t="n">
        <v>46234</v>
      </c>
      <c r="B306" s="40" t="n">
        <v>0.3333333333333333</v>
      </c>
      <c r="C306" s="35" t="inlineStr">
        <is>
          <t>Dr. Paulo Andrade</t>
        </is>
      </c>
      <c r="D306" s="35" t="inlineStr">
        <is>
          <t>Sala 2</t>
        </is>
      </c>
      <c r="E306" s="34" t="inlineStr">
        <is>
          <t>Fábio Machado</t>
        </is>
      </c>
      <c r="F306" s="35" t="inlineStr">
        <is>
          <t>Particular</t>
        </is>
      </c>
      <c r="G306" s="35" t="inlineStr">
        <is>
          <t>Consulta</t>
        </is>
      </c>
      <c r="H306" s="35" t="inlineStr">
        <is>
          <t>Realizado</t>
        </is>
      </c>
      <c r="I306" s="35" t="inlineStr">
        <is>
          <t>Cartão de crédito</t>
        </is>
      </c>
      <c r="J306" s="35" t="n"/>
      <c r="K306" s="34" t="inlineStr">
        <is>
          <t>Check-up cardiológico (consulta + ECG + teste ergométrico)</t>
        </is>
      </c>
      <c r="L306" s="26">
        <f>IF(A306="","",MONTH(A306))</f>
        <v>7</v>
      </c>
      <c r="M306" s="26">
        <f>IF(A306="","",YEAR(A306))</f>
        <v>2026</v>
      </c>
      <c r="N306" s="26" t="str">
        <f>IF(A306="","",CHOOSE(WEEKDAY(A306,2),"Segunda","Terça","Quarta","Quinta","Sexta","Sábado","Domingo"))</f>
        <v>Sexta</v>
      </c>
      <c r="O306" s="26" t="str">
        <f>IF(B306="","",IF(B306&lt;TIME(12,0,0),"Manhã",IF(B306&lt;TIME(18,0,0),"Tarde","Noite")))</f>
        <v>Manhã</v>
      </c>
      <c r="P306" s="32">
        <f>IF(G306="","",IFERROR(INDEX(Config!$I$5:$I$16,MATCH(G306,Config!$H$5:$H$16,0)),0))</f>
        <v>30</v>
      </c>
      <c r="Q306" s="30">
        <f>IF(OR(H306&lt;&gt;"Realizado",P306="",P306=0),"",A306+P306)</f>
        <v>46264.0</v>
      </c>
      <c r="R306" s="26" t="str">
        <f>IF(Q306="","",IF(COUNTIFS($E$5:$E$1204,E306,$A$5:$A$1204,"&gt;"&amp;A306,$H$5:$H$1204,"&lt;&gt;Falta",$H$5:$H$1204,"&lt;&gt;Cancelado",$H$5:$H$1204,"&lt;&gt;Remarcado")&gt;0,"Sim","Não"))</f>
        <v>Sim</v>
      </c>
      <c r="S306" s="32">
        <f>IF(R306&lt;&gt;"Não","",IF(Q306+Config!$B$9&lt;=Config!$B$8,Config!$B$8-Q306,""))</f>
        <v/>
      </c>
      <c r="T306" s="26">
        <f>IF(S306="","","Sim")</f>
        <v/>
      </c>
      <c r="U306" s="41">
        <f>IF(T306="Sim",S306+ROW()/100000,0)</f>
        <v>0</v>
      </c>
      <c r="V306" s="41">
        <f>IF(AND(H306="Falta",L306=Config!$B$7,M306=Config!$B$5,COUNTIFS($E$5:E306,E306,$H$5:H306,"Falta",$L$5:L306,Config!$B$7,$M$5:M306,Config!$B$5)=1),COUNTIFS($E$5:$E$1204,E306,$H$5:$H$1204,"Falta",$L$5:$L$1204,Config!$B$7,$M$5:$M$1204,Config!$B$5)*1000-ROW()/100000,0)</f>
        <v>0</v>
      </c>
    </row>
    <row r="307">
      <c r="A307" s="39" t="n">
        <v>46234</v>
      </c>
      <c r="B307" s="40" t="n">
        <v>0.3541666666666667</v>
      </c>
      <c r="C307" s="35" t="inlineStr">
        <is>
          <t>Dr. Paulo Andrade</t>
        </is>
      </c>
      <c r="D307" s="35" t="inlineStr">
        <is>
          <t>Sala 2</t>
        </is>
      </c>
      <c r="E307" s="34" t="inlineStr">
        <is>
          <t>Fábio Machado</t>
        </is>
      </c>
      <c r="F307" s="35" t="inlineStr">
        <is>
          <t>Particular</t>
        </is>
      </c>
      <c r="G307" s="35" t="inlineStr">
        <is>
          <t>ECG</t>
        </is>
      </c>
      <c r="H307" s="35" t="inlineStr">
        <is>
          <t>Realizado</t>
        </is>
      </c>
      <c r="I307" s="35" t="inlineStr">
        <is>
          <t>Cartão de crédito</t>
        </is>
      </c>
      <c r="J307" s="35" t="n"/>
      <c r="K307" s="34" t="inlineStr">
        <is>
          <t>Check-up cardiológico (consulta + ECG + teste ergométrico)</t>
        </is>
      </c>
      <c r="L307" s="26">
        <f>IF(A307="","",MONTH(A307))</f>
        <v>7</v>
      </c>
      <c r="M307" s="26">
        <f>IF(A307="","",YEAR(A307))</f>
        <v>2026</v>
      </c>
      <c r="N307" s="26" t="str">
        <f>IF(A307="","",CHOOSE(WEEKDAY(A307,2),"Segunda","Terça","Quarta","Quinta","Sexta","Sábado","Domingo"))</f>
        <v>Sexta</v>
      </c>
      <c r="O307" s="26" t="str">
        <f>IF(B307="","",IF(B307&lt;TIME(12,0,0),"Manhã",IF(B307&lt;TIME(18,0,0),"Tarde","Noite")))</f>
        <v>Manhã</v>
      </c>
      <c r="P307" s="32">
        <f>IF(G307="","",IFERROR(INDEX(Config!$I$5:$I$16,MATCH(G307,Config!$H$5:$H$16,0)),0))</f>
        <v>0</v>
      </c>
      <c r="Q307" s="30">
        <f>IF(OR(H307&lt;&gt;"Realizado",P307="",P307=0),"",A307+P307)</f>
        <v/>
      </c>
      <c r="R307" s="26">
        <f>IF(Q307="","",IF(COUNTIFS($E$5:$E$1204,E307,$A$5:$A$1204,"&gt;"&amp;A307,$H$5:$H$1204,"&lt;&gt;Falta",$H$5:$H$1204,"&lt;&gt;Cancelado",$H$5:$H$1204,"&lt;&gt;Remarcado")&gt;0,"Sim","Não"))</f>
        <v/>
      </c>
      <c r="S307" s="32">
        <f>IF(R307&lt;&gt;"Não","",IF(Q307+Config!$B$9&lt;=Config!$B$8,Config!$B$8-Q307,""))</f>
        <v/>
      </c>
      <c r="T307" s="26">
        <f>IF(S307="","","Sim")</f>
        <v/>
      </c>
      <c r="U307" s="41">
        <f>IF(T307="Sim",S307+ROW()/100000,0)</f>
        <v>0</v>
      </c>
      <c r="V307" s="41">
        <f>IF(AND(H307="Falta",L307=Config!$B$7,M307=Config!$B$5,COUNTIFS($E$5:E307,E307,$H$5:H307,"Falta",$L$5:L307,Config!$B$7,$M$5:M307,Config!$B$5)=1),COUNTIFS($E$5:$E$1204,E307,$H$5:$H$1204,"Falta",$L$5:$L$1204,Config!$B$7,$M$5:$M$1204,Config!$B$5)*1000-ROW()/100000,0)</f>
        <v>0</v>
      </c>
    </row>
    <row r="308">
      <c r="A308" s="39" t="n">
        <v>46234</v>
      </c>
      <c r="B308" s="40" t="n">
        <v>0.3680555555555556</v>
      </c>
      <c r="C308" s="35" t="inlineStr">
        <is>
          <t>Dr. Paulo Andrade</t>
        </is>
      </c>
      <c r="D308" s="35" t="inlineStr">
        <is>
          <t>Sala 2</t>
        </is>
      </c>
      <c r="E308" s="34" t="inlineStr">
        <is>
          <t>Fábio Machado</t>
        </is>
      </c>
      <c r="F308" s="35" t="inlineStr">
        <is>
          <t>Particular</t>
        </is>
      </c>
      <c r="G308" s="35" t="inlineStr">
        <is>
          <t>Teste ergométrico</t>
        </is>
      </c>
      <c r="H308" s="35" t="inlineStr">
        <is>
          <t>Realizado</t>
        </is>
      </c>
      <c r="I308" s="35" t="inlineStr">
        <is>
          <t>Cartão de crédito</t>
        </is>
      </c>
      <c r="J308" s="35" t="n"/>
      <c r="K308" s="34" t="inlineStr">
        <is>
          <t>Check-up cardiológico (consulta + ECG + teste ergométrico)</t>
        </is>
      </c>
      <c r="L308" s="26">
        <f>IF(A308="","",MONTH(A308))</f>
        <v>7</v>
      </c>
      <c r="M308" s="26">
        <f>IF(A308="","",YEAR(A308))</f>
        <v>2026</v>
      </c>
      <c r="N308" s="26" t="str">
        <f>IF(A308="","",CHOOSE(WEEKDAY(A308,2),"Segunda","Terça","Quarta","Quinta","Sexta","Sábado","Domingo"))</f>
        <v>Sexta</v>
      </c>
      <c r="O308" s="26" t="str">
        <f>IF(B308="","",IF(B308&lt;TIME(12,0,0),"Manhã",IF(B308&lt;TIME(18,0,0),"Tarde","Noite")))</f>
        <v>Manhã</v>
      </c>
      <c r="P308" s="32">
        <f>IF(G308="","",IFERROR(INDEX(Config!$I$5:$I$16,MATCH(G308,Config!$H$5:$H$16,0)),0))</f>
        <v>0</v>
      </c>
      <c r="Q308" s="30">
        <f>IF(OR(H308&lt;&gt;"Realizado",P308="",P308=0),"",A308+P308)</f>
        <v/>
      </c>
      <c r="R308" s="26">
        <f>IF(Q308="","",IF(COUNTIFS($E$5:$E$1204,E308,$A$5:$A$1204,"&gt;"&amp;A308,$H$5:$H$1204,"&lt;&gt;Falta",$H$5:$H$1204,"&lt;&gt;Cancelado",$H$5:$H$1204,"&lt;&gt;Remarcado")&gt;0,"Sim","Não"))</f>
        <v/>
      </c>
      <c r="S308" s="32">
        <f>IF(R308&lt;&gt;"Não","",IF(Q308+Config!$B$9&lt;=Config!$B$8,Config!$B$8-Q308,""))</f>
        <v/>
      </c>
      <c r="T308" s="26">
        <f>IF(S308="","","Sim")</f>
        <v/>
      </c>
      <c r="U308" s="41">
        <f>IF(T308="Sim",S308+ROW()/100000,0)</f>
        <v>0</v>
      </c>
      <c r="V308" s="41">
        <f>IF(AND(H308="Falta",L308=Config!$B$7,M308=Config!$B$5,COUNTIFS($E$5:E308,E308,$H$5:H308,"Falta",$L$5:L308,Config!$B$7,$M$5:M308,Config!$B$5)=1),COUNTIFS($E$5:$E$1204,E308,$H$5:$H$1204,"Falta",$L$5:$L$1204,Config!$B$7,$M$5:$M$1204,Config!$B$5)*1000-ROW()/100000,0)</f>
        <v>0</v>
      </c>
    </row>
    <row r="309">
      <c r="A309" s="39" t="n">
        <v>46234</v>
      </c>
      <c r="B309" s="40" t="n">
        <v>0.3958333333333333</v>
      </c>
      <c r="C309" s="35" t="inlineStr">
        <is>
          <t>Dr. Paulo Andrade</t>
        </is>
      </c>
      <c r="D309" s="35" t="inlineStr">
        <is>
          <t>Sala 2</t>
        </is>
      </c>
      <c r="E309" s="34" t="inlineStr">
        <is>
          <t>Rafael Araújo</t>
        </is>
      </c>
      <c r="F309" s="35" t="inlineStr">
        <is>
          <t>MediPlan</t>
        </is>
      </c>
      <c r="G309" s="35" t="inlineStr">
        <is>
          <t>Consulta</t>
        </is>
      </c>
      <c r="H309" s="35" t="inlineStr">
        <is>
          <t>Realizado</t>
        </is>
      </c>
      <c r="I309" s="35" t="inlineStr">
        <is>
          <t>Convênio</t>
        </is>
      </c>
      <c r="J309" s="35" t="n"/>
      <c r="K309" s="34" t="n"/>
      <c r="L309" s="26">
        <f>IF(A309="","",MONTH(A309))</f>
        <v>7</v>
      </c>
      <c r="M309" s="26">
        <f>IF(A309="","",YEAR(A309))</f>
        <v>2026</v>
      </c>
      <c r="N309" s="26" t="str">
        <f>IF(A309="","",CHOOSE(WEEKDAY(A309,2),"Segunda","Terça","Quarta","Quinta","Sexta","Sábado","Domingo"))</f>
        <v>Sexta</v>
      </c>
      <c r="O309" s="26" t="str">
        <f>IF(B309="","",IF(B309&lt;TIME(12,0,0),"Manhã",IF(B309&lt;TIME(18,0,0),"Tarde","Noite")))</f>
        <v>Manhã</v>
      </c>
      <c r="P309" s="32">
        <f>IF(G309="","",IFERROR(INDEX(Config!$I$5:$I$16,MATCH(G309,Config!$H$5:$H$16,0)),0))</f>
        <v>30</v>
      </c>
      <c r="Q309" s="30">
        <f>IF(OR(H309&lt;&gt;"Realizado",P309="",P309=0),"",A309+P309)</f>
        <v>46264.0</v>
      </c>
      <c r="R309" s="26" t="str">
        <f>IF(Q309="","",IF(COUNTIFS($E$5:$E$1204,E309,$A$5:$A$1204,"&gt;"&amp;A309,$H$5:$H$1204,"&lt;&gt;Falta",$H$5:$H$1204,"&lt;&gt;Cancelado",$H$5:$H$1204,"&lt;&gt;Remarcado")&gt;0,"Sim","Não"))</f>
        <v>Não</v>
      </c>
      <c r="S309" s="32">
        <f>IF(R309&lt;&gt;"Não","",IF(Q309+Config!$B$9&lt;=Config!$B$8,Config!$B$8-Q309,""))</f>
        <v>15</v>
      </c>
      <c r="T309" s="26" t="str">
        <f>IF(S309="","","Sim")</f>
        <v>Sim</v>
      </c>
      <c r="U309" s="41">
        <f>IF(T309="Sim",S309+ROW()/100000,0)</f>
        <v>15.00309</v>
      </c>
      <c r="V309" s="41">
        <f>IF(AND(H309="Falta",L309=Config!$B$7,M309=Config!$B$5,COUNTIFS($E$5:E309,E309,$H$5:H309,"Falta",$L$5:L309,Config!$B$7,$M$5:M309,Config!$B$5)=1),COUNTIFS($E$5:$E$1204,E309,$H$5:$H$1204,"Falta",$L$5:$L$1204,Config!$B$7,$M$5:$M$1204,Config!$B$5)*1000-ROW()/100000,0)</f>
        <v>0</v>
      </c>
    </row>
    <row r="310">
      <c r="A310" s="39" t="n">
        <v>46234</v>
      </c>
      <c r="B310" s="40" t="n">
        <v>0.4166666666666667</v>
      </c>
      <c r="C310" s="35" t="inlineStr">
        <is>
          <t>Dr. Paulo Andrade</t>
        </is>
      </c>
      <c r="D310" s="35" t="inlineStr">
        <is>
          <t>Sala 2</t>
        </is>
      </c>
      <c r="E310" s="34" t="inlineStr">
        <is>
          <t>Otávio Martins</t>
        </is>
      </c>
      <c r="F310" s="35" t="inlineStr">
        <is>
          <t>MediPlan</t>
        </is>
      </c>
      <c r="G310" s="35" t="inlineStr">
        <is>
          <t>Retorno</t>
        </is>
      </c>
      <c r="H310" s="35" t="inlineStr">
        <is>
          <t>Realizado</t>
        </is>
      </c>
      <c r="I310" s="35" t="inlineStr">
        <is>
          <t>Sem cobrança</t>
        </is>
      </c>
      <c r="J310" s="35" t="n"/>
      <c r="K310" s="34" t="n"/>
      <c r="L310" s="26">
        <f>IF(A310="","",MONTH(A310))</f>
        <v>7</v>
      </c>
      <c r="M310" s="26">
        <f>IF(A310="","",YEAR(A310))</f>
        <v>2026</v>
      </c>
      <c r="N310" s="26" t="str">
        <f>IF(A310="","",CHOOSE(WEEKDAY(A310,2),"Segunda","Terça","Quarta","Quinta","Sexta","Sábado","Domingo"))</f>
        <v>Sexta</v>
      </c>
      <c r="O310" s="26" t="str">
        <f>IF(B310="","",IF(B310&lt;TIME(12,0,0),"Manhã",IF(B310&lt;TIME(18,0,0),"Tarde","Noite")))</f>
        <v>Manhã</v>
      </c>
      <c r="P310" s="32">
        <f>IF(G310="","",IFERROR(INDEX(Config!$I$5:$I$16,MATCH(G310,Config!$H$5:$H$16,0)),0))</f>
        <v>0</v>
      </c>
      <c r="Q310" s="30">
        <f>IF(OR(H310&lt;&gt;"Realizado",P310="",P310=0),"",A310+P310)</f>
        <v/>
      </c>
      <c r="R310" s="26">
        <f>IF(Q310="","",IF(COUNTIFS($E$5:$E$1204,E310,$A$5:$A$1204,"&gt;"&amp;A310,$H$5:$H$1204,"&lt;&gt;Falta",$H$5:$H$1204,"&lt;&gt;Cancelado",$H$5:$H$1204,"&lt;&gt;Remarcado")&gt;0,"Sim","Não"))</f>
        <v/>
      </c>
      <c r="S310" s="32">
        <f>IF(R310&lt;&gt;"Não","",IF(Q310+Config!$B$9&lt;=Config!$B$8,Config!$B$8-Q310,""))</f>
        <v/>
      </c>
      <c r="T310" s="26">
        <f>IF(S310="","","Sim")</f>
        <v/>
      </c>
      <c r="U310" s="41">
        <f>IF(T310="Sim",S310+ROW()/100000,0)</f>
        <v>0</v>
      </c>
      <c r="V310" s="41">
        <f>IF(AND(H310="Falta",L310=Config!$B$7,M310=Config!$B$5,COUNTIFS($E$5:E310,E310,$H$5:H310,"Falta",$L$5:L310,Config!$B$7,$M$5:M310,Config!$B$5)=1),COUNTIFS($E$5:$E$1204,E310,$H$5:$H$1204,"Falta",$L$5:$L$1204,Config!$B$7,$M$5:$M$1204,Config!$B$5)*1000-ROW()/100000,0)</f>
        <v>0</v>
      </c>
    </row>
    <row r="311">
      <c r="A311" s="39" t="n">
        <v>46234</v>
      </c>
      <c r="B311" s="40" t="n">
        <v>0.4305555555555556</v>
      </c>
      <c r="C311" s="35" t="inlineStr">
        <is>
          <t>Dr. Paulo Andrade</t>
        </is>
      </c>
      <c r="D311" s="35" t="inlineStr">
        <is>
          <t>Sala 2</t>
        </is>
      </c>
      <c r="E311" s="34" t="inlineStr">
        <is>
          <t>Lucas Cardoso</t>
        </is>
      </c>
      <c r="F311" s="35" t="inlineStr">
        <is>
          <t>Particular</t>
        </is>
      </c>
      <c r="G311" s="35" t="inlineStr">
        <is>
          <t>Retorno</t>
        </is>
      </c>
      <c r="H311" s="35" t="inlineStr">
        <is>
          <t>Realizado</t>
        </is>
      </c>
      <c r="I311" s="35" t="inlineStr">
        <is>
          <t>Sem cobrança</t>
        </is>
      </c>
      <c r="J311" s="35" t="n"/>
      <c r="K311" s="34" t="n"/>
      <c r="L311" s="26">
        <f>IF(A311="","",MONTH(A311))</f>
        <v>7</v>
      </c>
      <c r="M311" s="26">
        <f>IF(A311="","",YEAR(A311))</f>
        <v>2026</v>
      </c>
      <c r="N311" s="26" t="str">
        <f>IF(A311="","",CHOOSE(WEEKDAY(A311,2),"Segunda","Terça","Quarta","Quinta","Sexta","Sábado","Domingo"))</f>
        <v>Sexta</v>
      </c>
      <c r="O311" s="26" t="str">
        <f>IF(B311="","",IF(B311&lt;TIME(12,0,0),"Manhã",IF(B311&lt;TIME(18,0,0),"Tarde","Noite")))</f>
        <v>Manhã</v>
      </c>
      <c r="P311" s="32">
        <f>IF(G311="","",IFERROR(INDEX(Config!$I$5:$I$16,MATCH(G311,Config!$H$5:$H$16,0)),0))</f>
        <v>0</v>
      </c>
      <c r="Q311" s="30">
        <f>IF(OR(H311&lt;&gt;"Realizado",P311="",P311=0),"",A311+P311)</f>
        <v/>
      </c>
      <c r="R311" s="26">
        <f>IF(Q311="","",IF(COUNTIFS($E$5:$E$1204,E311,$A$5:$A$1204,"&gt;"&amp;A311,$H$5:$H$1204,"&lt;&gt;Falta",$H$5:$H$1204,"&lt;&gt;Cancelado",$H$5:$H$1204,"&lt;&gt;Remarcado")&gt;0,"Sim","Não"))</f>
        <v/>
      </c>
      <c r="S311" s="32">
        <f>IF(R311&lt;&gt;"Não","",IF(Q311+Config!$B$9&lt;=Config!$B$8,Config!$B$8-Q311,""))</f>
        <v/>
      </c>
      <c r="T311" s="26">
        <f>IF(S311="","","Sim")</f>
        <v/>
      </c>
      <c r="U311" s="41">
        <f>IF(T311="Sim",S311+ROW()/100000,0)</f>
        <v>0</v>
      </c>
      <c r="V311" s="41">
        <f>IF(AND(H311="Falta",L311=Config!$B$7,M311=Config!$B$5,COUNTIFS($E$5:E311,E311,$H$5:H311,"Falta",$L$5:L311,Config!$B$7,$M$5:M311,Config!$B$5)=1),COUNTIFS($E$5:$E$1204,E311,$H$5:$H$1204,"Falta",$L$5:$L$1204,Config!$B$7,$M$5:$M$1204,Config!$B$5)*1000-ROW()/100000,0)</f>
        <v>0</v>
      </c>
    </row>
    <row r="312">
      <c r="A312" s="39" t="n">
        <v>46234</v>
      </c>
      <c r="B312" s="40" t="n">
        <v>0.4444444444444444</v>
      </c>
      <c r="C312" s="35" t="inlineStr">
        <is>
          <t>Dr. Paulo Andrade</t>
        </is>
      </c>
      <c r="D312" s="35" t="inlineStr">
        <is>
          <t>Sala 2</t>
        </is>
      </c>
      <c r="E312" s="34" t="inlineStr">
        <is>
          <t>Renato Pereira</t>
        </is>
      </c>
      <c r="F312" s="35" t="inlineStr">
        <is>
          <t>MediPlan</t>
        </is>
      </c>
      <c r="G312" s="35" t="inlineStr">
        <is>
          <t>Consulta</t>
        </is>
      </c>
      <c r="H312" s="35" t="inlineStr">
        <is>
          <t>Cancelado</t>
        </is>
      </c>
      <c r="I312" s="35" t="n"/>
      <c r="J312" s="35" t="n"/>
      <c r="K312" s="34" t="n"/>
      <c r="L312" s="26">
        <f>IF(A312="","",MONTH(A312))</f>
        <v>7</v>
      </c>
      <c r="M312" s="26">
        <f>IF(A312="","",YEAR(A312))</f>
        <v>2026</v>
      </c>
      <c r="N312" s="26" t="str">
        <f>IF(A312="","",CHOOSE(WEEKDAY(A312,2),"Segunda","Terça","Quarta","Quinta","Sexta","Sábado","Domingo"))</f>
        <v>Sexta</v>
      </c>
      <c r="O312" s="26" t="str">
        <f>IF(B312="","",IF(B312&lt;TIME(12,0,0),"Manhã",IF(B312&lt;TIME(18,0,0),"Tarde","Noite")))</f>
        <v>Manhã</v>
      </c>
      <c r="P312" s="32">
        <f>IF(G312="","",IFERROR(INDEX(Config!$I$5:$I$16,MATCH(G312,Config!$H$5:$H$16,0)),0))</f>
        <v>30</v>
      </c>
      <c r="Q312" s="30">
        <f>IF(OR(H312&lt;&gt;"Realizado",P312="",P312=0),"",A312+P312)</f>
        <v/>
      </c>
      <c r="R312" s="26">
        <f>IF(Q312="","",IF(COUNTIFS($E$5:$E$1204,E312,$A$5:$A$1204,"&gt;"&amp;A312,$H$5:$H$1204,"&lt;&gt;Falta",$H$5:$H$1204,"&lt;&gt;Cancelado",$H$5:$H$1204,"&lt;&gt;Remarcado")&gt;0,"Sim","Não"))</f>
        <v/>
      </c>
      <c r="S312" s="32">
        <f>IF(R312&lt;&gt;"Não","",IF(Q312+Config!$B$9&lt;=Config!$B$8,Config!$B$8-Q312,""))</f>
        <v/>
      </c>
      <c r="T312" s="26">
        <f>IF(S312="","","Sim")</f>
        <v/>
      </c>
      <c r="U312" s="41">
        <f>IF(T312="Sim",S312+ROW()/100000,0)</f>
        <v>0</v>
      </c>
      <c r="V312" s="41">
        <f>IF(AND(H312="Falta",L312=Config!$B$7,M312=Config!$B$5,COUNTIFS($E$5:E312,E312,$H$5:H312,"Falta",$L$5:L312,Config!$B$7,$M$5:M312,Config!$B$5)=1),COUNTIFS($E$5:$E$1204,E312,$H$5:$H$1204,"Falta",$L$5:$L$1204,Config!$B$7,$M$5:$M$1204,Config!$B$5)*1000-ROW()/100000,0)</f>
        <v>0</v>
      </c>
    </row>
    <row r="313">
      <c r="A313" s="39" t="n">
        <v>46234</v>
      </c>
      <c r="B313" s="40" t="n">
        <v>0.4652777777777778</v>
      </c>
      <c r="C313" s="35" t="inlineStr">
        <is>
          <t>Dr. Paulo Andrade</t>
        </is>
      </c>
      <c r="D313" s="35" t="inlineStr">
        <is>
          <t>Sala 2</t>
        </is>
      </c>
      <c r="E313" s="34" t="inlineStr">
        <is>
          <t>Henrique Ribeiro</t>
        </is>
      </c>
      <c r="F313" s="35" t="inlineStr">
        <is>
          <t>Particular</t>
        </is>
      </c>
      <c r="G313" s="35" t="inlineStr">
        <is>
          <t>Consulta</t>
        </is>
      </c>
      <c r="H313" s="35" t="inlineStr">
        <is>
          <t>Realizado</t>
        </is>
      </c>
      <c r="I313" s="35" t="inlineStr">
        <is>
          <t>Cartão de débito</t>
        </is>
      </c>
      <c r="J313" s="35" t="n"/>
      <c r="K313" s="34" t="n"/>
      <c r="L313" s="26">
        <f>IF(A313="","",MONTH(A313))</f>
        <v>7</v>
      </c>
      <c r="M313" s="26">
        <f>IF(A313="","",YEAR(A313))</f>
        <v>2026</v>
      </c>
      <c r="N313" s="26" t="str">
        <f>IF(A313="","",CHOOSE(WEEKDAY(A313,2),"Segunda","Terça","Quarta","Quinta","Sexta","Sábado","Domingo"))</f>
        <v>Sexta</v>
      </c>
      <c r="O313" s="26" t="str">
        <f>IF(B313="","",IF(B313&lt;TIME(12,0,0),"Manhã",IF(B313&lt;TIME(18,0,0),"Tarde","Noite")))</f>
        <v>Manhã</v>
      </c>
      <c r="P313" s="32">
        <f>IF(G313="","",IFERROR(INDEX(Config!$I$5:$I$16,MATCH(G313,Config!$H$5:$H$16,0)),0))</f>
        <v>30</v>
      </c>
      <c r="Q313" s="30">
        <f>IF(OR(H313&lt;&gt;"Realizado",P313="",P313=0),"",A313+P313)</f>
        <v>46264.0</v>
      </c>
      <c r="R313" s="26" t="str">
        <f>IF(Q313="","",IF(COUNTIFS($E$5:$E$1204,E313,$A$5:$A$1204,"&gt;"&amp;A313,$H$5:$H$1204,"&lt;&gt;Falta",$H$5:$H$1204,"&lt;&gt;Cancelado",$H$5:$H$1204,"&lt;&gt;Remarcado")&gt;0,"Sim","Não"))</f>
        <v>Sim</v>
      </c>
      <c r="S313" s="32">
        <f>IF(R313&lt;&gt;"Não","",IF(Q313+Config!$B$9&lt;=Config!$B$8,Config!$B$8-Q313,""))</f>
        <v/>
      </c>
      <c r="T313" s="26">
        <f>IF(S313="","","Sim")</f>
        <v/>
      </c>
      <c r="U313" s="41">
        <f>IF(T313="Sim",S313+ROW()/100000,0)</f>
        <v>0</v>
      </c>
      <c r="V313" s="41">
        <f>IF(AND(H313="Falta",L313=Config!$B$7,M313=Config!$B$5,COUNTIFS($E$5:E313,E313,$H$5:H313,"Falta",$L$5:L313,Config!$B$7,$M$5:M313,Config!$B$5)=1),COUNTIFS($E$5:$E$1204,E313,$H$5:$H$1204,"Falta",$L$5:$L$1204,Config!$B$7,$M$5:$M$1204,Config!$B$5)*1000-ROW()/100000,0)</f>
        <v>0</v>
      </c>
    </row>
    <row r="314">
      <c r="A314" s="39" t="n">
        <v>46237</v>
      </c>
      <c r="B314" s="40" t="n">
        <v>0.3333333333333333</v>
      </c>
      <c r="C314" s="35" t="inlineStr">
        <is>
          <t>Dra. Carolina Mendes</t>
        </is>
      </c>
      <c r="D314" s="35" t="inlineStr">
        <is>
          <t>Sala 1</t>
        </is>
      </c>
      <c r="E314" s="34" t="inlineStr">
        <is>
          <t>Mariana Nascimento</t>
        </is>
      </c>
      <c r="F314" s="35" t="inlineStr">
        <is>
          <t>Particular</t>
        </is>
      </c>
      <c r="G314" s="35" t="inlineStr">
        <is>
          <t>Consulta</t>
        </is>
      </c>
      <c r="H314" s="35" t="inlineStr">
        <is>
          <t>Cancelado</t>
        </is>
      </c>
      <c r="I314" s="35" t="n"/>
      <c r="J314" s="35" t="n"/>
      <c r="K314" s="34" t="n"/>
      <c r="L314" s="26">
        <f>IF(A314="","",MONTH(A314))</f>
        <v>8</v>
      </c>
      <c r="M314" s="26">
        <f>IF(A314="","",YEAR(A314))</f>
        <v>2026</v>
      </c>
      <c r="N314" s="26" t="str">
        <f>IF(A314="","",CHOOSE(WEEKDAY(A314,2),"Segunda","Terça","Quarta","Quinta","Sexta","Sábado","Domingo"))</f>
        <v>Segunda</v>
      </c>
      <c r="O314" s="26" t="str">
        <f>IF(B314="","",IF(B314&lt;TIME(12,0,0),"Manhã",IF(B314&lt;TIME(18,0,0),"Tarde","Noite")))</f>
        <v>Manhã</v>
      </c>
      <c r="P314" s="32">
        <f>IF(G314="","",IFERROR(INDEX(Config!$I$5:$I$16,MATCH(G314,Config!$H$5:$H$16,0)),0))</f>
        <v>30</v>
      </c>
      <c r="Q314" s="30">
        <f>IF(OR(H314&lt;&gt;"Realizado",P314="",P314=0),"",A314+P314)</f>
        <v/>
      </c>
      <c r="R314" s="26">
        <f>IF(Q314="","",IF(COUNTIFS($E$5:$E$1204,E314,$A$5:$A$1204,"&gt;"&amp;A314,$H$5:$H$1204,"&lt;&gt;Falta",$H$5:$H$1204,"&lt;&gt;Cancelado",$H$5:$H$1204,"&lt;&gt;Remarcado")&gt;0,"Sim","Não"))</f>
        <v/>
      </c>
      <c r="S314" s="32">
        <f>IF(R314&lt;&gt;"Não","",IF(Q314+Config!$B$9&lt;=Config!$B$8,Config!$B$8-Q314,""))</f>
        <v/>
      </c>
      <c r="T314" s="26">
        <f>IF(S314="","","Sim")</f>
        <v/>
      </c>
      <c r="U314" s="41">
        <f>IF(T314="Sim",S314+ROW()/100000,0)</f>
        <v>0</v>
      </c>
      <c r="V314" s="41">
        <f>IF(AND(H314="Falta",L314=Config!$B$7,M314=Config!$B$5,COUNTIFS($E$5:E314,E314,$H$5:H314,"Falta",$L$5:L314,Config!$B$7,$M$5:M314,Config!$B$5)=1),COUNTIFS($E$5:$E$1204,E314,$H$5:$H$1204,"Falta",$L$5:$L$1204,Config!$B$7,$M$5:$M$1204,Config!$B$5)*1000-ROW()/100000,0)</f>
        <v>0</v>
      </c>
    </row>
    <row r="315">
      <c r="A315" s="39" t="n">
        <v>46237</v>
      </c>
      <c r="B315" s="40" t="n">
        <v>0.3541666666666667</v>
      </c>
      <c r="C315" s="35" t="inlineStr">
        <is>
          <t>Dra. Carolina Mendes</t>
        </is>
      </c>
      <c r="D315" s="35" t="inlineStr">
        <is>
          <t>Sala 1</t>
        </is>
      </c>
      <c r="E315" s="34" t="inlineStr">
        <is>
          <t>Tatiana Rocha</t>
        </is>
      </c>
      <c r="F315" s="35" t="inlineStr">
        <is>
          <t>Vida Care</t>
        </is>
      </c>
      <c r="G315" s="35" t="inlineStr">
        <is>
          <t>Consulta</t>
        </is>
      </c>
      <c r="H315" s="35" t="inlineStr">
        <is>
          <t>Realizado</t>
        </is>
      </c>
      <c r="I315" s="35" t="inlineStr">
        <is>
          <t>Convênio</t>
        </is>
      </c>
      <c r="J315" s="35" t="n"/>
      <c r="K315" s="34" t="n"/>
      <c r="L315" s="26">
        <f>IF(A315="","",MONTH(A315))</f>
        <v>8</v>
      </c>
      <c r="M315" s="26">
        <f>IF(A315="","",YEAR(A315))</f>
        <v>2026</v>
      </c>
      <c r="N315" s="26" t="str">
        <f>IF(A315="","",CHOOSE(WEEKDAY(A315,2),"Segunda","Terça","Quarta","Quinta","Sexta","Sábado","Domingo"))</f>
        <v>Segunda</v>
      </c>
      <c r="O315" s="26" t="str">
        <f>IF(B315="","",IF(B315&lt;TIME(12,0,0),"Manhã",IF(B315&lt;TIME(18,0,0),"Tarde","Noite")))</f>
        <v>Manhã</v>
      </c>
      <c r="P315" s="32">
        <f>IF(G315="","",IFERROR(INDEX(Config!$I$5:$I$16,MATCH(G315,Config!$H$5:$H$16,0)),0))</f>
        <v>30</v>
      </c>
      <c r="Q315" s="30">
        <f>IF(OR(H315&lt;&gt;"Realizado",P315="",P315=0),"",A315+P315)</f>
        <v>46267.0</v>
      </c>
      <c r="R315" s="26" t="str">
        <f>IF(Q315="","",IF(COUNTIFS($E$5:$E$1204,E315,$A$5:$A$1204,"&gt;"&amp;A315,$H$5:$H$1204,"&lt;&gt;Falta",$H$5:$H$1204,"&lt;&gt;Cancelado",$H$5:$H$1204,"&lt;&gt;Remarcado")&gt;0,"Sim","Não"))</f>
        <v>Sim</v>
      </c>
      <c r="S315" s="32">
        <f>IF(R315&lt;&gt;"Não","",IF(Q315+Config!$B$9&lt;=Config!$B$8,Config!$B$8-Q315,""))</f>
        <v/>
      </c>
      <c r="T315" s="26">
        <f>IF(S315="","","Sim")</f>
        <v/>
      </c>
      <c r="U315" s="41">
        <f>IF(T315="Sim",S315+ROW()/100000,0)</f>
        <v>0</v>
      </c>
      <c r="V315" s="41">
        <f>IF(AND(H315="Falta",L315=Config!$B$7,M315=Config!$B$5,COUNTIFS($E$5:E315,E315,$H$5:H315,"Falta",$L$5:L315,Config!$B$7,$M$5:M315,Config!$B$5)=1),COUNTIFS($E$5:$E$1204,E315,$H$5:$H$1204,"Falta",$L$5:$L$1204,Config!$B$7,$M$5:$M$1204,Config!$B$5)*1000-ROW()/100000,0)</f>
        <v>0</v>
      </c>
    </row>
    <row r="316">
      <c r="A316" s="39" t="n">
        <v>46237</v>
      </c>
      <c r="B316" s="40" t="n">
        <v>0.375</v>
      </c>
      <c r="C316" s="35" t="inlineStr">
        <is>
          <t>Dra. Carolina Mendes</t>
        </is>
      </c>
      <c r="D316" s="35" t="inlineStr">
        <is>
          <t>Sala 1</t>
        </is>
      </c>
      <c r="E316" s="34" t="inlineStr">
        <is>
          <t>Mateus Lima</t>
        </is>
      </c>
      <c r="F316" s="35" t="inlineStr">
        <is>
          <t>MediPlan</t>
        </is>
      </c>
      <c r="G316" s="35" t="inlineStr">
        <is>
          <t>Consulta</t>
        </is>
      </c>
      <c r="H316" s="35" t="inlineStr">
        <is>
          <t>Falta</t>
        </is>
      </c>
      <c r="I316" s="35" t="n"/>
      <c r="J316" s="35" t="n"/>
      <c r="K316" s="34" t="n"/>
      <c r="L316" s="26">
        <f>IF(A316="","",MONTH(A316))</f>
        <v>8</v>
      </c>
      <c r="M316" s="26">
        <f>IF(A316="","",YEAR(A316))</f>
        <v>2026</v>
      </c>
      <c r="N316" s="26" t="str">
        <f>IF(A316="","",CHOOSE(WEEKDAY(A316,2),"Segunda","Terça","Quarta","Quinta","Sexta","Sábado","Domingo"))</f>
        <v>Segunda</v>
      </c>
      <c r="O316" s="26" t="str">
        <f>IF(B316="","",IF(B316&lt;TIME(12,0,0),"Manhã",IF(B316&lt;TIME(18,0,0),"Tarde","Noite")))</f>
        <v>Manhã</v>
      </c>
      <c r="P316" s="32">
        <f>IF(G316="","",IFERROR(INDEX(Config!$I$5:$I$16,MATCH(G316,Config!$H$5:$H$16,0)),0))</f>
        <v>30</v>
      </c>
      <c r="Q316" s="30">
        <f>IF(OR(H316&lt;&gt;"Realizado",P316="",P316=0),"",A316+P316)</f>
        <v/>
      </c>
      <c r="R316" s="26">
        <f>IF(Q316="","",IF(COUNTIFS($E$5:$E$1204,E316,$A$5:$A$1204,"&gt;"&amp;A316,$H$5:$H$1204,"&lt;&gt;Falta",$H$5:$H$1204,"&lt;&gt;Cancelado",$H$5:$H$1204,"&lt;&gt;Remarcado")&gt;0,"Sim","Não"))</f>
        <v/>
      </c>
      <c r="S316" s="32">
        <f>IF(R316&lt;&gt;"Não","",IF(Q316+Config!$B$9&lt;=Config!$B$8,Config!$B$8-Q316,""))</f>
        <v/>
      </c>
      <c r="T316" s="26">
        <f>IF(S316="","","Sim")</f>
        <v/>
      </c>
      <c r="U316" s="41">
        <f>IF(T316="Sim",S316+ROW()/100000,0)</f>
        <v>0</v>
      </c>
      <c r="V316" s="41">
        <f>IF(AND(H316="Falta",L316=Config!$B$7,M316=Config!$B$5,COUNTIFS($E$5:E316,E316,$H$5:H316,"Falta",$L$5:L316,Config!$B$7,$M$5:M316,Config!$B$5)=1),COUNTIFS($E$5:$E$1204,E316,$H$5:$H$1204,"Falta",$L$5:$L$1204,Config!$B$7,$M$5:$M$1204,Config!$B$5)*1000-ROW()/100000,0)</f>
        <v>0</v>
      </c>
    </row>
    <row r="317">
      <c r="A317" s="39" t="n">
        <v>46237</v>
      </c>
      <c r="B317" s="40" t="n">
        <v>0.3958333333333333</v>
      </c>
      <c r="C317" s="35" t="inlineStr">
        <is>
          <t>Dra. Carolina Mendes</t>
        </is>
      </c>
      <c r="D317" s="35" t="inlineStr">
        <is>
          <t>Sala 1</t>
        </is>
      </c>
      <c r="E317" s="34" t="inlineStr">
        <is>
          <t>Mateus Lima</t>
        </is>
      </c>
      <c r="F317" s="35" t="inlineStr">
        <is>
          <t>MediPlan</t>
        </is>
      </c>
      <c r="G317" s="35" t="inlineStr">
        <is>
          <t>Consulta</t>
        </is>
      </c>
      <c r="H317" s="35" t="inlineStr">
        <is>
          <t>Realizado</t>
        </is>
      </c>
      <c r="I317" s="35" t="inlineStr">
        <is>
          <t>Convênio</t>
        </is>
      </c>
      <c r="J317" s="35" t="n"/>
      <c r="K317" s="34" t="n"/>
      <c r="L317" s="26">
        <f>IF(A317="","",MONTH(A317))</f>
        <v>8</v>
      </c>
      <c r="M317" s="26">
        <f>IF(A317="","",YEAR(A317))</f>
        <v>2026</v>
      </c>
      <c r="N317" s="26" t="str">
        <f>IF(A317="","",CHOOSE(WEEKDAY(A317,2),"Segunda","Terça","Quarta","Quinta","Sexta","Sábado","Domingo"))</f>
        <v>Segunda</v>
      </c>
      <c r="O317" s="26" t="str">
        <f>IF(B317="","",IF(B317&lt;TIME(12,0,0),"Manhã",IF(B317&lt;TIME(18,0,0),"Tarde","Noite")))</f>
        <v>Manhã</v>
      </c>
      <c r="P317" s="32">
        <f>IF(G317="","",IFERROR(INDEX(Config!$I$5:$I$16,MATCH(G317,Config!$H$5:$H$16,0)),0))</f>
        <v>30</v>
      </c>
      <c r="Q317" s="30">
        <f>IF(OR(H317&lt;&gt;"Realizado",P317="",P317=0),"",A317+P317)</f>
        <v>46267.0</v>
      </c>
      <c r="R317" s="26" t="str">
        <f>IF(Q317="","",IF(COUNTIFS($E$5:$E$1204,E317,$A$5:$A$1204,"&gt;"&amp;A317,$H$5:$H$1204,"&lt;&gt;Falta",$H$5:$H$1204,"&lt;&gt;Cancelado",$H$5:$H$1204,"&lt;&gt;Remarcado")&gt;0,"Sim","Não"))</f>
        <v>Sim</v>
      </c>
      <c r="S317" s="32">
        <f>IF(R317&lt;&gt;"Não","",IF(Q317+Config!$B$9&lt;=Config!$B$8,Config!$B$8-Q317,""))</f>
        <v/>
      </c>
      <c r="T317" s="26">
        <f>IF(S317="","","Sim")</f>
        <v/>
      </c>
      <c r="U317" s="41">
        <f>IF(T317="Sim",S317+ROW()/100000,0)</f>
        <v>0</v>
      </c>
      <c r="V317" s="41">
        <f>IF(AND(H317="Falta",L317=Config!$B$7,M317=Config!$B$5,COUNTIFS($E$5:E317,E317,$H$5:H317,"Falta",$L$5:L317,Config!$B$7,$M$5:M317,Config!$B$5)=1),COUNTIFS($E$5:$E$1204,E317,$H$5:$H$1204,"Falta",$L$5:$L$1204,Config!$B$7,$M$5:$M$1204,Config!$B$5)*1000-ROW()/100000,0)</f>
        <v>0</v>
      </c>
    </row>
    <row r="318">
      <c r="A318" s="39" t="n">
        <v>46237</v>
      </c>
      <c r="B318" s="40" t="n">
        <v>0.4166666666666667</v>
      </c>
      <c r="C318" s="35" t="inlineStr">
        <is>
          <t>Dra. Carolina Mendes</t>
        </is>
      </c>
      <c r="D318" s="35" t="inlineStr">
        <is>
          <t>Sala 1</t>
        </is>
      </c>
      <c r="E318" s="34" t="inlineStr">
        <is>
          <t>Mônica Martins</t>
        </is>
      </c>
      <c r="F318" s="35" t="inlineStr">
        <is>
          <t>Particular</t>
        </is>
      </c>
      <c r="G318" s="35" t="inlineStr">
        <is>
          <t>Consulta</t>
        </is>
      </c>
      <c r="H318" s="35" t="inlineStr">
        <is>
          <t>Realizado</t>
        </is>
      </c>
      <c r="I318" s="35" t="inlineStr">
        <is>
          <t>Cartão de crédito</t>
        </is>
      </c>
      <c r="J318" s="35" t="n"/>
      <c r="K318" s="34" t="n"/>
      <c r="L318" s="26">
        <f>IF(A318="","",MONTH(A318))</f>
        <v>8</v>
      </c>
      <c r="M318" s="26">
        <f>IF(A318="","",YEAR(A318))</f>
        <v>2026</v>
      </c>
      <c r="N318" s="26" t="str">
        <f>IF(A318="","",CHOOSE(WEEKDAY(A318,2),"Segunda","Terça","Quarta","Quinta","Sexta","Sábado","Domingo"))</f>
        <v>Segunda</v>
      </c>
      <c r="O318" s="26" t="str">
        <f>IF(B318="","",IF(B318&lt;TIME(12,0,0),"Manhã",IF(B318&lt;TIME(18,0,0),"Tarde","Noite")))</f>
        <v>Manhã</v>
      </c>
      <c r="P318" s="32">
        <f>IF(G318="","",IFERROR(INDEX(Config!$I$5:$I$16,MATCH(G318,Config!$H$5:$H$16,0)),0))</f>
        <v>30</v>
      </c>
      <c r="Q318" s="30">
        <f>IF(OR(H318&lt;&gt;"Realizado",P318="",P318=0),"",A318+P318)</f>
        <v>46267.0</v>
      </c>
      <c r="R318" s="26" t="str">
        <f>IF(Q318="","",IF(COUNTIFS($E$5:$E$1204,E318,$A$5:$A$1204,"&gt;"&amp;A318,$H$5:$H$1204,"&lt;&gt;Falta",$H$5:$H$1204,"&lt;&gt;Cancelado",$H$5:$H$1204,"&lt;&gt;Remarcado")&gt;0,"Sim","Não"))</f>
        <v>Sim</v>
      </c>
      <c r="S318" s="32">
        <f>IF(R318&lt;&gt;"Não","",IF(Q318+Config!$B$9&lt;=Config!$B$8,Config!$B$8-Q318,""))</f>
        <v/>
      </c>
      <c r="T318" s="26">
        <f>IF(S318="","","Sim")</f>
        <v/>
      </c>
      <c r="U318" s="41">
        <f>IF(T318="Sim",S318+ROW()/100000,0)</f>
        <v>0</v>
      </c>
      <c r="V318" s="41">
        <f>IF(AND(H318="Falta",L318=Config!$B$7,M318=Config!$B$5,COUNTIFS($E$5:E318,E318,$H$5:H318,"Falta",$L$5:L318,Config!$B$7,$M$5:M318,Config!$B$5)=1),COUNTIFS($E$5:$E$1204,E318,$H$5:$H$1204,"Falta",$L$5:$L$1204,Config!$B$7,$M$5:$M$1204,Config!$B$5)*1000-ROW()/100000,0)</f>
        <v>0</v>
      </c>
    </row>
    <row r="319">
      <c r="A319" s="39" t="n">
        <v>46237</v>
      </c>
      <c r="B319" s="40" t="n">
        <v>0.4375</v>
      </c>
      <c r="C319" s="35" t="inlineStr">
        <is>
          <t>Dra. Carolina Mendes</t>
        </is>
      </c>
      <c r="D319" s="35" t="inlineStr">
        <is>
          <t>Sala 1</t>
        </is>
      </c>
      <c r="E319" s="34" t="inlineStr">
        <is>
          <t>Larissa Costa</t>
        </is>
      </c>
      <c r="F319" s="35" t="inlineStr">
        <is>
          <t>Particular</t>
        </is>
      </c>
      <c r="G319" s="35" t="inlineStr">
        <is>
          <t>Consulta</t>
        </is>
      </c>
      <c r="H319" s="35" t="inlineStr">
        <is>
          <t>Realizado</t>
        </is>
      </c>
      <c r="I319" s="35" t="inlineStr">
        <is>
          <t>A prazo</t>
        </is>
      </c>
      <c r="J319" s="35" t="n"/>
      <c r="K319" s="34" t="n"/>
      <c r="L319" s="26">
        <f>IF(A319="","",MONTH(A319))</f>
        <v>8</v>
      </c>
      <c r="M319" s="26">
        <f>IF(A319="","",YEAR(A319))</f>
        <v>2026</v>
      </c>
      <c r="N319" s="26" t="str">
        <f>IF(A319="","",CHOOSE(WEEKDAY(A319,2),"Segunda","Terça","Quarta","Quinta","Sexta","Sábado","Domingo"))</f>
        <v>Segunda</v>
      </c>
      <c r="O319" s="26" t="str">
        <f>IF(B319="","",IF(B319&lt;TIME(12,0,0),"Manhã",IF(B319&lt;TIME(18,0,0),"Tarde","Noite")))</f>
        <v>Manhã</v>
      </c>
      <c r="P319" s="32">
        <f>IF(G319="","",IFERROR(INDEX(Config!$I$5:$I$16,MATCH(G319,Config!$H$5:$H$16,0)),0))</f>
        <v>30</v>
      </c>
      <c r="Q319" s="30">
        <f>IF(OR(H319&lt;&gt;"Realizado",P319="",P319=0),"",A319+P319)</f>
        <v>46267.0</v>
      </c>
      <c r="R319" s="26" t="str">
        <f>IF(Q319="","",IF(COUNTIFS($E$5:$E$1204,E319,$A$5:$A$1204,"&gt;"&amp;A319,$H$5:$H$1204,"&lt;&gt;Falta",$H$5:$H$1204,"&lt;&gt;Cancelado",$H$5:$H$1204,"&lt;&gt;Remarcado")&gt;0,"Sim","Não"))</f>
        <v>Sim</v>
      </c>
      <c r="S319" s="32">
        <f>IF(R319&lt;&gt;"Não","",IF(Q319+Config!$B$9&lt;=Config!$B$8,Config!$B$8-Q319,""))</f>
        <v/>
      </c>
      <c r="T319" s="26">
        <f>IF(S319="","","Sim")</f>
        <v/>
      </c>
      <c r="U319" s="41">
        <f>IF(T319="Sim",S319+ROW()/100000,0)</f>
        <v>0</v>
      </c>
      <c r="V319" s="41">
        <f>IF(AND(H319="Falta",L319=Config!$B$7,M319=Config!$B$5,COUNTIFS($E$5:E319,E319,$H$5:H319,"Falta",$L$5:L319,Config!$B$7,$M$5:M319,Config!$B$5)=1),COUNTIFS($E$5:$E$1204,E319,$H$5:$H$1204,"Falta",$L$5:$L$1204,Config!$B$7,$M$5:$M$1204,Config!$B$5)*1000-ROW()/100000,0)</f>
        <v>0</v>
      </c>
    </row>
    <row r="320">
      <c r="A320" s="39" t="n">
        <v>46237</v>
      </c>
      <c r="B320" s="40" t="n">
        <v>0.4583333333333333</v>
      </c>
      <c r="C320" s="35" t="inlineStr">
        <is>
          <t>Dra. Carolina Mendes</t>
        </is>
      </c>
      <c r="D320" s="35" t="inlineStr">
        <is>
          <t>Sala 1</t>
        </is>
      </c>
      <c r="E320" s="34" t="inlineStr">
        <is>
          <t>Letícia Vieira</t>
        </is>
      </c>
      <c r="F320" s="35" t="inlineStr">
        <is>
          <t>Saúde Total</t>
        </is>
      </c>
      <c r="G320" s="35" t="inlineStr">
        <is>
          <t>Consulta</t>
        </is>
      </c>
      <c r="H320" s="35" t="inlineStr">
        <is>
          <t>Realizado</t>
        </is>
      </c>
      <c r="I320" s="35" t="inlineStr">
        <is>
          <t>Convênio</t>
        </is>
      </c>
      <c r="J320" s="35" t="n"/>
      <c r="K320" s="34" t="n"/>
      <c r="L320" s="26">
        <f>IF(A320="","",MONTH(A320))</f>
        <v>8</v>
      </c>
      <c r="M320" s="26">
        <f>IF(A320="","",YEAR(A320))</f>
        <v>2026</v>
      </c>
      <c r="N320" s="26" t="str">
        <f>IF(A320="","",CHOOSE(WEEKDAY(A320,2),"Segunda","Terça","Quarta","Quinta","Sexta","Sábado","Domingo"))</f>
        <v>Segunda</v>
      </c>
      <c r="O320" s="26" t="str">
        <f>IF(B320="","",IF(B320&lt;TIME(12,0,0),"Manhã",IF(B320&lt;TIME(18,0,0),"Tarde","Noite")))</f>
        <v>Manhã</v>
      </c>
      <c r="P320" s="32">
        <f>IF(G320="","",IFERROR(INDEX(Config!$I$5:$I$16,MATCH(G320,Config!$H$5:$H$16,0)),0))</f>
        <v>30</v>
      </c>
      <c r="Q320" s="30">
        <f>IF(OR(H320&lt;&gt;"Realizado",P320="",P320=0),"",A320+P320)</f>
        <v>46267.0</v>
      </c>
      <c r="R320" s="26" t="str">
        <f>IF(Q320="","",IF(COUNTIFS($E$5:$E$1204,E320,$A$5:$A$1204,"&gt;"&amp;A320,$H$5:$H$1204,"&lt;&gt;Falta",$H$5:$H$1204,"&lt;&gt;Cancelado",$H$5:$H$1204,"&lt;&gt;Remarcado")&gt;0,"Sim","Não"))</f>
        <v>Sim</v>
      </c>
      <c r="S320" s="32">
        <f>IF(R320&lt;&gt;"Não","",IF(Q320+Config!$B$9&lt;=Config!$B$8,Config!$B$8-Q320,""))</f>
        <v/>
      </c>
      <c r="T320" s="26">
        <f>IF(S320="","","Sim")</f>
        <v/>
      </c>
      <c r="U320" s="41">
        <f>IF(T320="Sim",S320+ROW()/100000,0)</f>
        <v>0</v>
      </c>
      <c r="V320" s="41">
        <f>IF(AND(H320="Falta",L320=Config!$B$7,M320=Config!$B$5,COUNTIFS($E$5:E320,E320,$H$5:H320,"Falta",$L$5:L320,Config!$B$7,$M$5:M320,Config!$B$5)=1),COUNTIFS($E$5:$E$1204,E320,$H$5:$H$1204,"Falta",$L$5:$L$1204,Config!$B$7,$M$5:$M$1204,Config!$B$5)*1000-ROW()/100000,0)</f>
        <v>0</v>
      </c>
    </row>
    <row r="321">
      <c r="A321" s="39" t="n">
        <v>46237</v>
      </c>
      <c r="B321" s="40" t="n">
        <v>0.4791666666666667</v>
      </c>
      <c r="C321" s="35" t="inlineStr">
        <is>
          <t>Dra. Carolina Mendes</t>
        </is>
      </c>
      <c r="D321" s="35" t="inlineStr">
        <is>
          <t>Sala 1</t>
        </is>
      </c>
      <c r="E321" s="34" t="inlineStr">
        <is>
          <t>Rafael Batista</t>
        </is>
      </c>
      <c r="F321" s="35" t="inlineStr">
        <is>
          <t>Saúde Total</t>
        </is>
      </c>
      <c r="G321" s="35" t="inlineStr">
        <is>
          <t>Consulta</t>
        </is>
      </c>
      <c r="H321" s="35" t="inlineStr">
        <is>
          <t>Realizado</t>
        </is>
      </c>
      <c r="I321" s="35" t="inlineStr">
        <is>
          <t>Convênio</t>
        </is>
      </c>
      <c r="J321" s="35" t="n"/>
      <c r="K321" s="34" t="n"/>
      <c r="L321" s="26">
        <f>IF(A321="","",MONTH(A321))</f>
        <v>8</v>
      </c>
      <c r="M321" s="26">
        <f>IF(A321="","",YEAR(A321))</f>
        <v>2026</v>
      </c>
      <c r="N321" s="26" t="str">
        <f>IF(A321="","",CHOOSE(WEEKDAY(A321,2),"Segunda","Terça","Quarta","Quinta","Sexta","Sábado","Domingo"))</f>
        <v>Segunda</v>
      </c>
      <c r="O321" s="26" t="str">
        <f>IF(B321="","",IF(B321&lt;TIME(12,0,0),"Manhã",IF(B321&lt;TIME(18,0,0),"Tarde","Noite")))</f>
        <v>Manhã</v>
      </c>
      <c r="P321" s="32">
        <f>IF(G321="","",IFERROR(INDEX(Config!$I$5:$I$16,MATCH(G321,Config!$H$5:$H$16,0)),0))</f>
        <v>30</v>
      </c>
      <c r="Q321" s="30">
        <f>IF(OR(H321&lt;&gt;"Realizado",P321="",P321=0),"",A321+P321)</f>
        <v>46267.0</v>
      </c>
      <c r="R321" s="26" t="str">
        <f>IF(Q321="","",IF(COUNTIFS($E$5:$E$1204,E321,$A$5:$A$1204,"&gt;"&amp;A321,$H$5:$H$1204,"&lt;&gt;Falta",$H$5:$H$1204,"&lt;&gt;Cancelado",$H$5:$H$1204,"&lt;&gt;Remarcado")&gt;0,"Sim","Não"))</f>
        <v>Sim</v>
      </c>
      <c r="S321" s="32">
        <f>IF(R321&lt;&gt;"Não","",IF(Q321+Config!$B$9&lt;=Config!$B$8,Config!$B$8-Q321,""))</f>
        <v/>
      </c>
      <c r="T321" s="26">
        <f>IF(S321="","","Sim")</f>
        <v/>
      </c>
      <c r="U321" s="41">
        <f>IF(T321="Sim",S321+ROW()/100000,0)</f>
        <v>0</v>
      </c>
      <c r="V321" s="41">
        <f>IF(AND(H321="Falta",L321=Config!$B$7,M321=Config!$B$5,COUNTIFS($E$5:E321,E321,$H$5:H321,"Falta",$L$5:L321,Config!$B$7,$M$5:M321,Config!$B$5)=1),COUNTIFS($E$5:$E$1204,E321,$H$5:$H$1204,"Falta",$L$5:$L$1204,Config!$B$7,$M$5:$M$1204,Config!$B$5)*1000-ROW()/100000,0)</f>
        <v>0</v>
      </c>
    </row>
    <row r="322">
      <c r="A322" s="39" t="n">
        <v>46237</v>
      </c>
      <c r="B322" s="40" t="n">
        <v>0.5833333333333334</v>
      </c>
      <c r="C322" s="35" t="inlineStr">
        <is>
          <t>Dr. Paulo Andrade</t>
        </is>
      </c>
      <c r="D322" s="35" t="inlineStr">
        <is>
          <t>Sala 2</t>
        </is>
      </c>
      <c r="E322" s="34" t="inlineStr">
        <is>
          <t>Elaine Xavier</t>
        </is>
      </c>
      <c r="F322" s="35" t="inlineStr">
        <is>
          <t>MediPlan</t>
        </is>
      </c>
      <c r="G322" s="35" t="inlineStr">
        <is>
          <t>Consulta</t>
        </is>
      </c>
      <c r="H322" s="35" t="inlineStr">
        <is>
          <t>Realizado</t>
        </is>
      </c>
      <c r="I322" s="35" t="inlineStr">
        <is>
          <t>Convênio</t>
        </is>
      </c>
      <c r="J322" s="35" t="n"/>
      <c r="K322" s="34" t="n"/>
      <c r="L322" s="26">
        <f>IF(A322="","",MONTH(A322))</f>
        <v>8</v>
      </c>
      <c r="M322" s="26">
        <f>IF(A322="","",YEAR(A322))</f>
        <v>2026</v>
      </c>
      <c r="N322" s="26" t="str">
        <f>IF(A322="","",CHOOSE(WEEKDAY(A322,2),"Segunda","Terça","Quarta","Quinta","Sexta","Sábado","Domingo"))</f>
        <v>Segunda</v>
      </c>
      <c r="O322" s="26" t="str">
        <f>IF(B322="","",IF(B322&lt;TIME(12,0,0),"Manhã",IF(B322&lt;TIME(18,0,0),"Tarde","Noite")))</f>
        <v>Tarde</v>
      </c>
      <c r="P322" s="32">
        <f>IF(G322="","",IFERROR(INDEX(Config!$I$5:$I$16,MATCH(G322,Config!$H$5:$H$16,0)),0))</f>
        <v>30</v>
      </c>
      <c r="Q322" s="30">
        <f>IF(OR(H322&lt;&gt;"Realizado",P322="",P322=0),"",A322+P322)</f>
        <v>46267.0</v>
      </c>
      <c r="R322" s="26" t="str">
        <f>IF(Q322="","",IF(COUNTIFS($E$5:$E$1204,E322,$A$5:$A$1204,"&gt;"&amp;A322,$H$5:$H$1204,"&lt;&gt;Falta",$H$5:$H$1204,"&lt;&gt;Cancelado",$H$5:$H$1204,"&lt;&gt;Remarcado")&gt;0,"Sim","Não"))</f>
        <v>Sim</v>
      </c>
      <c r="S322" s="32">
        <f>IF(R322&lt;&gt;"Não","",IF(Q322+Config!$B$9&lt;=Config!$B$8,Config!$B$8-Q322,""))</f>
        <v/>
      </c>
      <c r="T322" s="26">
        <f>IF(S322="","","Sim")</f>
        <v/>
      </c>
      <c r="U322" s="41">
        <f>IF(T322="Sim",S322+ROW()/100000,0)</f>
        <v>0</v>
      </c>
      <c r="V322" s="41">
        <f>IF(AND(H322="Falta",L322=Config!$B$7,M322=Config!$B$5,COUNTIFS($E$5:E322,E322,$H$5:H322,"Falta",$L$5:L322,Config!$B$7,$M$5:M322,Config!$B$5)=1),COUNTIFS($E$5:$E$1204,E322,$H$5:$H$1204,"Falta",$L$5:$L$1204,Config!$B$7,$M$5:$M$1204,Config!$B$5)*1000-ROW()/100000,0)</f>
        <v>0</v>
      </c>
    </row>
    <row r="323">
      <c r="A323" s="39" t="n">
        <v>46237</v>
      </c>
      <c r="B323" s="40" t="n">
        <v>0.6041666666666666</v>
      </c>
      <c r="C323" s="35" t="inlineStr">
        <is>
          <t>Dr. Paulo Andrade</t>
        </is>
      </c>
      <c r="D323" s="35" t="inlineStr">
        <is>
          <t>Sala 2</t>
        </is>
      </c>
      <c r="E323" s="34" t="inlineStr">
        <is>
          <t>Lucas Xavier</t>
        </is>
      </c>
      <c r="F323" s="35" t="inlineStr">
        <is>
          <t>Saúde Total</t>
        </is>
      </c>
      <c r="G323" s="35" t="inlineStr">
        <is>
          <t>Holter</t>
        </is>
      </c>
      <c r="H323" s="35" t="inlineStr">
        <is>
          <t>Realizado</t>
        </is>
      </c>
      <c r="I323" s="35" t="inlineStr">
        <is>
          <t>Convênio</t>
        </is>
      </c>
      <c r="J323" s="35" t="n"/>
      <c r="K323" s="34" t="n"/>
      <c r="L323" s="26">
        <f>IF(A323="","",MONTH(A323))</f>
        <v>8</v>
      </c>
      <c r="M323" s="26">
        <f>IF(A323="","",YEAR(A323))</f>
        <v>2026</v>
      </c>
      <c r="N323" s="26" t="str">
        <f>IF(A323="","",CHOOSE(WEEKDAY(A323,2),"Segunda","Terça","Quarta","Quinta","Sexta","Sábado","Domingo"))</f>
        <v>Segunda</v>
      </c>
      <c r="O323" s="26" t="str">
        <f>IF(B323="","",IF(B323&lt;TIME(12,0,0),"Manhã",IF(B323&lt;TIME(18,0,0),"Tarde","Noite")))</f>
        <v>Tarde</v>
      </c>
      <c r="P323" s="32">
        <f>IF(G323="","",IFERROR(INDEX(Config!$I$5:$I$16,MATCH(G323,Config!$H$5:$H$16,0)),0))</f>
        <v>0</v>
      </c>
      <c r="Q323" s="30">
        <f>IF(OR(H323&lt;&gt;"Realizado",P323="",P323=0),"",A323+P323)</f>
        <v/>
      </c>
      <c r="R323" s="26">
        <f>IF(Q323="","",IF(COUNTIFS($E$5:$E$1204,E323,$A$5:$A$1204,"&gt;"&amp;A323,$H$5:$H$1204,"&lt;&gt;Falta",$H$5:$H$1204,"&lt;&gt;Cancelado",$H$5:$H$1204,"&lt;&gt;Remarcado")&gt;0,"Sim","Não"))</f>
        <v/>
      </c>
      <c r="S323" s="32">
        <f>IF(R323&lt;&gt;"Não","",IF(Q323+Config!$B$9&lt;=Config!$B$8,Config!$B$8-Q323,""))</f>
        <v/>
      </c>
      <c r="T323" s="26">
        <f>IF(S323="","","Sim")</f>
        <v/>
      </c>
      <c r="U323" s="41">
        <f>IF(T323="Sim",S323+ROW()/100000,0)</f>
        <v>0</v>
      </c>
      <c r="V323" s="41">
        <f>IF(AND(H323="Falta",L323=Config!$B$7,M323=Config!$B$5,COUNTIFS($E$5:E323,E323,$H$5:H323,"Falta",$L$5:L323,Config!$B$7,$M$5:M323,Config!$B$5)=1),COUNTIFS($E$5:$E$1204,E323,$H$5:$H$1204,"Falta",$L$5:$L$1204,Config!$B$7,$M$5:$M$1204,Config!$B$5)*1000-ROW()/100000,0)</f>
        <v>0</v>
      </c>
    </row>
    <row r="324">
      <c r="A324" s="39" t="n">
        <v>46237</v>
      </c>
      <c r="B324" s="40" t="n">
        <v>0.6388888888888888</v>
      </c>
      <c r="C324" s="35" t="inlineStr">
        <is>
          <t>Dr. Paulo Andrade</t>
        </is>
      </c>
      <c r="D324" s="35" t="inlineStr">
        <is>
          <t>Sala 2</t>
        </is>
      </c>
      <c r="E324" s="34" t="inlineStr">
        <is>
          <t>Paulo Nascimento</t>
        </is>
      </c>
      <c r="F324" s="35" t="inlineStr">
        <is>
          <t>MediPlan</t>
        </is>
      </c>
      <c r="G324" s="35" t="inlineStr">
        <is>
          <t>Consulta</t>
        </is>
      </c>
      <c r="H324" s="35" t="inlineStr">
        <is>
          <t>Realizado</t>
        </is>
      </c>
      <c r="I324" s="35" t="inlineStr">
        <is>
          <t>Convênio</t>
        </is>
      </c>
      <c r="J324" s="35" t="n"/>
      <c r="K324" s="34" t="n"/>
      <c r="L324" s="26">
        <f>IF(A324="","",MONTH(A324))</f>
        <v>8</v>
      </c>
      <c r="M324" s="26">
        <f>IF(A324="","",YEAR(A324))</f>
        <v>2026</v>
      </c>
      <c r="N324" s="26" t="str">
        <f>IF(A324="","",CHOOSE(WEEKDAY(A324,2),"Segunda","Terça","Quarta","Quinta","Sexta","Sábado","Domingo"))</f>
        <v>Segunda</v>
      </c>
      <c r="O324" s="26" t="str">
        <f>IF(B324="","",IF(B324&lt;TIME(12,0,0),"Manhã",IF(B324&lt;TIME(18,0,0),"Tarde","Noite")))</f>
        <v>Tarde</v>
      </c>
      <c r="P324" s="32">
        <f>IF(G324="","",IFERROR(INDEX(Config!$I$5:$I$16,MATCH(G324,Config!$H$5:$H$16,0)),0))</f>
        <v>30</v>
      </c>
      <c r="Q324" s="30">
        <f>IF(OR(H324&lt;&gt;"Realizado",P324="",P324=0),"",A324+P324)</f>
        <v>46267.0</v>
      </c>
      <c r="R324" s="26" t="str">
        <f>IF(Q324="","",IF(COUNTIFS($E$5:$E$1204,E324,$A$5:$A$1204,"&gt;"&amp;A324,$H$5:$H$1204,"&lt;&gt;Falta",$H$5:$H$1204,"&lt;&gt;Cancelado",$H$5:$H$1204,"&lt;&gt;Remarcado")&gt;0,"Sim","Não"))</f>
        <v>Sim</v>
      </c>
      <c r="S324" s="32">
        <f>IF(R324&lt;&gt;"Não","",IF(Q324+Config!$B$9&lt;=Config!$B$8,Config!$B$8-Q324,""))</f>
        <v/>
      </c>
      <c r="T324" s="26">
        <f>IF(S324="","","Sim")</f>
        <v/>
      </c>
      <c r="U324" s="41">
        <f>IF(T324="Sim",S324+ROW()/100000,0)</f>
        <v>0</v>
      </c>
      <c r="V324" s="41">
        <f>IF(AND(H324="Falta",L324=Config!$B$7,M324=Config!$B$5,COUNTIFS($E$5:E324,E324,$H$5:H324,"Falta",$L$5:L324,Config!$B$7,$M$5:M324,Config!$B$5)=1),COUNTIFS($E$5:$E$1204,E324,$H$5:$H$1204,"Falta",$L$5:$L$1204,Config!$B$7,$M$5:$M$1204,Config!$B$5)*1000-ROW()/100000,0)</f>
        <v>0</v>
      </c>
    </row>
    <row r="325">
      <c r="A325" s="39" t="n">
        <v>46237</v>
      </c>
      <c r="B325" s="40" t="n">
        <v>0.6597222222222222</v>
      </c>
      <c r="C325" s="35" t="inlineStr">
        <is>
          <t>Dr. Paulo Andrade</t>
        </is>
      </c>
      <c r="D325" s="35" t="inlineStr">
        <is>
          <t>Sala 2</t>
        </is>
      </c>
      <c r="E325" s="34" t="inlineStr">
        <is>
          <t>Renato Pereira</t>
        </is>
      </c>
      <c r="F325" s="35" t="inlineStr">
        <is>
          <t>MediPlan</t>
        </is>
      </c>
      <c r="G325" s="35" t="inlineStr">
        <is>
          <t>Retorno</t>
        </is>
      </c>
      <c r="H325" s="35" t="inlineStr">
        <is>
          <t>Realizado</t>
        </is>
      </c>
      <c r="I325" s="35" t="inlineStr">
        <is>
          <t>Sem cobrança</t>
        </is>
      </c>
      <c r="J325" s="35" t="n"/>
      <c r="K325" s="34" t="n"/>
      <c r="L325" s="26">
        <f>IF(A325="","",MONTH(A325))</f>
        <v>8</v>
      </c>
      <c r="M325" s="26">
        <f>IF(A325="","",YEAR(A325))</f>
        <v>2026</v>
      </c>
      <c r="N325" s="26" t="str">
        <f>IF(A325="","",CHOOSE(WEEKDAY(A325,2),"Segunda","Terça","Quarta","Quinta","Sexta","Sábado","Domingo"))</f>
        <v>Segunda</v>
      </c>
      <c r="O325" s="26" t="str">
        <f>IF(B325="","",IF(B325&lt;TIME(12,0,0),"Manhã",IF(B325&lt;TIME(18,0,0),"Tarde","Noite")))</f>
        <v>Tarde</v>
      </c>
      <c r="P325" s="32">
        <f>IF(G325="","",IFERROR(INDEX(Config!$I$5:$I$16,MATCH(G325,Config!$H$5:$H$16,0)),0))</f>
        <v>0</v>
      </c>
      <c r="Q325" s="30">
        <f>IF(OR(H325&lt;&gt;"Realizado",P325="",P325=0),"",A325+P325)</f>
        <v/>
      </c>
      <c r="R325" s="26">
        <f>IF(Q325="","",IF(COUNTIFS($E$5:$E$1204,E325,$A$5:$A$1204,"&gt;"&amp;A325,$H$5:$H$1204,"&lt;&gt;Falta",$H$5:$H$1204,"&lt;&gt;Cancelado",$H$5:$H$1204,"&lt;&gt;Remarcado")&gt;0,"Sim","Não"))</f>
        <v/>
      </c>
      <c r="S325" s="32">
        <f>IF(R325&lt;&gt;"Não","",IF(Q325+Config!$B$9&lt;=Config!$B$8,Config!$B$8-Q325,""))</f>
        <v/>
      </c>
      <c r="T325" s="26">
        <f>IF(S325="","","Sim")</f>
        <v/>
      </c>
      <c r="U325" s="41">
        <f>IF(T325="Sim",S325+ROW()/100000,0)</f>
        <v>0</v>
      </c>
      <c r="V325" s="41">
        <f>IF(AND(H325="Falta",L325=Config!$B$7,M325=Config!$B$5,COUNTIFS($E$5:E325,E325,$H$5:H325,"Falta",$L$5:L325,Config!$B$7,$M$5:M325,Config!$B$5)=1),COUNTIFS($E$5:$E$1204,E325,$H$5:$H$1204,"Falta",$L$5:$L$1204,Config!$B$7,$M$5:$M$1204,Config!$B$5)*1000-ROW()/100000,0)</f>
        <v>0</v>
      </c>
    </row>
    <row r="326">
      <c r="A326" s="39" t="n">
        <v>46237</v>
      </c>
      <c r="B326" s="40" t="n">
        <v>0.6944444444444444</v>
      </c>
      <c r="C326" s="35" t="inlineStr">
        <is>
          <t>Dr. Paulo Andrade</t>
        </is>
      </c>
      <c r="D326" s="35" t="inlineStr">
        <is>
          <t>Sala 2</t>
        </is>
      </c>
      <c r="E326" s="34" t="inlineStr">
        <is>
          <t>Wagner Santos</t>
        </is>
      </c>
      <c r="F326" s="35" t="inlineStr">
        <is>
          <t>Particular</t>
        </is>
      </c>
      <c r="G326" s="35" t="inlineStr">
        <is>
          <t>MAPA</t>
        </is>
      </c>
      <c r="H326" s="35" t="inlineStr">
        <is>
          <t>Realizado</t>
        </is>
      </c>
      <c r="I326" s="35" t="inlineStr">
        <is>
          <t>Cartão de débito</t>
        </is>
      </c>
      <c r="J326" s="35" t="n"/>
      <c r="K326" s="34" t="n"/>
      <c r="L326" s="26">
        <f>IF(A326="","",MONTH(A326))</f>
        <v>8</v>
      </c>
      <c r="M326" s="26">
        <f>IF(A326="","",YEAR(A326))</f>
        <v>2026</v>
      </c>
      <c r="N326" s="26" t="str">
        <f>IF(A326="","",CHOOSE(WEEKDAY(A326,2),"Segunda","Terça","Quarta","Quinta","Sexta","Sábado","Domingo"))</f>
        <v>Segunda</v>
      </c>
      <c r="O326" s="26" t="str">
        <f>IF(B326="","",IF(B326&lt;TIME(12,0,0),"Manhã",IF(B326&lt;TIME(18,0,0),"Tarde","Noite")))</f>
        <v>Tarde</v>
      </c>
      <c r="P326" s="32">
        <f>IF(G326="","",IFERROR(INDEX(Config!$I$5:$I$16,MATCH(G326,Config!$H$5:$H$16,0)),0))</f>
        <v>0</v>
      </c>
      <c r="Q326" s="30">
        <f>IF(OR(H326&lt;&gt;"Realizado",P326="",P326=0),"",A326+P326)</f>
        <v/>
      </c>
      <c r="R326" s="26">
        <f>IF(Q326="","",IF(COUNTIFS($E$5:$E$1204,E326,$A$5:$A$1204,"&gt;"&amp;A326,$H$5:$H$1204,"&lt;&gt;Falta",$H$5:$H$1204,"&lt;&gt;Cancelado",$H$5:$H$1204,"&lt;&gt;Remarcado")&gt;0,"Sim","Não"))</f>
        <v/>
      </c>
      <c r="S326" s="32">
        <f>IF(R326&lt;&gt;"Não","",IF(Q326+Config!$B$9&lt;=Config!$B$8,Config!$B$8-Q326,""))</f>
        <v/>
      </c>
      <c r="T326" s="26">
        <f>IF(S326="","","Sim")</f>
        <v/>
      </c>
      <c r="U326" s="41">
        <f>IF(T326="Sim",S326+ROW()/100000,0)</f>
        <v>0</v>
      </c>
      <c r="V326" s="41">
        <f>IF(AND(H326="Falta",L326=Config!$B$7,M326=Config!$B$5,COUNTIFS($E$5:E326,E326,$H$5:H326,"Falta",$L$5:L326,Config!$B$7,$M$5:M326,Config!$B$5)=1),COUNTIFS($E$5:$E$1204,E326,$H$5:$H$1204,"Falta",$L$5:$L$1204,Config!$B$7,$M$5:$M$1204,Config!$B$5)*1000-ROW()/100000,0)</f>
        <v>0</v>
      </c>
    </row>
    <row r="327">
      <c r="A327" s="39" t="n">
        <v>46237</v>
      </c>
      <c r="B327" s="40" t="n">
        <v>0.7291666666666666</v>
      </c>
      <c r="C327" s="35" t="inlineStr">
        <is>
          <t>Dr. Paulo Andrade</t>
        </is>
      </c>
      <c r="D327" s="35" t="inlineStr">
        <is>
          <t>Sala 2</t>
        </is>
      </c>
      <c r="E327" s="34" t="inlineStr">
        <is>
          <t>Fábio Correia</t>
        </is>
      </c>
      <c r="F327" s="35" t="inlineStr">
        <is>
          <t>Particular</t>
        </is>
      </c>
      <c r="G327" s="35" t="inlineStr">
        <is>
          <t>Retorno</t>
        </is>
      </c>
      <c r="H327" s="35" t="inlineStr">
        <is>
          <t>Realizado</t>
        </is>
      </c>
      <c r="I327" s="35" t="inlineStr">
        <is>
          <t>Sem cobrança</t>
        </is>
      </c>
      <c r="J327" s="35" t="n"/>
      <c r="K327" s="34" t="n"/>
      <c r="L327" s="26">
        <f>IF(A327="","",MONTH(A327))</f>
        <v>8</v>
      </c>
      <c r="M327" s="26">
        <f>IF(A327="","",YEAR(A327))</f>
        <v>2026</v>
      </c>
      <c r="N327" s="26" t="str">
        <f>IF(A327="","",CHOOSE(WEEKDAY(A327,2),"Segunda","Terça","Quarta","Quinta","Sexta","Sábado","Domingo"))</f>
        <v>Segunda</v>
      </c>
      <c r="O327" s="26" t="str">
        <f>IF(B327="","",IF(B327&lt;TIME(12,0,0),"Manhã",IF(B327&lt;TIME(18,0,0),"Tarde","Noite")))</f>
        <v>Tarde</v>
      </c>
      <c r="P327" s="32">
        <f>IF(G327="","",IFERROR(INDEX(Config!$I$5:$I$16,MATCH(G327,Config!$H$5:$H$16,0)),0))</f>
        <v>0</v>
      </c>
      <c r="Q327" s="30">
        <f>IF(OR(H327&lt;&gt;"Realizado",P327="",P327=0),"",A327+P327)</f>
        <v/>
      </c>
      <c r="R327" s="26">
        <f>IF(Q327="","",IF(COUNTIFS($E$5:$E$1204,E327,$A$5:$A$1204,"&gt;"&amp;A327,$H$5:$H$1204,"&lt;&gt;Falta",$H$5:$H$1204,"&lt;&gt;Cancelado",$H$5:$H$1204,"&lt;&gt;Remarcado")&gt;0,"Sim","Não"))</f>
        <v/>
      </c>
      <c r="S327" s="32">
        <f>IF(R327&lt;&gt;"Não","",IF(Q327+Config!$B$9&lt;=Config!$B$8,Config!$B$8-Q327,""))</f>
        <v/>
      </c>
      <c r="T327" s="26">
        <f>IF(S327="","","Sim")</f>
        <v/>
      </c>
      <c r="U327" s="41">
        <f>IF(T327="Sim",S327+ROW()/100000,0)</f>
        <v>0</v>
      </c>
      <c r="V327" s="41">
        <f>IF(AND(H327="Falta",L327=Config!$B$7,M327=Config!$B$5,COUNTIFS($E$5:E327,E327,$H$5:H327,"Falta",$L$5:L327,Config!$B$7,$M$5:M327,Config!$B$5)=1),COUNTIFS($E$5:$E$1204,E327,$H$5:$H$1204,"Falta",$L$5:$L$1204,Config!$B$7,$M$5:$M$1204,Config!$B$5)*1000-ROW()/100000,0)</f>
        <v>0</v>
      </c>
    </row>
    <row r="328">
      <c r="A328" s="39" t="n">
        <v>46238</v>
      </c>
      <c r="B328" s="40" t="n">
        <v>0.3333333333333333</v>
      </c>
      <c r="C328" s="35" t="inlineStr">
        <is>
          <t>Dra. Carolina Mendes</t>
        </is>
      </c>
      <c r="D328" s="35" t="inlineStr">
        <is>
          <t>Sala 1</t>
        </is>
      </c>
      <c r="E328" s="34" t="inlineStr">
        <is>
          <t>Fernanda Freitas</t>
        </is>
      </c>
      <c r="F328" s="35" t="inlineStr">
        <is>
          <t>Particular</t>
        </is>
      </c>
      <c r="G328" s="35" t="inlineStr">
        <is>
          <t>Consulta</t>
        </is>
      </c>
      <c r="H328" s="35" t="inlineStr">
        <is>
          <t>Cancelado</t>
        </is>
      </c>
      <c r="I328" s="35" t="n"/>
      <c r="J328" s="35" t="n"/>
      <c r="K328" s="34" t="n"/>
      <c r="L328" s="26">
        <f>IF(A328="","",MONTH(A328))</f>
        <v>8</v>
      </c>
      <c r="M328" s="26">
        <f>IF(A328="","",YEAR(A328))</f>
        <v>2026</v>
      </c>
      <c r="N328" s="26" t="str">
        <f>IF(A328="","",CHOOSE(WEEKDAY(A328,2),"Segunda","Terça","Quarta","Quinta","Sexta","Sábado","Domingo"))</f>
        <v>Terça</v>
      </c>
      <c r="O328" s="26" t="str">
        <f>IF(B328="","",IF(B328&lt;TIME(12,0,0),"Manhã",IF(B328&lt;TIME(18,0,0),"Tarde","Noite")))</f>
        <v>Manhã</v>
      </c>
      <c r="P328" s="32">
        <f>IF(G328="","",IFERROR(INDEX(Config!$I$5:$I$16,MATCH(G328,Config!$H$5:$H$16,0)),0))</f>
        <v>30</v>
      </c>
      <c r="Q328" s="30">
        <f>IF(OR(H328&lt;&gt;"Realizado",P328="",P328=0),"",A328+P328)</f>
        <v/>
      </c>
      <c r="R328" s="26">
        <f>IF(Q328="","",IF(COUNTIFS($E$5:$E$1204,E328,$A$5:$A$1204,"&gt;"&amp;A328,$H$5:$H$1204,"&lt;&gt;Falta",$H$5:$H$1204,"&lt;&gt;Cancelado",$H$5:$H$1204,"&lt;&gt;Remarcado")&gt;0,"Sim","Não"))</f>
        <v/>
      </c>
      <c r="S328" s="32">
        <f>IF(R328&lt;&gt;"Não","",IF(Q328+Config!$B$9&lt;=Config!$B$8,Config!$B$8-Q328,""))</f>
        <v/>
      </c>
      <c r="T328" s="26">
        <f>IF(S328="","","Sim")</f>
        <v/>
      </c>
      <c r="U328" s="41">
        <f>IF(T328="Sim",S328+ROW()/100000,0)</f>
        <v>0</v>
      </c>
      <c r="V328" s="41">
        <f>IF(AND(H328="Falta",L328=Config!$B$7,M328=Config!$B$5,COUNTIFS($E$5:E328,E328,$H$5:H328,"Falta",$L$5:L328,Config!$B$7,$M$5:M328,Config!$B$5)=1),COUNTIFS($E$5:$E$1204,E328,$H$5:$H$1204,"Falta",$L$5:$L$1204,Config!$B$7,$M$5:$M$1204,Config!$B$5)*1000-ROW()/100000,0)</f>
        <v>0</v>
      </c>
    </row>
    <row r="329">
      <c r="A329" s="39" t="n">
        <v>46238</v>
      </c>
      <c r="B329" s="40" t="n">
        <v>0.3541666666666667</v>
      </c>
      <c r="C329" s="35" t="inlineStr">
        <is>
          <t>Dra. Carolina Mendes</t>
        </is>
      </c>
      <c r="D329" s="35" t="inlineStr">
        <is>
          <t>Sala 1</t>
        </is>
      </c>
      <c r="E329" s="34" t="inlineStr">
        <is>
          <t>Helena Moreira</t>
        </is>
      </c>
      <c r="F329" s="35" t="inlineStr">
        <is>
          <t>Particular</t>
        </is>
      </c>
      <c r="G329" s="35" t="inlineStr">
        <is>
          <t>Consulta</t>
        </is>
      </c>
      <c r="H329" s="35" t="inlineStr">
        <is>
          <t>Realizado</t>
        </is>
      </c>
      <c r="I329" s="35" t="inlineStr">
        <is>
          <t>Cartão de crédito</t>
        </is>
      </c>
      <c r="J329" s="35" t="n"/>
      <c r="K329" s="34" t="n"/>
      <c r="L329" s="26">
        <f>IF(A329="","",MONTH(A329))</f>
        <v>8</v>
      </c>
      <c r="M329" s="26">
        <f>IF(A329="","",YEAR(A329))</f>
        <v>2026</v>
      </c>
      <c r="N329" s="26" t="str">
        <f>IF(A329="","",CHOOSE(WEEKDAY(A329,2),"Segunda","Terça","Quarta","Quinta","Sexta","Sábado","Domingo"))</f>
        <v>Terça</v>
      </c>
      <c r="O329" s="26" t="str">
        <f>IF(B329="","",IF(B329&lt;TIME(12,0,0),"Manhã",IF(B329&lt;TIME(18,0,0),"Tarde","Noite")))</f>
        <v>Manhã</v>
      </c>
      <c r="P329" s="32">
        <f>IF(G329="","",IFERROR(INDEX(Config!$I$5:$I$16,MATCH(G329,Config!$H$5:$H$16,0)),0))</f>
        <v>30</v>
      </c>
      <c r="Q329" s="30">
        <f>IF(OR(H329&lt;&gt;"Realizado",P329="",P329=0),"",A329+P329)</f>
        <v>46268.0</v>
      </c>
      <c r="R329" s="26" t="str">
        <f>IF(Q329="","",IF(COUNTIFS($E$5:$E$1204,E329,$A$5:$A$1204,"&gt;"&amp;A329,$H$5:$H$1204,"&lt;&gt;Falta",$H$5:$H$1204,"&lt;&gt;Cancelado",$H$5:$H$1204,"&lt;&gt;Remarcado")&gt;0,"Sim","Não"))</f>
        <v>Sim</v>
      </c>
      <c r="S329" s="32">
        <f>IF(R329&lt;&gt;"Não","",IF(Q329+Config!$B$9&lt;=Config!$B$8,Config!$B$8-Q329,""))</f>
        <v/>
      </c>
      <c r="T329" s="26">
        <f>IF(S329="","","Sim")</f>
        <v/>
      </c>
      <c r="U329" s="41">
        <f>IF(T329="Sim",S329+ROW()/100000,0)</f>
        <v>0</v>
      </c>
      <c r="V329" s="41">
        <f>IF(AND(H329="Falta",L329=Config!$B$7,M329=Config!$B$5,COUNTIFS($E$5:E329,E329,$H$5:H329,"Falta",$L$5:L329,Config!$B$7,$M$5:M329,Config!$B$5)=1),COUNTIFS($E$5:$E$1204,E329,$H$5:$H$1204,"Falta",$L$5:$L$1204,Config!$B$7,$M$5:$M$1204,Config!$B$5)*1000-ROW()/100000,0)</f>
        <v>0</v>
      </c>
    </row>
    <row r="330">
      <c r="A330" s="39" t="n">
        <v>46238</v>
      </c>
      <c r="B330" s="40" t="n">
        <v>0.375</v>
      </c>
      <c r="C330" s="35" t="inlineStr">
        <is>
          <t>Dra. Carolina Mendes</t>
        </is>
      </c>
      <c r="D330" s="35" t="inlineStr">
        <is>
          <t>Sala 1</t>
        </is>
      </c>
      <c r="E330" s="34" t="inlineStr">
        <is>
          <t>Fernanda Freitas</t>
        </is>
      </c>
      <c r="F330" s="35" t="inlineStr">
        <is>
          <t>Particular</t>
        </is>
      </c>
      <c r="G330" s="35" t="inlineStr">
        <is>
          <t>Consulta</t>
        </is>
      </c>
      <c r="H330" s="35" t="inlineStr">
        <is>
          <t>Realizado</t>
        </is>
      </c>
      <c r="I330" s="35" t="inlineStr">
        <is>
          <t>Cartão de débito</t>
        </is>
      </c>
      <c r="J330" s="35" t="n"/>
      <c r="K330" s="34" t="n"/>
      <c r="L330" s="26">
        <f>IF(A330="","",MONTH(A330))</f>
        <v>8</v>
      </c>
      <c r="M330" s="26">
        <f>IF(A330="","",YEAR(A330))</f>
        <v>2026</v>
      </c>
      <c r="N330" s="26" t="str">
        <f>IF(A330="","",CHOOSE(WEEKDAY(A330,2),"Segunda","Terça","Quarta","Quinta","Sexta","Sábado","Domingo"))</f>
        <v>Terça</v>
      </c>
      <c r="O330" s="26" t="str">
        <f>IF(B330="","",IF(B330&lt;TIME(12,0,0),"Manhã",IF(B330&lt;TIME(18,0,0),"Tarde","Noite")))</f>
        <v>Manhã</v>
      </c>
      <c r="P330" s="32">
        <f>IF(G330="","",IFERROR(INDEX(Config!$I$5:$I$16,MATCH(G330,Config!$H$5:$H$16,0)),0))</f>
        <v>30</v>
      </c>
      <c r="Q330" s="30">
        <f>IF(OR(H330&lt;&gt;"Realizado",P330="",P330=0),"",A330+P330)</f>
        <v>46268.0</v>
      </c>
      <c r="R330" s="26" t="str">
        <f>IF(Q330="","",IF(COUNTIFS($E$5:$E$1204,E330,$A$5:$A$1204,"&gt;"&amp;A330,$H$5:$H$1204,"&lt;&gt;Falta",$H$5:$H$1204,"&lt;&gt;Cancelado",$H$5:$H$1204,"&lt;&gt;Remarcado")&gt;0,"Sim","Não"))</f>
        <v>Sim</v>
      </c>
      <c r="S330" s="32">
        <f>IF(R330&lt;&gt;"Não","",IF(Q330+Config!$B$9&lt;=Config!$B$8,Config!$B$8-Q330,""))</f>
        <v/>
      </c>
      <c r="T330" s="26">
        <f>IF(S330="","","Sim")</f>
        <v/>
      </c>
      <c r="U330" s="41">
        <f>IF(T330="Sim",S330+ROW()/100000,0)</f>
        <v>0</v>
      </c>
      <c r="V330" s="41">
        <f>IF(AND(H330="Falta",L330=Config!$B$7,M330=Config!$B$5,COUNTIFS($E$5:E330,E330,$H$5:H330,"Falta",$L$5:L330,Config!$B$7,$M$5:M330,Config!$B$5)=1),COUNTIFS($E$5:$E$1204,E330,$H$5:$H$1204,"Falta",$L$5:$L$1204,Config!$B$7,$M$5:$M$1204,Config!$B$5)*1000-ROW()/100000,0)</f>
        <v>0</v>
      </c>
    </row>
    <row r="331">
      <c r="A331" s="39" t="n">
        <v>46238</v>
      </c>
      <c r="B331" s="40" t="n">
        <v>0.3958333333333333</v>
      </c>
      <c r="C331" s="35" t="inlineStr">
        <is>
          <t>Dra. Carolina Mendes</t>
        </is>
      </c>
      <c r="D331" s="35" t="inlineStr">
        <is>
          <t>Sala 1</t>
        </is>
      </c>
      <c r="E331" s="34" t="inlineStr">
        <is>
          <t>Ana Costa</t>
        </is>
      </c>
      <c r="F331" s="35" t="inlineStr">
        <is>
          <t>Particular</t>
        </is>
      </c>
      <c r="G331" s="35" t="inlineStr">
        <is>
          <t>Consulta</t>
        </is>
      </c>
      <c r="H331" s="35" t="inlineStr">
        <is>
          <t>Realizado</t>
        </is>
      </c>
      <c r="I331" s="35" t="inlineStr">
        <is>
          <t>Pix</t>
        </is>
      </c>
      <c r="J331" s="35" t="n"/>
      <c r="K331" s="34" t="n"/>
      <c r="L331" s="26">
        <f>IF(A331="","",MONTH(A331))</f>
        <v>8</v>
      </c>
      <c r="M331" s="26">
        <f>IF(A331="","",YEAR(A331))</f>
        <v>2026</v>
      </c>
      <c r="N331" s="26" t="str">
        <f>IF(A331="","",CHOOSE(WEEKDAY(A331,2),"Segunda","Terça","Quarta","Quinta","Sexta","Sábado","Domingo"))</f>
        <v>Terça</v>
      </c>
      <c r="O331" s="26" t="str">
        <f>IF(B331="","",IF(B331&lt;TIME(12,0,0),"Manhã",IF(B331&lt;TIME(18,0,0),"Tarde","Noite")))</f>
        <v>Manhã</v>
      </c>
      <c r="P331" s="32">
        <f>IF(G331="","",IFERROR(INDEX(Config!$I$5:$I$16,MATCH(G331,Config!$H$5:$H$16,0)),0))</f>
        <v>30</v>
      </c>
      <c r="Q331" s="30">
        <f>IF(OR(H331&lt;&gt;"Realizado",P331="",P331=0),"",A331+P331)</f>
        <v>46268.0</v>
      </c>
      <c r="R331" s="26" t="str">
        <f>IF(Q331="","",IF(COUNTIFS($E$5:$E$1204,E331,$A$5:$A$1204,"&gt;"&amp;A331,$H$5:$H$1204,"&lt;&gt;Falta",$H$5:$H$1204,"&lt;&gt;Cancelado",$H$5:$H$1204,"&lt;&gt;Remarcado")&gt;0,"Sim","Não"))</f>
        <v>Sim</v>
      </c>
      <c r="S331" s="32">
        <f>IF(R331&lt;&gt;"Não","",IF(Q331+Config!$B$9&lt;=Config!$B$8,Config!$B$8-Q331,""))</f>
        <v/>
      </c>
      <c r="T331" s="26">
        <f>IF(S331="","","Sim")</f>
        <v/>
      </c>
      <c r="U331" s="41">
        <f>IF(T331="Sim",S331+ROW()/100000,0)</f>
        <v>0</v>
      </c>
      <c r="V331" s="41">
        <f>IF(AND(H331="Falta",L331=Config!$B$7,M331=Config!$B$5,COUNTIFS($E$5:E331,E331,$H$5:H331,"Falta",$L$5:L331,Config!$B$7,$M$5:M331,Config!$B$5)=1),COUNTIFS($E$5:$E$1204,E331,$H$5:$H$1204,"Falta",$L$5:$L$1204,Config!$B$7,$M$5:$M$1204,Config!$B$5)*1000-ROW()/100000,0)</f>
        <v>0</v>
      </c>
    </row>
    <row r="332">
      <c r="A332" s="39" t="n">
        <v>46238</v>
      </c>
      <c r="B332" s="40" t="n">
        <v>0.4166666666666667</v>
      </c>
      <c r="C332" s="35" t="inlineStr">
        <is>
          <t>Dra. Carolina Mendes</t>
        </is>
      </c>
      <c r="D332" s="35" t="inlineStr">
        <is>
          <t>Sala 1</t>
        </is>
      </c>
      <c r="E332" s="34" t="inlineStr">
        <is>
          <t>Eduardo Lima</t>
        </is>
      </c>
      <c r="F332" s="35" t="inlineStr">
        <is>
          <t>Particular</t>
        </is>
      </c>
      <c r="G332" s="35" t="inlineStr">
        <is>
          <t>Consulta</t>
        </is>
      </c>
      <c r="H332" s="35" t="inlineStr">
        <is>
          <t>Realizado</t>
        </is>
      </c>
      <c r="I332" s="35" t="inlineStr">
        <is>
          <t>Pix</t>
        </is>
      </c>
      <c r="J332" s="35" t="n"/>
      <c r="K332" s="34" t="n"/>
      <c r="L332" s="26">
        <f>IF(A332="","",MONTH(A332))</f>
        <v>8</v>
      </c>
      <c r="M332" s="26">
        <f>IF(A332="","",YEAR(A332))</f>
        <v>2026</v>
      </c>
      <c r="N332" s="26" t="str">
        <f>IF(A332="","",CHOOSE(WEEKDAY(A332,2),"Segunda","Terça","Quarta","Quinta","Sexta","Sábado","Domingo"))</f>
        <v>Terça</v>
      </c>
      <c r="O332" s="26" t="str">
        <f>IF(B332="","",IF(B332&lt;TIME(12,0,0),"Manhã",IF(B332&lt;TIME(18,0,0),"Tarde","Noite")))</f>
        <v>Manhã</v>
      </c>
      <c r="P332" s="32">
        <f>IF(G332="","",IFERROR(INDEX(Config!$I$5:$I$16,MATCH(G332,Config!$H$5:$H$16,0)),0))</f>
        <v>30</v>
      </c>
      <c r="Q332" s="30">
        <f>IF(OR(H332&lt;&gt;"Realizado",P332="",P332=0),"",A332+P332)</f>
        <v>46268.0</v>
      </c>
      <c r="R332" s="26" t="str">
        <f>IF(Q332="","",IF(COUNTIFS($E$5:$E$1204,E332,$A$5:$A$1204,"&gt;"&amp;A332,$H$5:$H$1204,"&lt;&gt;Falta",$H$5:$H$1204,"&lt;&gt;Cancelado",$H$5:$H$1204,"&lt;&gt;Remarcado")&gt;0,"Sim","Não"))</f>
        <v>Sim</v>
      </c>
      <c r="S332" s="32">
        <f>IF(R332&lt;&gt;"Não","",IF(Q332+Config!$B$9&lt;=Config!$B$8,Config!$B$8-Q332,""))</f>
        <v/>
      </c>
      <c r="T332" s="26">
        <f>IF(S332="","","Sim")</f>
        <v/>
      </c>
      <c r="U332" s="41">
        <f>IF(T332="Sim",S332+ROW()/100000,0)</f>
        <v>0</v>
      </c>
      <c r="V332" s="41">
        <f>IF(AND(H332="Falta",L332=Config!$B$7,M332=Config!$B$5,COUNTIFS($E$5:E332,E332,$H$5:H332,"Falta",$L$5:L332,Config!$B$7,$M$5:M332,Config!$B$5)=1),COUNTIFS($E$5:$E$1204,E332,$H$5:$H$1204,"Falta",$L$5:$L$1204,Config!$B$7,$M$5:$M$1204,Config!$B$5)*1000-ROW()/100000,0)</f>
        <v>0</v>
      </c>
    </row>
    <row r="333">
      <c r="A333" s="39" t="n">
        <v>46238</v>
      </c>
      <c r="B333" s="40" t="n">
        <v>0.4375</v>
      </c>
      <c r="C333" s="35" t="inlineStr">
        <is>
          <t>Dra. Carolina Mendes</t>
        </is>
      </c>
      <c r="D333" s="35" t="inlineStr">
        <is>
          <t>Sala 1</t>
        </is>
      </c>
      <c r="E333" s="34" t="inlineStr">
        <is>
          <t>Daniel Melo</t>
        </is>
      </c>
      <c r="F333" s="35" t="inlineStr">
        <is>
          <t>Saúde Total</t>
        </is>
      </c>
      <c r="G333" s="35" t="inlineStr">
        <is>
          <t>Consulta</t>
        </is>
      </c>
      <c r="H333" s="35" t="inlineStr">
        <is>
          <t>Realizado</t>
        </is>
      </c>
      <c r="I333" s="35" t="inlineStr">
        <is>
          <t>Convênio</t>
        </is>
      </c>
      <c r="J333" s="35" t="n"/>
      <c r="K333" s="34" t="n"/>
      <c r="L333" s="26">
        <f>IF(A333="","",MONTH(A333))</f>
        <v>8</v>
      </c>
      <c r="M333" s="26">
        <f>IF(A333="","",YEAR(A333))</f>
        <v>2026</v>
      </c>
      <c r="N333" s="26" t="str">
        <f>IF(A333="","",CHOOSE(WEEKDAY(A333,2),"Segunda","Terça","Quarta","Quinta","Sexta","Sábado","Domingo"))</f>
        <v>Terça</v>
      </c>
      <c r="O333" s="26" t="str">
        <f>IF(B333="","",IF(B333&lt;TIME(12,0,0),"Manhã",IF(B333&lt;TIME(18,0,0),"Tarde","Noite")))</f>
        <v>Manhã</v>
      </c>
      <c r="P333" s="32">
        <f>IF(G333="","",IFERROR(INDEX(Config!$I$5:$I$16,MATCH(G333,Config!$H$5:$H$16,0)),0))</f>
        <v>30</v>
      </c>
      <c r="Q333" s="30">
        <f>IF(OR(H333&lt;&gt;"Realizado",P333="",P333=0),"",A333+P333)</f>
        <v>46268.0</v>
      </c>
      <c r="R333" s="26" t="str">
        <f>IF(Q333="","",IF(COUNTIFS($E$5:$E$1204,E333,$A$5:$A$1204,"&gt;"&amp;A333,$H$5:$H$1204,"&lt;&gt;Falta",$H$5:$H$1204,"&lt;&gt;Cancelado",$H$5:$H$1204,"&lt;&gt;Remarcado")&gt;0,"Sim","Não"))</f>
        <v>Sim</v>
      </c>
      <c r="S333" s="32">
        <f>IF(R333&lt;&gt;"Não","",IF(Q333+Config!$B$9&lt;=Config!$B$8,Config!$B$8-Q333,""))</f>
        <v/>
      </c>
      <c r="T333" s="26">
        <f>IF(S333="","","Sim")</f>
        <v/>
      </c>
      <c r="U333" s="41">
        <f>IF(T333="Sim",S333+ROW()/100000,0)</f>
        <v>0</v>
      </c>
      <c r="V333" s="41">
        <f>IF(AND(H333="Falta",L333=Config!$B$7,M333=Config!$B$5,COUNTIFS($E$5:E333,E333,$H$5:H333,"Falta",$L$5:L333,Config!$B$7,$M$5:M333,Config!$B$5)=1),COUNTIFS($E$5:$E$1204,E333,$H$5:$H$1204,"Falta",$L$5:$L$1204,Config!$B$7,$M$5:$M$1204,Config!$B$5)*1000-ROW()/100000,0)</f>
        <v>0</v>
      </c>
    </row>
    <row r="334">
      <c r="A334" s="39" t="n">
        <v>46238</v>
      </c>
      <c r="B334" s="40" t="n">
        <v>0.4583333333333333</v>
      </c>
      <c r="C334" s="35" t="inlineStr">
        <is>
          <t>Dra. Carolina Mendes</t>
        </is>
      </c>
      <c r="D334" s="35" t="inlineStr">
        <is>
          <t>Sala 1</t>
        </is>
      </c>
      <c r="E334" s="34" t="inlineStr">
        <is>
          <t>Mariana Nascimento</t>
        </is>
      </c>
      <c r="F334" s="35" t="inlineStr">
        <is>
          <t>Particular</t>
        </is>
      </c>
      <c r="G334" s="35" t="inlineStr">
        <is>
          <t>Consulta</t>
        </is>
      </c>
      <c r="H334" s="35" t="inlineStr">
        <is>
          <t>Falta</t>
        </is>
      </c>
      <c r="I334" s="35" t="n"/>
      <c r="J334" s="35" t="n"/>
      <c r="K334" s="34" t="n"/>
      <c r="L334" s="26">
        <f>IF(A334="","",MONTH(A334))</f>
        <v>8</v>
      </c>
      <c r="M334" s="26">
        <f>IF(A334="","",YEAR(A334))</f>
        <v>2026</v>
      </c>
      <c r="N334" s="26" t="str">
        <f>IF(A334="","",CHOOSE(WEEKDAY(A334,2),"Segunda","Terça","Quarta","Quinta","Sexta","Sábado","Domingo"))</f>
        <v>Terça</v>
      </c>
      <c r="O334" s="26" t="str">
        <f>IF(B334="","",IF(B334&lt;TIME(12,0,0),"Manhã",IF(B334&lt;TIME(18,0,0),"Tarde","Noite")))</f>
        <v>Manhã</v>
      </c>
      <c r="P334" s="32">
        <f>IF(G334="","",IFERROR(INDEX(Config!$I$5:$I$16,MATCH(G334,Config!$H$5:$H$16,0)),0))</f>
        <v>30</v>
      </c>
      <c r="Q334" s="30">
        <f>IF(OR(H334&lt;&gt;"Realizado",P334="",P334=0),"",A334+P334)</f>
        <v/>
      </c>
      <c r="R334" s="26">
        <f>IF(Q334="","",IF(COUNTIFS($E$5:$E$1204,E334,$A$5:$A$1204,"&gt;"&amp;A334,$H$5:$H$1204,"&lt;&gt;Falta",$H$5:$H$1204,"&lt;&gt;Cancelado",$H$5:$H$1204,"&lt;&gt;Remarcado")&gt;0,"Sim","Não"))</f>
        <v/>
      </c>
      <c r="S334" s="32">
        <f>IF(R334&lt;&gt;"Não","",IF(Q334+Config!$B$9&lt;=Config!$B$8,Config!$B$8-Q334,""))</f>
        <v/>
      </c>
      <c r="T334" s="26">
        <f>IF(S334="","","Sim")</f>
        <v/>
      </c>
      <c r="U334" s="41">
        <f>IF(T334="Sim",S334+ROW()/100000,0)</f>
        <v>0</v>
      </c>
      <c r="V334" s="41">
        <f>IF(AND(H334="Falta",L334=Config!$B$7,M334=Config!$B$5,COUNTIFS($E$5:E334,E334,$H$5:H334,"Falta",$L$5:L334,Config!$B$7,$M$5:M334,Config!$B$5)=1),COUNTIFS($E$5:$E$1204,E334,$H$5:$H$1204,"Falta",$L$5:$L$1204,Config!$B$7,$M$5:$M$1204,Config!$B$5)*1000-ROW()/100000,0)</f>
        <v>0</v>
      </c>
    </row>
    <row r="335">
      <c r="A335" s="39" t="n">
        <v>46238</v>
      </c>
      <c r="B335" s="40" t="n">
        <v>0.4791666666666667</v>
      </c>
      <c r="C335" s="35" t="inlineStr">
        <is>
          <t>Dra. Carolina Mendes</t>
        </is>
      </c>
      <c r="D335" s="35" t="inlineStr">
        <is>
          <t>Sala 1</t>
        </is>
      </c>
      <c r="E335" s="34" t="inlineStr">
        <is>
          <t>Wagner Lima</t>
        </is>
      </c>
      <c r="F335" s="35" t="inlineStr">
        <is>
          <t>Particular</t>
        </is>
      </c>
      <c r="G335" s="35" t="inlineStr">
        <is>
          <t>Consulta</t>
        </is>
      </c>
      <c r="H335" s="35" t="inlineStr">
        <is>
          <t>Realizado</t>
        </is>
      </c>
      <c r="I335" s="35" t="inlineStr">
        <is>
          <t>Cartão de débito</t>
        </is>
      </c>
      <c r="J335" s="35" t="n"/>
      <c r="K335" s="34" t="n"/>
      <c r="L335" s="26">
        <f>IF(A335="","",MONTH(A335))</f>
        <v>8</v>
      </c>
      <c r="M335" s="26">
        <f>IF(A335="","",YEAR(A335))</f>
        <v>2026</v>
      </c>
      <c r="N335" s="26" t="str">
        <f>IF(A335="","",CHOOSE(WEEKDAY(A335,2),"Segunda","Terça","Quarta","Quinta","Sexta","Sábado","Domingo"))</f>
        <v>Terça</v>
      </c>
      <c r="O335" s="26" t="str">
        <f>IF(B335="","",IF(B335&lt;TIME(12,0,0),"Manhã",IF(B335&lt;TIME(18,0,0),"Tarde","Noite")))</f>
        <v>Manhã</v>
      </c>
      <c r="P335" s="32">
        <f>IF(G335="","",IFERROR(INDEX(Config!$I$5:$I$16,MATCH(G335,Config!$H$5:$H$16,0)),0))</f>
        <v>30</v>
      </c>
      <c r="Q335" s="30">
        <f>IF(OR(H335&lt;&gt;"Realizado",P335="",P335=0),"",A335+P335)</f>
        <v>46268.0</v>
      </c>
      <c r="R335" s="26" t="str">
        <f>IF(Q335="","",IF(COUNTIFS($E$5:$E$1204,E335,$A$5:$A$1204,"&gt;"&amp;A335,$H$5:$H$1204,"&lt;&gt;Falta",$H$5:$H$1204,"&lt;&gt;Cancelado",$H$5:$H$1204,"&lt;&gt;Remarcado")&gt;0,"Sim","Não"))</f>
        <v>Sim</v>
      </c>
      <c r="S335" s="32">
        <f>IF(R335&lt;&gt;"Não","",IF(Q335+Config!$B$9&lt;=Config!$B$8,Config!$B$8-Q335,""))</f>
        <v/>
      </c>
      <c r="T335" s="26">
        <f>IF(S335="","","Sim")</f>
        <v/>
      </c>
      <c r="U335" s="41">
        <f>IF(T335="Sim",S335+ROW()/100000,0)</f>
        <v>0</v>
      </c>
      <c r="V335" s="41">
        <f>IF(AND(H335="Falta",L335=Config!$B$7,M335=Config!$B$5,COUNTIFS($E$5:E335,E335,$H$5:H335,"Falta",$L$5:L335,Config!$B$7,$M$5:M335,Config!$B$5)=1),COUNTIFS($E$5:$E$1204,E335,$H$5:$H$1204,"Falta",$L$5:$L$1204,Config!$B$7,$M$5:$M$1204,Config!$B$5)*1000-ROW()/100000,0)</f>
        <v>0</v>
      </c>
    </row>
    <row r="336">
      <c r="A336" s="39" t="n">
        <v>46238</v>
      </c>
      <c r="B336" s="40" t="n">
        <v>0.5833333333333334</v>
      </c>
      <c r="C336" s="35" t="inlineStr">
        <is>
          <t>Dra. Renata Sousa</t>
        </is>
      </c>
      <c r="D336" s="35" t="inlineStr">
        <is>
          <t>Sala 1</t>
        </is>
      </c>
      <c r="E336" s="34" t="inlineStr">
        <is>
          <t>Gabriel Lopes</t>
        </is>
      </c>
      <c r="F336" s="35" t="inlineStr">
        <is>
          <t>Saúde Total</t>
        </is>
      </c>
      <c r="G336" s="35" t="inlineStr">
        <is>
          <t>Avaliação endócrina</t>
        </is>
      </c>
      <c r="H336" s="35" t="inlineStr">
        <is>
          <t>Realizado</t>
        </is>
      </c>
      <c r="I336" s="35" t="inlineStr">
        <is>
          <t>Convênio</t>
        </is>
      </c>
      <c r="J336" s="35" t="n"/>
      <c r="K336" s="34" t="n"/>
      <c r="L336" s="26">
        <f>IF(A336="","",MONTH(A336))</f>
        <v>8</v>
      </c>
      <c r="M336" s="26">
        <f>IF(A336="","",YEAR(A336))</f>
        <v>2026</v>
      </c>
      <c r="N336" s="26" t="str">
        <f>IF(A336="","",CHOOSE(WEEKDAY(A336,2),"Segunda","Terça","Quarta","Quinta","Sexta","Sábado","Domingo"))</f>
        <v>Terça</v>
      </c>
      <c r="O336" s="26" t="str">
        <f>IF(B336="","",IF(B336&lt;TIME(12,0,0),"Manhã",IF(B336&lt;TIME(18,0,0),"Tarde","Noite")))</f>
        <v>Tarde</v>
      </c>
      <c r="P336" s="32">
        <f>IF(G336="","",IFERROR(INDEX(Config!$I$5:$I$16,MATCH(G336,Config!$H$5:$H$16,0)),0))</f>
        <v>45</v>
      </c>
      <c r="Q336" s="30">
        <f>IF(OR(H336&lt;&gt;"Realizado",P336="",P336=0),"",A336+P336)</f>
        <v>46283.0</v>
      </c>
      <c r="R336" s="26" t="str">
        <f>IF(Q336="","",IF(COUNTIFS($E$5:$E$1204,E336,$A$5:$A$1204,"&gt;"&amp;A336,$H$5:$H$1204,"&lt;&gt;Falta",$H$5:$H$1204,"&lt;&gt;Cancelado",$H$5:$H$1204,"&lt;&gt;Remarcado")&gt;0,"Sim","Não"))</f>
        <v>Sim</v>
      </c>
      <c r="S336" s="32">
        <f>IF(R336&lt;&gt;"Não","",IF(Q336+Config!$B$9&lt;=Config!$B$8,Config!$B$8-Q336,""))</f>
        <v/>
      </c>
      <c r="T336" s="26">
        <f>IF(S336="","","Sim")</f>
        <v/>
      </c>
      <c r="U336" s="41">
        <f>IF(T336="Sim",S336+ROW()/100000,0)</f>
        <v>0</v>
      </c>
      <c r="V336" s="41">
        <f>IF(AND(H336="Falta",L336=Config!$B$7,M336=Config!$B$5,COUNTIFS($E$5:E336,E336,$H$5:H336,"Falta",$L$5:L336,Config!$B$7,$M$5:M336,Config!$B$5)=1),COUNTIFS($E$5:$E$1204,E336,$H$5:$H$1204,"Falta",$L$5:$L$1204,Config!$B$7,$M$5:$M$1204,Config!$B$5)*1000-ROW()/100000,0)</f>
        <v>0</v>
      </c>
    </row>
    <row r="337">
      <c r="A337" s="39" t="n">
        <v>46238</v>
      </c>
      <c r="B337" s="40" t="n">
        <v>0.5833333333333334</v>
      </c>
      <c r="C337" s="35" t="inlineStr">
        <is>
          <t>Dr. Paulo Andrade</t>
        </is>
      </c>
      <c r="D337" s="35" t="inlineStr">
        <is>
          <t>Sala 2</t>
        </is>
      </c>
      <c r="E337" s="34" t="inlineStr">
        <is>
          <t>Paulo Ribeiro</t>
        </is>
      </c>
      <c r="F337" s="35" t="inlineStr">
        <is>
          <t>Saúde Total</t>
        </is>
      </c>
      <c r="G337" s="35" t="inlineStr">
        <is>
          <t>Retorno</t>
        </is>
      </c>
      <c r="H337" s="35" t="inlineStr">
        <is>
          <t>Realizado</t>
        </is>
      </c>
      <c r="I337" s="35" t="inlineStr">
        <is>
          <t>Sem cobrança</t>
        </is>
      </c>
      <c r="J337" s="35" t="n"/>
      <c r="K337" s="34" t="n"/>
      <c r="L337" s="26">
        <f>IF(A337="","",MONTH(A337))</f>
        <v>8</v>
      </c>
      <c r="M337" s="26">
        <f>IF(A337="","",YEAR(A337))</f>
        <v>2026</v>
      </c>
      <c r="N337" s="26" t="str">
        <f>IF(A337="","",CHOOSE(WEEKDAY(A337,2),"Segunda","Terça","Quarta","Quinta","Sexta","Sábado","Domingo"))</f>
        <v>Terça</v>
      </c>
      <c r="O337" s="26" t="str">
        <f>IF(B337="","",IF(B337&lt;TIME(12,0,0),"Manhã",IF(B337&lt;TIME(18,0,0),"Tarde","Noite")))</f>
        <v>Tarde</v>
      </c>
      <c r="P337" s="32">
        <f>IF(G337="","",IFERROR(INDEX(Config!$I$5:$I$16,MATCH(G337,Config!$H$5:$H$16,0)),0))</f>
        <v>0</v>
      </c>
      <c r="Q337" s="30">
        <f>IF(OR(H337&lt;&gt;"Realizado",P337="",P337=0),"",A337+P337)</f>
        <v/>
      </c>
      <c r="R337" s="26">
        <f>IF(Q337="","",IF(COUNTIFS($E$5:$E$1204,E337,$A$5:$A$1204,"&gt;"&amp;A337,$H$5:$H$1204,"&lt;&gt;Falta",$H$5:$H$1204,"&lt;&gt;Cancelado",$H$5:$H$1204,"&lt;&gt;Remarcado")&gt;0,"Sim","Não"))</f>
        <v/>
      </c>
      <c r="S337" s="32">
        <f>IF(R337&lt;&gt;"Não","",IF(Q337+Config!$B$9&lt;=Config!$B$8,Config!$B$8-Q337,""))</f>
        <v/>
      </c>
      <c r="T337" s="26">
        <f>IF(S337="","","Sim")</f>
        <v/>
      </c>
      <c r="U337" s="41">
        <f>IF(T337="Sim",S337+ROW()/100000,0)</f>
        <v>0</v>
      </c>
      <c r="V337" s="41">
        <f>IF(AND(H337="Falta",L337=Config!$B$7,M337=Config!$B$5,COUNTIFS($E$5:E337,E337,$H$5:H337,"Falta",$L$5:L337,Config!$B$7,$M$5:M337,Config!$B$5)=1),COUNTIFS($E$5:$E$1204,E337,$H$5:$H$1204,"Falta",$L$5:$L$1204,Config!$B$7,$M$5:$M$1204,Config!$B$5)*1000-ROW()/100000,0)</f>
        <v>0</v>
      </c>
    </row>
    <row r="338">
      <c r="A338" s="39" t="n">
        <v>46238</v>
      </c>
      <c r="B338" s="40" t="n">
        <v>0.5972222222222222</v>
      </c>
      <c r="C338" s="35" t="inlineStr">
        <is>
          <t>Dr. Paulo Andrade</t>
        </is>
      </c>
      <c r="D338" s="35" t="inlineStr">
        <is>
          <t>Sala 2</t>
        </is>
      </c>
      <c r="E338" s="34" t="inlineStr">
        <is>
          <t>Henrique Santos</t>
        </is>
      </c>
      <c r="F338" s="35" t="inlineStr">
        <is>
          <t>Vida Care</t>
        </is>
      </c>
      <c r="G338" s="35" t="inlineStr">
        <is>
          <t>Retorno</t>
        </is>
      </c>
      <c r="H338" s="35" t="inlineStr">
        <is>
          <t>Realizado</t>
        </is>
      </c>
      <c r="I338" s="35" t="inlineStr">
        <is>
          <t>Sem cobrança</t>
        </is>
      </c>
      <c r="J338" s="35" t="n"/>
      <c r="K338" s="34" t="n"/>
      <c r="L338" s="26">
        <f>IF(A338="","",MONTH(A338))</f>
        <v>8</v>
      </c>
      <c r="M338" s="26">
        <f>IF(A338="","",YEAR(A338))</f>
        <v>2026</v>
      </c>
      <c r="N338" s="26" t="str">
        <f>IF(A338="","",CHOOSE(WEEKDAY(A338,2),"Segunda","Terça","Quarta","Quinta","Sexta","Sábado","Domingo"))</f>
        <v>Terça</v>
      </c>
      <c r="O338" s="26" t="str">
        <f>IF(B338="","",IF(B338&lt;TIME(12,0,0),"Manhã",IF(B338&lt;TIME(18,0,0),"Tarde","Noite")))</f>
        <v>Tarde</v>
      </c>
      <c r="P338" s="32">
        <f>IF(G338="","",IFERROR(INDEX(Config!$I$5:$I$16,MATCH(G338,Config!$H$5:$H$16,0)),0))</f>
        <v>0</v>
      </c>
      <c r="Q338" s="30">
        <f>IF(OR(H338&lt;&gt;"Realizado",P338="",P338=0),"",A338+P338)</f>
        <v/>
      </c>
      <c r="R338" s="26">
        <f>IF(Q338="","",IF(COUNTIFS($E$5:$E$1204,E338,$A$5:$A$1204,"&gt;"&amp;A338,$H$5:$H$1204,"&lt;&gt;Falta",$H$5:$H$1204,"&lt;&gt;Cancelado",$H$5:$H$1204,"&lt;&gt;Remarcado")&gt;0,"Sim","Não"))</f>
        <v/>
      </c>
      <c r="S338" s="32">
        <f>IF(R338&lt;&gt;"Não","",IF(Q338+Config!$B$9&lt;=Config!$B$8,Config!$B$8-Q338,""))</f>
        <v/>
      </c>
      <c r="T338" s="26">
        <f>IF(S338="","","Sim")</f>
        <v/>
      </c>
      <c r="U338" s="41">
        <f>IF(T338="Sim",S338+ROW()/100000,0)</f>
        <v>0</v>
      </c>
      <c r="V338" s="41">
        <f>IF(AND(H338="Falta",L338=Config!$B$7,M338=Config!$B$5,COUNTIFS($E$5:E338,E338,$H$5:H338,"Falta",$L$5:L338,Config!$B$7,$M$5:M338,Config!$B$5)=1),COUNTIFS($E$5:$E$1204,E338,$H$5:$H$1204,"Falta",$L$5:$L$1204,Config!$B$7,$M$5:$M$1204,Config!$B$5)*1000-ROW()/100000,0)</f>
        <v>0</v>
      </c>
    </row>
    <row r="339">
      <c r="A339" s="39" t="n">
        <v>46238</v>
      </c>
      <c r="B339" s="40" t="n">
        <v>0.6111111111111112</v>
      </c>
      <c r="C339" s="35" t="inlineStr">
        <is>
          <t>Dra. Renata Sousa</t>
        </is>
      </c>
      <c r="D339" s="35" t="inlineStr">
        <is>
          <t>Sala 1</t>
        </is>
      </c>
      <c r="E339" s="34" t="inlineStr">
        <is>
          <t>Gustavo Carvalho</t>
        </is>
      </c>
      <c r="F339" s="35" t="inlineStr">
        <is>
          <t>Particular</t>
        </is>
      </c>
      <c r="G339" s="35" t="inlineStr">
        <is>
          <t>Avaliação endócrina</t>
        </is>
      </c>
      <c r="H339" s="35" t="inlineStr">
        <is>
          <t>Realizado</t>
        </is>
      </c>
      <c r="I339" s="35" t="inlineStr">
        <is>
          <t>Dinheiro</t>
        </is>
      </c>
      <c r="J339" s="35" t="n"/>
      <c r="K339" s="34" t="n"/>
      <c r="L339" s="26">
        <f>IF(A339="","",MONTH(A339))</f>
        <v>8</v>
      </c>
      <c r="M339" s="26">
        <f>IF(A339="","",YEAR(A339))</f>
        <v>2026</v>
      </c>
      <c r="N339" s="26" t="str">
        <f>IF(A339="","",CHOOSE(WEEKDAY(A339,2),"Segunda","Terça","Quarta","Quinta","Sexta","Sábado","Domingo"))</f>
        <v>Terça</v>
      </c>
      <c r="O339" s="26" t="str">
        <f>IF(B339="","",IF(B339&lt;TIME(12,0,0),"Manhã",IF(B339&lt;TIME(18,0,0),"Tarde","Noite")))</f>
        <v>Tarde</v>
      </c>
      <c r="P339" s="32">
        <f>IF(G339="","",IFERROR(INDEX(Config!$I$5:$I$16,MATCH(G339,Config!$H$5:$H$16,0)),0))</f>
        <v>45</v>
      </c>
      <c r="Q339" s="30">
        <f>IF(OR(H339&lt;&gt;"Realizado",P339="",P339=0),"",A339+P339)</f>
        <v>46283.0</v>
      </c>
      <c r="R339" s="26" t="str">
        <f>IF(Q339="","",IF(COUNTIFS($E$5:$E$1204,E339,$A$5:$A$1204,"&gt;"&amp;A339,$H$5:$H$1204,"&lt;&gt;Falta",$H$5:$H$1204,"&lt;&gt;Cancelado",$H$5:$H$1204,"&lt;&gt;Remarcado")&gt;0,"Sim","Não"))</f>
        <v>Sim</v>
      </c>
      <c r="S339" s="32">
        <f>IF(R339&lt;&gt;"Não","",IF(Q339+Config!$B$9&lt;=Config!$B$8,Config!$B$8-Q339,""))</f>
        <v/>
      </c>
      <c r="T339" s="26">
        <f>IF(S339="","","Sim")</f>
        <v/>
      </c>
      <c r="U339" s="41">
        <f>IF(T339="Sim",S339+ROW()/100000,0)</f>
        <v>0</v>
      </c>
      <c r="V339" s="41">
        <f>IF(AND(H339="Falta",L339=Config!$B$7,M339=Config!$B$5,COUNTIFS($E$5:E339,E339,$H$5:H339,"Falta",$L$5:L339,Config!$B$7,$M$5:M339,Config!$B$5)=1),COUNTIFS($E$5:$E$1204,E339,$H$5:$H$1204,"Falta",$L$5:$L$1204,Config!$B$7,$M$5:$M$1204,Config!$B$5)*1000-ROW()/100000,0)</f>
        <v>0</v>
      </c>
    </row>
    <row r="340">
      <c r="A340" s="39" t="n">
        <v>46238</v>
      </c>
      <c r="B340" s="40" t="n">
        <v>0.6111111111111112</v>
      </c>
      <c r="C340" s="35" t="inlineStr">
        <is>
          <t>Dr. Paulo Andrade</t>
        </is>
      </c>
      <c r="D340" s="35" t="inlineStr">
        <is>
          <t>Sala 2</t>
        </is>
      </c>
      <c r="E340" s="34" t="inlineStr">
        <is>
          <t>Sandra Cardoso</t>
        </is>
      </c>
      <c r="F340" s="35" t="inlineStr">
        <is>
          <t>Saúde Total</t>
        </is>
      </c>
      <c r="G340" s="35" t="inlineStr">
        <is>
          <t>Retorno</t>
        </is>
      </c>
      <c r="H340" s="35" t="inlineStr">
        <is>
          <t>Realizado</t>
        </is>
      </c>
      <c r="I340" s="35" t="inlineStr">
        <is>
          <t>Sem cobrança</t>
        </is>
      </c>
      <c r="J340" s="35" t="n"/>
      <c r="K340" s="34" t="n"/>
      <c r="L340" s="26">
        <f>IF(A340="","",MONTH(A340))</f>
        <v>8</v>
      </c>
      <c r="M340" s="26">
        <f>IF(A340="","",YEAR(A340))</f>
        <v>2026</v>
      </c>
      <c r="N340" s="26" t="str">
        <f>IF(A340="","",CHOOSE(WEEKDAY(A340,2),"Segunda","Terça","Quarta","Quinta","Sexta","Sábado","Domingo"))</f>
        <v>Terça</v>
      </c>
      <c r="O340" s="26" t="str">
        <f>IF(B340="","",IF(B340&lt;TIME(12,0,0),"Manhã",IF(B340&lt;TIME(18,0,0),"Tarde","Noite")))</f>
        <v>Tarde</v>
      </c>
      <c r="P340" s="32">
        <f>IF(G340="","",IFERROR(INDEX(Config!$I$5:$I$16,MATCH(G340,Config!$H$5:$H$16,0)),0))</f>
        <v>0</v>
      </c>
      <c r="Q340" s="30">
        <f>IF(OR(H340&lt;&gt;"Realizado",P340="",P340=0),"",A340+P340)</f>
        <v/>
      </c>
      <c r="R340" s="26">
        <f>IF(Q340="","",IF(COUNTIFS($E$5:$E$1204,E340,$A$5:$A$1204,"&gt;"&amp;A340,$H$5:$H$1204,"&lt;&gt;Falta",$H$5:$H$1204,"&lt;&gt;Cancelado",$H$5:$H$1204,"&lt;&gt;Remarcado")&gt;0,"Sim","Não"))</f>
        <v/>
      </c>
      <c r="S340" s="32">
        <f>IF(R340&lt;&gt;"Não","",IF(Q340+Config!$B$9&lt;=Config!$B$8,Config!$B$8-Q340,""))</f>
        <v/>
      </c>
      <c r="T340" s="26">
        <f>IF(S340="","","Sim")</f>
        <v/>
      </c>
      <c r="U340" s="41">
        <f>IF(T340="Sim",S340+ROW()/100000,0)</f>
        <v>0</v>
      </c>
      <c r="V340" s="41">
        <f>IF(AND(H340="Falta",L340=Config!$B$7,M340=Config!$B$5,COUNTIFS($E$5:E340,E340,$H$5:H340,"Falta",$L$5:L340,Config!$B$7,$M$5:M340,Config!$B$5)=1),COUNTIFS($E$5:$E$1204,E340,$H$5:$H$1204,"Falta",$L$5:$L$1204,Config!$B$7,$M$5:$M$1204,Config!$B$5)*1000-ROW()/100000,0)</f>
        <v>0</v>
      </c>
    </row>
    <row r="341">
      <c r="A341" s="39" t="n">
        <v>46238</v>
      </c>
      <c r="B341" s="40" t="n">
        <v>0.625</v>
      </c>
      <c r="C341" s="35" t="inlineStr">
        <is>
          <t>Dr. Paulo Andrade</t>
        </is>
      </c>
      <c r="D341" s="35" t="inlineStr">
        <is>
          <t>Sala 2</t>
        </is>
      </c>
      <c r="E341" s="34" t="inlineStr">
        <is>
          <t>Viviane Teixeira</t>
        </is>
      </c>
      <c r="F341" s="35" t="inlineStr">
        <is>
          <t>Particular</t>
        </is>
      </c>
      <c r="G341" s="35" t="inlineStr">
        <is>
          <t>Consulta</t>
        </is>
      </c>
      <c r="H341" s="35" t="inlineStr">
        <is>
          <t>Falta</t>
        </is>
      </c>
      <c r="I341" s="35" t="n"/>
      <c r="J341" s="35" t="n"/>
      <c r="K341" s="34" t="n"/>
      <c r="L341" s="26">
        <f>IF(A341="","",MONTH(A341))</f>
        <v>8</v>
      </c>
      <c r="M341" s="26">
        <f>IF(A341="","",YEAR(A341))</f>
        <v>2026</v>
      </c>
      <c r="N341" s="26" t="str">
        <f>IF(A341="","",CHOOSE(WEEKDAY(A341,2),"Segunda","Terça","Quarta","Quinta","Sexta","Sábado","Domingo"))</f>
        <v>Terça</v>
      </c>
      <c r="O341" s="26" t="str">
        <f>IF(B341="","",IF(B341&lt;TIME(12,0,0),"Manhã",IF(B341&lt;TIME(18,0,0),"Tarde","Noite")))</f>
        <v>Tarde</v>
      </c>
      <c r="P341" s="32">
        <f>IF(G341="","",IFERROR(INDEX(Config!$I$5:$I$16,MATCH(G341,Config!$H$5:$H$16,0)),0))</f>
        <v>30</v>
      </c>
      <c r="Q341" s="30">
        <f>IF(OR(H341&lt;&gt;"Realizado",P341="",P341=0),"",A341+P341)</f>
        <v/>
      </c>
      <c r="R341" s="26">
        <f>IF(Q341="","",IF(COUNTIFS($E$5:$E$1204,E341,$A$5:$A$1204,"&gt;"&amp;A341,$H$5:$H$1204,"&lt;&gt;Falta",$H$5:$H$1204,"&lt;&gt;Cancelado",$H$5:$H$1204,"&lt;&gt;Remarcado")&gt;0,"Sim","Não"))</f>
        <v/>
      </c>
      <c r="S341" s="32">
        <f>IF(R341&lt;&gt;"Não","",IF(Q341+Config!$B$9&lt;=Config!$B$8,Config!$B$8-Q341,""))</f>
        <v/>
      </c>
      <c r="T341" s="26">
        <f>IF(S341="","","Sim")</f>
        <v/>
      </c>
      <c r="U341" s="41">
        <f>IF(T341="Sim",S341+ROW()/100000,0)</f>
        <v>0</v>
      </c>
      <c r="V341" s="41">
        <f>IF(AND(H341="Falta",L341=Config!$B$7,M341=Config!$B$5,COUNTIFS($E$5:E341,E341,$H$5:H341,"Falta",$L$5:L341,Config!$B$7,$M$5:M341,Config!$B$5)=1),COUNTIFS($E$5:$E$1204,E341,$H$5:$H$1204,"Falta",$L$5:$L$1204,Config!$B$7,$M$5:$M$1204,Config!$B$5)*1000-ROW()/100000,0)</f>
        <v>0</v>
      </c>
    </row>
    <row r="342">
      <c r="A342" s="39" t="n">
        <v>46238</v>
      </c>
      <c r="B342" s="40" t="n">
        <v>0.6388888888888888</v>
      </c>
      <c r="C342" s="35" t="inlineStr">
        <is>
          <t>Dra. Renata Sousa</t>
        </is>
      </c>
      <c r="D342" s="35" t="inlineStr">
        <is>
          <t>Sala 1</t>
        </is>
      </c>
      <c r="E342" s="34" t="inlineStr">
        <is>
          <t>Isabela Xavier</t>
        </is>
      </c>
      <c r="F342" s="35" t="inlineStr">
        <is>
          <t>Particular</t>
        </is>
      </c>
      <c r="G342" s="35" t="inlineStr">
        <is>
          <t>Avaliação endócrina</t>
        </is>
      </c>
      <c r="H342" s="35" t="inlineStr">
        <is>
          <t>Realizado</t>
        </is>
      </c>
      <c r="I342" s="35" t="inlineStr">
        <is>
          <t>A prazo</t>
        </is>
      </c>
      <c r="J342" s="35" t="n"/>
      <c r="K342" s="34" t="n"/>
      <c r="L342" s="26">
        <f>IF(A342="","",MONTH(A342))</f>
        <v>8</v>
      </c>
      <c r="M342" s="26">
        <f>IF(A342="","",YEAR(A342))</f>
        <v>2026</v>
      </c>
      <c r="N342" s="26" t="str">
        <f>IF(A342="","",CHOOSE(WEEKDAY(A342,2),"Segunda","Terça","Quarta","Quinta","Sexta","Sábado","Domingo"))</f>
        <v>Terça</v>
      </c>
      <c r="O342" s="26" t="str">
        <f>IF(B342="","",IF(B342&lt;TIME(12,0,0),"Manhã",IF(B342&lt;TIME(18,0,0),"Tarde","Noite")))</f>
        <v>Tarde</v>
      </c>
      <c r="P342" s="32">
        <f>IF(G342="","",IFERROR(INDEX(Config!$I$5:$I$16,MATCH(G342,Config!$H$5:$H$16,0)),0))</f>
        <v>45</v>
      </c>
      <c r="Q342" s="30">
        <f>IF(OR(H342&lt;&gt;"Realizado",P342="",P342=0),"",A342+P342)</f>
        <v>46283.0</v>
      </c>
      <c r="R342" s="26" t="str">
        <f>IF(Q342="","",IF(COUNTIFS($E$5:$E$1204,E342,$A$5:$A$1204,"&gt;"&amp;A342,$H$5:$H$1204,"&lt;&gt;Falta",$H$5:$H$1204,"&lt;&gt;Cancelado",$H$5:$H$1204,"&lt;&gt;Remarcado")&gt;0,"Sim","Não"))</f>
        <v>Sim</v>
      </c>
      <c r="S342" s="32">
        <f>IF(R342&lt;&gt;"Não","",IF(Q342+Config!$B$9&lt;=Config!$B$8,Config!$B$8-Q342,""))</f>
        <v/>
      </c>
      <c r="T342" s="26">
        <f>IF(S342="","","Sim")</f>
        <v/>
      </c>
      <c r="U342" s="41">
        <f>IF(T342="Sim",S342+ROW()/100000,0)</f>
        <v>0</v>
      </c>
      <c r="V342" s="41">
        <f>IF(AND(H342="Falta",L342=Config!$B$7,M342=Config!$B$5,COUNTIFS($E$5:E342,E342,$H$5:H342,"Falta",$L$5:L342,Config!$B$7,$M$5:M342,Config!$B$5)=1),COUNTIFS($E$5:$E$1204,E342,$H$5:$H$1204,"Falta",$L$5:$L$1204,Config!$B$7,$M$5:$M$1204,Config!$B$5)*1000-ROW()/100000,0)</f>
        <v>0</v>
      </c>
    </row>
    <row r="343">
      <c r="A343" s="39" t="n">
        <v>46238</v>
      </c>
      <c r="B343" s="40" t="n">
        <v>0.6458333333333334</v>
      </c>
      <c r="C343" s="35" t="inlineStr">
        <is>
          <t>Dr. Paulo Andrade</t>
        </is>
      </c>
      <c r="D343" s="35" t="inlineStr">
        <is>
          <t>Sala 2</t>
        </is>
      </c>
      <c r="E343" s="34" t="inlineStr">
        <is>
          <t>Gustavo Pinto</t>
        </is>
      </c>
      <c r="F343" s="35" t="inlineStr">
        <is>
          <t>Particular</t>
        </is>
      </c>
      <c r="G343" s="35" t="inlineStr">
        <is>
          <t>Consulta</t>
        </is>
      </c>
      <c r="H343" s="35" t="inlineStr">
        <is>
          <t>Realizado</t>
        </is>
      </c>
      <c r="I343" s="35" t="inlineStr">
        <is>
          <t>Cartão de crédito</t>
        </is>
      </c>
      <c r="J343" s="35" t="n"/>
      <c r="K343" s="34" t="n"/>
      <c r="L343" s="26">
        <f>IF(A343="","",MONTH(A343))</f>
        <v>8</v>
      </c>
      <c r="M343" s="26">
        <f>IF(A343="","",YEAR(A343))</f>
        <v>2026</v>
      </c>
      <c r="N343" s="26" t="str">
        <f>IF(A343="","",CHOOSE(WEEKDAY(A343,2),"Segunda","Terça","Quarta","Quinta","Sexta","Sábado","Domingo"))</f>
        <v>Terça</v>
      </c>
      <c r="O343" s="26" t="str">
        <f>IF(B343="","",IF(B343&lt;TIME(12,0,0),"Manhã",IF(B343&lt;TIME(18,0,0),"Tarde","Noite")))</f>
        <v>Tarde</v>
      </c>
      <c r="P343" s="32">
        <f>IF(G343="","",IFERROR(INDEX(Config!$I$5:$I$16,MATCH(G343,Config!$H$5:$H$16,0)),0))</f>
        <v>30</v>
      </c>
      <c r="Q343" s="30">
        <f>IF(OR(H343&lt;&gt;"Realizado",P343="",P343=0),"",A343+P343)</f>
        <v>46268.0</v>
      </c>
      <c r="R343" s="26" t="str">
        <f>IF(Q343="","",IF(COUNTIFS($E$5:$E$1204,E343,$A$5:$A$1204,"&gt;"&amp;A343,$H$5:$H$1204,"&lt;&gt;Falta",$H$5:$H$1204,"&lt;&gt;Cancelado",$H$5:$H$1204,"&lt;&gt;Remarcado")&gt;0,"Sim","Não"))</f>
        <v>Sim</v>
      </c>
      <c r="S343" s="32">
        <f>IF(R343&lt;&gt;"Não","",IF(Q343+Config!$B$9&lt;=Config!$B$8,Config!$B$8-Q343,""))</f>
        <v/>
      </c>
      <c r="T343" s="26">
        <f>IF(S343="","","Sim")</f>
        <v/>
      </c>
      <c r="U343" s="41">
        <f>IF(T343="Sim",S343+ROW()/100000,0)</f>
        <v>0</v>
      </c>
      <c r="V343" s="41">
        <f>IF(AND(H343="Falta",L343=Config!$B$7,M343=Config!$B$5,COUNTIFS($E$5:E343,E343,$H$5:H343,"Falta",$L$5:L343,Config!$B$7,$M$5:M343,Config!$B$5)=1),COUNTIFS($E$5:$E$1204,E343,$H$5:$H$1204,"Falta",$L$5:$L$1204,Config!$B$7,$M$5:$M$1204,Config!$B$5)*1000-ROW()/100000,0)</f>
        <v>0</v>
      </c>
    </row>
    <row r="344">
      <c r="A344" s="39" t="n">
        <v>46238</v>
      </c>
      <c r="B344" s="40" t="n">
        <v>0.6666666666666666</v>
      </c>
      <c r="C344" s="35" t="inlineStr">
        <is>
          <t>Dra. Renata Sousa</t>
        </is>
      </c>
      <c r="D344" s="35" t="inlineStr">
        <is>
          <t>Sala 1</t>
        </is>
      </c>
      <c r="E344" s="34" t="inlineStr">
        <is>
          <t>Rafael Pereira</t>
        </is>
      </c>
      <c r="F344" s="35" t="inlineStr">
        <is>
          <t>Particular</t>
        </is>
      </c>
      <c r="G344" s="35" t="inlineStr">
        <is>
          <t>Avaliação endócrina</t>
        </is>
      </c>
      <c r="H344" s="35" t="inlineStr">
        <is>
          <t>Realizado</t>
        </is>
      </c>
      <c r="I344" s="35" t="inlineStr">
        <is>
          <t>Cartão de débito</t>
        </is>
      </c>
      <c r="J344" s="35" t="n"/>
      <c r="K344" s="34" t="n"/>
      <c r="L344" s="26">
        <f>IF(A344="","",MONTH(A344))</f>
        <v>8</v>
      </c>
      <c r="M344" s="26">
        <f>IF(A344="","",YEAR(A344))</f>
        <v>2026</v>
      </c>
      <c r="N344" s="26" t="str">
        <f>IF(A344="","",CHOOSE(WEEKDAY(A344,2),"Segunda","Terça","Quarta","Quinta","Sexta","Sábado","Domingo"))</f>
        <v>Terça</v>
      </c>
      <c r="O344" s="26" t="str">
        <f>IF(B344="","",IF(B344&lt;TIME(12,0,0),"Manhã",IF(B344&lt;TIME(18,0,0),"Tarde","Noite")))</f>
        <v>Tarde</v>
      </c>
      <c r="P344" s="32">
        <f>IF(G344="","",IFERROR(INDEX(Config!$I$5:$I$16,MATCH(G344,Config!$H$5:$H$16,0)),0))</f>
        <v>45</v>
      </c>
      <c r="Q344" s="30">
        <f>IF(OR(H344&lt;&gt;"Realizado",P344="",P344=0),"",A344+P344)</f>
        <v>46283.0</v>
      </c>
      <c r="R344" s="26" t="str">
        <f>IF(Q344="","",IF(COUNTIFS($E$5:$E$1204,E344,$A$5:$A$1204,"&gt;"&amp;A344,$H$5:$H$1204,"&lt;&gt;Falta",$H$5:$H$1204,"&lt;&gt;Cancelado",$H$5:$H$1204,"&lt;&gt;Remarcado")&gt;0,"Sim","Não"))</f>
        <v>Sim</v>
      </c>
      <c r="S344" s="32">
        <f>IF(R344&lt;&gt;"Não","",IF(Q344+Config!$B$9&lt;=Config!$B$8,Config!$B$8-Q344,""))</f>
        <v/>
      </c>
      <c r="T344" s="26">
        <f>IF(S344="","","Sim")</f>
        <v/>
      </c>
      <c r="U344" s="41">
        <f>IF(T344="Sim",S344+ROW()/100000,0)</f>
        <v>0</v>
      </c>
      <c r="V344" s="41">
        <f>IF(AND(H344="Falta",L344=Config!$B$7,M344=Config!$B$5,COUNTIFS($E$5:E344,E344,$H$5:H344,"Falta",$L$5:L344,Config!$B$7,$M$5:M344,Config!$B$5)=1),COUNTIFS($E$5:$E$1204,E344,$H$5:$H$1204,"Falta",$L$5:$L$1204,Config!$B$7,$M$5:$M$1204,Config!$B$5)*1000-ROW()/100000,0)</f>
        <v>0</v>
      </c>
    </row>
    <row r="345">
      <c r="A345" s="39" t="n">
        <v>46238</v>
      </c>
      <c r="B345" s="40" t="n">
        <v>0.6666666666666666</v>
      </c>
      <c r="C345" s="35" t="inlineStr">
        <is>
          <t>Dr. Paulo Andrade</t>
        </is>
      </c>
      <c r="D345" s="35" t="inlineStr">
        <is>
          <t>Sala 2</t>
        </is>
      </c>
      <c r="E345" s="34" t="inlineStr">
        <is>
          <t>Gabriel Vieira</t>
        </is>
      </c>
      <c r="F345" s="35" t="inlineStr">
        <is>
          <t>Vida Care</t>
        </is>
      </c>
      <c r="G345" s="35" t="inlineStr">
        <is>
          <t>Consulta</t>
        </is>
      </c>
      <c r="H345" s="35" t="inlineStr">
        <is>
          <t>Cancelado</t>
        </is>
      </c>
      <c r="I345" s="35" t="n"/>
      <c r="J345" s="35" t="n"/>
      <c r="K345" s="34" t="n"/>
      <c r="L345" s="26">
        <f>IF(A345="","",MONTH(A345))</f>
        <v>8</v>
      </c>
      <c r="M345" s="26">
        <f>IF(A345="","",YEAR(A345))</f>
        <v>2026</v>
      </c>
      <c r="N345" s="26" t="str">
        <f>IF(A345="","",CHOOSE(WEEKDAY(A345,2),"Segunda","Terça","Quarta","Quinta","Sexta","Sábado","Domingo"))</f>
        <v>Terça</v>
      </c>
      <c r="O345" s="26" t="str">
        <f>IF(B345="","",IF(B345&lt;TIME(12,0,0),"Manhã",IF(B345&lt;TIME(18,0,0),"Tarde","Noite")))</f>
        <v>Tarde</v>
      </c>
      <c r="P345" s="32">
        <f>IF(G345="","",IFERROR(INDEX(Config!$I$5:$I$16,MATCH(G345,Config!$H$5:$H$16,0)),0))</f>
        <v>30</v>
      </c>
      <c r="Q345" s="30">
        <f>IF(OR(H345&lt;&gt;"Realizado",P345="",P345=0),"",A345+P345)</f>
        <v/>
      </c>
      <c r="R345" s="26">
        <f>IF(Q345="","",IF(COUNTIFS($E$5:$E$1204,E345,$A$5:$A$1204,"&gt;"&amp;A345,$H$5:$H$1204,"&lt;&gt;Falta",$H$5:$H$1204,"&lt;&gt;Cancelado",$H$5:$H$1204,"&lt;&gt;Remarcado")&gt;0,"Sim","Não"))</f>
        <v/>
      </c>
      <c r="S345" s="32">
        <f>IF(R345&lt;&gt;"Não","",IF(Q345+Config!$B$9&lt;=Config!$B$8,Config!$B$8-Q345,""))</f>
        <v/>
      </c>
      <c r="T345" s="26">
        <f>IF(S345="","","Sim")</f>
        <v/>
      </c>
      <c r="U345" s="41">
        <f>IF(T345="Sim",S345+ROW()/100000,0)</f>
        <v>0</v>
      </c>
      <c r="V345" s="41">
        <f>IF(AND(H345="Falta",L345=Config!$B$7,M345=Config!$B$5,COUNTIFS($E$5:E345,E345,$H$5:H345,"Falta",$L$5:L345,Config!$B$7,$M$5:M345,Config!$B$5)=1),COUNTIFS($E$5:$E$1204,E345,$H$5:$H$1204,"Falta",$L$5:$L$1204,Config!$B$7,$M$5:$M$1204,Config!$B$5)*1000-ROW()/100000,0)</f>
        <v>0</v>
      </c>
    </row>
    <row r="346">
      <c r="A346" s="39" t="n">
        <v>46238</v>
      </c>
      <c r="B346" s="40" t="n">
        <v>0.6875</v>
      </c>
      <c r="C346" s="35" t="inlineStr">
        <is>
          <t>Dr. Paulo Andrade</t>
        </is>
      </c>
      <c r="D346" s="35" t="inlineStr">
        <is>
          <t>Sala 2</t>
        </is>
      </c>
      <c r="E346" s="34" t="inlineStr">
        <is>
          <t>Tatiana Rocha</t>
        </is>
      </c>
      <c r="F346" s="35" t="inlineStr">
        <is>
          <t>Vida Care</t>
        </is>
      </c>
      <c r="G346" s="35" t="inlineStr">
        <is>
          <t>ECG</t>
        </is>
      </c>
      <c r="H346" s="35" t="inlineStr">
        <is>
          <t>Realizado</t>
        </is>
      </c>
      <c r="I346" s="35" t="inlineStr">
        <is>
          <t>Convênio</t>
        </is>
      </c>
      <c r="J346" s="35" t="n"/>
      <c r="K346" s="34" t="n"/>
      <c r="L346" s="26">
        <f>IF(A346="","",MONTH(A346))</f>
        <v>8</v>
      </c>
      <c r="M346" s="26">
        <f>IF(A346="","",YEAR(A346))</f>
        <v>2026</v>
      </c>
      <c r="N346" s="26" t="str">
        <f>IF(A346="","",CHOOSE(WEEKDAY(A346,2),"Segunda","Terça","Quarta","Quinta","Sexta","Sábado","Domingo"))</f>
        <v>Terça</v>
      </c>
      <c r="O346" s="26" t="str">
        <f>IF(B346="","",IF(B346&lt;TIME(12,0,0),"Manhã",IF(B346&lt;TIME(18,0,0),"Tarde","Noite")))</f>
        <v>Tarde</v>
      </c>
      <c r="P346" s="32">
        <f>IF(G346="","",IFERROR(INDEX(Config!$I$5:$I$16,MATCH(G346,Config!$H$5:$H$16,0)),0))</f>
        <v>0</v>
      </c>
      <c r="Q346" s="30">
        <f>IF(OR(H346&lt;&gt;"Realizado",P346="",P346=0),"",A346+P346)</f>
        <v/>
      </c>
      <c r="R346" s="26">
        <f>IF(Q346="","",IF(COUNTIFS($E$5:$E$1204,E346,$A$5:$A$1204,"&gt;"&amp;A346,$H$5:$H$1204,"&lt;&gt;Falta",$H$5:$H$1204,"&lt;&gt;Cancelado",$H$5:$H$1204,"&lt;&gt;Remarcado")&gt;0,"Sim","Não"))</f>
        <v/>
      </c>
      <c r="S346" s="32">
        <f>IF(R346&lt;&gt;"Não","",IF(Q346+Config!$B$9&lt;=Config!$B$8,Config!$B$8-Q346,""))</f>
        <v/>
      </c>
      <c r="T346" s="26">
        <f>IF(S346="","","Sim")</f>
        <v/>
      </c>
      <c r="U346" s="41">
        <f>IF(T346="Sim",S346+ROW()/100000,0)</f>
        <v>0</v>
      </c>
      <c r="V346" s="41">
        <f>IF(AND(H346="Falta",L346=Config!$B$7,M346=Config!$B$5,COUNTIFS($E$5:E346,E346,$H$5:H346,"Falta",$L$5:L346,Config!$B$7,$M$5:M346,Config!$B$5)=1),COUNTIFS($E$5:$E$1204,E346,$H$5:$H$1204,"Falta",$L$5:$L$1204,Config!$B$7,$M$5:$M$1204,Config!$B$5)*1000-ROW()/100000,0)</f>
        <v>0</v>
      </c>
    </row>
    <row r="347">
      <c r="A347" s="39" t="n">
        <v>46238</v>
      </c>
      <c r="B347" s="40" t="n">
        <v>0.7013888888888888</v>
      </c>
      <c r="C347" s="35" t="inlineStr">
        <is>
          <t>Dr. Paulo Andrade</t>
        </is>
      </c>
      <c r="D347" s="35" t="inlineStr">
        <is>
          <t>Sala 2</t>
        </is>
      </c>
      <c r="E347" s="34" t="inlineStr">
        <is>
          <t>Viviane Teixeira</t>
        </is>
      </c>
      <c r="F347" s="35" t="inlineStr">
        <is>
          <t>Particular</t>
        </is>
      </c>
      <c r="G347" s="35" t="inlineStr">
        <is>
          <t>Consulta</t>
        </is>
      </c>
      <c r="H347" s="35" t="inlineStr">
        <is>
          <t>Realizado</t>
        </is>
      </c>
      <c r="I347" s="35" t="inlineStr">
        <is>
          <t>Cartão de débito</t>
        </is>
      </c>
      <c r="J347" s="35" t="n"/>
      <c r="K347" s="34" t="n"/>
      <c r="L347" s="26">
        <f>IF(A347="","",MONTH(A347))</f>
        <v>8</v>
      </c>
      <c r="M347" s="26">
        <f>IF(A347="","",YEAR(A347))</f>
        <v>2026</v>
      </c>
      <c r="N347" s="26" t="str">
        <f>IF(A347="","",CHOOSE(WEEKDAY(A347,2),"Segunda","Terça","Quarta","Quinta","Sexta","Sábado","Domingo"))</f>
        <v>Terça</v>
      </c>
      <c r="O347" s="26" t="str">
        <f>IF(B347="","",IF(B347&lt;TIME(12,0,0),"Manhã",IF(B347&lt;TIME(18,0,0),"Tarde","Noite")))</f>
        <v>Tarde</v>
      </c>
      <c r="P347" s="32">
        <f>IF(G347="","",IFERROR(INDEX(Config!$I$5:$I$16,MATCH(G347,Config!$H$5:$H$16,0)),0))</f>
        <v>30</v>
      </c>
      <c r="Q347" s="30">
        <f>IF(OR(H347&lt;&gt;"Realizado",P347="",P347=0),"",A347+P347)</f>
        <v>46268.0</v>
      </c>
      <c r="R347" s="26" t="str">
        <f>IF(Q347="","",IF(COUNTIFS($E$5:$E$1204,E347,$A$5:$A$1204,"&gt;"&amp;A347,$H$5:$H$1204,"&lt;&gt;Falta",$H$5:$H$1204,"&lt;&gt;Cancelado",$H$5:$H$1204,"&lt;&gt;Remarcado")&gt;0,"Sim","Não"))</f>
        <v>Não</v>
      </c>
      <c r="S347" s="32">
        <f>IF(R347&lt;&gt;"Não","",IF(Q347+Config!$B$9&lt;=Config!$B$8,Config!$B$8-Q347,""))</f>
        <v>11</v>
      </c>
      <c r="T347" s="26" t="str">
        <f>IF(S347="","","Sim")</f>
        <v>Sim</v>
      </c>
      <c r="U347" s="41">
        <f>IF(T347="Sim",S347+ROW()/100000,0)</f>
        <v>11.00347</v>
      </c>
      <c r="V347" s="41">
        <f>IF(AND(H347="Falta",L347=Config!$B$7,M347=Config!$B$5,COUNTIFS($E$5:E347,E347,$H$5:H347,"Falta",$L$5:L347,Config!$B$7,$M$5:M347,Config!$B$5)=1),COUNTIFS($E$5:$E$1204,E347,$H$5:$H$1204,"Falta",$L$5:$L$1204,Config!$B$7,$M$5:$M$1204,Config!$B$5)*1000-ROW()/100000,0)</f>
        <v>0</v>
      </c>
    </row>
    <row r="348">
      <c r="A348" s="39" t="n">
        <v>46238</v>
      </c>
      <c r="B348" s="40" t="n">
        <v>0.7152777777777778</v>
      </c>
      <c r="C348" s="35" t="inlineStr">
        <is>
          <t>Dra. Renata Sousa</t>
        </is>
      </c>
      <c r="D348" s="35" t="inlineStr">
        <is>
          <t>Sala 1</t>
        </is>
      </c>
      <c r="E348" s="34" t="inlineStr">
        <is>
          <t>Daniel Moreira</t>
        </is>
      </c>
      <c r="F348" s="35" t="inlineStr">
        <is>
          <t>Saúde Total</t>
        </is>
      </c>
      <c r="G348" s="35" t="inlineStr">
        <is>
          <t>Retorno</t>
        </is>
      </c>
      <c r="H348" s="35" t="inlineStr">
        <is>
          <t>Realizado</t>
        </is>
      </c>
      <c r="I348" s="35" t="inlineStr">
        <is>
          <t>Sem cobrança</t>
        </is>
      </c>
      <c r="J348" s="35" t="n"/>
      <c r="K348" s="34" t="n"/>
      <c r="L348" s="26">
        <f>IF(A348="","",MONTH(A348))</f>
        <v>8</v>
      </c>
      <c r="M348" s="26">
        <f>IF(A348="","",YEAR(A348))</f>
        <v>2026</v>
      </c>
      <c r="N348" s="26" t="str">
        <f>IF(A348="","",CHOOSE(WEEKDAY(A348,2),"Segunda","Terça","Quarta","Quinta","Sexta","Sábado","Domingo"))</f>
        <v>Terça</v>
      </c>
      <c r="O348" s="26" t="str">
        <f>IF(B348="","",IF(B348&lt;TIME(12,0,0),"Manhã",IF(B348&lt;TIME(18,0,0),"Tarde","Noite")))</f>
        <v>Tarde</v>
      </c>
      <c r="P348" s="32">
        <f>IF(G348="","",IFERROR(INDEX(Config!$I$5:$I$16,MATCH(G348,Config!$H$5:$H$16,0)),0))</f>
        <v>0</v>
      </c>
      <c r="Q348" s="30">
        <f>IF(OR(H348&lt;&gt;"Realizado",P348="",P348=0),"",A348+P348)</f>
        <v/>
      </c>
      <c r="R348" s="26">
        <f>IF(Q348="","",IF(COUNTIFS($E$5:$E$1204,E348,$A$5:$A$1204,"&gt;"&amp;A348,$H$5:$H$1204,"&lt;&gt;Falta",$H$5:$H$1204,"&lt;&gt;Cancelado",$H$5:$H$1204,"&lt;&gt;Remarcado")&gt;0,"Sim","Não"))</f>
        <v/>
      </c>
      <c r="S348" s="32">
        <f>IF(R348&lt;&gt;"Não","",IF(Q348+Config!$B$9&lt;=Config!$B$8,Config!$B$8-Q348,""))</f>
        <v/>
      </c>
      <c r="T348" s="26">
        <f>IF(S348="","","Sim")</f>
        <v/>
      </c>
      <c r="U348" s="41">
        <f>IF(T348="Sim",S348+ROW()/100000,0)</f>
        <v>0</v>
      </c>
      <c r="V348" s="41">
        <f>IF(AND(H348="Falta",L348=Config!$B$7,M348=Config!$B$5,COUNTIFS($E$5:E348,E348,$H$5:H348,"Falta",$L$5:L348,Config!$B$7,$M$5:M348,Config!$B$5)=1),COUNTIFS($E$5:$E$1204,E348,$H$5:$H$1204,"Falta",$L$5:$L$1204,Config!$B$7,$M$5:$M$1204,Config!$B$5)*1000-ROW()/100000,0)</f>
        <v>0</v>
      </c>
    </row>
    <row r="349">
      <c r="A349" s="39" t="n">
        <v>46238</v>
      </c>
      <c r="B349" s="40" t="n">
        <v>0.7222222222222222</v>
      </c>
      <c r="C349" s="35" t="inlineStr">
        <is>
          <t>Dr. Paulo Andrade</t>
        </is>
      </c>
      <c r="D349" s="35" t="inlineStr">
        <is>
          <t>Sala 2</t>
        </is>
      </c>
      <c r="E349" s="34" t="inlineStr">
        <is>
          <t>Marcelo Ferreira</t>
        </is>
      </c>
      <c r="F349" s="35" t="inlineStr">
        <is>
          <t>Particular</t>
        </is>
      </c>
      <c r="G349" s="35" t="inlineStr">
        <is>
          <t>Consulta</t>
        </is>
      </c>
      <c r="H349" s="35" t="inlineStr">
        <is>
          <t>Cancelado</t>
        </is>
      </c>
      <c r="I349" s="35" t="n"/>
      <c r="J349" s="35" t="n"/>
      <c r="K349" s="34" t="n"/>
      <c r="L349" s="26">
        <f>IF(A349="","",MONTH(A349))</f>
        <v>8</v>
      </c>
      <c r="M349" s="26">
        <f>IF(A349="","",YEAR(A349))</f>
        <v>2026</v>
      </c>
      <c r="N349" s="26" t="str">
        <f>IF(A349="","",CHOOSE(WEEKDAY(A349,2),"Segunda","Terça","Quarta","Quinta","Sexta","Sábado","Domingo"))</f>
        <v>Terça</v>
      </c>
      <c r="O349" s="26" t="str">
        <f>IF(B349="","",IF(B349&lt;TIME(12,0,0),"Manhã",IF(B349&lt;TIME(18,0,0),"Tarde","Noite")))</f>
        <v>Tarde</v>
      </c>
      <c r="P349" s="32">
        <f>IF(G349="","",IFERROR(INDEX(Config!$I$5:$I$16,MATCH(G349,Config!$H$5:$H$16,0)),0))</f>
        <v>30</v>
      </c>
      <c r="Q349" s="30">
        <f>IF(OR(H349&lt;&gt;"Realizado",P349="",P349=0),"",A349+P349)</f>
        <v/>
      </c>
      <c r="R349" s="26">
        <f>IF(Q349="","",IF(COUNTIFS($E$5:$E$1204,E349,$A$5:$A$1204,"&gt;"&amp;A349,$H$5:$H$1204,"&lt;&gt;Falta",$H$5:$H$1204,"&lt;&gt;Cancelado",$H$5:$H$1204,"&lt;&gt;Remarcado")&gt;0,"Sim","Não"))</f>
        <v/>
      </c>
      <c r="S349" s="32">
        <f>IF(R349&lt;&gt;"Não","",IF(Q349+Config!$B$9&lt;=Config!$B$8,Config!$B$8-Q349,""))</f>
        <v/>
      </c>
      <c r="T349" s="26">
        <f>IF(S349="","","Sim")</f>
        <v/>
      </c>
      <c r="U349" s="41">
        <f>IF(T349="Sim",S349+ROW()/100000,0)</f>
        <v>0</v>
      </c>
      <c r="V349" s="41">
        <f>IF(AND(H349="Falta",L349=Config!$B$7,M349=Config!$B$5,COUNTIFS($E$5:E349,E349,$H$5:H349,"Falta",$L$5:L349,Config!$B$7,$M$5:M349,Config!$B$5)=1),COUNTIFS($E$5:$E$1204,E349,$H$5:$H$1204,"Falta",$L$5:$L$1204,Config!$B$7,$M$5:$M$1204,Config!$B$5)*1000-ROW()/100000,0)</f>
        <v>0</v>
      </c>
    </row>
    <row r="350">
      <c r="A350" s="39" t="n">
        <v>46238</v>
      </c>
      <c r="B350" s="40" t="n">
        <v>0.7291666666666666</v>
      </c>
      <c r="C350" s="35" t="inlineStr">
        <is>
          <t>Dra. Renata Sousa</t>
        </is>
      </c>
      <c r="D350" s="35" t="inlineStr">
        <is>
          <t>Sala 1</t>
        </is>
      </c>
      <c r="E350" s="34" t="inlineStr">
        <is>
          <t>Cláudia Vieira</t>
        </is>
      </c>
      <c r="F350" s="35" t="inlineStr">
        <is>
          <t>Saúde Total</t>
        </is>
      </c>
      <c r="G350" s="35" t="inlineStr">
        <is>
          <t>Retorno</t>
        </is>
      </c>
      <c r="H350" s="35" t="inlineStr">
        <is>
          <t>Realizado</t>
        </is>
      </c>
      <c r="I350" s="35" t="inlineStr">
        <is>
          <t>Sem cobrança</t>
        </is>
      </c>
      <c r="J350" s="35" t="n"/>
      <c r="K350" s="34" t="n"/>
      <c r="L350" s="26">
        <f>IF(A350="","",MONTH(A350))</f>
        <v>8</v>
      </c>
      <c r="M350" s="26">
        <f>IF(A350="","",YEAR(A350))</f>
        <v>2026</v>
      </c>
      <c r="N350" s="26" t="str">
        <f>IF(A350="","",CHOOSE(WEEKDAY(A350,2),"Segunda","Terça","Quarta","Quinta","Sexta","Sábado","Domingo"))</f>
        <v>Terça</v>
      </c>
      <c r="O350" s="26" t="str">
        <f>IF(B350="","",IF(B350&lt;TIME(12,0,0),"Manhã",IF(B350&lt;TIME(18,0,0),"Tarde","Noite")))</f>
        <v>Tarde</v>
      </c>
      <c r="P350" s="32">
        <f>IF(G350="","",IFERROR(INDEX(Config!$I$5:$I$16,MATCH(G350,Config!$H$5:$H$16,0)),0))</f>
        <v>0</v>
      </c>
      <c r="Q350" s="30">
        <f>IF(OR(H350&lt;&gt;"Realizado",P350="",P350=0),"",A350+P350)</f>
        <v/>
      </c>
      <c r="R350" s="26">
        <f>IF(Q350="","",IF(COUNTIFS($E$5:$E$1204,E350,$A$5:$A$1204,"&gt;"&amp;A350,$H$5:$H$1204,"&lt;&gt;Falta",$H$5:$H$1204,"&lt;&gt;Cancelado",$H$5:$H$1204,"&lt;&gt;Remarcado")&gt;0,"Sim","Não"))</f>
        <v/>
      </c>
      <c r="S350" s="32">
        <f>IF(R350&lt;&gt;"Não","",IF(Q350+Config!$B$9&lt;=Config!$B$8,Config!$B$8-Q350,""))</f>
        <v/>
      </c>
      <c r="T350" s="26">
        <f>IF(S350="","","Sim")</f>
        <v/>
      </c>
      <c r="U350" s="41">
        <f>IF(T350="Sim",S350+ROW()/100000,0)</f>
        <v>0</v>
      </c>
      <c r="V350" s="41">
        <f>IF(AND(H350="Falta",L350=Config!$B$7,M350=Config!$B$5,COUNTIFS($E$5:E350,E350,$H$5:H350,"Falta",$L$5:L350,Config!$B$7,$M$5:M350,Config!$B$5)=1),COUNTIFS($E$5:$E$1204,E350,$H$5:$H$1204,"Falta",$L$5:$L$1204,Config!$B$7,$M$5:$M$1204,Config!$B$5)*1000-ROW()/100000,0)</f>
        <v>0</v>
      </c>
    </row>
    <row r="351">
      <c r="A351" s="39" t="n">
        <v>46239</v>
      </c>
      <c r="B351" s="40" t="n">
        <v>0.5833333333333334</v>
      </c>
      <c r="C351" s="35" t="inlineStr">
        <is>
          <t>Dra. Carolina Mendes</t>
        </is>
      </c>
      <c r="D351" s="35" t="inlineStr">
        <is>
          <t>Sala 1</t>
        </is>
      </c>
      <c r="E351" s="34" t="inlineStr">
        <is>
          <t>Regina Duarte</t>
        </is>
      </c>
      <c r="F351" s="35" t="inlineStr">
        <is>
          <t>Particular</t>
        </is>
      </c>
      <c r="G351" s="35" t="inlineStr">
        <is>
          <t>Consulta</t>
        </is>
      </c>
      <c r="H351" s="35" t="inlineStr">
        <is>
          <t>Realizado</t>
        </is>
      </c>
      <c r="I351" s="35" t="inlineStr">
        <is>
          <t>Cartão de crédito</t>
        </is>
      </c>
      <c r="J351" s="35" t="n">
        <v>2</v>
      </c>
      <c r="K351" s="34" t="n"/>
      <c r="L351" s="26">
        <f>IF(A351="","",MONTH(A351))</f>
        <v>8</v>
      </c>
      <c r="M351" s="26">
        <f>IF(A351="","",YEAR(A351))</f>
        <v>2026</v>
      </c>
      <c r="N351" s="26" t="str">
        <f>IF(A351="","",CHOOSE(WEEKDAY(A351,2),"Segunda","Terça","Quarta","Quinta","Sexta","Sábado","Domingo"))</f>
        <v>Quarta</v>
      </c>
      <c r="O351" s="26" t="str">
        <f>IF(B351="","",IF(B351&lt;TIME(12,0,0),"Manhã",IF(B351&lt;TIME(18,0,0),"Tarde","Noite")))</f>
        <v>Tarde</v>
      </c>
      <c r="P351" s="32">
        <f>IF(G351="","",IFERROR(INDEX(Config!$I$5:$I$16,MATCH(G351,Config!$H$5:$H$16,0)),0))</f>
        <v>30</v>
      </c>
      <c r="Q351" s="30">
        <f>IF(OR(H351&lt;&gt;"Realizado",P351="",P351=0),"",A351+P351)</f>
        <v>46269.0</v>
      </c>
      <c r="R351" s="26" t="str">
        <f>IF(Q351="","",IF(COUNTIFS($E$5:$E$1204,E351,$A$5:$A$1204,"&gt;"&amp;A351,$H$5:$H$1204,"&lt;&gt;Falta",$H$5:$H$1204,"&lt;&gt;Cancelado",$H$5:$H$1204,"&lt;&gt;Remarcado")&gt;0,"Sim","Não"))</f>
        <v>Sim</v>
      </c>
      <c r="S351" s="32">
        <f>IF(R351&lt;&gt;"Não","",IF(Q351+Config!$B$9&lt;=Config!$B$8,Config!$B$8-Q351,""))</f>
        <v/>
      </c>
      <c r="T351" s="26">
        <f>IF(S351="","","Sim")</f>
        <v/>
      </c>
      <c r="U351" s="41">
        <f>IF(T351="Sim",S351+ROW()/100000,0)</f>
        <v>0</v>
      </c>
      <c r="V351" s="41">
        <f>IF(AND(H351="Falta",L351=Config!$B$7,M351=Config!$B$5,COUNTIFS($E$5:E351,E351,$H$5:H351,"Falta",$L$5:L351,Config!$B$7,$M$5:M351,Config!$B$5)=1),COUNTIFS($E$5:$E$1204,E351,$H$5:$H$1204,"Falta",$L$5:$L$1204,Config!$B$7,$M$5:$M$1204,Config!$B$5)*1000-ROW()/100000,0)</f>
        <v>0</v>
      </c>
    </row>
    <row r="352">
      <c r="A352" s="39" t="n">
        <v>46239</v>
      </c>
      <c r="B352" s="40" t="n">
        <v>0.6458333333333334</v>
      </c>
      <c r="C352" s="35" t="inlineStr">
        <is>
          <t>Dra. Carolina Mendes</t>
        </is>
      </c>
      <c r="D352" s="35" t="inlineStr">
        <is>
          <t>Sala 1</t>
        </is>
      </c>
      <c r="E352" s="34" t="inlineStr">
        <is>
          <t>Marcelo Santos</t>
        </is>
      </c>
      <c r="F352" s="35" t="inlineStr">
        <is>
          <t>Particular</t>
        </is>
      </c>
      <c r="G352" s="35" t="inlineStr">
        <is>
          <t>Consulta</t>
        </is>
      </c>
      <c r="H352" s="35" t="inlineStr">
        <is>
          <t>Realizado</t>
        </is>
      </c>
      <c r="I352" s="35" t="inlineStr">
        <is>
          <t>Pix</t>
        </is>
      </c>
      <c r="J352" s="35" t="n"/>
      <c r="K352" s="34" t="n"/>
      <c r="L352" s="26">
        <f>IF(A352="","",MONTH(A352))</f>
        <v>8</v>
      </c>
      <c r="M352" s="26">
        <f>IF(A352="","",YEAR(A352))</f>
        <v>2026</v>
      </c>
      <c r="N352" s="26" t="str">
        <f>IF(A352="","",CHOOSE(WEEKDAY(A352,2),"Segunda","Terça","Quarta","Quinta","Sexta","Sábado","Domingo"))</f>
        <v>Quarta</v>
      </c>
      <c r="O352" s="26" t="str">
        <f>IF(B352="","",IF(B352&lt;TIME(12,0,0),"Manhã",IF(B352&lt;TIME(18,0,0),"Tarde","Noite")))</f>
        <v>Tarde</v>
      </c>
      <c r="P352" s="32">
        <f>IF(G352="","",IFERROR(INDEX(Config!$I$5:$I$16,MATCH(G352,Config!$H$5:$H$16,0)),0))</f>
        <v>30</v>
      </c>
      <c r="Q352" s="30">
        <f>IF(OR(H352&lt;&gt;"Realizado",P352="",P352=0),"",A352+P352)</f>
        <v>46269.0</v>
      </c>
      <c r="R352" s="26" t="str">
        <f>IF(Q352="","",IF(COUNTIFS($E$5:$E$1204,E352,$A$5:$A$1204,"&gt;"&amp;A352,$H$5:$H$1204,"&lt;&gt;Falta",$H$5:$H$1204,"&lt;&gt;Cancelado",$H$5:$H$1204,"&lt;&gt;Remarcado")&gt;0,"Sim","Não"))</f>
        <v>Sim</v>
      </c>
      <c r="S352" s="32">
        <f>IF(R352&lt;&gt;"Não","",IF(Q352+Config!$B$9&lt;=Config!$B$8,Config!$B$8-Q352,""))</f>
        <v/>
      </c>
      <c r="T352" s="26">
        <f>IF(S352="","","Sim")</f>
        <v/>
      </c>
      <c r="U352" s="41">
        <f>IF(T352="Sim",S352+ROW()/100000,0)</f>
        <v>0</v>
      </c>
      <c r="V352" s="41">
        <f>IF(AND(H352="Falta",L352=Config!$B$7,M352=Config!$B$5,COUNTIFS($E$5:E352,E352,$H$5:H352,"Falta",$L$5:L352,Config!$B$7,$M$5:M352,Config!$B$5)=1),COUNTIFS($E$5:$E$1204,E352,$H$5:$H$1204,"Falta",$L$5:$L$1204,Config!$B$7,$M$5:$M$1204,Config!$B$5)*1000-ROW()/100000,0)</f>
        <v>0</v>
      </c>
    </row>
    <row r="353">
      <c r="A353" s="39" t="n">
        <v>46239</v>
      </c>
      <c r="B353" s="40" t="n">
        <v>0.6666666666666666</v>
      </c>
      <c r="C353" s="35" t="inlineStr">
        <is>
          <t>Dra. Carolina Mendes</t>
        </is>
      </c>
      <c r="D353" s="35" t="inlineStr">
        <is>
          <t>Sala 1</t>
        </is>
      </c>
      <c r="E353" s="34" t="inlineStr">
        <is>
          <t>Eduardo Nunes</t>
        </is>
      </c>
      <c r="F353" s="35" t="inlineStr">
        <is>
          <t>MediPlan</t>
        </is>
      </c>
      <c r="G353" s="35" t="inlineStr">
        <is>
          <t>Consulta</t>
        </is>
      </c>
      <c r="H353" s="35" t="inlineStr">
        <is>
          <t>Realizado</t>
        </is>
      </c>
      <c r="I353" s="35" t="inlineStr">
        <is>
          <t>Convênio</t>
        </is>
      </c>
      <c r="J353" s="35" t="n"/>
      <c r="K353" s="34" t="n"/>
      <c r="L353" s="26">
        <f>IF(A353="","",MONTH(A353))</f>
        <v>8</v>
      </c>
      <c r="M353" s="26">
        <f>IF(A353="","",YEAR(A353))</f>
        <v>2026</v>
      </c>
      <c r="N353" s="26" t="str">
        <f>IF(A353="","",CHOOSE(WEEKDAY(A353,2),"Segunda","Terça","Quarta","Quinta","Sexta","Sábado","Domingo"))</f>
        <v>Quarta</v>
      </c>
      <c r="O353" s="26" t="str">
        <f>IF(B353="","",IF(B353&lt;TIME(12,0,0),"Manhã",IF(B353&lt;TIME(18,0,0),"Tarde","Noite")))</f>
        <v>Tarde</v>
      </c>
      <c r="P353" s="32">
        <f>IF(G353="","",IFERROR(INDEX(Config!$I$5:$I$16,MATCH(G353,Config!$H$5:$H$16,0)),0))</f>
        <v>30</v>
      </c>
      <c r="Q353" s="30">
        <f>IF(OR(H353&lt;&gt;"Realizado",P353="",P353=0),"",A353+P353)</f>
        <v>46269.0</v>
      </c>
      <c r="R353" s="26" t="str">
        <f>IF(Q353="","",IF(COUNTIFS($E$5:$E$1204,E353,$A$5:$A$1204,"&gt;"&amp;A353,$H$5:$H$1204,"&lt;&gt;Falta",$H$5:$H$1204,"&lt;&gt;Cancelado",$H$5:$H$1204,"&lt;&gt;Remarcado")&gt;0,"Sim","Não"))</f>
        <v>Sim</v>
      </c>
      <c r="S353" s="32">
        <f>IF(R353&lt;&gt;"Não","",IF(Q353+Config!$B$9&lt;=Config!$B$8,Config!$B$8-Q353,""))</f>
        <v/>
      </c>
      <c r="T353" s="26">
        <f>IF(S353="","","Sim")</f>
        <v/>
      </c>
      <c r="U353" s="41">
        <f>IF(T353="Sim",S353+ROW()/100000,0)</f>
        <v>0</v>
      </c>
      <c r="V353" s="41">
        <f>IF(AND(H353="Falta",L353=Config!$B$7,M353=Config!$B$5,COUNTIFS($E$5:E353,E353,$H$5:H353,"Falta",$L$5:L353,Config!$B$7,$M$5:M353,Config!$B$5)=1),COUNTIFS($E$5:$E$1204,E353,$H$5:$H$1204,"Falta",$L$5:$L$1204,Config!$B$7,$M$5:$M$1204,Config!$B$5)*1000-ROW()/100000,0)</f>
        <v>0</v>
      </c>
    </row>
    <row r="354">
      <c r="A354" s="39" t="n">
        <v>46239</v>
      </c>
      <c r="B354" s="40" t="n">
        <v>0.7083333333333334</v>
      </c>
      <c r="C354" s="35" t="inlineStr">
        <is>
          <t>Dra. Carolina Mendes</t>
        </is>
      </c>
      <c r="D354" s="35" t="inlineStr">
        <is>
          <t>Sala 1</t>
        </is>
      </c>
      <c r="E354" s="34" t="inlineStr">
        <is>
          <t>Mônica Martins</t>
        </is>
      </c>
      <c r="F354" s="35" t="inlineStr">
        <is>
          <t>Particular</t>
        </is>
      </c>
      <c r="G354" s="35" t="inlineStr">
        <is>
          <t>Retorno</t>
        </is>
      </c>
      <c r="H354" s="35" t="inlineStr">
        <is>
          <t>Realizado</t>
        </is>
      </c>
      <c r="I354" s="35" t="inlineStr">
        <is>
          <t>Sem cobrança</t>
        </is>
      </c>
      <c r="J354" s="35" t="n"/>
      <c r="K354" s="34" t="n"/>
      <c r="L354" s="26">
        <f>IF(A354="","",MONTH(A354))</f>
        <v>8</v>
      </c>
      <c r="M354" s="26">
        <f>IF(A354="","",YEAR(A354))</f>
        <v>2026</v>
      </c>
      <c r="N354" s="26" t="str">
        <f>IF(A354="","",CHOOSE(WEEKDAY(A354,2),"Segunda","Terça","Quarta","Quinta","Sexta","Sábado","Domingo"))</f>
        <v>Quarta</v>
      </c>
      <c r="O354" s="26" t="str">
        <f>IF(B354="","",IF(B354&lt;TIME(12,0,0),"Manhã",IF(B354&lt;TIME(18,0,0),"Tarde","Noite")))</f>
        <v>Tarde</v>
      </c>
      <c r="P354" s="32">
        <f>IF(G354="","",IFERROR(INDEX(Config!$I$5:$I$16,MATCH(G354,Config!$H$5:$H$16,0)),0))</f>
        <v>0</v>
      </c>
      <c r="Q354" s="30">
        <f>IF(OR(H354&lt;&gt;"Realizado",P354="",P354=0),"",A354+P354)</f>
        <v/>
      </c>
      <c r="R354" s="26">
        <f>IF(Q354="","",IF(COUNTIFS($E$5:$E$1204,E354,$A$5:$A$1204,"&gt;"&amp;A354,$H$5:$H$1204,"&lt;&gt;Falta",$H$5:$H$1204,"&lt;&gt;Cancelado",$H$5:$H$1204,"&lt;&gt;Remarcado")&gt;0,"Sim","Não"))</f>
        <v/>
      </c>
      <c r="S354" s="32">
        <f>IF(R354&lt;&gt;"Não","",IF(Q354+Config!$B$9&lt;=Config!$B$8,Config!$B$8-Q354,""))</f>
        <v/>
      </c>
      <c r="T354" s="26">
        <f>IF(S354="","","Sim")</f>
        <v/>
      </c>
      <c r="U354" s="41">
        <f>IF(T354="Sim",S354+ROW()/100000,0)</f>
        <v>0</v>
      </c>
      <c r="V354" s="41">
        <f>IF(AND(H354="Falta",L354=Config!$B$7,M354=Config!$B$5,COUNTIFS($E$5:E354,E354,$H$5:H354,"Falta",$L$5:L354,Config!$B$7,$M$5:M354,Config!$B$5)=1),COUNTIFS($E$5:$E$1204,E354,$H$5:$H$1204,"Falta",$L$5:$L$1204,Config!$B$7,$M$5:$M$1204,Config!$B$5)*1000-ROW()/100000,0)</f>
        <v>0</v>
      </c>
    </row>
    <row r="355">
      <c r="A355" s="39" t="n">
        <v>46239</v>
      </c>
      <c r="B355" s="40" t="n">
        <v>0.7222222222222222</v>
      </c>
      <c r="C355" s="35" t="inlineStr">
        <is>
          <t>Dra. Carolina Mendes</t>
        </is>
      </c>
      <c r="D355" s="35" t="inlineStr">
        <is>
          <t>Sala 1</t>
        </is>
      </c>
      <c r="E355" s="34" t="inlineStr">
        <is>
          <t>Rodrigo Moreira</t>
        </is>
      </c>
      <c r="F355" s="35" t="inlineStr">
        <is>
          <t>Particular</t>
        </is>
      </c>
      <c r="G355" s="35" t="inlineStr">
        <is>
          <t>Consulta</t>
        </is>
      </c>
      <c r="H355" s="35" t="inlineStr">
        <is>
          <t>Realizado</t>
        </is>
      </c>
      <c r="I355" s="35" t="inlineStr">
        <is>
          <t>Cartão de débito</t>
        </is>
      </c>
      <c r="J355" s="35" t="n"/>
      <c r="K355" s="34" t="n"/>
      <c r="L355" s="26">
        <f>IF(A355="","",MONTH(A355))</f>
        <v>8</v>
      </c>
      <c r="M355" s="26">
        <f>IF(A355="","",YEAR(A355))</f>
        <v>2026</v>
      </c>
      <c r="N355" s="26" t="str">
        <f>IF(A355="","",CHOOSE(WEEKDAY(A355,2),"Segunda","Terça","Quarta","Quinta","Sexta","Sábado","Domingo"))</f>
        <v>Quarta</v>
      </c>
      <c r="O355" s="26" t="str">
        <f>IF(B355="","",IF(B355&lt;TIME(12,0,0),"Manhã",IF(B355&lt;TIME(18,0,0),"Tarde","Noite")))</f>
        <v>Tarde</v>
      </c>
      <c r="P355" s="32">
        <f>IF(G355="","",IFERROR(INDEX(Config!$I$5:$I$16,MATCH(G355,Config!$H$5:$H$16,0)),0))</f>
        <v>30</v>
      </c>
      <c r="Q355" s="30">
        <f>IF(OR(H355&lt;&gt;"Realizado",P355="",P355=0),"",A355+P355)</f>
        <v>46269.0</v>
      </c>
      <c r="R355" s="26" t="str">
        <f>IF(Q355="","",IF(COUNTIFS($E$5:$E$1204,E355,$A$5:$A$1204,"&gt;"&amp;A355,$H$5:$H$1204,"&lt;&gt;Falta",$H$5:$H$1204,"&lt;&gt;Cancelado",$H$5:$H$1204,"&lt;&gt;Remarcado")&gt;0,"Sim","Não"))</f>
        <v>Sim</v>
      </c>
      <c r="S355" s="32">
        <f>IF(R355&lt;&gt;"Não","",IF(Q355+Config!$B$9&lt;=Config!$B$8,Config!$B$8-Q355,""))</f>
        <v/>
      </c>
      <c r="T355" s="26">
        <f>IF(S355="","","Sim")</f>
        <v/>
      </c>
      <c r="U355" s="41">
        <f>IF(T355="Sim",S355+ROW()/100000,0)</f>
        <v>0</v>
      </c>
      <c r="V355" s="41">
        <f>IF(AND(H355="Falta",L355=Config!$B$7,M355=Config!$B$5,COUNTIFS($E$5:E355,E355,$H$5:H355,"Falta",$L$5:L355,Config!$B$7,$M$5:M355,Config!$B$5)=1),COUNTIFS($E$5:$E$1204,E355,$H$5:$H$1204,"Falta",$L$5:$L$1204,Config!$B$7,$M$5:$M$1204,Config!$B$5)*1000-ROW()/100000,0)</f>
        <v>0</v>
      </c>
    </row>
    <row r="356">
      <c r="A356" s="39" t="n">
        <v>46240</v>
      </c>
      <c r="B356" s="40" t="n">
        <v>0.3333333333333333</v>
      </c>
      <c r="C356" s="35" t="inlineStr">
        <is>
          <t>Dra. Carolina Mendes</t>
        </is>
      </c>
      <c r="D356" s="35" t="inlineStr">
        <is>
          <t>Sala 1</t>
        </is>
      </c>
      <c r="E356" s="34" t="inlineStr">
        <is>
          <t>Camila Batista</t>
        </is>
      </c>
      <c r="F356" s="35" t="inlineStr">
        <is>
          <t>MediPlan</t>
        </is>
      </c>
      <c r="G356" s="35" t="inlineStr">
        <is>
          <t>Consulta</t>
        </is>
      </c>
      <c r="H356" s="35" t="inlineStr">
        <is>
          <t>Realizado</t>
        </is>
      </c>
      <c r="I356" s="35" t="inlineStr">
        <is>
          <t>Convênio</t>
        </is>
      </c>
      <c r="J356" s="35" t="n"/>
      <c r="K356" s="34" t="n"/>
      <c r="L356" s="26">
        <f>IF(A356="","",MONTH(A356))</f>
        <v>8</v>
      </c>
      <c r="M356" s="26">
        <f>IF(A356="","",YEAR(A356))</f>
        <v>2026</v>
      </c>
      <c r="N356" s="26" t="str">
        <f>IF(A356="","",CHOOSE(WEEKDAY(A356,2),"Segunda","Terça","Quarta","Quinta","Sexta","Sábado","Domingo"))</f>
        <v>Quinta</v>
      </c>
      <c r="O356" s="26" t="str">
        <f>IF(B356="","",IF(B356&lt;TIME(12,0,0),"Manhã",IF(B356&lt;TIME(18,0,0),"Tarde","Noite")))</f>
        <v>Manhã</v>
      </c>
      <c r="P356" s="32">
        <f>IF(G356="","",IFERROR(INDEX(Config!$I$5:$I$16,MATCH(G356,Config!$H$5:$H$16,0)),0))</f>
        <v>30</v>
      </c>
      <c r="Q356" s="30">
        <f>IF(OR(H356&lt;&gt;"Realizado",P356="",P356=0),"",A356+P356)</f>
        <v>46270.0</v>
      </c>
      <c r="R356" s="26" t="str">
        <f>IF(Q356="","",IF(COUNTIFS($E$5:$E$1204,E356,$A$5:$A$1204,"&gt;"&amp;A356,$H$5:$H$1204,"&lt;&gt;Falta",$H$5:$H$1204,"&lt;&gt;Cancelado",$H$5:$H$1204,"&lt;&gt;Remarcado")&gt;0,"Sim","Não"))</f>
        <v>Sim</v>
      </c>
      <c r="S356" s="32">
        <f>IF(R356&lt;&gt;"Não","",IF(Q356+Config!$B$9&lt;=Config!$B$8,Config!$B$8-Q356,""))</f>
        <v/>
      </c>
      <c r="T356" s="26">
        <f>IF(S356="","","Sim")</f>
        <v/>
      </c>
      <c r="U356" s="41">
        <f>IF(T356="Sim",S356+ROW()/100000,0)</f>
        <v>0</v>
      </c>
      <c r="V356" s="41">
        <f>IF(AND(H356="Falta",L356=Config!$B$7,M356=Config!$B$5,COUNTIFS($E$5:E356,E356,$H$5:H356,"Falta",$L$5:L356,Config!$B$7,$M$5:M356,Config!$B$5)=1),COUNTIFS($E$5:$E$1204,E356,$H$5:$H$1204,"Falta",$L$5:$L$1204,Config!$B$7,$M$5:$M$1204,Config!$B$5)*1000-ROW()/100000,0)</f>
        <v>0</v>
      </c>
    </row>
    <row r="357">
      <c r="A357" s="39" t="n">
        <v>46240</v>
      </c>
      <c r="B357" s="40" t="n">
        <v>0.375</v>
      </c>
      <c r="C357" s="35" t="inlineStr">
        <is>
          <t>Dra. Carolina Mendes</t>
        </is>
      </c>
      <c r="D357" s="35" t="inlineStr">
        <is>
          <t>Sala 1</t>
        </is>
      </c>
      <c r="E357" s="34" t="inlineStr">
        <is>
          <t>Elaine Cardoso</t>
        </is>
      </c>
      <c r="F357" s="35" t="inlineStr">
        <is>
          <t>Particular</t>
        </is>
      </c>
      <c r="G357" s="35" t="inlineStr">
        <is>
          <t>Consulta</t>
        </is>
      </c>
      <c r="H357" s="35" t="inlineStr">
        <is>
          <t>Realizado</t>
        </is>
      </c>
      <c r="I357" s="35" t="inlineStr">
        <is>
          <t>Cartão de crédito</t>
        </is>
      </c>
      <c r="J357" s="35" t="n">
        <v>2</v>
      </c>
      <c r="K357" s="34" t="n"/>
      <c r="L357" s="26">
        <f>IF(A357="","",MONTH(A357))</f>
        <v>8</v>
      </c>
      <c r="M357" s="26">
        <f>IF(A357="","",YEAR(A357))</f>
        <v>2026</v>
      </c>
      <c r="N357" s="26" t="str">
        <f>IF(A357="","",CHOOSE(WEEKDAY(A357,2),"Segunda","Terça","Quarta","Quinta","Sexta","Sábado","Domingo"))</f>
        <v>Quinta</v>
      </c>
      <c r="O357" s="26" t="str">
        <f>IF(B357="","",IF(B357&lt;TIME(12,0,0),"Manhã",IF(B357&lt;TIME(18,0,0),"Tarde","Noite")))</f>
        <v>Manhã</v>
      </c>
      <c r="P357" s="32">
        <f>IF(G357="","",IFERROR(INDEX(Config!$I$5:$I$16,MATCH(G357,Config!$H$5:$H$16,0)),0))</f>
        <v>30</v>
      </c>
      <c r="Q357" s="30">
        <f>IF(OR(H357&lt;&gt;"Realizado",P357="",P357=0),"",A357+P357)</f>
        <v>46270.0</v>
      </c>
      <c r="R357" s="26" t="str">
        <f>IF(Q357="","",IF(COUNTIFS($E$5:$E$1204,E357,$A$5:$A$1204,"&gt;"&amp;A357,$H$5:$H$1204,"&lt;&gt;Falta",$H$5:$H$1204,"&lt;&gt;Cancelado",$H$5:$H$1204,"&lt;&gt;Remarcado")&gt;0,"Sim","Não"))</f>
        <v>Sim</v>
      </c>
      <c r="S357" s="32">
        <f>IF(R357&lt;&gt;"Não","",IF(Q357+Config!$B$9&lt;=Config!$B$8,Config!$B$8-Q357,""))</f>
        <v/>
      </c>
      <c r="T357" s="26">
        <f>IF(S357="","","Sim")</f>
        <v/>
      </c>
      <c r="U357" s="41">
        <f>IF(T357="Sim",S357+ROW()/100000,0)</f>
        <v>0</v>
      </c>
      <c r="V357" s="41">
        <f>IF(AND(H357="Falta",L357=Config!$B$7,M357=Config!$B$5,COUNTIFS($E$5:E357,E357,$H$5:H357,"Falta",$L$5:L357,Config!$B$7,$M$5:M357,Config!$B$5)=1),COUNTIFS($E$5:$E$1204,E357,$H$5:$H$1204,"Falta",$L$5:$L$1204,Config!$B$7,$M$5:$M$1204,Config!$B$5)*1000-ROW()/100000,0)</f>
        <v>0</v>
      </c>
    </row>
    <row r="358">
      <c r="A358" s="39" t="n">
        <v>46240</v>
      </c>
      <c r="B358" s="40" t="n">
        <v>0.3958333333333333</v>
      </c>
      <c r="C358" s="35" t="inlineStr">
        <is>
          <t>Dra. Carolina Mendes</t>
        </is>
      </c>
      <c r="D358" s="35" t="inlineStr">
        <is>
          <t>Sala 1</t>
        </is>
      </c>
      <c r="E358" s="34" t="inlineStr">
        <is>
          <t>Isabela Pinto</t>
        </is>
      </c>
      <c r="F358" s="35" t="inlineStr">
        <is>
          <t>Saúde Total</t>
        </is>
      </c>
      <c r="G358" s="35" t="inlineStr">
        <is>
          <t>Consulta</t>
        </is>
      </c>
      <c r="H358" s="35" t="inlineStr">
        <is>
          <t>Realizado</t>
        </is>
      </c>
      <c r="I358" s="35" t="inlineStr">
        <is>
          <t>Convênio</t>
        </is>
      </c>
      <c r="J358" s="35" t="n"/>
      <c r="K358" s="34" t="n"/>
      <c r="L358" s="26">
        <f>IF(A358="","",MONTH(A358))</f>
        <v>8</v>
      </c>
      <c r="M358" s="26">
        <f>IF(A358="","",YEAR(A358))</f>
        <v>2026</v>
      </c>
      <c r="N358" s="26" t="str">
        <f>IF(A358="","",CHOOSE(WEEKDAY(A358,2),"Segunda","Terça","Quarta","Quinta","Sexta","Sábado","Domingo"))</f>
        <v>Quinta</v>
      </c>
      <c r="O358" s="26" t="str">
        <f>IF(B358="","",IF(B358&lt;TIME(12,0,0),"Manhã",IF(B358&lt;TIME(18,0,0),"Tarde","Noite")))</f>
        <v>Manhã</v>
      </c>
      <c r="P358" s="32">
        <f>IF(G358="","",IFERROR(INDEX(Config!$I$5:$I$16,MATCH(G358,Config!$H$5:$H$16,0)),0))</f>
        <v>30</v>
      </c>
      <c r="Q358" s="30">
        <f>IF(OR(H358&lt;&gt;"Realizado",P358="",P358=0),"",A358+P358)</f>
        <v>46270.0</v>
      </c>
      <c r="R358" s="26" t="str">
        <f>IF(Q358="","",IF(COUNTIFS($E$5:$E$1204,E358,$A$5:$A$1204,"&gt;"&amp;A358,$H$5:$H$1204,"&lt;&gt;Falta",$H$5:$H$1204,"&lt;&gt;Cancelado",$H$5:$H$1204,"&lt;&gt;Remarcado")&gt;0,"Sim","Não"))</f>
        <v>Sim</v>
      </c>
      <c r="S358" s="32">
        <f>IF(R358&lt;&gt;"Não","",IF(Q358+Config!$B$9&lt;=Config!$B$8,Config!$B$8-Q358,""))</f>
        <v/>
      </c>
      <c r="T358" s="26">
        <f>IF(S358="","","Sim")</f>
        <v/>
      </c>
      <c r="U358" s="41">
        <f>IF(T358="Sim",S358+ROW()/100000,0)</f>
        <v>0</v>
      </c>
      <c r="V358" s="41">
        <f>IF(AND(H358="Falta",L358=Config!$B$7,M358=Config!$B$5,COUNTIFS($E$5:E358,E358,$H$5:H358,"Falta",$L$5:L358,Config!$B$7,$M$5:M358,Config!$B$5)=1),COUNTIFS($E$5:$E$1204,E358,$H$5:$H$1204,"Falta",$L$5:$L$1204,Config!$B$7,$M$5:$M$1204,Config!$B$5)*1000-ROW()/100000,0)</f>
        <v>0</v>
      </c>
    </row>
    <row r="359">
      <c r="A359" s="39" t="n">
        <v>46240</v>
      </c>
      <c r="B359" s="40" t="n">
        <v>0.4375</v>
      </c>
      <c r="C359" s="35" t="inlineStr">
        <is>
          <t>Dra. Carolina Mendes</t>
        </is>
      </c>
      <c r="D359" s="35" t="inlineStr">
        <is>
          <t>Sala 1</t>
        </is>
      </c>
      <c r="E359" s="34" t="inlineStr">
        <is>
          <t>Daniel Almeida</t>
        </is>
      </c>
      <c r="F359" s="35" t="inlineStr">
        <is>
          <t>Saúde Total</t>
        </is>
      </c>
      <c r="G359" s="35" t="inlineStr">
        <is>
          <t>Consulta</t>
        </is>
      </c>
      <c r="H359" s="35" t="inlineStr">
        <is>
          <t>Realizado</t>
        </is>
      </c>
      <c r="I359" s="35" t="inlineStr">
        <is>
          <t>Convênio</t>
        </is>
      </c>
      <c r="J359" s="35" t="n"/>
      <c r="K359" s="34" t="n"/>
      <c r="L359" s="26">
        <f>IF(A359="","",MONTH(A359))</f>
        <v>8</v>
      </c>
      <c r="M359" s="26">
        <f>IF(A359="","",YEAR(A359))</f>
        <v>2026</v>
      </c>
      <c r="N359" s="26" t="str">
        <f>IF(A359="","",CHOOSE(WEEKDAY(A359,2),"Segunda","Terça","Quarta","Quinta","Sexta","Sábado","Domingo"))</f>
        <v>Quinta</v>
      </c>
      <c r="O359" s="26" t="str">
        <f>IF(B359="","",IF(B359&lt;TIME(12,0,0),"Manhã",IF(B359&lt;TIME(18,0,0),"Tarde","Noite")))</f>
        <v>Manhã</v>
      </c>
      <c r="P359" s="32">
        <f>IF(G359="","",IFERROR(INDEX(Config!$I$5:$I$16,MATCH(G359,Config!$H$5:$H$16,0)),0))</f>
        <v>30</v>
      </c>
      <c r="Q359" s="30">
        <f>IF(OR(H359&lt;&gt;"Realizado",P359="",P359=0),"",A359+P359)</f>
        <v>46270.0</v>
      </c>
      <c r="R359" s="26" t="str">
        <f>IF(Q359="","",IF(COUNTIFS($E$5:$E$1204,E359,$A$5:$A$1204,"&gt;"&amp;A359,$H$5:$H$1204,"&lt;&gt;Falta",$H$5:$H$1204,"&lt;&gt;Cancelado",$H$5:$H$1204,"&lt;&gt;Remarcado")&gt;0,"Sim","Não"))</f>
        <v>Sim</v>
      </c>
      <c r="S359" s="32">
        <f>IF(R359&lt;&gt;"Não","",IF(Q359+Config!$B$9&lt;=Config!$B$8,Config!$B$8-Q359,""))</f>
        <v/>
      </c>
      <c r="T359" s="26">
        <f>IF(S359="","","Sim")</f>
        <v/>
      </c>
      <c r="U359" s="41">
        <f>IF(T359="Sim",S359+ROW()/100000,0)</f>
        <v>0</v>
      </c>
      <c r="V359" s="41">
        <f>IF(AND(H359="Falta",L359=Config!$B$7,M359=Config!$B$5,COUNTIFS($E$5:E359,E359,$H$5:H359,"Falta",$L$5:L359,Config!$B$7,$M$5:M359,Config!$B$5)=1),COUNTIFS($E$5:$E$1204,E359,$H$5:$H$1204,"Falta",$L$5:$L$1204,Config!$B$7,$M$5:$M$1204,Config!$B$5)*1000-ROW()/100000,0)</f>
        <v>0</v>
      </c>
    </row>
    <row r="360">
      <c r="A360" s="39" t="n">
        <v>46240</v>
      </c>
      <c r="B360" s="40" t="n">
        <v>0.4583333333333333</v>
      </c>
      <c r="C360" s="35" t="inlineStr">
        <is>
          <t>Dra. Carolina Mendes</t>
        </is>
      </c>
      <c r="D360" s="35" t="inlineStr">
        <is>
          <t>Sala 1</t>
        </is>
      </c>
      <c r="E360" s="34" t="inlineStr">
        <is>
          <t>Patrícia Fernandes</t>
        </is>
      </c>
      <c r="F360" s="35" t="inlineStr">
        <is>
          <t>Particular</t>
        </is>
      </c>
      <c r="G360" s="35" t="inlineStr">
        <is>
          <t>Consulta</t>
        </is>
      </c>
      <c r="H360" s="35" t="inlineStr">
        <is>
          <t>Realizado</t>
        </is>
      </c>
      <c r="I360" s="35" t="inlineStr">
        <is>
          <t>Cartão de débito</t>
        </is>
      </c>
      <c r="J360" s="35" t="n"/>
      <c r="K360" s="34" t="n"/>
      <c r="L360" s="26">
        <f>IF(A360="","",MONTH(A360))</f>
        <v>8</v>
      </c>
      <c r="M360" s="26">
        <f>IF(A360="","",YEAR(A360))</f>
        <v>2026</v>
      </c>
      <c r="N360" s="26" t="str">
        <f>IF(A360="","",CHOOSE(WEEKDAY(A360,2),"Segunda","Terça","Quarta","Quinta","Sexta","Sábado","Domingo"))</f>
        <v>Quinta</v>
      </c>
      <c r="O360" s="26" t="str">
        <f>IF(B360="","",IF(B360&lt;TIME(12,0,0),"Manhã",IF(B360&lt;TIME(18,0,0),"Tarde","Noite")))</f>
        <v>Manhã</v>
      </c>
      <c r="P360" s="32">
        <f>IF(G360="","",IFERROR(INDEX(Config!$I$5:$I$16,MATCH(G360,Config!$H$5:$H$16,0)),0))</f>
        <v>30</v>
      </c>
      <c r="Q360" s="30">
        <f>IF(OR(H360&lt;&gt;"Realizado",P360="",P360=0),"",A360+P360)</f>
        <v>46270.0</v>
      </c>
      <c r="R360" s="26" t="str">
        <f>IF(Q360="","",IF(COUNTIFS($E$5:$E$1204,E360,$A$5:$A$1204,"&gt;"&amp;A360,$H$5:$H$1204,"&lt;&gt;Falta",$H$5:$H$1204,"&lt;&gt;Cancelado",$H$5:$H$1204,"&lt;&gt;Remarcado")&gt;0,"Sim","Não"))</f>
        <v>Sim</v>
      </c>
      <c r="S360" s="32">
        <f>IF(R360&lt;&gt;"Não","",IF(Q360+Config!$B$9&lt;=Config!$B$8,Config!$B$8-Q360,""))</f>
        <v/>
      </c>
      <c r="T360" s="26">
        <f>IF(S360="","","Sim")</f>
        <v/>
      </c>
      <c r="U360" s="41">
        <f>IF(T360="Sim",S360+ROW()/100000,0)</f>
        <v>0</v>
      </c>
      <c r="V360" s="41">
        <f>IF(AND(H360="Falta",L360=Config!$B$7,M360=Config!$B$5,COUNTIFS($E$5:E360,E360,$H$5:H360,"Falta",$L$5:L360,Config!$B$7,$M$5:M360,Config!$B$5)=1),COUNTIFS($E$5:$E$1204,E360,$H$5:$H$1204,"Falta",$L$5:$L$1204,Config!$B$7,$M$5:$M$1204,Config!$B$5)*1000-ROW()/100000,0)</f>
        <v>0</v>
      </c>
    </row>
    <row r="361">
      <c r="A361" s="39" t="n">
        <v>46240</v>
      </c>
      <c r="B361" s="40" t="n">
        <v>0.4791666666666667</v>
      </c>
      <c r="C361" s="35" t="inlineStr">
        <is>
          <t>Dra. Carolina Mendes</t>
        </is>
      </c>
      <c r="D361" s="35" t="inlineStr">
        <is>
          <t>Sala 1</t>
        </is>
      </c>
      <c r="E361" s="34" t="inlineStr">
        <is>
          <t>Otávio Cardoso</t>
        </is>
      </c>
      <c r="F361" s="35" t="inlineStr">
        <is>
          <t>Particular</t>
        </is>
      </c>
      <c r="G361" s="35" t="inlineStr">
        <is>
          <t>Retorno</t>
        </is>
      </c>
      <c r="H361" s="35" t="inlineStr">
        <is>
          <t>Realizado</t>
        </is>
      </c>
      <c r="I361" s="35" t="inlineStr">
        <is>
          <t>Sem cobrança</t>
        </is>
      </c>
      <c r="J361" s="35" t="n"/>
      <c r="K361" s="34" t="n"/>
      <c r="L361" s="26">
        <f>IF(A361="","",MONTH(A361))</f>
        <v>8</v>
      </c>
      <c r="M361" s="26">
        <f>IF(A361="","",YEAR(A361))</f>
        <v>2026</v>
      </c>
      <c r="N361" s="26" t="str">
        <f>IF(A361="","",CHOOSE(WEEKDAY(A361,2),"Segunda","Terça","Quarta","Quinta","Sexta","Sábado","Domingo"))</f>
        <v>Quinta</v>
      </c>
      <c r="O361" s="26" t="str">
        <f>IF(B361="","",IF(B361&lt;TIME(12,0,0),"Manhã",IF(B361&lt;TIME(18,0,0),"Tarde","Noite")))</f>
        <v>Manhã</v>
      </c>
      <c r="P361" s="32">
        <f>IF(G361="","",IFERROR(INDEX(Config!$I$5:$I$16,MATCH(G361,Config!$H$5:$H$16,0)),0))</f>
        <v>0</v>
      </c>
      <c r="Q361" s="30">
        <f>IF(OR(H361&lt;&gt;"Realizado",P361="",P361=0),"",A361+P361)</f>
        <v/>
      </c>
      <c r="R361" s="26">
        <f>IF(Q361="","",IF(COUNTIFS($E$5:$E$1204,E361,$A$5:$A$1204,"&gt;"&amp;A361,$H$5:$H$1204,"&lt;&gt;Falta",$H$5:$H$1204,"&lt;&gt;Cancelado",$H$5:$H$1204,"&lt;&gt;Remarcado")&gt;0,"Sim","Não"))</f>
        <v/>
      </c>
      <c r="S361" s="32">
        <f>IF(R361&lt;&gt;"Não","",IF(Q361+Config!$B$9&lt;=Config!$B$8,Config!$B$8-Q361,""))</f>
        <v/>
      </c>
      <c r="T361" s="26">
        <f>IF(S361="","","Sim")</f>
        <v/>
      </c>
      <c r="U361" s="41">
        <f>IF(T361="Sim",S361+ROW()/100000,0)</f>
        <v>0</v>
      </c>
      <c r="V361" s="41">
        <f>IF(AND(H361="Falta",L361=Config!$B$7,M361=Config!$B$5,COUNTIFS($E$5:E361,E361,$H$5:H361,"Falta",$L$5:L361,Config!$B$7,$M$5:M361,Config!$B$5)=1),COUNTIFS($E$5:$E$1204,E361,$H$5:$H$1204,"Falta",$L$5:$L$1204,Config!$B$7,$M$5:$M$1204,Config!$B$5)*1000-ROW()/100000,0)</f>
        <v>0</v>
      </c>
    </row>
    <row r="362">
      <c r="A362" s="39" t="n">
        <v>46240</v>
      </c>
      <c r="B362" s="40" t="n">
        <v>0.5833333333333334</v>
      </c>
      <c r="C362" s="35" t="inlineStr">
        <is>
          <t>Dra. Renata Sousa</t>
        </is>
      </c>
      <c r="D362" s="35" t="inlineStr">
        <is>
          <t>Sala 1</t>
        </is>
      </c>
      <c r="E362" s="34" t="inlineStr">
        <is>
          <t>Mariana Reis</t>
        </is>
      </c>
      <c r="F362" s="35" t="inlineStr">
        <is>
          <t>Particular</t>
        </is>
      </c>
      <c r="G362" s="35" t="inlineStr">
        <is>
          <t>Retorno</t>
        </is>
      </c>
      <c r="H362" s="35" t="inlineStr">
        <is>
          <t>Realizado</t>
        </is>
      </c>
      <c r="I362" s="35" t="inlineStr">
        <is>
          <t>Sem cobrança</t>
        </is>
      </c>
      <c r="J362" s="35" t="n"/>
      <c r="K362" s="34" t="n"/>
      <c r="L362" s="26">
        <f>IF(A362="","",MONTH(A362))</f>
        <v>8</v>
      </c>
      <c r="M362" s="26">
        <f>IF(A362="","",YEAR(A362))</f>
        <v>2026</v>
      </c>
      <c r="N362" s="26" t="str">
        <f>IF(A362="","",CHOOSE(WEEKDAY(A362,2),"Segunda","Terça","Quarta","Quinta","Sexta","Sábado","Domingo"))</f>
        <v>Quinta</v>
      </c>
      <c r="O362" s="26" t="str">
        <f>IF(B362="","",IF(B362&lt;TIME(12,0,0),"Manhã",IF(B362&lt;TIME(18,0,0),"Tarde","Noite")))</f>
        <v>Tarde</v>
      </c>
      <c r="P362" s="32">
        <f>IF(G362="","",IFERROR(INDEX(Config!$I$5:$I$16,MATCH(G362,Config!$H$5:$H$16,0)),0))</f>
        <v>0</v>
      </c>
      <c r="Q362" s="30">
        <f>IF(OR(H362&lt;&gt;"Realizado",P362="",P362=0),"",A362+P362)</f>
        <v/>
      </c>
      <c r="R362" s="26">
        <f>IF(Q362="","",IF(COUNTIFS($E$5:$E$1204,E362,$A$5:$A$1204,"&gt;"&amp;A362,$H$5:$H$1204,"&lt;&gt;Falta",$H$5:$H$1204,"&lt;&gt;Cancelado",$H$5:$H$1204,"&lt;&gt;Remarcado")&gt;0,"Sim","Não"))</f>
        <v/>
      </c>
      <c r="S362" s="32">
        <f>IF(R362&lt;&gt;"Não","",IF(Q362+Config!$B$9&lt;=Config!$B$8,Config!$B$8-Q362,""))</f>
        <v/>
      </c>
      <c r="T362" s="26">
        <f>IF(S362="","","Sim")</f>
        <v/>
      </c>
      <c r="U362" s="41">
        <f>IF(T362="Sim",S362+ROW()/100000,0)</f>
        <v>0</v>
      </c>
      <c r="V362" s="41">
        <f>IF(AND(H362="Falta",L362=Config!$B$7,M362=Config!$B$5,COUNTIFS($E$5:E362,E362,$H$5:H362,"Falta",$L$5:L362,Config!$B$7,$M$5:M362,Config!$B$5)=1),COUNTIFS($E$5:$E$1204,E362,$H$5:$H$1204,"Falta",$L$5:$L$1204,Config!$B$7,$M$5:$M$1204,Config!$B$5)*1000-ROW()/100000,0)</f>
        <v>0</v>
      </c>
    </row>
    <row r="363">
      <c r="A363" s="39" t="n">
        <v>46240</v>
      </c>
      <c r="B363" s="40" t="n">
        <v>0.5833333333333334</v>
      </c>
      <c r="C363" s="35" t="inlineStr">
        <is>
          <t>Dr. Paulo Andrade</t>
        </is>
      </c>
      <c r="D363" s="35" t="inlineStr">
        <is>
          <t>Sala 2</t>
        </is>
      </c>
      <c r="E363" s="34" t="inlineStr">
        <is>
          <t>Juliana Silva</t>
        </is>
      </c>
      <c r="F363" s="35" t="inlineStr">
        <is>
          <t>Vida Care</t>
        </is>
      </c>
      <c r="G363" s="35" t="inlineStr">
        <is>
          <t>Teste ergométrico</t>
        </is>
      </c>
      <c r="H363" s="35" t="inlineStr">
        <is>
          <t>Realizado</t>
        </is>
      </c>
      <c r="I363" s="35" t="inlineStr">
        <is>
          <t>Convênio</t>
        </is>
      </c>
      <c r="J363" s="35" t="n"/>
      <c r="K363" s="34" t="n"/>
      <c r="L363" s="26">
        <f>IF(A363="","",MONTH(A363))</f>
        <v>8</v>
      </c>
      <c r="M363" s="26">
        <f>IF(A363="","",YEAR(A363))</f>
        <v>2026</v>
      </c>
      <c r="N363" s="26" t="str">
        <f>IF(A363="","",CHOOSE(WEEKDAY(A363,2),"Segunda","Terça","Quarta","Quinta","Sexta","Sábado","Domingo"))</f>
        <v>Quinta</v>
      </c>
      <c r="O363" s="26" t="str">
        <f>IF(B363="","",IF(B363&lt;TIME(12,0,0),"Manhã",IF(B363&lt;TIME(18,0,0),"Tarde","Noite")))</f>
        <v>Tarde</v>
      </c>
      <c r="P363" s="32">
        <f>IF(G363="","",IFERROR(INDEX(Config!$I$5:$I$16,MATCH(G363,Config!$H$5:$H$16,0)),0))</f>
        <v>0</v>
      </c>
      <c r="Q363" s="30">
        <f>IF(OR(H363&lt;&gt;"Realizado",P363="",P363=0),"",A363+P363)</f>
        <v/>
      </c>
      <c r="R363" s="26">
        <f>IF(Q363="","",IF(COUNTIFS($E$5:$E$1204,E363,$A$5:$A$1204,"&gt;"&amp;A363,$H$5:$H$1204,"&lt;&gt;Falta",$H$5:$H$1204,"&lt;&gt;Cancelado",$H$5:$H$1204,"&lt;&gt;Remarcado")&gt;0,"Sim","Não"))</f>
        <v/>
      </c>
      <c r="S363" s="32">
        <f>IF(R363&lt;&gt;"Não","",IF(Q363+Config!$B$9&lt;=Config!$B$8,Config!$B$8-Q363,""))</f>
        <v/>
      </c>
      <c r="T363" s="26">
        <f>IF(S363="","","Sim")</f>
        <v/>
      </c>
      <c r="U363" s="41">
        <f>IF(T363="Sim",S363+ROW()/100000,0)</f>
        <v>0</v>
      </c>
      <c r="V363" s="41">
        <f>IF(AND(H363="Falta",L363=Config!$B$7,M363=Config!$B$5,COUNTIFS($E$5:E363,E363,$H$5:H363,"Falta",$L$5:L363,Config!$B$7,$M$5:M363,Config!$B$5)=1),COUNTIFS($E$5:$E$1204,E363,$H$5:$H$1204,"Falta",$L$5:$L$1204,Config!$B$7,$M$5:$M$1204,Config!$B$5)*1000-ROW()/100000,0)</f>
        <v>0</v>
      </c>
    </row>
    <row r="364">
      <c r="A364" s="39" t="n">
        <v>46240</v>
      </c>
      <c r="B364" s="40" t="n">
        <v>0.5972222222222222</v>
      </c>
      <c r="C364" s="35" t="inlineStr">
        <is>
          <t>Dra. Renata Sousa</t>
        </is>
      </c>
      <c r="D364" s="35" t="inlineStr">
        <is>
          <t>Sala 1</t>
        </is>
      </c>
      <c r="E364" s="34" t="inlineStr">
        <is>
          <t>Fábio Ferreira</t>
        </is>
      </c>
      <c r="F364" s="35" t="inlineStr">
        <is>
          <t>Particular</t>
        </is>
      </c>
      <c r="G364" s="35" t="inlineStr">
        <is>
          <t>Avaliação endócrina</t>
        </is>
      </c>
      <c r="H364" s="35" t="inlineStr">
        <is>
          <t>Realizado</t>
        </is>
      </c>
      <c r="I364" s="35" t="inlineStr">
        <is>
          <t>Cartão de crédito</t>
        </is>
      </c>
      <c r="J364" s="35" t="n">
        <v>2</v>
      </c>
      <c r="K364" s="34" t="n"/>
      <c r="L364" s="26">
        <f>IF(A364="","",MONTH(A364))</f>
        <v>8</v>
      </c>
      <c r="M364" s="26">
        <f>IF(A364="","",YEAR(A364))</f>
        <v>2026</v>
      </c>
      <c r="N364" s="26" t="str">
        <f>IF(A364="","",CHOOSE(WEEKDAY(A364,2),"Segunda","Terça","Quarta","Quinta","Sexta","Sábado","Domingo"))</f>
        <v>Quinta</v>
      </c>
      <c r="O364" s="26" t="str">
        <f>IF(B364="","",IF(B364&lt;TIME(12,0,0),"Manhã",IF(B364&lt;TIME(18,0,0),"Tarde","Noite")))</f>
        <v>Tarde</v>
      </c>
      <c r="P364" s="32">
        <f>IF(G364="","",IFERROR(INDEX(Config!$I$5:$I$16,MATCH(G364,Config!$H$5:$H$16,0)),0))</f>
        <v>45</v>
      </c>
      <c r="Q364" s="30">
        <f>IF(OR(H364&lt;&gt;"Realizado",P364="",P364=0),"",A364+P364)</f>
        <v>46285.0</v>
      </c>
      <c r="R364" s="26" t="str">
        <f>IF(Q364="","",IF(COUNTIFS($E$5:$E$1204,E364,$A$5:$A$1204,"&gt;"&amp;A364,$H$5:$H$1204,"&lt;&gt;Falta",$H$5:$H$1204,"&lt;&gt;Cancelado",$H$5:$H$1204,"&lt;&gt;Remarcado")&gt;0,"Sim","Não"))</f>
        <v>Não</v>
      </c>
      <c r="S364" s="32">
        <f>IF(R364&lt;&gt;"Não","",IF(Q364+Config!$B$9&lt;=Config!$B$8,Config!$B$8-Q364,""))</f>
        <v/>
      </c>
      <c r="T364" s="26">
        <f>IF(S364="","","Sim")</f>
        <v/>
      </c>
      <c r="U364" s="41">
        <f>IF(T364="Sim",S364+ROW()/100000,0)</f>
        <v>0</v>
      </c>
      <c r="V364" s="41">
        <f>IF(AND(H364="Falta",L364=Config!$B$7,M364=Config!$B$5,COUNTIFS($E$5:E364,E364,$H$5:H364,"Falta",$L$5:L364,Config!$B$7,$M$5:M364,Config!$B$5)=1),COUNTIFS($E$5:$E$1204,E364,$H$5:$H$1204,"Falta",$L$5:$L$1204,Config!$B$7,$M$5:$M$1204,Config!$B$5)*1000-ROW()/100000,0)</f>
        <v>0</v>
      </c>
    </row>
    <row r="365">
      <c r="A365" s="39" t="n">
        <v>46240</v>
      </c>
      <c r="B365" s="40" t="n">
        <v>0.625</v>
      </c>
      <c r="C365" s="35" t="inlineStr">
        <is>
          <t>Dra. Renata Sousa</t>
        </is>
      </c>
      <c r="D365" s="35" t="inlineStr">
        <is>
          <t>Sala 1</t>
        </is>
      </c>
      <c r="E365" s="34" t="inlineStr">
        <is>
          <t>Priscila Reis</t>
        </is>
      </c>
      <c r="F365" s="35" t="inlineStr">
        <is>
          <t>Particular</t>
        </is>
      </c>
      <c r="G365" s="35" t="inlineStr">
        <is>
          <t>Retorno</t>
        </is>
      </c>
      <c r="H365" s="35" t="inlineStr">
        <is>
          <t>Realizado</t>
        </is>
      </c>
      <c r="I365" s="35" t="inlineStr">
        <is>
          <t>Sem cobrança</t>
        </is>
      </c>
      <c r="J365" s="35" t="n"/>
      <c r="K365" s="34" t="n"/>
      <c r="L365" s="26">
        <f>IF(A365="","",MONTH(A365))</f>
        <v>8</v>
      </c>
      <c r="M365" s="26">
        <f>IF(A365="","",YEAR(A365))</f>
        <v>2026</v>
      </c>
      <c r="N365" s="26" t="str">
        <f>IF(A365="","",CHOOSE(WEEKDAY(A365,2),"Segunda","Terça","Quarta","Quinta","Sexta","Sábado","Domingo"))</f>
        <v>Quinta</v>
      </c>
      <c r="O365" s="26" t="str">
        <f>IF(B365="","",IF(B365&lt;TIME(12,0,0),"Manhã",IF(B365&lt;TIME(18,0,0),"Tarde","Noite")))</f>
        <v>Tarde</v>
      </c>
      <c r="P365" s="32">
        <f>IF(G365="","",IFERROR(INDEX(Config!$I$5:$I$16,MATCH(G365,Config!$H$5:$H$16,0)),0))</f>
        <v>0</v>
      </c>
      <c r="Q365" s="30">
        <f>IF(OR(H365&lt;&gt;"Realizado",P365="",P365=0),"",A365+P365)</f>
        <v/>
      </c>
      <c r="R365" s="26">
        <f>IF(Q365="","",IF(COUNTIFS($E$5:$E$1204,E365,$A$5:$A$1204,"&gt;"&amp;A365,$H$5:$H$1204,"&lt;&gt;Falta",$H$5:$H$1204,"&lt;&gt;Cancelado",$H$5:$H$1204,"&lt;&gt;Remarcado")&gt;0,"Sim","Não"))</f>
        <v/>
      </c>
      <c r="S365" s="32">
        <f>IF(R365&lt;&gt;"Não","",IF(Q365+Config!$B$9&lt;=Config!$B$8,Config!$B$8-Q365,""))</f>
        <v/>
      </c>
      <c r="T365" s="26">
        <f>IF(S365="","","Sim")</f>
        <v/>
      </c>
      <c r="U365" s="41">
        <f>IF(T365="Sim",S365+ROW()/100000,0)</f>
        <v>0</v>
      </c>
      <c r="V365" s="41">
        <f>IF(AND(H365="Falta",L365=Config!$B$7,M365=Config!$B$5,COUNTIFS($E$5:E365,E365,$H$5:H365,"Falta",$L$5:L365,Config!$B$7,$M$5:M365,Config!$B$5)=1),COUNTIFS($E$5:$E$1204,E365,$H$5:$H$1204,"Falta",$L$5:$L$1204,Config!$B$7,$M$5:$M$1204,Config!$B$5)*1000-ROW()/100000,0)</f>
        <v>0</v>
      </c>
    </row>
    <row r="366">
      <c r="A366" s="39" t="n">
        <v>46240</v>
      </c>
      <c r="B366" s="40" t="n">
        <v>0.6319444444444444</v>
      </c>
      <c r="C366" s="35" t="inlineStr">
        <is>
          <t>Dr. Paulo Andrade</t>
        </is>
      </c>
      <c r="D366" s="35" t="inlineStr">
        <is>
          <t>Sala 2</t>
        </is>
      </c>
      <c r="E366" s="34" t="inlineStr">
        <is>
          <t>Sandra Martins</t>
        </is>
      </c>
      <c r="F366" s="35" t="inlineStr">
        <is>
          <t>MediPlan</t>
        </is>
      </c>
      <c r="G366" s="35" t="inlineStr">
        <is>
          <t>Consulta</t>
        </is>
      </c>
      <c r="H366" s="35" t="inlineStr">
        <is>
          <t>Realizado</t>
        </is>
      </c>
      <c r="I366" s="35" t="inlineStr">
        <is>
          <t>Convênio</t>
        </is>
      </c>
      <c r="J366" s="35" t="n"/>
      <c r="K366" s="34" t="n"/>
      <c r="L366" s="26">
        <f>IF(A366="","",MONTH(A366))</f>
        <v>8</v>
      </c>
      <c r="M366" s="26">
        <f>IF(A366="","",YEAR(A366))</f>
        <v>2026</v>
      </c>
      <c r="N366" s="26" t="str">
        <f>IF(A366="","",CHOOSE(WEEKDAY(A366,2),"Segunda","Terça","Quarta","Quinta","Sexta","Sábado","Domingo"))</f>
        <v>Quinta</v>
      </c>
      <c r="O366" s="26" t="str">
        <f>IF(B366="","",IF(B366&lt;TIME(12,0,0),"Manhã",IF(B366&lt;TIME(18,0,0),"Tarde","Noite")))</f>
        <v>Tarde</v>
      </c>
      <c r="P366" s="32">
        <f>IF(G366="","",IFERROR(INDEX(Config!$I$5:$I$16,MATCH(G366,Config!$H$5:$H$16,0)),0))</f>
        <v>30</v>
      </c>
      <c r="Q366" s="30">
        <f>IF(OR(H366&lt;&gt;"Realizado",P366="",P366=0),"",A366+P366)</f>
        <v>46270.0</v>
      </c>
      <c r="R366" s="26" t="str">
        <f>IF(Q366="","",IF(COUNTIFS($E$5:$E$1204,E366,$A$5:$A$1204,"&gt;"&amp;A366,$H$5:$H$1204,"&lt;&gt;Falta",$H$5:$H$1204,"&lt;&gt;Cancelado",$H$5:$H$1204,"&lt;&gt;Remarcado")&gt;0,"Sim","Não"))</f>
        <v>Sim</v>
      </c>
      <c r="S366" s="32">
        <f>IF(R366&lt;&gt;"Não","",IF(Q366+Config!$B$9&lt;=Config!$B$8,Config!$B$8-Q366,""))</f>
        <v/>
      </c>
      <c r="T366" s="26">
        <f>IF(S366="","","Sim")</f>
        <v/>
      </c>
      <c r="U366" s="41">
        <f>IF(T366="Sim",S366+ROW()/100000,0)</f>
        <v>0</v>
      </c>
      <c r="V366" s="41">
        <f>IF(AND(H366="Falta",L366=Config!$B$7,M366=Config!$B$5,COUNTIFS($E$5:E366,E366,$H$5:H366,"Falta",$L$5:L366,Config!$B$7,$M$5:M366,Config!$B$5)=1),COUNTIFS($E$5:$E$1204,E366,$H$5:$H$1204,"Falta",$L$5:$L$1204,Config!$B$7,$M$5:$M$1204,Config!$B$5)*1000-ROW()/100000,0)</f>
        <v>0</v>
      </c>
    </row>
    <row r="367">
      <c r="A367" s="39" t="n">
        <v>46240</v>
      </c>
      <c r="B367" s="40" t="n">
        <v>0.6388888888888888</v>
      </c>
      <c r="C367" s="35" t="inlineStr">
        <is>
          <t>Dra. Renata Sousa</t>
        </is>
      </c>
      <c r="D367" s="35" t="inlineStr">
        <is>
          <t>Sala 1</t>
        </is>
      </c>
      <c r="E367" s="34" t="inlineStr">
        <is>
          <t>Cláudia Melo</t>
        </is>
      </c>
      <c r="F367" s="35" t="inlineStr">
        <is>
          <t>Particular</t>
        </is>
      </c>
      <c r="G367" s="35" t="inlineStr">
        <is>
          <t>Avaliação endócrina</t>
        </is>
      </c>
      <c r="H367" s="35" t="inlineStr">
        <is>
          <t>Realizado</t>
        </is>
      </c>
      <c r="I367" s="35" t="inlineStr">
        <is>
          <t>Pix</t>
        </is>
      </c>
      <c r="J367" s="35" t="n"/>
      <c r="K367" s="34" t="n"/>
      <c r="L367" s="26">
        <f>IF(A367="","",MONTH(A367))</f>
        <v>8</v>
      </c>
      <c r="M367" s="26">
        <f>IF(A367="","",YEAR(A367))</f>
        <v>2026</v>
      </c>
      <c r="N367" s="26" t="str">
        <f>IF(A367="","",CHOOSE(WEEKDAY(A367,2),"Segunda","Terça","Quarta","Quinta","Sexta","Sábado","Domingo"))</f>
        <v>Quinta</v>
      </c>
      <c r="O367" s="26" t="str">
        <f>IF(B367="","",IF(B367&lt;TIME(12,0,0),"Manhã",IF(B367&lt;TIME(18,0,0),"Tarde","Noite")))</f>
        <v>Tarde</v>
      </c>
      <c r="P367" s="32">
        <f>IF(G367="","",IFERROR(INDEX(Config!$I$5:$I$16,MATCH(G367,Config!$H$5:$H$16,0)),0))</f>
        <v>45</v>
      </c>
      <c r="Q367" s="30">
        <f>IF(OR(H367&lt;&gt;"Realizado",P367="",P367=0),"",A367+P367)</f>
        <v>46285.0</v>
      </c>
      <c r="R367" s="26" t="str">
        <f>IF(Q367="","",IF(COUNTIFS($E$5:$E$1204,E367,$A$5:$A$1204,"&gt;"&amp;A367,$H$5:$H$1204,"&lt;&gt;Falta",$H$5:$H$1204,"&lt;&gt;Cancelado",$H$5:$H$1204,"&lt;&gt;Remarcado")&gt;0,"Sim","Não"))</f>
        <v>Sim</v>
      </c>
      <c r="S367" s="32">
        <f>IF(R367&lt;&gt;"Não","",IF(Q367+Config!$B$9&lt;=Config!$B$8,Config!$B$8-Q367,""))</f>
        <v/>
      </c>
      <c r="T367" s="26">
        <f>IF(S367="","","Sim")</f>
        <v/>
      </c>
      <c r="U367" s="41">
        <f>IF(T367="Sim",S367+ROW()/100000,0)</f>
        <v>0</v>
      </c>
      <c r="V367" s="41">
        <f>IF(AND(H367="Falta",L367=Config!$B$7,M367=Config!$B$5,COUNTIFS($E$5:E367,E367,$H$5:H367,"Falta",$L$5:L367,Config!$B$7,$M$5:M367,Config!$B$5)=1),COUNTIFS($E$5:$E$1204,E367,$H$5:$H$1204,"Falta",$L$5:$L$1204,Config!$B$7,$M$5:$M$1204,Config!$B$5)*1000-ROW()/100000,0)</f>
        <v>0</v>
      </c>
    </row>
    <row r="368">
      <c r="A368" s="39" t="n">
        <v>46240</v>
      </c>
      <c r="B368" s="40" t="n">
        <v>0.6527777777777778</v>
      </c>
      <c r="C368" s="35" t="inlineStr">
        <is>
          <t>Dr. Paulo Andrade</t>
        </is>
      </c>
      <c r="D368" s="35" t="inlineStr">
        <is>
          <t>Sala 2</t>
        </is>
      </c>
      <c r="E368" s="34" t="inlineStr">
        <is>
          <t>Mateus Dias</t>
        </is>
      </c>
      <c r="F368" s="35" t="inlineStr">
        <is>
          <t>Saúde Total</t>
        </is>
      </c>
      <c r="G368" s="35" t="inlineStr">
        <is>
          <t>Consulta</t>
        </is>
      </c>
      <c r="H368" s="35" t="inlineStr">
        <is>
          <t>Realizado</t>
        </is>
      </c>
      <c r="I368" s="35" t="inlineStr">
        <is>
          <t>Convênio</t>
        </is>
      </c>
      <c r="J368" s="35" t="n"/>
      <c r="K368" s="34" t="n"/>
      <c r="L368" s="26">
        <f>IF(A368="","",MONTH(A368))</f>
        <v>8</v>
      </c>
      <c r="M368" s="26">
        <f>IF(A368="","",YEAR(A368))</f>
        <v>2026</v>
      </c>
      <c r="N368" s="26" t="str">
        <f>IF(A368="","",CHOOSE(WEEKDAY(A368,2),"Segunda","Terça","Quarta","Quinta","Sexta","Sábado","Domingo"))</f>
        <v>Quinta</v>
      </c>
      <c r="O368" s="26" t="str">
        <f>IF(B368="","",IF(B368&lt;TIME(12,0,0),"Manhã",IF(B368&lt;TIME(18,0,0),"Tarde","Noite")))</f>
        <v>Tarde</v>
      </c>
      <c r="P368" s="32">
        <f>IF(G368="","",IFERROR(INDEX(Config!$I$5:$I$16,MATCH(G368,Config!$H$5:$H$16,0)),0))</f>
        <v>30</v>
      </c>
      <c r="Q368" s="30">
        <f>IF(OR(H368&lt;&gt;"Realizado",P368="",P368=0),"",A368+P368)</f>
        <v>46270.0</v>
      </c>
      <c r="R368" s="26" t="str">
        <f>IF(Q368="","",IF(COUNTIFS($E$5:$E$1204,E368,$A$5:$A$1204,"&gt;"&amp;A368,$H$5:$H$1204,"&lt;&gt;Falta",$H$5:$H$1204,"&lt;&gt;Cancelado",$H$5:$H$1204,"&lt;&gt;Remarcado")&gt;0,"Sim","Não"))</f>
        <v>Sim</v>
      </c>
      <c r="S368" s="32">
        <f>IF(R368&lt;&gt;"Não","",IF(Q368+Config!$B$9&lt;=Config!$B$8,Config!$B$8-Q368,""))</f>
        <v/>
      </c>
      <c r="T368" s="26">
        <f>IF(S368="","","Sim")</f>
        <v/>
      </c>
      <c r="U368" s="41">
        <f>IF(T368="Sim",S368+ROW()/100000,0)</f>
        <v>0</v>
      </c>
      <c r="V368" s="41">
        <f>IF(AND(H368="Falta",L368=Config!$B$7,M368=Config!$B$5,COUNTIFS($E$5:E368,E368,$H$5:H368,"Falta",$L$5:L368,Config!$B$7,$M$5:M368,Config!$B$5)=1),COUNTIFS($E$5:$E$1204,E368,$H$5:$H$1204,"Falta",$L$5:$L$1204,Config!$B$7,$M$5:$M$1204,Config!$B$5)*1000-ROW()/100000,0)</f>
        <v>0</v>
      </c>
    </row>
    <row r="369">
      <c r="A369" s="39" t="n">
        <v>46240</v>
      </c>
      <c r="B369" s="40" t="n">
        <v>0.6666666666666666</v>
      </c>
      <c r="C369" s="35" t="inlineStr">
        <is>
          <t>Dra. Renata Sousa</t>
        </is>
      </c>
      <c r="D369" s="35" t="inlineStr">
        <is>
          <t>Sala 1</t>
        </is>
      </c>
      <c r="E369" s="34" t="inlineStr">
        <is>
          <t>Roberta Lima</t>
        </is>
      </c>
      <c r="F369" s="35" t="inlineStr">
        <is>
          <t>Particular</t>
        </is>
      </c>
      <c r="G369" s="35" t="inlineStr">
        <is>
          <t>Avaliação endócrina</t>
        </is>
      </c>
      <c r="H369" s="35" t="inlineStr">
        <is>
          <t>Realizado</t>
        </is>
      </c>
      <c r="I369" s="35" t="inlineStr">
        <is>
          <t>A prazo</t>
        </is>
      </c>
      <c r="J369" s="35" t="n"/>
      <c r="K369" s="34" t="n"/>
      <c r="L369" s="26">
        <f>IF(A369="","",MONTH(A369))</f>
        <v>8</v>
      </c>
      <c r="M369" s="26">
        <f>IF(A369="","",YEAR(A369))</f>
        <v>2026</v>
      </c>
      <c r="N369" s="26" t="str">
        <f>IF(A369="","",CHOOSE(WEEKDAY(A369,2),"Segunda","Terça","Quarta","Quinta","Sexta","Sábado","Domingo"))</f>
        <v>Quinta</v>
      </c>
      <c r="O369" s="26" t="str">
        <f>IF(B369="","",IF(B369&lt;TIME(12,0,0),"Manhã",IF(B369&lt;TIME(18,0,0),"Tarde","Noite")))</f>
        <v>Tarde</v>
      </c>
      <c r="P369" s="32">
        <f>IF(G369="","",IFERROR(INDEX(Config!$I$5:$I$16,MATCH(G369,Config!$H$5:$H$16,0)),0))</f>
        <v>45</v>
      </c>
      <c r="Q369" s="30">
        <f>IF(OR(H369&lt;&gt;"Realizado",P369="",P369=0),"",A369+P369)</f>
        <v>46285.0</v>
      </c>
      <c r="R369" s="26" t="str">
        <f>IF(Q369="","",IF(COUNTIFS($E$5:$E$1204,E369,$A$5:$A$1204,"&gt;"&amp;A369,$H$5:$H$1204,"&lt;&gt;Falta",$H$5:$H$1204,"&lt;&gt;Cancelado",$H$5:$H$1204,"&lt;&gt;Remarcado")&gt;0,"Sim","Não"))</f>
        <v>Não</v>
      </c>
      <c r="S369" s="32">
        <f>IF(R369&lt;&gt;"Não","",IF(Q369+Config!$B$9&lt;=Config!$B$8,Config!$B$8-Q369,""))</f>
        <v/>
      </c>
      <c r="T369" s="26">
        <f>IF(S369="","","Sim")</f>
        <v/>
      </c>
      <c r="U369" s="41">
        <f>IF(T369="Sim",S369+ROW()/100000,0)</f>
        <v>0</v>
      </c>
      <c r="V369" s="41">
        <f>IF(AND(H369="Falta",L369=Config!$B$7,M369=Config!$B$5,COUNTIFS($E$5:E369,E369,$H$5:H369,"Falta",$L$5:L369,Config!$B$7,$M$5:M369,Config!$B$5)=1),COUNTIFS($E$5:$E$1204,E369,$H$5:$H$1204,"Falta",$L$5:$L$1204,Config!$B$7,$M$5:$M$1204,Config!$B$5)*1000-ROW()/100000,0)</f>
        <v>0</v>
      </c>
    </row>
    <row r="370">
      <c r="A370" s="39" t="n">
        <v>46240</v>
      </c>
      <c r="B370" s="40" t="n">
        <v>0.6944444444444444</v>
      </c>
      <c r="C370" s="35" t="inlineStr">
        <is>
          <t>Dra. Renata Sousa</t>
        </is>
      </c>
      <c r="D370" s="35" t="inlineStr">
        <is>
          <t>Sala 1</t>
        </is>
      </c>
      <c r="E370" s="34" t="inlineStr">
        <is>
          <t>Carlos Freitas</t>
        </is>
      </c>
      <c r="F370" s="35" t="inlineStr">
        <is>
          <t>Particular</t>
        </is>
      </c>
      <c r="G370" s="35" t="inlineStr">
        <is>
          <t>Avaliação endócrina</t>
        </is>
      </c>
      <c r="H370" s="35" t="inlineStr">
        <is>
          <t>Falta</t>
        </is>
      </c>
      <c r="I370" s="35" t="n"/>
      <c r="J370" s="35" t="n"/>
      <c r="K370" s="34" t="n"/>
      <c r="L370" s="26">
        <f>IF(A370="","",MONTH(A370))</f>
        <v>8</v>
      </c>
      <c r="M370" s="26">
        <f>IF(A370="","",YEAR(A370))</f>
        <v>2026</v>
      </c>
      <c r="N370" s="26" t="str">
        <f>IF(A370="","",CHOOSE(WEEKDAY(A370,2),"Segunda","Terça","Quarta","Quinta","Sexta","Sábado","Domingo"))</f>
        <v>Quinta</v>
      </c>
      <c r="O370" s="26" t="str">
        <f>IF(B370="","",IF(B370&lt;TIME(12,0,0),"Manhã",IF(B370&lt;TIME(18,0,0),"Tarde","Noite")))</f>
        <v>Tarde</v>
      </c>
      <c r="P370" s="32">
        <f>IF(G370="","",IFERROR(INDEX(Config!$I$5:$I$16,MATCH(G370,Config!$H$5:$H$16,0)),0))</f>
        <v>45</v>
      </c>
      <c r="Q370" s="30">
        <f>IF(OR(H370&lt;&gt;"Realizado",P370="",P370=0),"",A370+P370)</f>
        <v/>
      </c>
      <c r="R370" s="26">
        <f>IF(Q370="","",IF(COUNTIFS($E$5:$E$1204,E370,$A$5:$A$1204,"&gt;"&amp;A370,$H$5:$H$1204,"&lt;&gt;Falta",$H$5:$H$1204,"&lt;&gt;Cancelado",$H$5:$H$1204,"&lt;&gt;Remarcado")&gt;0,"Sim","Não"))</f>
        <v/>
      </c>
      <c r="S370" s="32">
        <f>IF(R370&lt;&gt;"Não","",IF(Q370+Config!$B$9&lt;=Config!$B$8,Config!$B$8-Q370,""))</f>
        <v/>
      </c>
      <c r="T370" s="26">
        <f>IF(S370="","","Sim")</f>
        <v/>
      </c>
      <c r="U370" s="41">
        <f>IF(T370="Sim",S370+ROW()/100000,0)</f>
        <v>0</v>
      </c>
      <c r="V370" s="41">
        <f>IF(AND(H370="Falta",L370=Config!$B$7,M370=Config!$B$5,COUNTIFS($E$5:E370,E370,$H$5:H370,"Falta",$L$5:L370,Config!$B$7,$M$5:M370,Config!$B$5)=1),COUNTIFS($E$5:$E$1204,E370,$H$5:$H$1204,"Falta",$L$5:$L$1204,Config!$B$7,$M$5:$M$1204,Config!$B$5)*1000-ROW()/100000,0)</f>
        <v>0</v>
      </c>
    </row>
    <row r="371">
      <c r="A371" s="39" t="n">
        <v>46240</v>
      </c>
      <c r="B371" s="40" t="n">
        <v>0.6944444444444444</v>
      </c>
      <c r="C371" s="35" t="inlineStr">
        <is>
          <t>Dr. Paulo Andrade</t>
        </is>
      </c>
      <c r="D371" s="35" t="inlineStr">
        <is>
          <t>Sala 2</t>
        </is>
      </c>
      <c r="E371" s="34" t="inlineStr">
        <is>
          <t>Otávio Cardoso</t>
        </is>
      </c>
      <c r="F371" s="35" t="inlineStr">
        <is>
          <t>Particular</t>
        </is>
      </c>
      <c r="G371" s="35" t="inlineStr">
        <is>
          <t>Teste ergométrico</t>
        </is>
      </c>
      <c r="H371" s="35" t="inlineStr">
        <is>
          <t>Realizado</t>
        </is>
      </c>
      <c r="I371" s="35" t="inlineStr">
        <is>
          <t>Pix</t>
        </is>
      </c>
      <c r="J371" s="35" t="n"/>
      <c r="K371" s="34" t="n"/>
      <c r="L371" s="26">
        <f>IF(A371="","",MONTH(A371))</f>
        <v>8</v>
      </c>
      <c r="M371" s="26">
        <f>IF(A371="","",YEAR(A371))</f>
        <v>2026</v>
      </c>
      <c r="N371" s="26" t="str">
        <f>IF(A371="","",CHOOSE(WEEKDAY(A371,2),"Segunda","Terça","Quarta","Quinta","Sexta","Sábado","Domingo"))</f>
        <v>Quinta</v>
      </c>
      <c r="O371" s="26" t="str">
        <f>IF(B371="","",IF(B371&lt;TIME(12,0,0),"Manhã",IF(B371&lt;TIME(18,0,0),"Tarde","Noite")))</f>
        <v>Tarde</v>
      </c>
      <c r="P371" s="32">
        <f>IF(G371="","",IFERROR(INDEX(Config!$I$5:$I$16,MATCH(G371,Config!$H$5:$H$16,0)),0))</f>
        <v>0</v>
      </c>
      <c r="Q371" s="30">
        <f>IF(OR(H371&lt;&gt;"Realizado",P371="",P371=0),"",A371+P371)</f>
        <v/>
      </c>
      <c r="R371" s="26">
        <f>IF(Q371="","",IF(COUNTIFS($E$5:$E$1204,E371,$A$5:$A$1204,"&gt;"&amp;A371,$H$5:$H$1204,"&lt;&gt;Falta",$H$5:$H$1204,"&lt;&gt;Cancelado",$H$5:$H$1204,"&lt;&gt;Remarcado")&gt;0,"Sim","Não"))</f>
        <v/>
      </c>
      <c r="S371" s="32">
        <f>IF(R371&lt;&gt;"Não","",IF(Q371+Config!$B$9&lt;=Config!$B$8,Config!$B$8-Q371,""))</f>
        <v/>
      </c>
      <c r="T371" s="26">
        <f>IF(S371="","","Sim")</f>
        <v/>
      </c>
      <c r="U371" s="41">
        <f>IF(T371="Sim",S371+ROW()/100000,0)</f>
        <v>0</v>
      </c>
      <c r="V371" s="41">
        <f>IF(AND(H371="Falta",L371=Config!$B$7,M371=Config!$B$5,COUNTIFS($E$5:E371,E371,$H$5:H371,"Falta",$L$5:L371,Config!$B$7,$M$5:M371,Config!$B$5)=1),COUNTIFS($E$5:$E$1204,E371,$H$5:$H$1204,"Falta",$L$5:$L$1204,Config!$B$7,$M$5:$M$1204,Config!$B$5)*1000-ROW()/100000,0)</f>
        <v>0</v>
      </c>
    </row>
    <row r="372">
      <c r="A372" s="39" t="n">
        <v>46240</v>
      </c>
      <c r="B372" s="40" t="n">
        <v>0.7222222222222222</v>
      </c>
      <c r="C372" s="35" t="inlineStr">
        <is>
          <t>Dra. Renata Sousa</t>
        </is>
      </c>
      <c r="D372" s="35" t="inlineStr">
        <is>
          <t>Sala 1</t>
        </is>
      </c>
      <c r="E372" s="34" t="inlineStr">
        <is>
          <t>Patrícia Dias</t>
        </is>
      </c>
      <c r="F372" s="35" t="inlineStr">
        <is>
          <t>Particular</t>
        </is>
      </c>
      <c r="G372" s="35" t="inlineStr">
        <is>
          <t>Avaliação endócrina</t>
        </is>
      </c>
      <c r="H372" s="35" t="inlineStr">
        <is>
          <t>Falta</t>
        </is>
      </c>
      <c r="I372" s="35" t="n"/>
      <c r="J372" s="35" t="n"/>
      <c r="K372" s="34" t="n"/>
      <c r="L372" s="26">
        <f>IF(A372="","",MONTH(A372))</f>
        <v>8</v>
      </c>
      <c r="M372" s="26">
        <f>IF(A372="","",YEAR(A372))</f>
        <v>2026</v>
      </c>
      <c r="N372" s="26" t="str">
        <f>IF(A372="","",CHOOSE(WEEKDAY(A372,2),"Segunda","Terça","Quarta","Quinta","Sexta","Sábado","Domingo"))</f>
        <v>Quinta</v>
      </c>
      <c r="O372" s="26" t="str">
        <f>IF(B372="","",IF(B372&lt;TIME(12,0,0),"Manhã",IF(B372&lt;TIME(18,0,0),"Tarde","Noite")))</f>
        <v>Tarde</v>
      </c>
      <c r="P372" s="32">
        <f>IF(G372="","",IFERROR(INDEX(Config!$I$5:$I$16,MATCH(G372,Config!$H$5:$H$16,0)),0))</f>
        <v>45</v>
      </c>
      <c r="Q372" s="30">
        <f>IF(OR(H372&lt;&gt;"Realizado",P372="",P372=0),"",A372+P372)</f>
        <v/>
      </c>
      <c r="R372" s="26">
        <f>IF(Q372="","",IF(COUNTIFS($E$5:$E$1204,E372,$A$5:$A$1204,"&gt;"&amp;A372,$H$5:$H$1204,"&lt;&gt;Falta",$H$5:$H$1204,"&lt;&gt;Cancelado",$H$5:$H$1204,"&lt;&gt;Remarcado")&gt;0,"Sim","Não"))</f>
        <v/>
      </c>
      <c r="S372" s="32">
        <f>IF(R372&lt;&gt;"Não","",IF(Q372+Config!$B$9&lt;=Config!$B$8,Config!$B$8-Q372,""))</f>
        <v/>
      </c>
      <c r="T372" s="26">
        <f>IF(S372="","","Sim")</f>
        <v/>
      </c>
      <c r="U372" s="41">
        <f>IF(T372="Sim",S372+ROW()/100000,0)</f>
        <v>0</v>
      </c>
      <c r="V372" s="41">
        <f>IF(AND(H372="Falta",L372=Config!$B$7,M372=Config!$B$5,COUNTIFS($E$5:E372,E372,$H$5:H372,"Falta",$L$5:L372,Config!$B$7,$M$5:M372,Config!$B$5)=1),COUNTIFS($E$5:$E$1204,E372,$H$5:$H$1204,"Falta",$L$5:$L$1204,Config!$B$7,$M$5:$M$1204,Config!$B$5)*1000-ROW()/100000,0)</f>
        <v>0</v>
      </c>
    </row>
    <row r="373">
      <c r="A373" s="39" t="n">
        <v>46240</v>
      </c>
      <c r="B373" s="40" t="n">
        <v>0.7222222222222222</v>
      </c>
      <c r="C373" s="35" t="inlineStr">
        <is>
          <t>Dr. Paulo Andrade</t>
        </is>
      </c>
      <c r="D373" s="35" t="inlineStr">
        <is>
          <t>Sala 2</t>
        </is>
      </c>
      <c r="E373" s="34" t="inlineStr">
        <is>
          <t>Ricardo Melo</t>
        </is>
      </c>
      <c r="F373" s="35" t="inlineStr">
        <is>
          <t>Saúde Total</t>
        </is>
      </c>
      <c r="G373" s="35" t="inlineStr">
        <is>
          <t>ECG</t>
        </is>
      </c>
      <c r="H373" s="35" t="inlineStr">
        <is>
          <t>Realizado</t>
        </is>
      </c>
      <c r="I373" s="35" t="inlineStr">
        <is>
          <t>Convênio</t>
        </is>
      </c>
      <c r="J373" s="35" t="n"/>
      <c r="K373" s="34" t="n"/>
      <c r="L373" s="26">
        <f>IF(A373="","",MONTH(A373))</f>
        <v>8</v>
      </c>
      <c r="M373" s="26">
        <f>IF(A373="","",YEAR(A373))</f>
        <v>2026</v>
      </c>
      <c r="N373" s="26" t="str">
        <f>IF(A373="","",CHOOSE(WEEKDAY(A373,2),"Segunda","Terça","Quarta","Quinta","Sexta","Sábado","Domingo"))</f>
        <v>Quinta</v>
      </c>
      <c r="O373" s="26" t="str">
        <f>IF(B373="","",IF(B373&lt;TIME(12,0,0),"Manhã",IF(B373&lt;TIME(18,0,0),"Tarde","Noite")))</f>
        <v>Tarde</v>
      </c>
      <c r="P373" s="32">
        <f>IF(G373="","",IFERROR(INDEX(Config!$I$5:$I$16,MATCH(G373,Config!$H$5:$H$16,0)),0))</f>
        <v>0</v>
      </c>
      <c r="Q373" s="30">
        <f>IF(OR(H373&lt;&gt;"Realizado",P373="",P373=0),"",A373+P373)</f>
        <v/>
      </c>
      <c r="R373" s="26">
        <f>IF(Q373="","",IF(COUNTIFS($E$5:$E$1204,E373,$A$5:$A$1204,"&gt;"&amp;A373,$H$5:$H$1204,"&lt;&gt;Falta",$H$5:$H$1204,"&lt;&gt;Cancelado",$H$5:$H$1204,"&lt;&gt;Remarcado")&gt;0,"Sim","Não"))</f>
        <v/>
      </c>
      <c r="S373" s="32">
        <f>IF(R373&lt;&gt;"Não","",IF(Q373+Config!$B$9&lt;=Config!$B$8,Config!$B$8-Q373,""))</f>
        <v/>
      </c>
      <c r="T373" s="26">
        <f>IF(S373="","","Sim")</f>
        <v/>
      </c>
      <c r="U373" s="41">
        <f>IF(T373="Sim",S373+ROW()/100000,0)</f>
        <v>0</v>
      </c>
      <c r="V373" s="41">
        <f>IF(AND(H373="Falta",L373=Config!$B$7,M373=Config!$B$5,COUNTIFS($E$5:E373,E373,$H$5:H373,"Falta",$L$5:L373,Config!$B$7,$M$5:M373,Config!$B$5)=1),COUNTIFS($E$5:$E$1204,E373,$H$5:$H$1204,"Falta",$L$5:$L$1204,Config!$B$7,$M$5:$M$1204,Config!$B$5)*1000-ROW()/100000,0)</f>
        <v>0</v>
      </c>
    </row>
    <row r="374">
      <c r="A374" s="39" t="n">
        <v>46240</v>
      </c>
      <c r="B374" s="40" t="n">
        <v>0.7361111111111112</v>
      </c>
      <c r="C374" s="35" t="inlineStr">
        <is>
          <t>Dr. Paulo Andrade</t>
        </is>
      </c>
      <c r="D374" s="35" t="inlineStr">
        <is>
          <t>Sala 2</t>
        </is>
      </c>
      <c r="E374" s="34" t="inlineStr">
        <is>
          <t>Carlos Barros</t>
        </is>
      </c>
      <c r="F374" s="35" t="inlineStr">
        <is>
          <t>MediPlan</t>
        </is>
      </c>
      <c r="G374" s="35" t="inlineStr">
        <is>
          <t>MAPA</t>
        </is>
      </c>
      <c r="H374" s="35" t="inlineStr">
        <is>
          <t>Realizado</t>
        </is>
      </c>
      <c r="I374" s="35" t="inlineStr">
        <is>
          <t>Convênio</t>
        </is>
      </c>
      <c r="J374" s="35" t="n"/>
      <c r="K374" s="34" t="n"/>
      <c r="L374" s="26">
        <f>IF(A374="","",MONTH(A374))</f>
        <v>8</v>
      </c>
      <c r="M374" s="26">
        <f>IF(A374="","",YEAR(A374))</f>
        <v>2026</v>
      </c>
      <c r="N374" s="26" t="str">
        <f>IF(A374="","",CHOOSE(WEEKDAY(A374,2),"Segunda","Terça","Quarta","Quinta","Sexta","Sábado","Domingo"))</f>
        <v>Quinta</v>
      </c>
      <c r="O374" s="26" t="str">
        <f>IF(B374="","",IF(B374&lt;TIME(12,0,0),"Manhã",IF(B374&lt;TIME(18,0,0),"Tarde","Noite")))</f>
        <v>Tarde</v>
      </c>
      <c r="P374" s="32">
        <f>IF(G374="","",IFERROR(INDEX(Config!$I$5:$I$16,MATCH(G374,Config!$H$5:$H$16,0)),0))</f>
        <v>0</v>
      </c>
      <c r="Q374" s="30">
        <f>IF(OR(H374&lt;&gt;"Realizado",P374="",P374=0),"",A374+P374)</f>
        <v/>
      </c>
      <c r="R374" s="26">
        <f>IF(Q374="","",IF(COUNTIFS($E$5:$E$1204,E374,$A$5:$A$1204,"&gt;"&amp;A374,$H$5:$H$1204,"&lt;&gt;Falta",$H$5:$H$1204,"&lt;&gt;Cancelado",$H$5:$H$1204,"&lt;&gt;Remarcado")&gt;0,"Sim","Não"))</f>
        <v/>
      </c>
      <c r="S374" s="32">
        <f>IF(R374&lt;&gt;"Não","",IF(Q374+Config!$B$9&lt;=Config!$B$8,Config!$B$8-Q374,""))</f>
        <v/>
      </c>
      <c r="T374" s="26">
        <f>IF(S374="","","Sim")</f>
        <v/>
      </c>
      <c r="U374" s="41">
        <f>IF(T374="Sim",S374+ROW()/100000,0)</f>
        <v>0</v>
      </c>
      <c r="V374" s="41">
        <f>IF(AND(H374="Falta",L374=Config!$B$7,M374=Config!$B$5,COUNTIFS($E$5:E374,E374,$H$5:H374,"Falta",$L$5:L374,Config!$B$7,$M$5:M374,Config!$B$5)=1),COUNTIFS($E$5:$E$1204,E374,$H$5:$H$1204,"Falta",$L$5:$L$1204,Config!$B$7,$M$5:$M$1204,Config!$B$5)*1000-ROW()/100000,0)</f>
        <v>0</v>
      </c>
    </row>
    <row r="375">
      <c r="A375" s="39" t="n">
        <v>46241</v>
      </c>
      <c r="B375" s="40" t="n">
        <v>0.3333333333333333</v>
      </c>
      <c r="C375" s="35" t="inlineStr">
        <is>
          <t>Dr. Paulo Andrade</t>
        </is>
      </c>
      <c r="D375" s="35" t="inlineStr">
        <is>
          <t>Sala 2</t>
        </is>
      </c>
      <c r="E375" s="34" t="inlineStr">
        <is>
          <t>Rafael Barros</t>
        </is>
      </c>
      <c r="F375" s="35" t="inlineStr">
        <is>
          <t>Particular</t>
        </is>
      </c>
      <c r="G375" s="35" t="inlineStr">
        <is>
          <t>Retorno</t>
        </is>
      </c>
      <c r="H375" s="35" t="inlineStr">
        <is>
          <t>Realizado</t>
        </is>
      </c>
      <c r="I375" s="35" t="inlineStr">
        <is>
          <t>Sem cobrança</t>
        </is>
      </c>
      <c r="J375" s="35" t="n"/>
      <c r="K375" s="34" t="n"/>
      <c r="L375" s="26">
        <f>IF(A375="","",MONTH(A375))</f>
        <v>8</v>
      </c>
      <c r="M375" s="26">
        <f>IF(A375="","",YEAR(A375))</f>
        <v>2026</v>
      </c>
      <c r="N375" s="26" t="str">
        <f>IF(A375="","",CHOOSE(WEEKDAY(A375,2),"Segunda","Terça","Quarta","Quinta","Sexta","Sábado","Domingo"))</f>
        <v>Sexta</v>
      </c>
      <c r="O375" s="26" t="str">
        <f>IF(B375="","",IF(B375&lt;TIME(12,0,0),"Manhã",IF(B375&lt;TIME(18,0,0),"Tarde","Noite")))</f>
        <v>Manhã</v>
      </c>
      <c r="P375" s="32">
        <f>IF(G375="","",IFERROR(INDEX(Config!$I$5:$I$16,MATCH(G375,Config!$H$5:$H$16,0)),0))</f>
        <v>0</v>
      </c>
      <c r="Q375" s="30">
        <f>IF(OR(H375&lt;&gt;"Realizado",P375="",P375=0),"",A375+P375)</f>
        <v/>
      </c>
      <c r="R375" s="26">
        <f>IF(Q375="","",IF(COUNTIFS($E$5:$E$1204,E375,$A$5:$A$1204,"&gt;"&amp;A375,$H$5:$H$1204,"&lt;&gt;Falta",$H$5:$H$1204,"&lt;&gt;Cancelado",$H$5:$H$1204,"&lt;&gt;Remarcado")&gt;0,"Sim","Não"))</f>
        <v/>
      </c>
      <c r="S375" s="32">
        <f>IF(R375&lt;&gt;"Não","",IF(Q375+Config!$B$9&lt;=Config!$B$8,Config!$B$8-Q375,""))</f>
        <v/>
      </c>
      <c r="T375" s="26">
        <f>IF(S375="","","Sim")</f>
        <v/>
      </c>
      <c r="U375" s="41">
        <f>IF(T375="Sim",S375+ROW()/100000,0)</f>
        <v>0</v>
      </c>
      <c r="V375" s="41">
        <f>IF(AND(H375="Falta",L375=Config!$B$7,M375=Config!$B$5,COUNTIFS($E$5:E375,E375,$H$5:H375,"Falta",$L$5:L375,Config!$B$7,$M$5:M375,Config!$B$5)=1),COUNTIFS($E$5:$E$1204,E375,$H$5:$H$1204,"Falta",$L$5:$L$1204,Config!$B$7,$M$5:$M$1204,Config!$B$5)*1000-ROW()/100000,0)</f>
        <v>0</v>
      </c>
    </row>
    <row r="376">
      <c r="A376" s="39" t="n">
        <v>46241</v>
      </c>
      <c r="B376" s="40" t="n">
        <v>0.3472222222222222</v>
      </c>
      <c r="C376" s="35" t="inlineStr">
        <is>
          <t>Dr. Paulo Andrade</t>
        </is>
      </c>
      <c r="D376" s="35" t="inlineStr">
        <is>
          <t>Sala 2</t>
        </is>
      </c>
      <c r="E376" s="34" t="inlineStr">
        <is>
          <t>Fernanda Nunes</t>
        </is>
      </c>
      <c r="F376" s="35" t="inlineStr">
        <is>
          <t>MediPlan</t>
        </is>
      </c>
      <c r="G376" s="35" t="inlineStr">
        <is>
          <t>Teste ergométrico</t>
        </is>
      </c>
      <c r="H376" s="35" t="inlineStr">
        <is>
          <t>Realizado</t>
        </is>
      </c>
      <c r="I376" s="35" t="inlineStr">
        <is>
          <t>Convênio</t>
        </is>
      </c>
      <c r="J376" s="35" t="n"/>
      <c r="K376" s="34" t="n"/>
      <c r="L376" s="26">
        <f>IF(A376="","",MONTH(A376))</f>
        <v>8</v>
      </c>
      <c r="M376" s="26">
        <f>IF(A376="","",YEAR(A376))</f>
        <v>2026</v>
      </c>
      <c r="N376" s="26" t="str">
        <f>IF(A376="","",CHOOSE(WEEKDAY(A376,2),"Segunda","Terça","Quarta","Quinta","Sexta","Sábado","Domingo"))</f>
        <v>Sexta</v>
      </c>
      <c r="O376" s="26" t="str">
        <f>IF(B376="","",IF(B376&lt;TIME(12,0,0),"Manhã",IF(B376&lt;TIME(18,0,0),"Tarde","Noite")))</f>
        <v>Manhã</v>
      </c>
      <c r="P376" s="32">
        <f>IF(G376="","",IFERROR(INDEX(Config!$I$5:$I$16,MATCH(G376,Config!$H$5:$H$16,0)),0))</f>
        <v>0</v>
      </c>
      <c r="Q376" s="30">
        <f>IF(OR(H376&lt;&gt;"Realizado",P376="",P376=0),"",A376+P376)</f>
        <v/>
      </c>
      <c r="R376" s="26">
        <f>IF(Q376="","",IF(COUNTIFS($E$5:$E$1204,E376,$A$5:$A$1204,"&gt;"&amp;A376,$H$5:$H$1204,"&lt;&gt;Falta",$H$5:$H$1204,"&lt;&gt;Cancelado",$H$5:$H$1204,"&lt;&gt;Remarcado")&gt;0,"Sim","Não"))</f>
        <v/>
      </c>
      <c r="S376" s="32">
        <f>IF(R376&lt;&gt;"Não","",IF(Q376+Config!$B$9&lt;=Config!$B$8,Config!$B$8-Q376,""))</f>
        <v/>
      </c>
      <c r="T376" s="26">
        <f>IF(S376="","","Sim")</f>
        <v/>
      </c>
      <c r="U376" s="41">
        <f>IF(T376="Sim",S376+ROW()/100000,0)</f>
        <v>0</v>
      </c>
      <c r="V376" s="41">
        <f>IF(AND(H376="Falta",L376=Config!$B$7,M376=Config!$B$5,COUNTIFS($E$5:E376,E376,$H$5:H376,"Falta",$L$5:L376,Config!$B$7,$M$5:M376,Config!$B$5)=1),COUNTIFS($E$5:$E$1204,E376,$H$5:$H$1204,"Falta",$L$5:$L$1204,Config!$B$7,$M$5:$M$1204,Config!$B$5)*1000-ROW()/100000,0)</f>
        <v>0</v>
      </c>
    </row>
    <row r="377">
      <c r="A377" s="39" t="n">
        <v>46241</v>
      </c>
      <c r="B377" s="40" t="n">
        <v>0.375</v>
      </c>
      <c r="C377" s="35" t="inlineStr">
        <is>
          <t>Dr. Paulo Andrade</t>
        </is>
      </c>
      <c r="D377" s="35" t="inlineStr">
        <is>
          <t>Sala 2</t>
        </is>
      </c>
      <c r="E377" s="34" t="inlineStr">
        <is>
          <t>Paulo Reis</t>
        </is>
      </c>
      <c r="F377" s="35" t="inlineStr">
        <is>
          <t>Particular</t>
        </is>
      </c>
      <c r="G377" s="35" t="inlineStr">
        <is>
          <t>Retorno</t>
        </is>
      </c>
      <c r="H377" s="35" t="inlineStr">
        <is>
          <t>Realizado</t>
        </is>
      </c>
      <c r="I377" s="35" t="inlineStr">
        <is>
          <t>Sem cobrança</t>
        </is>
      </c>
      <c r="J377" s="35" t="n"/>
      <c r="K377" s="34" t="n"/>
      <c r="L377" s="26">
        <f>IF(A377="","",MONTH(A377))</f>
        <v>8</v>
      </c>
      <c r="M377" s="26">
        <f>IF(A377="","",YEAR(A377))</f>
        <v>2026</v>
      </c>
      <c r="N377" s="26" t="str">
        <f>IF(A377="","",CHOOSE(WEEKDAY(A377,2),"Segunda","Terça","Quarta","Quinta","Sexta","Sábado","Domingo"))</f>
        <v>Sexta</v>
      </c>
      <c r="O377" s="26" t="str">
        <f>IF(B377="","",IF(B377&lt;TIME(12,0,0),"Manhã",IF(B377&lt;TIME(18,0,0),"Tarde","Noite")))</f>
        <v>Manhã</v>
      </c>
      <c r="P377" s="32">
        <f>IF(G377="","",IFERROR(INDEX(Config!$I$5:$I$16,MATCH(G377,Config!$H$5:$H$16,0)),0))</f>
        <v>0</v>
      </c>
      <c r="Q377" s="30">
        <f>IF(OR(H377&lt;&gt;"Realizado",P377="",P377=0),"",A377+P377)</f>
        <v/>
      </c>
      <c r="R377" s="26">
        <f>IF(Q377="","",IF(COUNTIFS($E$5:$E$1204,E377,$A$5:$A$1204,"&gt;"&amp;A377,$H$5:$H$1204,"&lt;&gt;Falta",$H$5:$H$1204,"&lt;&gt;Cancelado",$H$5:$H$1204,"&lt;&gt;Remarcado")&gt;0,"Sim","Não"))</f>
        <v/>
      </c>
      <c r="S377" s="32">
        <f>IF(R377&lt;&gt;"Não","",IF(Q377+Config!$B$9&lt;=Config!$B$8,Config!$B$8-Q377,""))</f>
        <v/>
      </c>
      <c r="T377" s="26">
        <f>IF(S377="","","Sim")</f>
        <v/>
      </c>
      <c r="U377" s="41">
        <f>IF(T377="Sim",S377+ROW()/100000,0)</f>
        <v>0</v>
      </c>
      <c r="V377" s="41">
        <f>IF(AND(H377="Falta",L377=Config!$B$7,M377=Config!$B$5,COUNTIFS($E$5:E377,E377,$H$5:H377,"Falta",$L$5:L377,Config!$B$7,$M$5:M377,Config!$B$5)=1),COUNTIFS($E$5:$E$1204,E377,$H$5:$H$1204,"Falta",$L$5:$L$1204,Config!$B$7,$M$5:$M$1204,Config!$B$5)*1000-ROW()/100000,0)</f>
        <v>0</v>
      </c>
    </row>
    <row r="378">
      <c r="A378" s="39" t="n">
        <v>46241</v>
      </c>
      <c r="B378" s="40" t="n">
        <v>0.3888888888888889</v>
      </c>
      <c r="C378" s="35" t="inlineStr">
        <is>
          <t>Dr. Paulo Andrade</t>
        </is>
      </c>
      <c r="D378" s="35" t="inlineStr">
        <is>
          <t>Sala 2</t>
        </is>
      </c>
      <c r="E378" s="34" t="inlineStr">
        <is>
          <t>Cláudia Costa</t>
        </is>
      </c>
      <c r="F378" s="35" t="inlineStr">
        <is>
          <t>Particular</t>
        </is>
      </c>
      <c r="G378" s="35" t="inlineStr">
        <is>
          <t>ECG</t>
        </is>
      </c>
      <c r="H378" s="35" t="inlineStr">
        <is>
          <t>Realizado</t>
        </is>
      </c>
      <c r="I378" s="35" t="inlineStr">
        <is>
          <t>Pix</t>
        </is>
      </c>
      <c r="J378" s="35" t="n"/>
      <c r="K378" s="34" t="n"/>
      <c r="L378" s="26">
        <f>IF(A378="","",MONTH(A378))</f>
        <v>8</v>
      </c>
      <c r="M378" s="26">
        <f>IF(A378="","",YEAR(A378))</f>
        <v>2026</v>
      </c>
      <c r="N378" s="26" t="str">
        <f>IF(A378="","",CHOOSE(WEEKDAY(A378,2),"Segunda","Terça","Quarta","Quinta","Sexta","Sábado","Domingo"))</f>
        <v>Sexta</v>
      </c>
      <c r="O378" s="26" t="str">
        <f>IF(B378="","",IF(B378&lt;TIME(12,0,0),"Manhã",IF(B378&lt;TIME(18,0,0),"Tarde","Noite")))</f>
        <v>Manhã</v>
      </c>
      <c r="P378" s="32">
        <f>IF(G378="","",IFERROR(INDEX(Config!$I$5:$I$16,MATCH(G378,Config!$H$5:$H$16,0)),0))</f>
        <v>0</v>
      </c>
      <c r="Q378" s="30">
        <f>IF(OR(H378&lt;&gt;"Realizado",P378="",P378=0),"",A378+P378)</f>
        <v/>
      </c>
      <c r="R378" s="26">
        <f>IF(Q378="","",IF(COUNTIFS($E$5:$E$1204,E378,$A$5:$A$1204,"&gt;"&amp;A378,$H$5:$H$1204,"&lt;&gt;Falta",$H$5:$H$1204,"&lt;&gt;Cancelado",$H$5:$H$1204,"&lt;&gt;Remarcado")&gt;0,"Sim","Não"))</f>
        <v/>
      </c>
      <c r="S378" s="32">
        <f>IF(R378&lt;&gt;"Não","",IF(Q378+Config!$B$9&lt;=Config!$B$8,Config!$B$8-Q378,""))</f>
        <v/>
      </c>
      <c r="T378" s="26">
        <f>IF(S378="","","Sim")</f>
        <v/>
      </c>
      <c r="U378" s="41">
        <f>IF(T378="Sim",S378+ROW()/100000,0)</f>
        <v>0</v>
      </c>
      <c r="V378" s="41">
        <f>IF(AND(H378="Falta",L378=Config!$B$7,M378=Config!$B$5,COUNTIFS($E$5:E378,E378,$H$5:H378,"Falta",$L$5:L378,Config!$B$7,$M$5:M378,Config!$B$5)=1),COUNTIFS($E$5:$E$1204,E378,$H$5:$H$1204,"Falta",$L$5:$L$1204,Config!$B$7,$M$5:$M$1204,Config!$B$5)*1000-ROW()/100000,0)</f>
        <v>0</v>
      </c>
    </row>
    <row r="379">
      <c r="A379" s="39" t="n">
        <v>46241</v>
      </c>
      <c r="B379" s="40" t="n">
        <v>0.4027777777777778</v>
      </c>
      <c r="C379" s="35" t="inlineStr">
        <is>
          <t>Dr. Paulo Andrade</t>
        </is>
      </c>
      <c r="D379" s="35" t="inlineStr">
        <is>
          <t>Sala 2</t>
        </is>
      </c>
      <c r="E379" s="34" t="inlineStr">
        <is>
          <t>Wagner Costa</t>
        </is>
      </c>
      <c r="F379" s="35" t="inlineStr">
        <is>
          <t>Particular</t>
        </is>
      </c>
      <c r="G379" s="35" t="inlineStr">
        <is>
          <t>Consulta</t>
        </is>
      </c>
      <c r="H379" s="35" t="inlineStr">
        <is>
          <t>Realizado</t>
        </is>
      </c>
      <c r="I379" s="35" t="inlineStr">
        <is>
          <t>Cartão de crédito</t>
        </is>
      </c>
      <c r="J379" s="35" t="n"/>
      <c r="K379" s="34" t="n"/>
      <c r="L379" s="26">
        <f>IF(A379="","",MONTH(A379))</f>
        <v>8</v>
      </c>
      <c r="M379" s="26">
        <f>IF(A379="","",YEAR(A379))</f>
        <v>2026</v>
      </c>
      <c r="N379" s="26" t="str">
        <f>IF(A379="","",CHOOSE(WEEKDAY(A379,2),"Segunda","Terça","Quarta","Quinta","Sexta","Sábado","Domingo"))</f>
        <v>Sexta</v>
      </c>
      <c r="O379" s="26" t="str">
        <f>IF(B379="","",IF(B379&lt;TIME(12,0,0),"Manhã",IF(B379&lt;TIME(18,0,0),"Tarde","Noite")))</f>
        <v>Manhã</v>
      </c>
      <c r="P379" s="32">
        <f>IF(G379="","",IFERROR(INDEX(Config!$I$5:$I$16,MATCH(G379,Config!$H$5:$H$16,0)),0))</f>
        <v>30</v>
      </c>
      <c r="Q379" s="30">
        <f>IF(OR(H379&lt;&gt;"Realizado",P379="",P379=0),"",A379+P379)</f>
        <v>46271.0</v>
      </c>
      <c r="R379" s="26" t="str">
        <f>IF(Q379="","",IF(COUNTIFS($E$5:$E$1204,E379,$A$5:$A$1204,"&gt;"&amp;A379,$H$5:$H$1204,"&lt;&gt;Falta",$H$5:$H$1204,"&lt;&gt;Cancelado",$H$5:$H$1204,"&lt;&gt;Remarcado")&gt;0,"Sim","Não"))</f>
        <v>Sim</v>
      </c>
      <c r="S379" s="32">
        <f>IF(R379&lt;&gt;"Não","",IF(Q379+Config!$B$9&lt;=Config!$B$8,Config!$B$8-Q379,""))</f>
        <v/>
      </c>
      <c r="T379" s="26">
        <f>IF(S379="","","Sim")</f>
        <v/>
      </c>
      <c r="U379" s="41">
        <f>IF(T379="Sim",S379+ROW()/100000,0)</f>
        <v>0</v>
      </c>
      <c r="V379" s="41">
        <f>IF(AND(H379="Falta",L379=Config!$B$7,M379=Config!$B$5,COUNTIFS($E$5:E379,E379,$H$5:H379,"Falta",$L$5:L379,Config!$B$7,$M$5:M379,Config!$B$5)=1),COUNTIFS($E$5:$E$1204,E379,$H$5:$H$1204,"Falta",$L$5:$L$1204,Config!$B$7,$M$5:$M$1204,Config!$B$5)*1000-ROW()/100000,0)</f>
        <v>0</v>
      </c>
    </row>
    <row r="380">
      <c r="A380" s="39" t="n">
        <v>46241</v>
      </c>
      <c r="B380" s="40" t="n">
        <v>0.4236111111111111</v>
      </c>
      <c r="C380" s="35" t="inlineStr">
        <is>
          <t>Dr. Paulo Andrade</t>
        </is>
      </c>
      <c r="D380" s="35" t="inlineStr">
        <is>
          <t>Sala 2</t>
        </is>
      </c>
      <c r="E380" s="34" t="inlineStr">
        <is>
          <t>Patrícia Vieira</t>
        </is>
      </c>
      <c r="F380" s="35" t="inlineStr">
        <is>
          <t>Saúde Total</t>
        </is>
      </c>
      <c r="G380" s="35" t="inlineStr">
        <is>
          <t>Consulta</t>
        </is>
      </c>
      <c r="H380" s="35" t="inlineStr">
        <is>
          <t>Realizado</t>
        </is>
      </c>
      <c r="I380" s="35" t="inlineStr">
        <is>
          <t>Convênio</t>
        </is>
      </c>
      <c r="J380" s="35" t="n"/>
      <c r="K380" s="34" t="n"/>
      <c r="L380" s="26">
        <f>IF(A380="","",MONTH(A380))</f>
        <v>8</v>
      </c>
      <c r="M380" s="26">
        <f>IF(A380="","",YEAR(A380))</f>
        <v>2026</v>
      </c>
      <c r="N380" s="26" t="str">
        <f>IF(A380="","",CHOOSE(WEEKDAY(A380,2),"Segunda","Terça","Quarta","Quinta","Sexta","Sábado","Domingo"))</f>
        <v>Sexta</v>
      </c>
      <c r="O380" s="26" t="str">
        <f>IF(B380="","",IF(B380&lt;TIME(12,0,0),"Manhã",IF(B380&lt;TIME(18,0,0),"Tarde","Noite")))</f>
        <v>Manhã</v>
      </c>
      <c r="P380" s="32">
        <f>IF(G380="","",IFERROR(INDEX(Config!$I$5:$I$16,MATCH(G380,Config!$H$5:$H$16,0)),0))</f>
        <v>30</v>
      </c>
      <c r="Q380" s="30">
        <f>IF(OR(H380&lt;&gt;"Realizado",P380="",P380=0),"",A380+P380)</f>
        <v>46271.0</v>
      </c>
      <c r="R380" s="26" t="str">
        <f>IF(Q380="","",IF(COUNTIFS($E$5:$E$1204,E380,$A$5:$A$1204,"&gt;"&amp;A380,$H$5:$H$1204,"&lt;&gt;Falta",$H$5:$H$1204,"&lt;&gt;Cancelado",$H$5:$H$1204,"&lt;&gt;Remarcado")&gt;0,"Sim","Não"))</f>
        <v>Não</v>
      </c>
      <c r="S380" s="32">
        <f>IF(R380&lt;&gt;"Não","",IF(Q380+Config!$B$9&lt;=Config!$B$8,Config!$B$8-Q380,""))</f>
        <v>8</v>
      </c>
      <c r="T380" s="26" t="str">
        <f>IF(S380="","","Sim")</f>
        <v>Sim</v>
      </c>
      <c r="U380" s="41">
        <f>IF(T380="Sim",S380+ROW()/100000,0)</f>
        <v>8.0038</v>
      </c>
      <c r="V380" s="41">
        <f>IF(AND(H380="Falta",L380=Config!$B$7,M380=Config!$B$5,COUNTIFS($E$5:E380,E380,$H$5:H380,"Falta",$L$5:L380,Config!$B$7,$M$5:M380,Config!$B$5)=1),COUNTIFS($E$5:$E$1204,E380,$H$5:$H$1204,"Falta",$L$5:$L$1204,Config!$B$7,$M$5:$M$1204,Config!$B$5)*1000-ROW()/100000,0)</f>
        <v>0</v>
      </c>
    </row>
    <row r="381">
      <c r="A381" s="39" t="n">
        <v>46241</v>
      </c>
      <c r="B381" s="40" t="n">
        <v>0.4861111111111111</v>
      </c>
      <c r="C381" s="35" t="inlineStr">
        <is>
          <t>Dr. Paulo Andrade</t>
        </is>
      </c>
      <c r="D381" s="35" t="inlineStr">
        <is>
          <t>Sala 2</t>
        </is>
      </c>
      <c r="E381" s="34" t="inlineStr">
        <is>
          <t>Gisele Pinto</t>
        </is>
      </c>
      <c r="F381" s="35" t="inlineStr">
        <is>
          <t>Saúde Total</t>
        </is>
      </c>
      <c r="G381" s="35" t="inlineStr">
        <is>
          <t>Retorno</t>
        </is>
      </c>
      <c r="H381" s="35" t="inlineStr">
        <is>
          <t>Falta</t>
        </is>
      </c>
      <c r="I381" s="35" t="n"/>
      <c r="J381" s="35" t="n"/>
      <c r="K381" s="34" t="n"/>
      <c r="L381" s="26">
        <f>IF(A381="","",MONTH(A381))</f>
        <v>8</v>
      </c>
      <c r="M381" s="26">
        <f>IF(A381="","",YEAR(A381))</f>
        <v>2026</v>
      </c>
      <c r="N381" s="26" t="str">
        <f>IF(A381="","",CHOOSE(WEEKDAY(A381,2),"Segunda","Terça","Quarta","Quinta","Sexta","Sábado","Domingo"))</f>
        <v>Sexta</v>
      </c>
      <c r="O381" s="26" t="str">
        <f>IF(B381="","",IF(B381&lt;TIME(12,0,0),"Manhã",IF(B381&lt;TIME(18,0,0),"Tarde","Noite")))</f>
        <v>Manhã</v>
      </c>
      <c r="P381" s="32">
        <f>IF(G381="","",IFERROR(INDEX(Config!$I$5:$I$16,MATCH(G381,Config!$H$5:$H$16,0)),0))</f>
        <v>0</v>
      </c>
      <c r="Q381" s="30">
        <f>IF(OR(H381&lt;&gt;"Realizado",P381="",P381=0),"",A381+P381)</f>
        <v/>
      </c>
      <c r="R381" s="26">
        <f>IF(Q381="","",IF(COUNTIFS($E$5:$E$1204,E381,$A$5:$A$1204,"&gt;"&amp;A381,$H$5:$H$1204,"&lt;&gt;Falta",$H$5:$H$1204,"&lt;&gt;Cancelado",$H$5:$H$1204,"&lt;&gt;Remarcado")&gt;0,"Sim","Não"))</f>
        <v/>
      </c>
      <c r="S381" s="32">
        <f>IF(R381&lt;&gt;"Não","",IF(Q381+Config!$B$9&lt;=Config!$B$8,Config!$B$8-Q381,""))</f>
        <v/>
      </c>
      <c r="T381" s="26">
        <f>IF(S381="","","Sim")</f>
        <v/>
      </c>
      <c r="U381" s="41">
        <f>IF(T381="Sim",S381+ROW()/100000,0)</f>
        <v>0</v>
      </c>
      <c r="V381" s="41">
        <f>IF(AND(H381="Falta",L381=Config!$B$7,M381=Config!$B$5,COUNTIFS($E$5:E381,E381,$H$5:H381,"Falta",$L$5:L381,Config!$B$7,$M$5:M381,Config!$B$5)=1),COUNTIFS($E$5:$E$1204,E381,$H$5:$H$1204,"Falta",$L$5:$L$1204,Config!$B$7,$M$5:$M$1204,Config!$B$5)*1000-ROW()/100000,0)</f>
        <v>0</v>
      </c>
    </row>
    <row r="382">
      <c r="A382" s="39" t="n">
        <v>46244</v>
      </c>
      <c r="B382" s="40" t="n">
        <v>0.3333333333333333</v>
      </c>
      <c r="C382" s="35" t="inlineStr">
        <is>
          <t>Dra. Carolina Mendes</t>
        </is>
      </c>
      <c r="D382" s="35" t="inlineStr">
        <is>
          <t>Sala 1</t>
        </is>
      </c>
      <c r="E382" s="34" t="inlineStr">
        <is>
          <t>Sérgio Martins</t>
        </is>
      </c>
      <c r="F382" s="35" t="inlineStr">
        <is>
          <t>Particular</t>
        </is>
      </c>
      <c r="G382" s="35" t="inlineStr">
        <is>
          <t>Consulta</t>
        </is>
      </c>
      <c r="H382" s="35" t="inlineStr">
        <is>
          <t>Realizado</t>
        </is>
      </c>
      <c r="I382" s="35" t="inlineStr">
        <is>
          <t>A prazo</t>
        </is>
      </c>
      <c r="J382" s="35" t="n"/>
      <c r="K382" s="34" t="n"/>
      <c r="L382" s="26">
        <f>IF(A382="","",MONTH(A382))</f>
        <v>8</v>
      </c>
      <c r="M382" s="26">
        <f>IF(A382="","",YEAR(A382))</f>
        <v>2026</v>
      </c>
      <c r="N382" s="26" t="str">
        <f>IF(A382="","",CHOOSE(WEEKDAY(A382,2),"Segunda","Terça","Quarta","Quinta","Sexta","Sábado","Domingo"))</f>
        <v>Segunda</v>
      </c>
      <c r="O382" s="26" t="str">
        <f>IF(B382="","",IF(B382&lt;TIME(12,0,0),"Manhã",IF(B382&lt;TIME(18,0,0),"Tarde","Noite")))</f>
        <v>Manhã</v>
      </c>
      <c r="P382" s="32">
        <f>IF(G382="","",IFERROR(INDEX(Config!$I$5:$I$16,MATCH(G382,Config!$H$5:$H$16,0)),0))</f>
        <v>30</v>
      </c>
      <c r="Q382" s="30">
        <f>IF(OR(H382&lt;&gt;"Realizado",P382="",P382=0),"",A382+P382)</f>
        <v>46274.0</v>
      </c>
      <c r="R382" s="26" t="str">
        <f>IF(Q382="","",IF(COUNTIFS($E$5:$E$1204,E382,$A$5:$A$1204,"&gt;"&amp;A382,$H$5:$H$1204,"&lt;&gt;Falta",$H$5:$H$1204,"&lt;&gt;Cancelado",$H$5:$H$1204,"&lt;&gt;Remarcado")&gt;0,"Sim","Não"))</f>
        <v>Sim</v>
      </c>
      <c r="S382" s="32">
        <f>IF(R382&lt;&gt;"Não","",IF(Q382+Config!$B$9&lt;=Config!$B$8,Config!$B$8-Q382,""))</f>
        <v/>
      </c>
      <c r="T382" s="26">
        <f>IF(S382="","","Sim")</f>
        <v/>
      </c>
      <c r="U382" s="41">
        <f>IF(T382="Sim",S382+ROW()/100000,0)</f>
        <v>0</v>
      </c>
      <c r="V382" s="41">
        <f>IF(AND(H382="Falta",L382=Config!$B$7,M382=Config!$B$5,COUNTIFS($E$5:E382,E382,$H$5:H382,"Falta",$L$5:L382,Config!$B$7,$M$5:M382,Config!$B$5)=1),COUNTIFS($E$5:$E$1204,E382,$H$5:$H$1204,"Falta",$L$5:$L$1204,Config!$B$7,$M$5:$M$1204,Config!$B$5)*1000-ROW()/100000,0)</f>
        <v>0</v>
      </c>
    </row>
    <row r="383">
      <c r="A383" s="39" t="n">
        <v>46244</v>
      </c>
      <c r="B383" s="40" t="n">
        <v>0.3541666666666667</v>
      </c>
      <c r="C383" s="35" t="inlineStr">
        <is>
          <t>Dra. Carolina Mendes</t>
        </is>
      </c>
      <c r="D383" s="35" t="inlineStr">
        <is>
          <t>Sala 1</t>
        </is>
      </c>
      <c r="E383" s="34" t="inlineStr">
        <is>
          <t>Mariana Nascimento</t>
        </is>
      </c>
      <c r="F383" s="35" t="inlineStr">
        <is>
          <t>Particular</t>
        </is>
      </c>
      <c r="G383" s="35" t="inlineStr">
        <is>
          <t>Retorno</t>
        </is>
      </c>
      <c r="H383" s="35" t="inlineStr">
        <is>
          <t>Realizado</t>
        </is>
      </c>
      <c r="I383" s="35" t="inlineStr">
        <is>
          <t>Sem cobrança</t>
        </is>
      </c>
      <c r="J383" s="35" t="n"/>
      <c r="K383" s="34" t="n"/>
      <c r="L383" s="26">
        <f>IF(A383="","",MONTH(A383))</f>
        <v>8</v>
      </c>
      <c r="M383" s="26">
        <f>IF(A383="","",YEAR(A383))</f>
        <v>2026</v>
      </c>
      <c r="N383" s="26" t="str">
        <f>IF(A383="","",CHOOSE(WEEKDAY(A383,2),"Segunda","Terça","Quarta","Quinta","Sexta","Sábado","Domingo"))</f>
        <v>Segunda</v>
      </c>
      <c r="O383" s="26" t="str">
        <f>IF(B383="","",IF(B383&lt;TIME(12,0,0),"Manhã",IF(B383&lt;TIME(18,0,0),"Tarde","Noite")))</f>
        <v>Manhã</v>
      </c>
      <c r="P383" s="32">
        <f>IF(G383="","",IFERROR(INDEX(Config!$I$5:$I$16,MATCH(G383,Config!$H$5:$H$16,0)),0))</f>
        <v>0</v>
      </c>
      <c r="Q383" s="30">
        <f>IF(OR(H383&lt;&gt;"Realizado",P383="",P383=0),"",A383+P383)</f>
        <v/>
      </c>
      <c r="R383" s="26">
        <f>IF(Q383="","",IF(COUNTIFS($E$5:$E$1204,E383,$A$5:$A$1204,"&gt;"&amp;A383,$H$5:$H$1204,"&lt;&gt;Falta",$H$5:$H$1204,"&lt;&gt;Cancelado",$H$5:$H$1204,"&lt;&gt;Remarcado")&gt;0,"Sim","Não"))</f>
        <v/>
      </c>
      <c r="S383" s="32">
        <f>IF(R383&lt;&gt;"Não","",IF(Q383+Config!$B$9&lt;=Config!$B$8,Config!$B$8-Q383,""))</f>
        <v/>
      </c>
      <c r="T383" s="26">
        <f>IF(S383="","","Sim")</f>
        <v/>
      </c>
      <c r="U383" s="41">
        <f>IF(T383="Sim",S383+ROW()/100000,0)</f>
        <v>0</v>
      </c>
      <c r="V383" s="41">
        <f>IF(AND(H383="Falta",L383=Config!$B$7,M383=Config!$B$5,COUNTIFS($E$5:E383,E383,$H$5:H383,"Falta",$L$5:L383,Config!$B$7,$M$5:M383,Config!$B$5)=1),COUNTIFS($E$5:$E$1204,E383,$H$5:$H$1204,"Falta",$L$5:$L$1204,Config!$B$7,$M$5:$M$1204,Config!$B$5)*1000-ROW()/100000,0)</f>
        <v>0</v>
      </c>
    </row>
    <row r="384">
      <c r="A384" s="39" t="n">
        <v>46244</v>
      </c>
      <c r="B384" s="40" t="n">
        <v>0.3680555555555556</v>
      </c>
      <c r="C384" s="35" t="inlineStr">
        <is>
          <t>Dra. Carolina Mendes</t>
        </is>
      </c>
      <c r="D384" s="35" t="inlineStr">
        <is>
          <t>Sala 1</t>
        </is>
      </c>
      <c r="E384" s="34" t="inlineStr">
        <is>
          <t>Mônica Teixeira</t>
        </is>
      </c>
      <c r="F384" s="35" t="inlineStr">
        <is>
          <t>Vida Care</t>
        </is>
      </c>
      <c r="G384" s="35" t="inlineStr">
        <is>
          <t>Consulta</t>
        </is>
      </c>
      <c r="H384" s="35" t="inlineStr">
        <is>
          <t>Realizado</t>
        </is>
      </c>
      <c r="I384" s="35" t="inlineStr">
        <is>
          <t>Convênio</t>
        </is>
      </c>
      <c r="J384" s="35" t="n"/>
      <c r="K384" s="34" t="n"/>
      <c r="L384" s="26">
        <f>IF(A384="","",MONTH(A384))</f>
        <v>8</v>
      </c>
      <c r="M384" s="26">
        <f>IF(A384="","",YEAR(A384))</f>
        <v>2026</v>
      </c>
      <c r="N384" s="26" t="str">
        <f>IF(A384="","",CHOOSE(WEEKDAY(A384,2),"Segunda","Terça","Quarta","Quinta","Sexta","Sábado","Domingo"))</f>
        <v>Segunda</v>
      </c>
      <c r="O384" s="26" t="str">
        <f>IF(B384="","",IF(B384&lt;TIME(12,0,0),"Manhã",IF(B384&lt;TIME(18,0,0),"Tarde","Noite")))</f>
        <v>Manhã</v>
      </c>
      <c r="P384" s="32">
        <f>IF(G384="","",IFERROR(INDEX(Config!$I$5:$I$16,MATCH(G384,Config!$H$5:$H$16,0)),0))</f>
        <v>30</v>
      </c>
      <c r="Q384" s="30">
        <f>IF(OR(H384&lt;&gt;"Realizado",P384="",P384=0),"",A384+P384)</f>
        <v>46274.0</v>
      </c>
      <c r="R384" s="26" t="str">
        <f>IF(Q384="","",IF(COUNTIFS($E$5:$E$1204,E384,$A$5:$A$1204,"&gt;"&amp;A384,$H$5:$H$1204,"&lt;&gt;Falta",$H$5:$H$1204,"&lt;&gt;Cancelado",$H$5:$H$1204,"&lt;&gt;Remarcado")&gt;0,"Sim","Não"))</f>
        <v>Sim</v>
      </c>
      <c r="S384" s="32">
        <f>IF(R384&lt;&gt;"Não","",IF(Q384+Config!$B$9&lt;=Config!$B$8,Config!$B$8-Q384,""))</f>
        <v/>
      </c>
      <c r="T384" s="26">
        <f>IF(S384="","","Sim")</f>
        <v/>
      </c>
      <c r="U384" s="41">
        <f>IF(T384="Sim",S384+ROW()/100000,0)</f>
        <v>0</v>
      </c>
      <c r="V384" s="41">
        <f>IF(AND(H384="Falta",L384=Config!$B$7,M384=Config!$B$5,COUNTIFS($E$5:E384,E384,$H$5:H384,"Falta",$L$5:L384,Config!$B$7,$M$5:M384,Config!$B$5)=1),COUNTIFS($E$5:$E$1204,E384,$H$5:$H$1204,"Falta",$L$5:$L$1204,Config!$B$7,$M$5:$M$1204,Config!$B$5)*1000-ROW()/100000,0)</f>
        <v>0</v>
      </c>
    </row>
    <row r="385">
      <c r="A385" s="39" t="n">
        <v>46244</v>
      </c>
      <c r="B385" s="40" t="n">
        <v>0.3888888888888889</v>
      </c>
      <c r="C385" s="35" t="inlineStr">
        <is>
          <t>Dra. Carolina Mendes</t>
        </is>
      </c>
      <c r="D385" s="35" t="inlineStr">
        <is>
          <t>Sala 1</t>
        </is>
      </c>
      <c r="E385" s="34" t="inlineStr">
        <is>
          <t>Priscila Nunes</t>
        </is>
      </c>
      <c r="F385" s="35" t="inlineStr">
        <is>
          <t>MediPlan</t>
        </is>
      </c>
      <c r="G385" s="35" t="inlineStr">
        <is>
          <t>Retorno</t>
        </is>
      </c>
      <c r="H385" s="35" t="inlineStr">
        <is>
          <t>Realizado</t>
        </is>
      </c>
      <c r="I385" s="35" t="inlineStr">
        <is>
          <t>Sem cobrança</t>
        </is>
      </c>
      <c r="J385" s="35" t="n"/>
      <c r="K385" s="34" t="n"/>
      <c r="L385" s="26">
        <f>IF(A385="","",MONTH(A385))</f>
        <v>8</v>
      </c>
      <c r="M385" s="26">
        <f>IF(A385="","",YEAR(A385))</f>
        <v>2026</v>
      </c>
      <c r="N385" s="26" t="str">
        <f>IF(A385="","",CHOOSE(WEEKDAY(A385,2),"Segunda","Terça","Quarta","Quinta","Sexta","Sábado","Domingo"))</f>
        <v>Segunda</v>
      </c>
      <c r="O385" s="26" t="str">
        <f>IF(B385="","",IF(B385&lt;TIME(12,0,0),"Manhã",IF(B385&lt;TIME(18,0,0),"Tarde","Noite")))</f>
        <v>Manhã</v>
      </c>
      <c r="P385" s="32">
        <f>IF(G385="","",IFERROR(INDEX(Config!$I$5:$I$16,MATCH(G385,Config!$H$5:$H$16,0)),0))</f>
        <v>0</v>
      </c>
      <c r="Q385" s="30">
        <f>IF(OR(H385&lt;&gt;"Realizado",P385="",P385=0),"",A385+P385)</f>
        <v/>
      </c>
      <c r="R385" s="26">
        <f>IF(Q385="","",IF(COUNTIFS($E$5:$E$1204,E385,$A$5:$A$1204,"&gt;"&amp;A385,$H$5:$H$1204,"&lt;&gt;Falta",$H$5:$H$1204,"&lt;&gt;Cancelado",$H$5:$H$1204,"&lt;&gt;Remarcado")&gt;0,"Sim","Não"))</f>
        <v/>
      </c>
      <c r="S385" s="32">
        <f>IF(R385&lt;&gt;"Não","",IF(Q385+Config!$B$9&lt;=Config!$B$8,Config!$B$8-Q385,""))</f>
        <v/>
      </c>
      <c r="T385" s="26">
        <f>IF(S385="","","Sim")</f>
        <v/>
      </c>
      <c r="U385" s="41">
        <f>IF(T385="Sim",S385+ROW()/100000,0)</f>
        <v>0</v>
      </c>
      <c r="V385" s="41">
        <f>IF(AND(H385="Falta",L385=Config!$B$7,M385=Config!$B$5,COUNTIFS($E$5:E385,E385,$H$5:H385,"Falta",$L$5:L385,Config!$B$7,$M$5:M385,Config!$B$5)=1),COUNTIFS($E$5:$E$1204,E385,$H$5:$H$1204,"Falta",$L$5:$L$1204,Config!$B$7,$M$5:$M$1204,Config!$B$5)*1000-ROW()/100000,0)</f>
        <v>0</v>
      </c>
    </row>
    <row r="386">
      <c r="A386" s="39" t="n">
        <v>46244</v>
      </c>
      <c r="B386" s="40" t="n">
        <v>0.4027777777777778</v>
      </c>
      <c r="C386" s="35" t="inlineStr">
        <is>
          <t>Dra. Carolina Mendes</t>
        </is>
      </c>
      <c r="D386" s="35" t="inlineStr">
        <is>
          <t>Sala 1</t>
        </is>
      </c>
      <c r="E386" s="34" t="inlineStr">
        <is>
          <t>Carlos Barros</t>
        </is>
      </c>
      <c r="F386" s="35" t="inlineStr">
        <is>
          <t>MediPlan</t>
        </is>
      </c>
      <c r="G386" s="35" t="inlineStr">
        <is>
          <t>Consulta</t>
        </is>
      </c>
      <c r="H386" s="35" t="inlineStr">
        <is>
          <t>Realizado</t>
        </is>
      </c>
      <c r="I386" s="35" t="inlineStr">
        <is>
          <t>Convênio</t>
        </is>
      </c>
      <c r="J386" s="35" t="n"/>
      <c r="K386" s="34" t="n"/>
      <c r="L386" s="26">
        <f>IF(A386="","",MONTH(A386))</f>
        <v>8</v>
      </c>
      <c r="M386" s="26">
        <f>IF(A386="","",YEAR(A386))</f>
        <v>2026</v>
      </c>
      <c r="N386" s="26" t="str">
        <f>IF(A386="","",CHOOSE(WEEKDAY(A386,2),"Segunda","Terça","Quarta","Quinta","Sexta","Sábado","Domingo"))</f>
        <v>Segunda</v>
      </c>
      <c r="O386" s="26" t="str">
        <f>IF(B386="","",IF(B386&lt;TIME(12,0,0),"Manhã",IF(B386&lt;TIME(18,0,0),"Tarde","Noite")))</f>
        <v>Manhã</v>
      </c>
      <c r="P386" s="32">
        <f>IF(G386="","",IFERROR(INDEX(Config!$I$5:$I$16,MATCH(G386,Config!$H$5:$H$16,0)),0))</f>
        <v>30</v>
      </c>
      <c r="Q386" s="30">
        <f>IF(OR(H386&lt;&gt;"Realizado",P386="",P386=0),"",A386+P386)</f>
        <v>46274.0</v>
      </c>
      <c r="R386" s="26" t="str">
        <f>IF(Q386="","",IF(COUNTIFS($E$5:$E$1204,E386,$A$5:$A$1204,"&gt;"&amp;A386,$H$5:$H$1204,"&lt;&gt;Falta",$H$5:$H$1204,"&lt;&gt;Cancelado",$H$5:$H$1204,"&lt;&gt;Remarcado")&gt;0,"Sim","Não"))</f>
        <v>Sim</v>
      </c>
      <c r="S386" s="32">
        <f>IF(R386&lt;&gt;"Não","",IF(Q386+Config!$B$9&lt;=Config!$B$8,Config!$B$8-Q386,""))</f>
        <v/>
      </c>
      <c r="T386" s="26">
        <f>IF(S386="","","Sim")</f>
        <v/>
      </c>
      <c r="U386" s="41">
        <f>IF(T386="Sim",S386+ROW()/100000,0)</f>
        <v>0</v>
      </c>
      <c r="V386" s="41">
        <f>IF(AND(H386="Falta",L386=Config!$B$7,M386=Config!$B$5,COUNTIFS($E$5:E386,E386,$H$5:H386,"Falta",$L$5:L386,Config!$B$7,$M$5:M386,Config!$B$5)=1),COUNTIFS($E$5:$E$1204,E386,$H$5:$H$1204,"Falta",$L$5:$L$1204,Config!$B$7,$M$5:$M$1204,Config!$B$5)*1000-ROW()/100000,0)</f>
        <v>0</v>
      </c>
    </row>
    <row r="387">
      <c r="A387" s="39" t="n">
        <v>46244</v>
      </c>
      <c r="B387" s="40" t="n">
        <v>0.4652777777777778</v>
      </c>
      <c r="C387" s="35" t="inlineStr">
        <is>
          <t>Dra. Carolina Mendes</t>
        </is>
      </c>
      <c r="D387" s="35" t="inlineStr">
        <is>
          <t>Sala 1</t>
        </is>
      </c>
      <c r="E387" s="34" t="inlineStr">
        <is>
          <t>Roberta Fernandes</t>
        </is>
      </c>
      <c r="F387" s="35" t="inlineStr">
        <is>
          <t>Saúde Total</t>
        </is>
      </c>
      <c r="G387" s="35" t="inlineStr">
        <is>
          <t>Consulta</t>
        </is>
      </c>
      <c r="H387" s="35" t="inlineStr">
        <is>
          <t>Realizado</t>
        </is>
      </c>
      <c r="I387" s="35" t="inlineStr">
        <is>
          <t>Convênio</t>
        </is>
      </c>
      <c r="J387" s="35" t="n"/>
      <c r="K387" s="34" t="n"/>
      <c r="L387" s="26">
        <f>IF(A387="","",MONTH(A387))</f>
        <v>8</v>
      </c>
      <c r="M387" s="26">
        <f>IF(A387="","",YEAR(A387))</f>
        <v>2026</v>
      </c>
      <c r="N387" s="26" t="str">
        <f>IF(A387="","",CHOOSE(WEEKDAY(A387,2),"Segunda","Terça","Quarta","Quinta","Sexta","Sábado","Domingo"))</f>
        <v>Segunda</v>
      </c>
      <c r="O387" s="26" t="str">
        <f>IF(B387="","",IF(B387&lt;TIME(12,0,0),"Manhã",IF(B387&lt;TIME(18,0,0),"Tarde","Noite")))</f>
        <v>Manhã</v>
      </c>
      <c r="P387" s="32">
        <f>IF(G387="","",IFERROR(INDEX(Config!$I$5:$I$16,MATCH(G387,Config!$H$5:$H$16,0)),0))</f>
        <v>30</v>
      </c>
      <c r="Q387" s="30">
        <f>IF(OR(H387&lt;&gt;"Realizado",P387="",P387=0),"",A387+P387)</f>
        <v>46274.0</v>
      </c>
      <c r="R387" s="26" t="str">
        <f>IF(Q387="","",IF(COUNTIFS($E$5:$E$1204,E387,$A$5:$A$1204,"&gt;"&amp;A387,$H$5:$H$1204,"&lt;&gt;Falta",$H$5:$H$1204,"&lt;&gt;Cancelado",$H$5:$H$1204,"&lt;&gt;Remarcado")&gt;0,"Sim","Não"))</f>
        <v>Sim</v>
      </c>
      <c r="S387" s="32">
        <f>IF(R387&lt;&gt;"Não","",IF(Q387+Config!$B$9&lt;=Config!$B$8,Config!$B$8-Q387,""))</f>
        <v/>
      </c>
      <c r="T387" s="26">
        <f>IF(S387="","","Sim")</f>
        <v/>
      </c>
      <c r="U387" s="41">
        <f>IF(T387="Sim",S387+ROW()/100000,0)</f>
        <v>0</v>
      </c>
      <c r="V387" s="41">
        <f>IF(AND(H387="Falta",L387=Config!$B$7,M387=Config!$B$5,COUNTIFS($E$5:E387,E387,$H$5:H387,"Falta",$L$5:L387,Config!$B$7,$M$5:M387,Config!$B$5)=1),COUNTIFS($E$5:$E$1204,E387,$H$5:$H$1204,"Falta",$L$5:$L$1204,Config!$B$7,$M$5:$M$1204,Config!$B$5)*1000-ROW()/100000,0)</f>
        <v>0</v>
      </c>
    </row>
    <row r="388">
      <c r="A388" s="39" t="n">
        <v>46244</v>
      </c>
      <c r="B388" s="40" t="n">
        <v>0.4861111111111111</v>
      </c>
      <c r="C388" s="35" t="inlineStr">
        <is>
          <t>Dra. Carolina Mendes</t>
        </is>
      </c>
      <c r="D388" s="35" t="inlineStr">
        <is>
          <t>Sala 1</t>
        </is>
      </c>
      <c r="E388" s="34" t="inlineStr">
        <is>
          <t>Gustavo Barbosa</t>
        </is>
      </c>
      <c r="F388" s="35" t="inlineStr">
        <is>
          <t>Saúde Total</t>
        </is>
      </c>
      <c r="G388" s="35" t="inlineStr">
        <is>
          <t>Consulta</t>
        </is>
      </c>
      <c r="H388" s="35" t="inlineStr">
        <is>
          <t>Falta</t>
        </is>
      </c>
      <c r="I388" s="35" t="n"/>
      <c r="J388" s="35" t="n"/>
      <c r="K388" s="34" t="n"/>
      <c r="L388" s="26">
        <f>IF(A388="","",MONTH(A388))</f>
        <v>8</v>
      </c>
      <c r="M388" s="26">
        <f>IF(A388="","",YEAR(A388))</f>
        <v>2026</v>
      </c>
      <c r="N388" s="26" t="str">
        <f>IF(A388="","",CHOOSE(WEEKDAY(A388,2),"Segunda","Terça","Quarta","Quinta","Sexta","Sábado","Domingo"))</f>
        <v>Segunda</v>
      </c>
      <c r="O388" s="26" t="str">
        <f>IF(B388="","",IF(B388&lt;TIME(12,0,0),"Manhã",IF(B388&lt;TIME(18,0,0),"Tarde","Noite")))</f>
        <v>Manhã</v>
      </c>
      <c r="P388" s="32">
        <f>IF(G388="","",IFERROR(INDEX(Config!$I$5:$I$16,MATCH(G388,Config!$H$5:$H$16,0)),0))</f>
        <v>30</v>
      </c>
      <c r="Q388" s="30">
        <f>IF(OR(H388&lt;&gt;"Realizado",P388="",P388=0),"",A388+P388)</f>
        <v/>
      </c>
      <c r="R388" s="26">
        <f>IF(Q388="","",IF(COUNTIFS($E$5:$E$1204,E388,$A$5:$A$1204,"&gt;"&amp;A388,$H$5:$H$1204,"&lt;&gt;Falta",$H$5:$H$1204,"&lt;&gt;Cancelado",$H$5:$H$1204,"&lt;&gt;Remarcado")&gt;0,"Sim","Não"))</f>
        <v/>
      </c>
      <c r="S388" s="32">
        <f>IF(R388&lt;&gt;"Não","",IF(Q388+Config!$B$9&lt;=Config!$B$8,Config!$B$8-Q388,""))</f>
        <v/>
      </c>
      <c r="T388" s="26">
        <f>IF(S388="","","Sim")</f>
        <v/>
      </c>
      <c r="U388" s="41">
        <f>IF(T388="Sim",S388+ROW()/100000,0)</f>
        <v>0</v>
      </c>
      <c r="V388" s="41">
        <f>IF(AND(H388="Falta",L388=Config!$B$7,M388=Config!$B$5,COUNTIFS($E$5:E388,E388,$H$5:H388,"Falta",$L$5:L388,Config!$B$7,$M$5:M388,Config!$B$5)=1),COUNTIFS($E$5:$E$1204,E388,$H$5:$H$1204,"Falta",$L$5:$L$1204,Config!$B$7,$M$5:$M$1204,Config!$B$5)*1000-ROW()/100000,0)</f>
        <v>0</v>
      </c>
    </row>
    <row r="389">
      <c r="A389" s="39" t="n">
        <v>46244</v>
      </c>
      <c r="B389" s="40" t="n">
        <v>0.5833333333333334</v>
      </c>
      <c r="C389" s="35" t="inlineStr">
        <is>
          <t>Dr. Paulo Andrade</t>
        </is>
      </c>
      <c r="D389" s="35" t="inlineStr">
        <is>
          <t>Sala 2</t>
        </is>
      </c>
      <c r="E389" s="34" t="inlineStr">
        <is>
          <t>Natália Xavier</t>
        </is>
      </c>
      <c r="F389" s="35" t="inlineStr">
        <is>
          <t>MediPlan</t>
        </is>
      </c>
      <c r="G389" s="35" t="inlineStr">
        <is>
          <t>Retorno</t>
        </is>
      </c>
      <c r="H389" s="35" t="inlineStr">
        <is>
          <t>Realizado</t>
        </is>
      </c>
      <c r="I389" s="35" t="inlineStr">
        <is>
          <t>Sem cobrança</t>
        </is>
      </c>
      <c r="J389" s="35" t="n"/>
      <c r="K389" s="34" t="n"/>
      <c r="L389" s="26">
        <f>IF(A389="","",MONTH(A389))</f>
        <v>8</v>
      </c>
      <c r="M389" s="26">
        <f>IF(A389="","",YEAR(A389))</f>
        <v>2026</v>
      </c>
      <c r="N389" s="26" t="str">
        <f>IF(A389="","",CHOOSE(WEEKDAY(A389,2),"Segunda","Terça","Quarta","Quinta","Sexta","Sábado","Domingo"))</f>
        <v>Segunda</v>
      </c>
      <c r="O389" s="26" t="str">
        <f>IF(B389="","",IF(B389&lt;TIME(12,0,0),"Manhã",IF(B389&lt;TIME(18,0,0),"Tarde","Noite")))</f>
        <v>Tarde</v>
      </c>
      <c r="P389" s="32">
        <f>IF(G389="","",IFERROR(INDEX(Config!$I$5:$I$16,MATCH(G389,Config!$H$5:$H$16,0)),0))</f>
        <v>0</v>
      </c>
      <c r="Q389" s="30">
        <f>IF(OR(H389&lt;&gt;"Realizado",P389="",P389=0),"",A389+P389)</f>
        <v/>
      </c>
      <c r="R389" s="26">
        <f>IF(Q389="","",IF(COUNTIFS($E$5:$E$1204,E389,$A$5:$A$1204,"&gt;"&amp;A389,$H$5:$H$1204,"&lt;&gt;Falta",$H$5:$H$1204,"&lt;&gt;Cancelado",$H$5:$H$1204,"&lt;&gt;Remarcado")&gt;0,"Sim","Não"))</f>
        <v/>
      </c>
      <c r="S389" s="32">
        <f>IF(R389&lt;&gt;"Não","",IF(Q389+Config!$B$9&lt;=Config!$B$8,Config!$B$8-Q389,""))</f>
        <v/>
      </c>
      <c r="T389" s="26">
        <f>IF(S389="","","Sim")</f>
        <v/>
      </c>
      <c r="U389" s="41">
        <f>IF(T389="Sim",S389+ROW()/100000,0)</f>
        <v>0</v>
      </c>
      <c r="V389" s="41">
        <f>IF(AND(H389="Falta",L389=Config!$B$7,M389=Config!$B$5,COUNTIFS($E$5:E389,E389,$H$5:H389,"Falta",$L$5:L389,Config!$B$7,$M$5:M389,Config!$B$5)=1),COUNTIFS($E$5:$E$1204,E389,$H$5:$H$1204,"Falta",$L$5:$L$1204,Config!$B$7,$M$5:$M$1204,Config!$B$5)*1000-ROW()/100000,0)</f>
        <v>0</v>
      </c>
    </row>
    <row r="390">
      <c r="A390" s="39" t="n">
        <v>46244</v>
      </c>
      <c r="B390" s="40" t="n">
        <v>0.5972222222222222</v>
      </c>
      <c r="C390" s="35" t="inlineStr">
        <is>
          <t>Dr. Paulo Andrade</t>
        </is>
      </c>
      <c r="D390" s="35" t="inlineStr">
        <is>
          <t>Sala 2</t>
        </is>
      </c>
      <c r="E390" s="34" t="inlineStr">
        <is>
          <t>Helena Ribeiro</t>
        </is>
      </c>
      <c r="F390" s="35" t="inlineStr">
        <is>
          <t>MediPlan</t>
        </is>
      </c>
      <c r="G390" s="35" t="inlineStr">
        <is>
          <t>Consulta</t>
        </is>
      </c>
      <c r="H390" s="35" t="inlineStr">
        <is>
          <t>Realizado</t>
        </is>
      </c>
      <c r="I390" s="35" t="inlineStr">
        <is>
          <t>Convênio</t>
        </is>
      </c>
      <c r="J390" s="35" t="n"/>
      <c r="K390" s="34" t="n"/>
      <c r="L390" s="26">
        <f>IF(A390="","",MONTH(A390))</f>
        <v>8</v>
      </c>
      <c r="M390" s="26">
        <f>IF(A390="","",YEAR(A390))</f>
        <v>2026</v>
      </c>
      <c r="N390" s="26" t="str">
        <f>IF(A390="","",CHOOSE(WEEKDAY(A390,2),"Segunda","Terça","Quarta","Quinta","Sexta","Sábado","Domingo"))</f>
        <v>Segunda</v>
      </c>
      <c r="O390" s="26" t="str">
        <f>IF(B390="","",IF(B390&lt;TIME(12,0,0),"Manhã",IF(B390&lt;TIME(18,0,0),"Tarde","Noite")))</f>
        <v>Tarde</v>
      </c>
      <c r="P390" s="32">
        <f>IF(G390="","",IFERROR(INDEX(Config!$I$5:$I$16,MATCH(G390,Config!$H$5:$H$16,0)),0))</f>
        <v>30</v>
      </c>
      <c r="Q390" s="30">
        <f>IF(OR(H390&lt;&gt;"Realizado",P390="",P390=0),"",A390+P390)</f>
        <v>46274.0</v>
      </c>
      <c r="R390" s="26" t="str">
        <f>IF(Q390="","",IF(COUNTIFS($E$5:$E$1204,E390,$A$5:$A$1204,"&gt;"&amp;A390,$H$5:$H$1204,"&lt;&gt;Falta",$H$5:$H$1204,"&lt;&gt;Cancelado",$H$5:$H$1204,"&lt;&gt;Remarcado")&gt;0,"Sim","Não"))</f>
        <v>Sim</v>
      </c>
      <c r="S390" s="32">
        <f>IF(R390&lt;&gt;"Não","",IF(Q390+Config!$B$9&lt;=Config!$B$8,Config!$B$8-Q390,""))</f>
        <v/>
      </c>
      <c r="T390" s="26">
        <f>IF(S390="","","Sim")</f>
        <v/>
      </c>
      <c r="U390" s="41">
        <f>IF(T390="Sim",S390+ROW()/100000,0)</f>
        <v>0</v>
      </c>
      <c r="V390" s="41">
        <f>IF(AND(H390="Falta",L390=Config!$B$7,M390=Config!$B$5,COUNTIFS($E$5:E390,E390,$H$5:H390,"Falta",$L$5:L390,Config!$B$7,$M$5:M390,Config!$B$5)=1),COUNTIFS($E$5:$E$1204,E390,$H$5:$H$1204,"Falta",$L$5:$L$1204,Config!$B$7,$M$5:$M$1204,Config!$B$5)*1000-ROW()/100000,0)</f>
        <v>0</v>
      </c>
    </row>
    <row r="391">
      <c r="A391" s="39" t="n">
        <v>46244</v>
      </c>
      <c r="B391" s="40" t="n">
        <v>0.6388888888888888</v>
      </c>
      <c r="C391" s="35" t="inlineStr">
        <is>
          <t>Dr. Paulo Andrade</t>
        </is>
      </c>
      <c r="D391" s="35" t="inlineStr">
        <is>
          <t>Sala 2</t>
        </is>
      </c>
      <c r="E391" s="34" t="inlineStr">
        <is>
          <t>Marcelo Moreira</t>
        </is>
      </c>
      <c r="F391" s="35" t="inlineStr">
        <is>
          <t>Particular</t>
        </is>
      </c>
      <c r="G391" s="35" t="inlineStr">
        <is>
          <t>Holter</t>
        </is>
      </c>
      <c r="H391" s="35" t="inlineStr">
        <is>
          <t>Realizado</t>
        </is>
      </c>
      <c r="I391" s="35" t="inlineStr">
        <is>
          <t>Cartão de débito</t>
        </is>
      </c>
      <c r="J391" s="35" t="n"/>
      <c r="K391" s="34" t="n"/>
      <c r="L391" s="26">
        <f>IF(A391="","",MONTH(A391))</f>
        <v>8</v>
      </c>
      <c r="M391" s="26">
        <f>IF(A391="","",YEAR(A391))</f>
        <v>2026</v>
      </c>
      <c r="N391" s="26" t="str">
        <f>IF(A391="","",CHOOSE(WEEKDAY(A391,2),"Segunda","Terça","Quarta","Quinta","Sexta","Sábado","Domingo"))</f>
        <v>Segunda</v>
      </c>
      <c r="O391" s="26" t="str">
        <f>IF(B391="","",IF(B391&lt;TIME(12,0,0),"Manhã",IF(B391&lt;TIME(18,0,0),"Tarde","Noite")))</f>
        <v>Tarde</v>
      </c>
      <c r="P391" s="32">
        <f>IF(G391="","",IFERROR(INDEX(Config!$I$5:$I$16,MATCH(G391,Config!$H$5:$H$16,0)),0))</f>
        <v>0</v>
      </c>
      <c r="Q391" s="30">
        <f>IF(OR(H391&lt;&gt;"Realizado",P391="",P391=0),"",A391+P391)</f>
        <v/>
      </c>
      <c r="R391" s="26">
        <f>IF(Q391="","",IF(COUNTIFS($E$5:$E$1204,E391,$A$5:$A$1204,"&gt;"&amp;A391,$H$5:$H$1204,"&lt;&gt;Falta",$H$5:$H$1204,"&lt;&gt;Cancelado",$H$5:$H$1204,"&lt;&gt;Remarcado")&gt;0,"Sim","Não"))</f>
        <v/>
      </c>
      <c r="S391" s="32">
        <f>IF(R391&lt;&gt;"Não","",IF(Q391+Config!$B$9&lt;=Config!$B$8,Config!$B$8-Q391,""))</f>
        <v/>
      </c>
      <c r="T391" s="26">
        <f>IF(S391="","","Sim")</f>
        <v/>
      </c>
      <c r="U391" s="41">
        <f>IF(T391="Sim",S391+ROW()/100000,0)</f>
        <v>0</v>
      </c>
      <c r="V391" s="41">
        <f>IF(AND(H391="Falta",L391=Config!$B$7,M391=Config!$B$5,COUNTIFS($E$5:E391,E391,$H$5:H391,"Falta",$L$5:L391,Config!$B$7,$M$5:M391,Config!$B$5)=1),COUNTIFS($E$5:$E$1204,E391,$H$5:$H$1204,"Falta",$L$5:$L$1204,Config!$B$7,$M$5:$M$1204,Config!$B$5)*1000-ROW()/100000,0)</f>
        <v>0</v>
      </c>
    </row>
    <row r="392">
      <c r="A392" s="39" t="n">
        <v>46244</v>
      </c>
      <c r="B392" s="40" t="n">
        <v>0.6527777777777778</v>
      </c>
      <c r="C392" s="35" t="inlineStr">
        <is>
          <t>Dr. Paulo Andrade</t>
        </is>
      </c>
      <c r="D392" s="35" t="inlineStr">
        <is>
          <t>Sala 2</t>
        </is>
      </c>
      <c r="E392" s="34" t="inlineStr">
        <is>
          <t>Otávio Martins</t>
        </is>
      </c>
      <c r="F392" s="35" t="inlineStr">
        <is>
          <t>MediPlan</t>
        </is>
      </c>
      <c r="G392" s="35" t="inlineStr">
        <is>
          <t>Consulta</t>
        </is>
      </c>
      <c r="H392" s="35" t="inlineStr">
        <is>
          <t>Realizado</t>
        </is>
      </c>
      <c r="I392" s="35" t="inlineStr">
        <is>
          <t>Convênio</t>
        </is>
      </c>
      <c r="J392" s="35" t="n"/>
      <c r="K392" s="34" t="n"/>
      <c r="L392" s="26">
        <f>IF(A392="","",MONTH(A392))</f>
        <v>8</v>
      </c>
      <c r="M392" s="26">
        <f>IF(A392="","",YEAR(A392))</f>
        <v>2026</v>
      </c>
      <c r="N392" s="26" t="str">
        <f>IF(A392="","",CHOOSE(WEEKDAY(A392,2),"Segunda","Terça","Quarta","Quinta","Sexta","Sábado","Domingo"))</f>
        <v>Segunda</v>
      </c>
      <c r="O392" s="26" t="str">
        <f>IF(B392="","",IF(B392&lt;TIME(12,0,0),"Manhã",IF(B392&lt;TIME(18,0,0),"Tarde","Noite")))</f>
        <v>Tarde</v>
      </c>
      <c r="P392" s="32">
        <f>IF(G392="","",IFERROR(INDEX(Config!$I$5:$I$16,MATCH(G392,Config!$H$5:$H$16,0)),0))</f>
        <v>30</v>
      </c>
      <c r="Q392" s="30">
        <f>IF(OR(H392&lt;&gt;"Realizado",P392="",P392=0),"",A392+P392)</f>
        <v>46274.0</v>
      </c>
      <c r="R392" s="26" t="str">
        <f>IF(Q392="","",IF(COUNTIFS($E$5:$E$1204,E392,$A$5:$A$1204,"&gt;"&amp;A392,$H$5:$H$1204,"&lt;&gt;Falta",$H$5:$H$1204,"&lt;&gt;Cancelado",$H$5:$H$1204,"&lt;&gt;Remarcado")&gt;0,"Sim","Não"))</f>
        <v>Sim</v>
      </c>
      <c r="S392" s="32">
        <f>IF(R392&lt;&gt;"Não","",IF(Q392+Config!$B$9&lt;=Config!$B$8,Config!$B$8-Q392,""))</f>
        <v/>
      </c>
      <c r="T392" s="26">
        <f>IF(S392="","","Sim")</f>
        <v/>
      </c>
      <c r="U392" s="41">
        <f>IF(T392="Sim",S392+ROW()/100000,0)</f>
        <v>0</v>
      </c>
      <c r="V392" s="41">
        <f>IF(AND(H392="Falta",L392=Config!$B$7,M392=Config!$B$5,COUNTIFS($E$5:E392,E392,$H$5:H392,"Falta",$L$5:L392,Config!$B$7,$M$5:M392,Config!$B$5)=1),COUNTIFS($E$5:$E$1204,E392,$H$5:$H$1204,"Falta",$L$5:$L$1204,Config!$B$7,$M$5:$M$1204,Config!$B$5)*1000-ROW()/100000,0)</f>
        <v>0</v>
      </c>
    </row>
    <row r="393">
      <c r="A393" s="39" t="n">
        <v>46244</v>
      </c>
      <c r="B393" s="40" t="n">
        <v>0.6736111111111112</v>
      </c>
      <c r="C393" s="35" t="inlineStr">
        <is>
          <t>Dr. Paulo Andrade</t>
        </is>
      </c>
      <c r="D393" s="35" t="inlineStr">
        <is>
          <t>Sala 2</t>
        </is>
      </c>
      <c r="E393" s="34" t="inlineStr">
        <is>
          <t>Marcelo Santos</t>
        </is>
      </c>
      <c r="F393" s="35" t="inlineStr">
        <is>
          <t>Particular</t>
        </is>
      </c>
      <c r="G393" s="35" t="inlineStr">
        <is>
          <t>ECG</t>
        </is>
      </c>
      <c r="H393" s="35" t="inlineStr">
        <is>
          <t>Realizado</t>
        </is>
      </c>
      <c r="I393" s="35" t="inlineStr">
        <is>
          <t>Pix</t>
        </is>
      </c>
      <c r="J393" s="35" t="n"/>
      <c r="K393" s="34" t="n"/>
      <c r="L393" s="26">
        <f>IF(A393="","",MONTH(A393))</f>
        <v>8</v>
      </c>
      <c r="M393" s="26">
        <f>IF(A393="","",YEAR(A393))</f>
        <v>2026</v>
      </c>
      <c r="N393" s="26" t="str">
        <f>IF(A393="","",CHOOSE(WEEKDAY(A393,2),"Segunda","Terça","Quarta","Quinta","Sexta","Sábado","Domingo"))</f>
        <v>Segunda</v>
      </c>
      <c r="O393" s="26" t="str">
        <f>IF(B393="","",IF(B393&lt;TIME(12,0,0),"Manhã",IF(B393&lt;TIME(18,0,0),"Tarde","Noite")))</f>
        <v>Tarde</v>
      </c>
      <c r="P393" s="32">
        <f>IF(G393="","",IFERROR(INDEX(Config!$I$5:$I$16,MATCH(G393,Config!$H$5:$H$16,0)),0))</f>
        <v>0</v>
      </c>
      <c r="Q393" s="30">
        <f>IF(OR(H393&lt;&gt;"Realizado",P393="",P393=0),"",A393+P393)</f>
        <v/>
      </c>
      <c r="R393" s="26">
        <f>IF(Q393="","",IF(COUNTIFS($E$5:$E$1204,E393,$A$5:$A$1204,"&gt;"&amp;A393,$H$5:$H$1204,"&lt;&gt;Falta",$H$5:$H$1204,"&lt;&gt;Cancelado",$H$5:$H$1204,"&lt;&gt;Remarcado")&gt;0,"Sim","Não"))</f>
        <v/>
      </c>
      <c r="S393" s="32">
        <f>IF(R393&lt;&gt;"Não","",IF(Q393+Config!$B$9&lt;=Config!$B$8,Config!$B$8-Q393,""))</f>
        <v/>
      </c>
      <c r="T393" s="26">
        <f>IF(S393="","","Sim")</f>
        <v/>
      </c>
      <c r="U393" s="41">
        <f>IF(T393="Sim",S393+ROW()/100000,0)</f>
        <v>0</v>
      </c>
      <c r="V393" s="41">
        <f>IF(AND(H393="Falta",L393=Config!$B$7,M393=Config!$B$5,COUNTIFS($E$5:E393,E393,$H$5:H393,"Falta",$L$5:L393,Config!$B$7,$M$5:M393,Config!$B$5)=1),COUNTIFS($E$5:$E$1204,E393,$H$5:$H$1204,"Falta",$L$5:$L$1204,Config!$B$7,$M$5:$M$1204,Config!$B$5)*1000-ROW()/100000,0)</f>
        <v>0</v>
      </c>
    </row>
    <row r="394">
      <c r="A394" s="39" t="n">
        <v>46244</v>
      </c>
      <c r="B394" s="40" t="n">
        <v>0.7083333333333334</v>
      </c>
      <c r="C394" s="35" t="inlineStr">
        <is>
          <t>Dr. Paulo Andrade</t>
        </is>
      </c>
      <c r="D394" s="35" t="inlineStr">
        <is>
          <t>Sala 2</t>
        </is>
      </c>
      <c r="E394" s="34" t="inlineStr">
        <is>
          <t>Rafael Correia</t>
        </is>
      </c>
      <c r="F394" s="35" t="inlineStr">
        <is>
          <t>Particular</t>
        </is>
      </c>
      <c r="G394" s="35" t="inlineStr">
        <is>
          <t>Consulta</t>
        </is>
      </c>
      <c r="H394" s="35" t="inlineStr">
        <is>
          <t>Realizado</t>
        </is>
      </c>
      <c r="I394" s="35" t="inlineStr">
        <is>
          <t>Cartão de crédito</t>
        </is>
      </c>
      <c r="J394" s="35" t="n"/>
      <c r="K394" s="34" t="n"/>
      <c r="L394" s="26">
        <f>IF(A394="","",MONTH(A394))</f>
        <v>8</v>
      </c>
      <c r="M394" s="26">
        <f>IF(A394="","",YEAR(A394))</f>
        <v>2026</v>
      </c>
      <c r="N394" s="26" t="str">
        <f>IF(A394="","",CHOOSE(WEEKDAY(A394,2),"Segunda","Terça","Quarta","Quinta","Sexta","Sábado","Domingo"))</f>
        <v>Segunda</v>
      </c>
      <c r="O394" s="26" t="str">
        <f>IF(B394="","",IF(B394&lt;TIME(12,0,0),"Manhã",IF(B394&lt;TIME(18,0,0),"Tarde","Noite")))</f>
        <v>Tarde</v>
      </c>
      <c r="P394" s="32">
        <f>IF(G394="","",IFERROR(INDEX(Config!$I$5:$I$16,MATCH(G394,Config!$H$5:$H$16,0)),0))</f>
        <v>30</v>
      </c>
      <c r="Q394" s="30">
        <f>IF(OR(H394&lt;&gt;"Realizado",P394="",P394=0),"",A394+P394)</f>
        <v>46274.0</v>
      </c>
      <c r="R394" s="26" t="str">
        <f>IF(Q394="","",IF(COUNTIFS($E$5:$E$1204,E394,$A$5:$A$1204,"&gt;"&amp;A394,$H$5:$H$1204,"&lt;&gt;Falta",$H$5:$H$1204,"&lt;&gt;Cancelado",$H$5:$H$1204,"&lt;&gt;Remarcado")&gt;0,"Sim","Não"))</f>
        <v>Sim</v>
      </c>
      <c r="S394" s="32">
        <f>IF(R394&lt;&gt;"Não","",IF(Q394+Config!$B$9&lt;=Config!$B$8,Config!$B$8-Q394,""))</f>
        <v/>
      </c>
      <c r="T394" s="26">
        <f>IF(S394="","","Sim")</f>
        <v/>
      </c>
      <c r="U394" s="41">
        <f>IF(T394="Sim",S394+ROW()/100000,0)</f>
        <v>0</v>
      </c>
      <c r="V394" s="41">
        <f>IF(AND(H394="Falta",L394=Config!$B$7,M394=Config!$B$5,COUNTIFS($E$5:E394,E394,$H$5:H394,"Falta",$L$5:L394,Config!$B$7,$M$5:M394,Config!$B$5)=1),COUNTIFS($E$5:$E$1204,E394,$H$5:$H$1204,"Falta",$L$5:$L$1204,Config!$B$7,$M$5:$M$1204,Config!$B$5)*1000-ROW()/100000,0)</f>
        <v>0</v>
      </c>
    </row>
    <row r="395">
      <c r="A395" s="39" t="n">
        <v>46244</v>
      </c>
      <c r="B395" s="40" t="n">
        <v>0.7291666666666666</v>
      </c>
      <c r="C395" s="35" t="inlineStr">
        <is>
          <t>Dr. Paulo Andrade</t>
        </is>
      </c>
      <c r="D395" s="35" t="inlineStr">
        <is>
          <t>Sala 2</t>
        </is>
      </c>
      <c r="E395" s="34" t="inlineStr">
        <is>
          <t>Sérgio Teixeira</t>
        </is>
      </c>
      <c r="F395" s="35" t="inlineStr">
        <is>
          <t>MediPlan</t>
        </is>
      </c>
      <c r="G395" s="35" t="inlineStr">
        <is>
          <t>Retorno</t>
        </is>
      </c>
      <c r="H395" s="35" t="inlineStr">
        <is>
          <t>Realizado</t>
        </is>
      </c>
      <c r="I395" s="35" t="inlineStr">
        <is>
          <t>Sem cobrança</t>
        </is>
      </c>
      <c r="J395" s="35" t="n"/>
      <c r="K395" s="34" t="n"/>
      <c r="L395" s="26">
        <f>IF(A395="","",MONTH(A395))</f>
        <v>8</v>
      </c>
      <c r="M395" s="26">
        <f>IF(A395="","",YEAR(A395))</f>
        <v>2026</v>
      </c>
      <c r="N395" s="26" t="str">
        <f>IF(A395="","",CHOOSE(WEEKDAY(A395,2),"Segunda","Terça","Quarta","Quinta","Sexta","Sábado","Domingo"))</f>
        <v>Segunda</v>
      </c>
      <c r="O395" s="26" t="str">
        <f>IF(B395="","",IF(B395&lt;TIME(12,0,0),"Manhã",IF(B395&lt;TIME(18,0,0),"Tarde","Noite")))</f>
        <v>Tarde</v>
      </c>
      <c r="P395" s="32">
        <f>IF(G395="","",IFERROR(INDEX(Config!$I$5:$I$16,MATCH(G395,Config!$H$5:$H$16,0)),0))</f>
        <v>0</v>
      </c>
      <c r="Q395" s="30">
        <f>IF(OR(H395&lt;&gt;"Realizado",P395="",P395=0),"",A395+P395)</f>
        <v/>
      </c>
      <c r="R395" s="26">
        <f>IF(Q395="","",IF(COUNTIFS($E$5:$E$1204,E395,$A$5:$A$1204,"&gt;"&amp;A395,$H$5:$H$1204,"&lt;&gt;Falta",$H$5:$H$1204,"&lt;&gt;Cancelado",$H$5:$H$1204,"&lt;&gt;Remarcado")&gt;0,"Sim","Não"))</f>
        <v/>
      </c>
      <c r="S395" s="32">
        <f>IF(R395&lt;&gt;"Não","",IF(Q395+Config!$B$9&lt;=Config!$B$8,Config!$B$8-Q395,""))</f>
        <v/>
      </c>
      <c r="T395" s="26">
        <f>IF(S395="","","Sim")</f>
        <v/>
      </c>
      <c r="U395" s="41">
        <f>IF(T395="Sim",S395+ROW()/100000,0)</f>
        <v>0</v>
      </c>
      <c r="V395" s="41">
        <f>IF(AND(H395="Falta",L395=Config!$B$7,M395=Config!$B$5,COUNTIFS($E$5:E395,E395,$H$5:H395,"Falta",$L$5:L395,Config!$B$7,$M$5:M395,Config!$B$5)=1),COUNTIFS($E$5:$E$1204,E395,$H$5:$H$1204,"Falta",$L$5:$L$1204,Config!$B$7,$M$5:$M$1204,Config!$B$5)*1000-ROW()/100000,0)</f>
        <v>0</v>
      </c>
    </row>
    <row r="396">
      <c r="A396" s="39" t="n">
        <v>46245</v>
      </c>
      <c r="B396" s="40" t="n">
        <v>0.3333333333333333</v>
      </c>
      <c r="C396" s="35" t="inlineStr">
        <is>
          <t>Dra. Carolina Mendes</t>
        </is>
      </c>
      <c r="D396" s="35" t="inlineStr">
        <is>
          <t>Sala 1</t>
        </is>
      </c>
      <c r="E396" s="34" t="inlineStr">
        <is>
          <t>Gisele Ribeiro</t>
        </is>
      </c>
      <c r="F396" s="35" t="inlineStr">
        <is>
          <t>Particular</t>
        </is>
      </c>
      <c r="G396" s="35" t="inlineStr">
        <is>
          <t>Retorno</t>
        </is>
      </c>
      <c r="H396" s="35" t="inlineStr">
        <is>
          <t>Realizado</t>
        </is>
      </c>
      <c r="I396" s="35" t="inlineStr">
        <is>
          <t>Sem cobrança</t>
        </is>
      </c>
      <c r="J396" s="35" t="n"/>
      <c r="K396" s="34" t="n"/>
      <c r="L396" s="26">
        <f>IF(A396="","",MONTH(A396))</f>
        <v>8</v>
      </c>
      <c r="M396" s="26">
        <f>IF(A396="","",YEAR(A396))</f>
        <v>2026</v>
      </c>
      <c r="N396" s="26" t="str">
        <f>IF(A396="","",CHOOSE(WEEKDAY(A396,2),"Segunda","Terça","Quarta","Quinta","Sexta","Sábado","Domingo"))</f>
        <v>Terça</v>
      </c>
      <c r="O396" s="26" t="str">
        <f>IF(B396="","",IF(B396&lt;TIME(12,0,0),"Manhã",IF(B396&lt;TIME(18,0,0),"Tarde","Noite")))</f>
        <v>Manhã</v>
      </c>
      <c r="P396" s="32">
        <f>IF(G396="","",IFERROR(INDEX(Config!$I$5:$I$16,MATCH(G396,Config!$H$5:$H$16,0)),0))</f>
        <v>0</v>
      </c>
      <c r="Q396" s="30">
        <f>IF(OR(H396&lt;&gt;"Realizado",P396="",P396=0),"",A396+P396)</f>
        <v/>
      </c>
      <c r="R396" s="26">
        <f>IF(Q396="","",IF(COUNTIFS($E$5:$E$1204,E396,$A$5:$A$1204,"&gt;"&amp;A396,$H$5:$H$1204,"&lt;&gt;Falta",$H$5:$H$1204,"&lt;&gt;Cancelado",$H$5:$H$1204,"&lt;&gt;Remarcado")&gt;0,"Sim","Não"))</f>
        <v/>
      </c>
      <c r="S396" s="32">
        <f>IF(R396&lt;&gt;"Não","",IF(Q396+Config!$B$9&lt;=Config!$B$8,Config!$B$8-Q396,""))</f>
        <v/>
      </c>
      <c r="T396" s="26">
        <f>IF(S396="","","Sim")</f>
        <v/>
      </c>
      <c r="U396" s="41">
        <f>IF(T396="Sim",S396+ROW()/100000,0)</f>
        <v>0</v>
      </c>
      <c r="V396" s="41">
        <f>IF(AND(H396="Falta",L396=Config!$B$7,M396=Config!$B$5,COUNTIFS($E$5:E396,E396,$H$5:H396,"Falta",$L$5:L396,Config!$B$7,$M$5:M396,Config!$B$5)=1),COUNTIFS($E$5:$E$1204,E396,$H$5:$H$1204,"Falta",$L$5:$L$1204,Config!$B$7,$M$5:$M$1204,Config!$B$5)*1000-ROW()/100000,0)</f>
        <v>0</v>
      </c>
    </row>
    <row r="397">
      <c r="A397" s="39" t="n">
        <v>46245</v>
      </c>
      <c r="B397" s="40" t="n">
        <v>0.3472222222222222</v>
      </c>
      <c r="C397" s="35" t="inlineStr">
        <is>
          <t>Dra. Carolina Mendes</t>
        </is>
      </c>
      <c r="D397" s="35" t="inlineStr">
        <is>
          <t>Sala 1</t>
        </is>
      </c>
      <c r="E397" s="34" t="inlineStr">
        <is>
          <t>Wagner Santos</t>
        </is>
      </c>
      <c r="F397" s="35" t="inlineStr">
        <is>
          <t>Particular</t>
        </is>
      </c>
      <c r="G397" s="35" t="inlineStr">
        <is>
          <t>Retorno</t>
        </is>
      </c>
      <c r="H397" s="35" t="inlineStr">
        <is>
          <t>Realizado</t>
        </is>
      </c>
      <c r="I397" s="35" t="inlineStr">
        <is>
          <t>Sem cobrança</t>
        </is>
      </c>
      <c r="J397" s="35" t="n"/>
      <c r="K397" s="34" t="n"/>
      <c r="L397" s="26">
        <f>IF(A397="","",MONTH(A397))</f>
        <v>8</v>
      </c>
      <c r="M397" s="26">
        <f>IF(A397="","",YEAR(A397))</f>
        <v>2026</v>
      </c>
      <c r="N397" s="26" t="str">
        <f>IF(A397="","",CHOOSE(WEEKDAY(A397,2),"Segunda","Terça","Quarta","Quinta","Sexta","Sábado","Domingo"))</f>
        <v>Terça</v>
      </c>
      <c r="O397" s="26" t="str">
        <f>IF(B397="","",IF(B397&lt;TIME(12,0,0),"Manhã",IF(B397&lt;TIME(18,0,0),"Tarde","Noite")))</f>
        <v>Manhã</v>
      </c>
      <c r="P397" s="32">
        <f>IF(G397="","",IFERROR(INDEX(Config!$I$5:$I$16,MATCH(G397,Config!$H$5:$H$16,0)),0))</f>
        <v>0</v>
      </c>
      <c r="Q397" s="30">
        <f>IF(OR(H397&lt;&gt;"Realizado",P397="",P397=0),"",A397+P397)</f>
        <v/>
      </c>
      <c r="R397" s="26">
        <f>IF(Q397="","",IF(COUNTIFS($E$5:$E$1204,E397,$A$5:$A$1204,"&gt;"&amp;A397,$H$5:$H$1204,"&lt;&gt;Falta",$H$5:$H$1204,"&lt;&gt;Cancelado",$H$5:$H$1204,"&lt;&gt;Remarcado")&gt;0,"Sim","Não"))</f>
        <v/>
      </c>
      <c r="S397" s="32">
        <f>IF(R397&lt;&gt;"Não","",IF(Q397+Config!$B$9&lt;=Config!$B$8,Config!$B$8-Q397,""))</f>
        <v/>
      </c>
      <c r="T397" s="26">
        <f>IF(S397="","","Sim")</f>
        <v/>
      </c>
      <c r="U397" s="41">
        <f>IF(T397="Sim",S397+ROW()/100000,0)</f>
        <v>0</v>
      </c>
      <c r="V397" s="41">
        <f>IF(AND(H397="Falta",L397=Config!$B$7,M397=Config!$B$5,COUNTIFS($E$5:E397,E397,$H$5:H397,"Falta",$L$5:L397,Config!$B$7,$M$5:M397,Config!$B$5)=1),COUNTIFS($E$5:$E$1204,E397,$H$5:$H$1204,"Falta",$L$5:$L$1204,Config!$B$7,$M$5:$M$1204,Config!$B$5)*1000-ROW()/100000,0)</f>
        <v>0</v>
      </c>
    </row>
    <row r="398">
      <c r="A398" s="39" t="n">
        <v>46245</v>
      </c>
      <c r="B398" s="40" t="n">
        <v>0.3611111111111111</v>
      </c>
      <c r="C398" s="35" t="inlineStr">
        <is>
          <t>Dra. Carolina Mendes</t>
        </is>
      </c>
      <c r="D398" s="35" t="inlineStr">
        <is>
          <t>Sala 1</t>
        </is>
      </c>
      <c r="E398" s="34" t="inlineStr">
        <is>
          <t>Mônica Batista</t>
        </is>
      </c>
      <c r="F398" s="35" t="inlineStr">
        <is>
          <t>MediPlan</t>
        </is>
      </c>
      <c r="G398" s="35" t="inlineStr">
        <is>
          <t>Consulta</t>
        </is>
      </c>
      <c r="H398" s="35" t="inlineStr">
        <is>
          <t>Remarcado</t>
        </is>
      </c>
      <c r="I398" s="35" t="n"/>
      <c r="J398" s="35" t="n"/>
      <c r="K398" s="34" t="inlineStr">
        <is>
          <t>Paciente pediu outra data</t>
        </is>
      </c>
      <c r="L398" s="26">
        <f>IF(A398="","",MONTH(A398))</f>
        <v>8</v>
      </c>
      <c r="M398" s="26">
        <f>IF(A398="","",YEAR(A398))</f>
        <v>2026</v>
      </c>
      <c r="N398" s="26" t="str">
        <f>IF(A398="","",CHOOSE(WEEKDAY(A398,2),"Segunda","Terça","Quarta","Quinta","Sexta","Sábado","Domingo"))</f>
        <v>Terça</v>
      </c>
      <c r="O398" s="26" t="str">
        <f>IF(B398="","",IF(B398&lt;TIME(12,0,0),"Manhã",IF(B398&lt;TIME(18,0,0),"Tarde","Noite")))</f>
        <v>Manhã</v>
      </c>
      <c r="P398" s="32">
        <f>IF(G398="","",IFERROR(INDEX(Config!$I$5:$I$16,MATCH(G398,Config!$H$5:$H$16,0)),0))</f>
        <v>30</v>
      </c>
      <c r="Q398" s="30">
        <f>IF(OR(H398&lt;&gt;"Realizado",P398="",P398=0),"",A398+P398)</f>
        <v/>
      </c>
      <c r="R398" s="26">
        <f>IF(Q398="","",IF(COUNTIFS($E$5:$E$1204,E398,$A$5:$A$1204,"&gt;"&amp;A398,$H$5:$H$1204,"&lt;&gt;Falta",$H$5:$H$1204,"&lt;&gt;Cancelado",$H$5:$H$1204,"&lt;&gt;Remarcado")&gt;0,"Sim","Não"))</f>
        <v/>
      </c>
      <c r="S398" s="32">
        <f>IF(R398&lt;&gt;"Não","",IF(Q398+Config!$B$9&lt;=Config!$B$8,Config!$B$8-Q398,""))</f>
        <v/>
      </c>
      <c r="T398" s="26">
        <f>IF(S398="","","Sim")</f>
        <v/>
      </c>
      <c r="U398" s="41">
        <f>IF(T398="Sim",S398+ROW()/100000,0)</f>
        <v>0</v>
      </c>
      <c r="V398" s="41">
        <f>IF(AND(H398="Falta",L398=Config!$B$7,M398=Config!$B$5,COUNTIFS($E$5:E398,E398,$H$5:H398,"Falta",$L$5:L398,Config!$B$7,$M$5:M398,Config!$B$5)=1),COUNTIFS($E$5:$E$1204,E398,$H$5:$H$1204,"Falta",$L$5:$L$1204,Config!$B$7,$M$5:$M$1204,Config!$B$5)*1000-ROW()/100000,0)</f>
        <v>0</v>
      </c>
    </row>
    <row r="399">
      <c r="A399" s="39" t="n">
        <v>46245</v>
      </c>
      <c r="B399" s="40" t="n">
        <v>0.4027777777777778</v>
      </c>
      <c r="C399" s="35" t="inlineStr">
        <is>
          <t>Dra. Carolina Mendes</t>
        </is>
      </c>
      <c r="D399" s="35" t="inlineStr">
        <is>
          <t>Sala 1</t>
        </is>
      </c>
      <c r="E399" s="34" t="inlineStr">
        <is>
          <t>Mônica Batista</t>
        </is>
      </c>
      <c r="F399" s="35" t="inlineStr">
        <is>
          <t>MediPlan</t>
        </is>
      </c>
      <c r="G399" s="35" t="inlineStr">
        <is>
          <t>Consulta</t>
        </is>
      </c>
      <c r="H399" s="35" t="inlineStr">
        <is>
          <t>Realizado</t>
        </is>
      </c>
      <c r="I399" s="35" t="inlineStr">
        <is>
          <t>Convênio</t>
        </is>
      </c>
      <c r="J399" s="35" t="n"/>
      <c r="K399" s="34" t="n"/>
      <c r="L399" s="26">
        <f>IF(A399="","",MONTH(A399))</f>
        <v>8</v>
      </c>
      <c r="M399" s="26">
        <f>IF(A399="","",YEAR(A399))</f>
        <v>2026</v>
      </c>
      <c r="N399" s="26" t="str">
        <f>IF(A399="","",CHOOSE(WEEKDAY(A399,2),"Segunda","Terça","Quarta","Quinta","Sexta","Sábado","Domingo"))</f>
        <v>Terça</v>
      </c>
      <c r="O399" s="26" t="str">
        <f>IF(B399="","",IF(B399&lt;TIME(12,0,0),"Manhã",IF(B399&lt;TIME(18,0,0),"Tarde","Noite")))</f>
        <v>Manhã</v>
      </c>
      <c r="P399" s="32">
        <f>IF(G399="","",IFERROR(INDEX(Config!$I$5:$I$16,MATCH(G399,Config!$H$5:$H$16,0)),0))</f>
        <v>30</v>
      </c>
      <c r="Q399" s="30">
        <f>IF(OR(H399&lt;&gt;"Realizado",P399="",P399=0),"",A399+P399)</f>
        <v>46275.0</v>
      </c>
      <c r="R399" s="26" t="str">
        <f>IF(Q399="","",IF(COUNTIFS($E$5:$E$1204,E399,$A$5:$A$1204,"&gt;"&amp;A399,$H$5:$H$1204,"&lt;&gt;Falta",$H$5:$H$1204,"&lt;&gt;Cancelado",$H$5:$H$1204,"&lt;&gt;Remarcado")&gt;0,"Sim","Não"))</f>
        <v>Sim</v>
      </c>
      <c r="S399" s="32">
        <f>IF(R399&lt;&gt;"Não","",IF(Q399+Config!$B$9&lt;=Config!$B$8,Config!$B$8-Q399,""))</f>
        <v/>
      </c>
      <c r="T399" s="26">
        <f>IF(S399="","","Sim")</f>
        <v/>
      </c>
      <c r="U399" s="41">
        <f>IF(T399="Sim",S399+ROW()/100000,0)</f>
        <v>0</v>
      </c>
      <c r="V399" s="41">
        <f>IF(AND(H399="Falta",L399=Config!$B$7,M399=Config!$B$5,COUNTIFS($E$5:E399,E399,$H$5:H399,"Falta",$L$5:L399,Config!$B$7,$M$5:M399,Config!$B$5)=1),COUNTIFS($E$5:$E$1204,E399,$H$5:$H$1204,"Falta",$L$5:$L$1204,Config!$B$7,$M$5:$M$1204,Config!$B$5)*1000-ROW()/100000,0)</f>
        <v>0</v>
      </c>
    </row>
    <row r="400">
      <c r="A400" s="39" t="n">
        <v>46245</v>
      </c>
      <c r="B400" s="40" t="n">
        <v>0.4236111111111111</v>
      </c>
      <c r="C400" s="35" t="inlineStr">
        <is>
          <t>Dra. Carolina Mendes</t>
        </is>
      </c>
      <c r="D400" s="35" t="inlineStr">
        <is>
          <t>Sala 1</t>
        </is>
      </c>
      <c r="E400" s="34" t="inlineStr">
        <is>
          <t>Letícia Vieira</t>
        </is>
      </c>
      <c r="F400" s="35" t="inlineStr">
        <is>
          <t>Saúde Total</t>
        </is>
      </c>
      <c r="G400" s="35" t="inlineStr">
        <is>
          <t>Consulta</t>
        </is>
      </c>
      <c r="H400" s="35" t="inlineStr">
        <is>
          <t>Cancelado</t>
        </is>
      </c>
      <c r="I400" s="35" t="n"/>
      <c r="J400" s="35" t="n"/>
      <c r="K400" s="34" t="n"/>
      <c r="L400" s="26">
        <f>IF(A400="","",MONTH(A400))</f>
        <v>8</v>
      </c>
      <c r="M400" s="26">
        <f>IF(A400="","",YEAR(A400))</f>
        <v>2026</v>
      </c>
      <c r="N400" s="26" t="str">
        <f>IF(A400="","",CHOOSE(WEEKDAY(A400,2),"Segunda","Terça","Quarta","Quinta","Sexta","Sábado","Domingo"))</f>
        <v>Terça</v>
      </c>
      <c r="O400" s="26" t="str">
        <f>IF(B400="","",IF(B400&lt;TIME(12,0,0),"Manhã",IF(B400&lt;TIME(18,0,0),"Tarde","Noite")))</f>
        <v>Manhã</v>
      </c>
      <c r="P400" s="32">
        <f>IF(G400="","",IFERROR(INDEX(Config!$I$5:$I$16,MATCH(G400,Config!$H$5:$H$16,0)),0))</f>
        <v>30</v>
      </c>
      <c r="Q400" s="30">
        <f>IF(OR(H400&lt;&gt;"Realizado",P400="",P400=0),"",A400+P400)</f>
        <v/>
      </c>
      <c r="R400" s="26">
        <f>IF(Q400="","",IF(COUNTIFS($E$5:$E$1204,E400,$A$5:$A$1204,"&gt;"&amp;A400,$H$5:$H$1204,"&lt;&gt;Falta",$H$5:$H$1204,"&lt;&gt;Cancelado",$H$5:$H$1204,"&lt;&gt;Remarcado")&gt;0,"Sim","Não"))</f>
        <v/>
      </c>
      <c r="S400" s="32">
        <f>IF(R400&lt;&gt;"Não","",IF(Q400+Config!$B$9&lt;=Config!$B$8,Config!$B$8-Q400,""))</f>
        <v/>
      </c>
      <c r="T400" s="26">
        <f>IF(S400="","","Sim")</f>
        <v/>
      </c>
      <c r="U400" s="41">
        <f>IF(T400="Sim",S400+ROW()/100000,0)</f>
        <v>0</v>
      </c>
      <c r="V400" s="41">
        <f>IF(AND(H400="Falta",L400=Config!$B$7,M400=Config!$B$5,COUNTIFS($E$5:E400,E400,$H$5:H400,"Falta",$L$5:L400,Config!$B$7,$M$5:M400,Config!$B$5)=1),COUNTIFS($E$5:$E$1204,E400,$H$5:$H$1204,"Falta",$L$5:$L$1204,Config!$B$7,$M$5:$M$1204,Config!$B$5)*1000-ROW()/100000,0)</f>
        <v>0</v>
      </c>
    </row>
    <row r="401">
      <c r="A401" s="39" t="n">
        <v>46245</v>
      </c>
      <c r="B401" s="40" t="n">
        <v>0.4444444444444444</v>
      </c>
      <c r="C401" s="35" t="inlineStr">
        <is>
          <t>Dra. Carolina Mendes</t>
        </is>
      </c>
      <c r="D401" s="35" t="inlineStr">
        <is>
          <t>Sala 1</t>
        </is>
      </c>
      <c r="E401" s="34" t="inlineStr">
        <is>
          <t>Ana Costa</t>
        </is>
      </c>
      <c r="F401" s="35" t="inlineStr">
        <is>
          <t>Particular</t>
        </is>
      </c>
      <c r="G401" s="35" t="inlineStr">
        <is>
          <t>Consulta</t>
        </is>
      </c>
      <c r="H401" s="35" t="inlineStr">
        <is>
          <t>Realizado</t>
        </is>
      </c>
      <c r="I401" s="35" t="inlineStr">
        <is>
          <t>Cartão de crédito</t>
        </is>
      </c>
      <c r="J401" s="35" t="n">
        <v>2</v>
      </c>
      <c r="K401" s="34" t="n"/>
      <c r="L401" s="26">
        <f>IF(A401="","",MONTH(A401))</f>
        <v>8</v>
      </c>
      <c r="M401" s="26">
        <f>IF(A401="","",YEAR(A401))</f>
        <v>2026</v>
      </c>
      <c r="N401" s="26" t="str">
        <f>IF(A401="","",CHOOSE(WEEKDAY(A401,2),"Segunda","Terça","Quarta","Quinta","Sexta","Sábado","Domingo"))</f>
        <v>Terça</v>
      </c>
      <c r="O401" s="26" t="str">
        <f>IF(B401="","",IF(B401&lt;TIME(12,0,0),"Manhã",IF(B401&lt;TIME(18,0,0),"Tarde","Noite")))</f>
        <v>Manhã</v>
      </c>
      <c r="P401" s="32">
        <f>IF(G401="","",IFERROR(INDEX(Config!$I$5:$I$16,MATCH(G401,Config!$H$5:$H$16,0)),0))</f>
        <v>30</v>
      </c>
      <c r="Q401" s="30">
        <f>IF(OR(H401&lt;&gt;"Realizado",P401="",P401=0),"",A401+P401)</f>
        <v>46275.0</v>
      </c>
      <c r="R401" s="26" t="str">
        <f>IF(Q401="","",IF(COUNTIFS($E$5:$E$1204,E401,$A$5:$A$1204,"&gt;"&amp;A401,$H$5:$H$1204,"&lt;&gt;Falta",$H$5:$H$1204,"&lt;&gt;Cancelado",$H$5:$H$1204,"&lt;&gt;Remarcado")&gt;0,"Sim","Não"))</f>
        <v>Sim</v>
      </c>
      <c r="S401" s="32">
        <f>IF(R401&lt;&gt;"Não","",IF(Q401+Config!$B$9&lt;=Config!$B$8,Config!$B$8-Q401,""))</f>
        <v/>
      </c>
      <c r="T401" s="26">
        <f>IF(S401="","","Sim")</f>
        <v/>
      </c>
      <c r="U401" s="41">
        <f>IF(T401="Sim",S401+ROW()/100000,0)</f>
        <v>0</v>
      </c>
      <c r="V401" s="41">
        <f>IF(AND(H401="Falta",L401=Config!$B$7,M401=Config!$B$5,COUNTIFS($E$5:E401,E401,$H$5:H401,"Falta",$L$5:L401,Config!$B$7,$M$5:M401,Config!$B$5)=1),COUNTIFS($E$5:$E$1204,E401,$H$5:$H$1204,"Falta",$L$5:$L$1204,Config!$B$7,$M$5:$M$1204,Config!$B$5)*1000-ROW()/100000,0)</f>
        <v>0</v>
      </c>
    </row>
    <row r="402">
      <c r="A402" s="39" t="n">
        <v>46245</v>
      </c>
      <c r="B402" s="40" t="n">
        <v>0.4652777777777778</v>
      </c>
      <c r="C402" s="35" t="inlineStr">
        <is>
          <t>Dra. Carolina Mendes</t>
        </is>
      </c>
      <c r="D402" s="35" t="inlineStr">
        <is>
          <t>Sala 1</t>
        </is>
      </c>
      <c r="E402" s="34" t="inlineStr">
        <is>
          <t>Gustavo Ferreira</t>
        </is>
      </c>
      <c r="F402" s="35" t="inlineStr">
        <is>
          <t>Particular</t>
        </is>
      </c>
      <c r="G402" s="35" t="inlineStr">
        <is>
          <t>Consulta</t>
        </is>
      </c>
      <c r="H402" s="35" t="inlineStr">
        <is>
          <t>Realizado</t>
        </is>
      </c>
      <c r="I402" s="35" t="inlineStr">
        <is>
          <t>Cartão de crédito</t>
        </is>
      </c>
      <c r="J402" s="35" t="n"/>
      <c r="K402" s="34" t="n"/>
      <c r="L402" s="26">
        <f>IF(A402="","",MONTH(A402))</f>
        <v>8</v>
      </c>
      <c r="M402" s="26">
        <f>IF(A402="","",YEAR(A402))</f>
        <v>2026</v>
      </c>
      <c r="N402" s="26" t="str">
        <f>IF(A402="","",CHOOSE(WEEKDAY(A402,2),"Segunda","Terça","Quarta","Quinta","Sexta","Sábado","Domingo"))</f>
        <v>Terça</v>
      </c>
      <c r="O402" s="26" t="str">
        <f>IF(B402="","",IF(B402&lt;TIME(12,0,0),"Manhã",IF(B402&lt;TIME(18,0,0),"Tarde","Noite")))</f>
        <v>Manhã</v>
      </c>
      <c r="P402" s="32">
        <f>IF(G402="","",IFERROR(INDEX(Config!$I$5:$I$16,MATCH(G402,Config!$H$5:$H$16,0)),0))</f>
        <v>30</v>
      </c>
      <c r="Q402" s="30">
        <f>IF(OR(H402&lt;&gt;"Realizado",P402="",P402=0),"",A402+P402)</f>
        <v>46275.0</v>
      </c>
      <c r="R402" s="26" t="str">
        <f>IF(Q402="","",IF(COUNTIFS($E$5:$E$1204,E402,$A$5:$A$1204,"&gt;"&amp;A402,$H$5:$H$1204,"&lt;&gt;Falta",$H$5:$H$1204,"&lt;&gt;Cancelado",$H$5:$H$1204,"&lt;&gt;Remarcado")&gt;0,"Sim","Não"))</f>
        <v>Sim</v>
      </c>
      <c r="S402" s="32">
        <f>IF(R402&lt;&gt;"Não","",IF(Q402+Config!$B$9&lt;=Config!$B$8,Config!$B$8-Q402,""))</f>
        <v/>
      </c>
      <c r="T402" s="26">
        <f>IF(S402="","","Sim")</f>
        <v/>
      </c>
      <c r="U402" s="41">
        <f>IF(T402="Sim",S402+ROW()/100000,0)</f>
        <v>0</v>
      </c>
      <c r="V402" s="41">
        <f>IF(AND(H402="Falta",L402=Config!$B$7,M402=Config!$B$5,COUNTIFS($E$5:E402,E402,$H$5:H402,"Falta",$L$5:L402,Config!$B$7,$M$5:M402,Config!$B$5)=1),COUNTIFS($E$5:$E$1204,E402,$H$5:$H$1204,"Falta",$L$5:$L$1204,Config!$B$7,$M$5:$M$1204,Config!$B$5)*1000-ROW()/100000,0)</f>
        <v>0</v>
      </c>
    </row>
    <row r="403">
      <c r="A403" s="39" t="n">
        <v>46245</v>
      </c>
      <c r="B403" s="40" t="n">
        <v>0.4861111111111111</v>
      </c>
      <c r="C403" s="35" t="inlineStr">
        <is>
          <t>Dra. Carolina Mendes</t>
        </is>
      </c>
      <c r="D403" s="35" t="inlineStr">
        <is>
          <t>Sala 1</t>
        </is>
      </c>
      <c r="E403" s="34" t="inlineStr">
        <is>
          <t>Tatiana Rocha</t>
        </is>
      </c>
      <c r="F403" s="35" t="inlineStr">
        <is>
          <t>Vida Care</t>
        </is>
      </c>
      <c r="G403" s="35" t="inlineStr">
        <is>
          <t>Consulta</t>
        </is>
      </c>
      <c r="H403" s="35" t="inlineStr">
        <is>
          <t>Realizado</t>
        </is>
      </c>
      <c r="I403" s="35" t="inlineStr">
        <is>
          <t>Convênio</t>
        </is>
      </c>
      <c r="J403" s="35" t="n"/>
      <c r="K403" s="34" t="n"/>
      <c r="L403" s="26">
        <f>IF(A403="","",MONTH(A403))</f>
        <v>8</v>
      </c>
      <c r="M403" s="26">
        <f>IF(A403="","",YEAR(A403))</f>
        <v>2026</v>
      </c>
      <c r="N403" s="26" t="str">
        <f>IF(A403="","",CHOOSE(WEEKDAY(A403,2),"Segunda","Terça","Quarta","Quinta","Sexta","Sábado","Domingo"))</f>
        <v>Terça</v>
      </c>
      <c r="O403" s="26" t="str">
        <f>IF(B403="","",IF(B403&lt;TIME(12,0,0),"Manhã",IF(B403&lt;TIME(18,0,0),"Tarde","Noite")))</f>
        <v>Manhã</v>
      </c>
      <c r="P403" s="32">
        <f>IF(G403="","",IFERROR(INDEX(Config!$I$5:$I$16,MATCH(G403,Config!$H$5:$H$16,0)),0))</f>
        <v>30</v>
      </c>
      <c r="Q403" s="30">
        <f>IF(OR(H403&lt;&gt;"Realizado",P403="",P403=0),"",A403+P403)</f>
        <v>46275.0</v>
      </c>
      <c r="R403" s="26" t="str">
        <f>IF(Q403="","",IF(COUNTIFS($E$5:$E$1204,E403,$A$5:$A$1204,"&gt;"&amp;A403,$H$5:$H$1204,"&lt;&gt;Falta",$H$5:$H$1204,"&lt;&gt;Cancelado",$H$5:$H$1204,"&lt;&gt;Remarcado")&gt;0,"Sim","Não"))</f>
        <v>Não</v>
      </c>
      <c r="S403" s="32">
        <f>IF(R403&lt;&gt;"Não","",IF(Q403+Config!$B$9&lt;=Config!$B$8,Config!$B$8-Q403,""))</f>
        <v>4</v>
      </c>
      <c r="T403" s="26" t="str">
        <f>IF(S403="","","Sim")</f>
        <v>Sim</v>
      </c>
      <c r="U403" s="41">
        <f>IF(T403="Sim",S403+ROW()/100000,0)</f>
        <v>4.00403</v>
      </c>
      <c r="V403" s="41">
        <f>IF(AND(H403="Falta",L403=Config!$B$7,M403=Config!$B$5,COUNTIFS($E$5:E403,E403,$H$5:H403,"Falta",$L$5:L403,Config!$B$7,$M$5:M403,Config!$B$5)=1),COUNTIFS($E$5:$E$1204,E403,$H$5:$H$1204,"Falta",$L$5:$L$1204,Config!$B$7,$M$5:$M$1204,Config!$B$5)*1000-ROW()/100000,0)</f>
        <v>0</v>
      </c>
    </row>
    <row r="404">
      <c r="A404" s="39" t="n">
        <v>46245</v>
      </c>
      <c r="B404" s="40" t="n">
        <v>0.5833333333333334</v>
      </c>
      <c r="C404" s="35" t="inlineStr">
        <is>
          <t>Dra. Renata Sousa</t>
        </is>
      </c>
      <c r="D404" s="35" t="inlineStr">
        <is>
          <t>Sala 1</t>
        </is>
      </c>
      <c r="E404" s="34" t="inlineStr">
        <is>
          <t>Carlos Freitas</t>
        </is>
      </c>
      <c r="F404" s="35" t="inlineStr">
        <is>
          <t>Particular</t>
        </is>
      </c>
      <c r="G404" s="35" t="inlineStr">
        <is>
          <t>Retorno</t>
        </is>
      </c>
      <c r="H404" s="35" t="inlineStr">
        <is>
          <t>Realizado</t>
        </is>
      </c>
      <c r="I404" s="35" t="inlineStr">
        <is>
          <t>Sem cobrança</t>
        </is>
      </c>
      <c r="J404" s="35" t="n"/>
      <c r="K404" s="34" t="n"/>
      <c r="L404" s="26">
        <f>IF(A404="","",MONTH(A404))</f>
        <v>8</v>
      </c>
      <c r="M404" s="26">
        <f>IF(A404="","",YEAR(A404))</f>
        <v>2026</v>
      </c>
      <c r="N404" s="26" t="str">
        <f>IF(A404="","",CHOOSE(WEEKDAY(A404,2),"Segunda","Terça","Quarta","Quinta","Sexta","Sábado","Domingo"))</f>
        <v>Terça</v>
      </c>
      <c r="O404" s="26" t="str">
        <f>IF(B404="","",IF(B404&lt;TIME(12,0,0),"Manhã",IF(B404&lt;TIME(18,0,0),"Tarde","Noite")))</f>
        <v>Tarde</v>
      </c>
      <c r="P404" s="32">
        <f>IF(G404="","",IFERROR(INDEX(Config!$I$5:$I$16,MATCH(G404,Config!$H$5:$H$16,0)),0))</f>
        <v>0</v>
      </c>
      <c r="Q404" s="30">
        <f>IF(OR(H404&lt;&gt;"Realizado",P404="",P404=0),"",A404+P404)</f>
        <v/>
      </c>
      <c r="R404" s="26">
        <f>IF(Q404="","",IF(COUNTIFS($E$5:$E$1204,E404,$A$5:$A$1204,"&gt;"&amp;A404,$H$5:$H$1204,"&lt;&gt;Falta",$H$5:$H$1204,"&lt;&gt;Cancelado",$H$5:$H$1204,"&lt;&gt;Remarcado")&gt;0,"Sim","Não"))</f>
        <v/>
      </c>
      <c r="S404" s="32">
        <f>IF(R404&lt;&gt;"Não","",IF(Q404+Config!$B$9&lt;=Config!$B$8,Config!$B$8-Q404,""))</f>
        <v/>
      </c>
      <c r="T404" s="26">
        <f>IF(S404="","","Sim")</f>
        <v/>
      </c>
      <c r="U404" s="41">
        <f>IF(T404="Sim",S404+ROW()/100000,0)</f>
        <v>0</v>
      </c>
      <c r="V404" s="41">
        <f>IF(AND(H404="Falta",L404=Config!$B$7,M404=Config!$B$5,COUNTIFS($E$5:E404,E404,$H$5:H404,"Falta",$L$5:L404,Config!$B$7,$M$5:M404,Config!$B$5)=1),COUNTIFS($E$5:$E$1204,E404,$H$5:$H$1204,"Falta",$L$5:$L$1204,Config!$B$7,$M$5:$M$1204,Config!$B$5)*1000-ROW()/100000,0)</f>
        <v>0</v>
      </c>
    </row>
    <row r="405">
      <c r="A405" s="39" t="n">
        <v>46245</v>
      </c>
      <c r="B405" s="40" t="n">
        <v>0.5833333333333334</v>
      </c>
      <c r="C405" s="35" t="inlineStr">
        <is>
          <t>Dr. Paulo Andrade</t>
        </is>
      </c>
      <c r="D405" s="35" t="inlineStr">
        <is>
          <t>Sala 2</t>
        </is>
      </c>
      <c r="E405" s="34" t="inlineStr">
        <is>
          <t>Larissa Costa</t>
        </is>
      </c>
      <c r="F405" s="35" t="inlineStr">
        <is>
          <t>Particular</t>
        </is>
      </c>
      <c r="G405" s="35" t="inlineStr">
        <is>
          <t>Holter</t>
        </is>
      </c>
      <c r="H405" s="35" t="inlineStr">
        <is>
          <t>Realizado</t>
        </is>
      </c>
      <c r="I405" s="35" t="inlineStr">
        <is>
          <t>Cartão de débito</t>
        </is>
      </c>
      <c r="J405" s="35" t="n"/>
      <c r="K405" s="34" t="n"/>
      <c r="L405" s="26">
        <f>IF(A405="","",MONTH(A405))</f>
        <v>8</v>
      </c>
      <c r="M405" s="26">
        <f>IF(A405="","",YEAR(A405))</f>
        <v>2026</v>
      </c>
      <c r="N405" s="26" t="str">
        <f>IF(A405="","",CHOOSE(WEEKDAY(A405,2),"Segunda","Terça","Quarta","Quinta","Sexta","Sábado","Domingo"))</f>
        <v>Terça</v>
      </c>
      <c r="O405" s="26" t="str">
        <f>IF(B405="","",IF(B405&lt;TIME(12,0,0),"Manhã",IF(B405&lt;TIME(18,0,0),"Tarde","Noite")))</f>
        <v>Tarde</v>
      </c>
      <c r="P405" s="32">
        <f>IF(G405="","",IFERROR(INDEX(Config!$I$5:$I$16,MATCH(G405,Config!$H$5:$H$16,0)),0))</f>
        <v>0</v>
      </c>
      <c r="Q405" s="30">
        <f>IF(OR(H405&lt;&gt;"Realizado",P405="",P405=0),"",A405+P405)</f>
        <v/>
      </c>
      <c r="R405" s="26">
        <f>IF(Q405="","",IF(COUNTIFS($E$5:$E$1204,E405,$A$5:$A$1204,"&gt;"&amp;A405,$H$5:$H$1204,"&lt;&gt;Falta",$H$5:$H$1204,"&lt;&gt;Cancelado",$H$5:$H$1204,"&lt;&gt;Remarcado")&gt;0,"Sim","Não"))</f>
        <v/>
      </c>
      <c r="S405" s="32">
        <f>IF(R405&lt;&gt;"Não","",IF(Q405+Config!$B$9&lt;=Config!$B$8,Config!$B$8-Q405,""))</f>
        <v/>
      </c>
      <c r="T405" s="26">
        <f>IF(S405="","","Sim")</f>
        <v/>
      </c>
      <c r="U405" s="41">
        <f>IF(T405="Sim",S405+ROW()/100000,0)</f>
        <v>0</v>
      </c>
      <c r="V405" s="41">
        <f>IF(AND(H405="Falta",L405=Config!$B$7,M405=Config!$B$5,COUNTIFS($E$5:E405,E405,$H$5:H405,"Falta",$L$5:L405,Config!$B$7,$M$5:M405,Config!$B$5)=1),COUNTIFS($E$5:$E$1204,E405,$H$5:$H$1204,"Falta",$L$5:$L$1204,Config!$B$7,$M$5:$M$1204,Config!$B$5)*1000-ROW()/100000,0)</f>
        <v>0</v>
      </c>
    </row>
    <row r="406">
      <c r="A406" s="39" t="n">
        <v>46245</v>
      </c>
      <c r="B406" s="40" t="n">
        <v>0.5972222222222222</v>
      </c>
      <c r="C406" s="35" t="inlineStr">
        <is>
          <t>Dra. Renata Sousa</t>
        </is>
      </c>
      <c r="D406" s="35" t="inlineStr">
        <is>
          <t>Sala 1</t>
        </is>
      </c>
      <c r="E406" s="34" t="inlineStr">
        <is>
          <t>Rafael Nascimento</t>
        </is>
      </c>
      <c r="F406" s="35" t="inlineStr">
        <is>
          <t>Saúde Total</t>
        </is>
      </c>
      <c r="G406" s="35" t="inlineStr">
        <is>
          <t>Avaliação endócrina</t>
        </is>
      </c>
      <c r="H406" s="35" t="inlineStr">
        <is>
          <t>Realizado</t>
        </is>
      </c>
      <c r="I406" s="35" t="inlineStr">
        <is>
          <t>Convênio</t>
        </is>
      </c>
      <c r="J406" s="35" t="n"/>
      <c r="K406" s="34" t="n"/>
      <c r="L406" s="26">
        <f>IF(A406="","",MONTH(A406))</f>
        <v>8</v>
      </c>
      <c r="M406" s="26">
        <f>IF(A406="","",YEAR(A406))</f>
        <v>2026</v>
      </c>
      <c r="N406" s="26" t="str">
        <f>IF(A406="","",CHOOSE(WEEKDAY(A406,2),"Segunda","Terça","Quarta","Quinta","Sexta","Sábado","Domingo"))</f>
        <v>Terça</v>
      </c>
      <c r="O406" s="26" t="str">
        <f>IF(B406="","",IF(B406&lt;TIME(12,0,0),"Manhã",IF(B406&lt;TIME(18,0,0),"Tarde","Noite")))</f>
        <v>Tarde</v>
      </c>
      <c r="P406" s="32">
        <f>IF(G406="","",IFERROR(INDEX(Config!$I$5:$I$16,MATCH(G406,Config!$H$5:$H$16,0)),0))</f>
        <v>45</v>
      </c>
      <c r="Q406" s="30">
        <f>IF(OR(H406&lt;&gt;"Realizado",P406="",P406=0),"",A406+P406)</f>
        <v>46290.0</v>
      </c>
      <c r="R406" s="26" t="str">
        <f>IF(Q406="","",IF(COUNTIFS($E$5:$E$1204,E406,$A$5:$A$1204,"&gt;"&amp;A406,$H$5:$H$1204,"&lt;&gt;Falta",$H$5:$H$1204,"&lt;&gt;Cancelado",$H$5:$H$1204,"&lt;&gt;Remarcado")&gt;0,"Sim","Não"))</f>
        <v>Não</v>
      </c>
      <c r="S406" s="32">
        <f>IF(R406&lt;&gt;"Não","",IF(Q406+Config!$B$9&lt;=Config!$B$8,Config!$B$8-Q406,""))</f>
        <v/>
      </c>
      <c r="T406" s="26">
        <f>IF(S406="","","Sim")</f>
        <v/>
      </c>
      <c r="U406" s="41">
        <f>IF(T406="Sim",S406+ROW()/100000,0)</f>
        <v>0</v>
      </c>
      <c r="V406" s="41">
        <f>IF(AND(H406="Falta",L406=Config!$B$7,M406=Config!$B$5,COUNTIFS($E$5:E406,E406,$H$5:H406,"Falta",$L$5:L406,Config!$B$7,$M$5:M406,Config!$B$5)=1),COUNTIFS($E$5:$E$1204,E406,$H$5:$H$1204,"Falta",$L$5:$L$1204,Config!$B$7,$M$5:$M$1204,Config!$B$5)*1000-ROW()/100000,0)</f>
        <v>0</v>
      </c>
    </row>
    <row r="407">
      <c r="A407" s="39" t="n">
        <v>46245</v>
      </c>
      <c r="B407" s="40" t="n">
        <v>0.5972222222222222</v>
      </c>
      <c r="C407" s="35" t="inlineStr">
        <is>
          <t>Dr. Paulo Andrade</t>
        </is>
      </c>
      <c r="D407" s="35" t="inlineStr">
        <is>
          <t>Sala 2</t>
        </is>
      </c>
      <c r="E407" s="34" t="inlineStr">
        <is>
          <t>Rodrigo Teixeira</t>
        </is>
      </c>
      <c r="F407" s="35" t="inlineStr">
        <is>
          <t>Vida Care</t>
        </is>
      </c>
      <c r="G407" s="35" t="inlineStr">
        <is>
          <t>Holter</t>
        </is>
      </c>
      <c r="H407" s="35" t="inlineStr">
        <is>
          <t>Realizado</t>
        </is>
      </c>
      <c r="I407" s="35" t="inlineStr">
        <is>
          <t>Convênio</t>
        </is>
      </c>
      <c r="J407" s="35" t="n"/>
      <c r="K407" s="34" t="n"/>
      <c r="L407" s="26">
        <f>IF(A407="","",MONTH(A407))</f>
        <v>8</v>
      </c>
      <c r="M407" s="26">
        <f>IF(A407="","",YEAR(A407))</f>
        <v>2026</v>
      </c>
      <c r="N407" s="26" t="str">
        <f>IF(A407="","",CHOOSE(WEEKDAY(A407,2),"Segunda","Terça","Quarta","Quinta","Sexta","Sábado","Domingo"))</f>
        <v>Terça</v>
      </c>
      <c r="O407" s="26" t="str">
        <f>IF(B407="","",IF(B407&lt;TIME(12,0,0),"Manhã",IF(B407&lt;TIME(18,0,0),"Tarde","Noite")))</f>
        <v>Tarde</v>
      </c>
      <c r="P407" s="32">
        <f>IF(G407="","",IFERROR(INDEX(Config!$I$5:$I$16,MATCH(G407,Config!$H$5:$H$16,0)),0))</f>
        <v>0</v>
      </c>
      <c r="Q407" s="30">
        <f>IF(OR(H407&lt;&gt;"Realizado",P407="",P407=0),"",A407+P407)</f>
        <v/>
      </c>
      <c r="R407" s="26">
        <f>IF(Q407="","",IF(COUNTIFS($E$5:$E$1204,E407,$A$5:$A$1204,"&gt;"&amp;A407,$H$5:$H$1204,"&lt;&gt;Falta",$H$5:$H$1204,"&lt;&gt;Cancelado",$H$5:$H$1204,"&lt;&gt;Remarcado")&gt;0,"Sim","Não"))</f>
        <v/>
      </c>
      <c r="S407" s="32">
        <f>IF(R407&lt;&gt;"Não","",IF(Q407+Config!$B$9&lt;=Config!$B$8,Config!$B$8-Q407,""))</f>
        <v/>
      </c>
      <c r="T407" s="26">
        <f>IF(S407="","","Sim")</f>
        <v/>
      </c>
      <c r="U407" s="41">
        <f>IF(T407="Sim",S407+ROW()/100000,0)</f>
        <v>0</v>
      </c>
      <c r="V407" s="41">
        <f>IF(AND(H407="Falta",L407=Config!$B$7,M407=Config!$B$5,COUNTIFS($E$5:E407,E407,$H$5:H407,"Falta",$L$5:L407,Config!$B$7,$M$5:M407,Config!$B$5)=1),COUNTIFS($E$5:$E$1204,E407,$H$5:$H$1204,"Falta",$L$5:$L$1204,Config!$B$7,$M$5:$M$1204,Config!$B$5)*1000-ROW()/100000,0)</f>
        <v>0</v>
      </c>
    </row>
    <row r="408">
      <c r="A408" s="39" t="n">
        <v>46245</v>
      </c>
      <c r="B408" s="40" t="n">
        <v>0.6111111111111112</v>
      </c>
      <c r="C408" s="35" t="inlineStr">
        <is>
          <t>Dr. Paulo Andrade</t>
        </is>
      </c>
      <c r="D408" s="35" t="inlineStr">
        <is>
          <t>Sala 2</t>
        </is>
      </c>
      <c r="E408" s="34" t="inlineStr">
        <is>
          <t>Regina Duarte</t>
        </is>
      </c>
      <c r="F408" s="35" t="inlineStr">
        <is>
          <t>Particular</t>
        </is>
      </c>
      <c r="G408" s="35" t="inlineStr">
        <is>
          <t>Teste ergométrico</t>
        </is>
      </c>
      <c r="H408" s="35" t="inlineStr">
        <is>
          <t>Realizado</t>
        </is>
      </c>
      <c r="I408" s="35" t="inlineStr">
        <is>
          <t>Pix</t>
        </is>
      </c>
      <c r="J408" s="35" t="n"/>
      <c r="K408" s="34" t="n"/>
      <c r="L408" s="26">
        <f>IF(A408="","",MONTH(A408))</f>
        <v>8</v>
      </c>
      <c r="M408" s="26">
        <f>IF(A408="","",YEAR(A408))</f>
        <v>2026</v>
      </c>
      <c r="N408" s="26" t="str">
        <f>IF(A408="","",CHOOSE(WEEKDAY(A408,2),"Segunda","Terça","Quarta","Quinta","Sexta","Sábado","Domingo"))</f>
        <v>Terça</v>
      </c>
      <c r="O408" s="26" t="str">
        <f>IF(B408="","",IF(B408&lt;TIME(12,0,0),"Manhã",IF(B408&lt;TIME(18,0,0),"Tarde","Noite")))</f>
        <v>Tarde</v>
      </c>
      <c r="P408" s="32">
        <f>IF(G408="","",IFERROR(INDEX(Config!$I$5:$I$16,MATCH(G408,Config!$H$5:$H$16,0)),0))</f>
        <v>0</v>
      </c>
      <c r="Q408" s="30">
        <f>IF(OR(H408&lt;&gt;"Realizado",P408="",P408=0),"",A408+P408)</f>
        <v/>
      </c>
      <c r="R408" s="26">
        <f>IF(Q408="","",IF(COUNTIFS($E$5:$E$1204,E408,$A$5:$A$1204,"&gt;"&amp;A408,$H$5:$H$1204,"&lt;&gt;Falta",$H$5:$H$1204,"&lt;&gt;Cancelado",$H$5:$H$1204,"&lt;&gt;Remarcado")&gt;0,"Sim","Não"))</f>
        <v/>
      </c>
      <c r="S408" s="32">
        <f>IF(R408&lt;&gt;"Não","",IF(Q408+Config!$B$9&lt;=Config!$B$8,Config!$B$8-Q408,""))</f>
        <v/>
      </c>
      <c r="T408" s="26">
        <f>IF(S408="","","Sim")</f>
        <v/>
      </c>
      <c r="U408" s="41">
        <f>IF(T408="Sim",S408+ROW()/100000,0)</f>
        <v>0</v>
      </c>
      <c r="V408" s="41">
        <f>IF(AND(H408="Falta",L408=Config!$B$7,M408=Config!$B$5,COUNTIFS($E$5:E408,E408,$H$5:H408,"Falta",$L$5:L408,Config!$B$7,$M$5:M408,Config!$B$5)=1),COUNTIFS($E$5:$E$1204,E408,$H$5:$H$1204,"Falta",$L$5:$L$1204,Config!$B$7,$M$5:$M$1204,Config!$B$5)*1000-ROW()/100000,0)</f>
        <v>0</v>
      </c>
    </row>
    <row r="409">
      <c r="A409" s="39" t="n">
        <v>46245</v>
      </c>
      <c r="B409" s="40" t="n">
        <v>0.625</v>
      </c>
      <c r="C409" s="35" t="inlineStr">
        <is>
          <t>Dra. Renata Sousa</t>
        </is>
      </c>
      <c r="D409" s="35" t="inlineStr">
        <is>
          <t>Sala 1</t>
        </is>
      </c>
      <c r="E409" s="34" t="inlineStr">
        <is>
          <t>Beatriz Monteiro</t>
        </is>
      </c>
      <c r="F409" s="35" t="inlineStr">
        <is>
          <t>Particular</t>
        </is>
      </c>
      <c r="G409" s="35" t="inlineStr">
        <is>
          <t>Avaliação endócrina</t>
        </is>
      </c>
      <c r="H409" s="35" t="inlineStr">
        <is>
          <t>Realizado</t>
        </is>
      </c>
      <c r="I409" s="35" t="inlineStr">
        <is>
          <t>Cartão de crédito</t>
        </is>
      </c>
      <c r="J409" s="35" t="n"/>
      <c r="K409" s="34" t="n"/>
      <c r="L409" s="26">
        <f>IF(A409="","",MONTH(A409))</f>
        <v>8</v>
      </c>
      <c r="M409" s="26">
        <f>IF(A409="","",YEAR(A409))</f>
        <v>2026</v>
      </c>
      <c r="N409" s="26" t="str">
        <f>IF(A409="","",CHOOSE(WEEKDAY(A409,2),"Segunda","Terça","Quarta","Quinta","Sexta","Sábado","Domingo"))</f>
        <v>Terça</v>
      </c>
      <c r="O409" s="26" t="str">
        <f>IF(B409="","",IF(B409&lt;TIME(12,0,0),"Manhã",IF(B409&lt;TIME(18,0,0),"Tarde","Noite")))</f>
        <v>Tarde</v>
      </c>
      <c r="P409" s="32">
        <f>IF(G409="","",IFERROR(INDEX(Config!$I$5:$I$16,MATCH(G409,Config!$H$5:$H$16,0)),0))</f>
        <v>45</v>
      </c>
      <c r="Q409" s="30">
        <f>IF(OR(H409&lt;&gt;"Realizado",P409="",P409=0),"",A409+P409)</f>
        <v>46290.0</v>
      </c>
      <c r="R409" s="26" t="str">
        <f>IF(Q409="","",IF(COUNTIFS($E$5:$E$1204,E409,$A$5:$A$1204,"&gt;"&amp;A409,$H$5:$H$1204,"&lt;&gt;Falta",$H$5:$H$1204,"&lt;&gt;Cancelado",$H$5:$H$1204,"&lt;&gt;Remarcado")&gt;0,"Sim","Não"))</f>
        <v>Sim</v>
      </c>
      <c r="S409" s="32">
        <f>IF(R409&lt;&gt;"Não","",IF(Q409+Config!$B$9&lt;=Config!$B$8,Config!$B$8-Q409,""))</f>
        <v/>
      </c>
      <c r="T409" s="26">
        <f>IF(S409="","","Sim")</f>
        <v/>
      </c>
      <c r="U409" s="41">
        <f>IF(T409="Sim",S409+ROW()/100000,0)</f>
        <v>0</v>
      </c>
      <c r="V409" s="41">
        <f>IF(AND(H409="Falta",L409=Config!$B$7,M409=Config!$B$5,COUNTIFS($E$5:E409,E409,$H$5:H409,"Falta",$L$5:L409,Config!$B$7,$M$5:M409,Config!$B$5)=1),COUNTIFS($E$5:$E$1204,E409,$H$5:$H$1204,"Falta",$L$5:$L$1204,Config!$B$7,$M$5:$M$1204,Config!$B$5)*1000-ROW()/100000,0)</f>
        <v>0</v>
      </c>
    </row>
    <row r="410">
      <c r="A410" s="39" t="n">
        <v>46245</v>
      </c>
      <c r="B410" s="40" t="n">
        <v>0.6388888888888888</v>
      </c>
      <c r="C410" s="35" t="inlineStr">
        <is>
          <t>Dr. Paulo Andrade</t>
        </is>
      </c>
      <c r="D410" s="35" t="inlineStr">
        <is>
          <t>Sala 2</t>
        </is>
      </c>
      <c r="E410" s="34" t="inlineStr">
        <is>
          <t>Roberta Fernandes</t>
        </is>
      </c>
      <c r="F410" s="35" t="inlineStr">
        <is>
          <t>Saúde Total</t>
        </is>
      </c>
      <c r="G410" s="35" t="inlineStr">
        <is>
          <t>MAPA</t>
        </is>
      </c>
      <c r="H410" s="35" t="inlineStr">
        <is>
          <t>Realizado</t>
        </is>
      </c>
      <c r="I410" s="35" t="inlineStr">
        <is>
          <t>Convênio</t>
        </is>
      </c>
      <c r="J410" s="35" t="n"/>
      <c r="K410" s="34" t="n"/>
      <c r="L410" s="26">
        <f>IF(A410="","",MONTH(A410))</f>
        <v>8</v>
      </c>
      <c r="M410" s="26">
        <f>IF(A410="","",YEAR(A410))</f>
        <v>2026</v>
      </c>
      <c r="N410" s="26" t="str">
        <f>IF(A410="","",CHOOSE(WEEKDAY(A410,2),"Segunda","Terça","Quarta","Quinta","Sexta","Sábado","Domingo"))</f>
        <v>Terça</v>
      </c>
      <c r="O410" s="26" t="str">
        <f>IF(B410="","",IF(B410&lt;TIME(12,0,0),"Manhã",IF(B410&lt;TIME(18,0,0),"Tarde","Noite")))</f>
        <v>Tarde</v>
      </c>
      <c r="P410" s="32">
        <f>IF(G410="","",IFERROR(INDEX(Config!$I$5:$I$16,MATCH(G410,Config!$H$5:$H$16,0)),0))</f>
        <v>0</v>
      </c>
      <c r="Q410" s="30">
        <f>IF(OR(H410&lt;&gt;"Realizado",P410="",P410=0),"",A410+P410)</f>
        <v/>
      </c>
      <c r="R410" s="26">
        <f>IF(Q410="","",IF(COUNTIFS($E$5:$E$1204,E410,$A$5:$A$1204,"&gt;"&amp;A410,$H$5:$H$1204,"&lt;&gt;Falta",$H$5:$H$1204,"&lt;&gt;Cancelado",$H$5:$H$1204,"&lt;&gt;Remarcado")&gt;0,"Sim","Não"))</f>
        <v/>
      </c>
      <c r="S410" s="32">
        <f>IF(R410&lt;&gt;"Não","",IF(Q410+Config!$B$9&lt;=Config!$B$8,Config!$B$8-Q410,""))</f>
        <v/>
      </c>
      <c r="T410" s="26">
        <f>IF(S410="","","Sim")</f>
        <v/>
      </c>
      <c r="U410" s="41">
        <f>IF(T410="Sim",S410+ROW()/100000,0)</f>
        <v>0</v>
      </c>
      <c r="V410" s="41">
        <f>IF(AND(H410="Falta",L410=Config!$B$7,M410=Config!$B$5,COUNTIFS($E$5:E410,E410,$H$5:H410,"Falta",$L$5:L410,Config!$B$7,$M$5:M410,Config!$B$5)=1),COUNTIFS($E$5:$E$1204,E410,$H$5:$H$1204,"Falta",$L$5:$L$1204,Config!$B$7,$M$5:$M$1204,Config!$B$5)*1000-ROW()/100000,0)</f>
        <v>0</v>
      </c>
    </row>
    <row r="411">
      <c r="A411" s="39" t="n">
        <v>46245</v>
      </c>
      <c r="B411" s="40" t="n">
        <v>0.6527777777777778</v>
      </c>
      <c r="C411" s="35" t="inlineStr">
        <is>
          <t>Dra. Renata Sousa</t>
        </is>
      </c>
      <c r="D411" s="35" t="inlineStr">
        <is>
          <t>Sala 1</t>
        </is>
      </c>
      <c r="E411" s="34" t="inlineStr">
        <is>
          <t>Gustavo Carvalho</t>
        </is>
      </c>
      <c r="F411" s="35" t="inlineStr">
        <is>
          <t>Particular</t>
        </is>
      </c>
      <c r="G411" s="35" t="inlineStr">
        <is>
          <t>Avaliação endócrina</t>
        </is>
      </c>
      <c r="H411" s="35" t="inlineStr">
        <is>
          <t>Realizado</t>
        </is>
      </c>
      <c r="I411" s="35" t="inlineStr">
        <is>
          <t>Pix</t>
        </is>
      </c>
      <c r="J411" s="35" t="n"/>
      <c r="K411" s="34" t="n"/>
      <c r="L411" s="26">
        <f>IF(A411="","",MONTH(A411))</f>
        <v>8</v>
      </c>
      <c r="M411" s="26">
        <f>IF(A411="","",YEAR(A411))</f>
        <v>2026</v>
      </c>
      <c r="N411" s="26" t="str">
        <f>IF(A411="","",CHOOSE(WEEKDAY(A411,2),"Segunda","Terça","Quarta","Quinta","Sexta","Sábado","Domingo"))</f>
        <v>Terça</v>
      </c>
      <c r="O411" s="26" t="str">
        <f>IF(B411="","",IF(B411&lt;TIME(12,0,0),"Manhã",IF(B411&lt;TIME(18,0,0),"Tarde","Noite")))</f>
        <v>Tarde</v>
      </c>
      <c r="P411" s="32">
        <f>IF(G411="","",IFERROR(INDEX(Config!$I$5:$I$16,MATCH(G411,Config!$H$5:$H$16,0)),0))</f>
        <v>45</v>
      </c>
      <c r="Q411" s="30">
        <f>IF(OR(H411&lt;&gt;"Realizado",P411="",P411=0),"",A411+P411)</f>
        <v>46290.0</v>
      </c>
      <c r="R411" s="26" t="str">
        <f>IF(Q411="","",IF(COUNTIFS($E$5:$E$1204,E411,$A$5:$A$1204,"&gt;"&amp;A411,$H$5:$H$1204,"&lt;&gt;Falta",$H$5:$H$1204,"&lt;&gt;Cancelado",$H$5:$H$1204,"&lt;&gt;Remarcado")&gt;0,"Sim","Não"))</f>
        <v>Sim</v>
      </c>
      <c r="S411" s="32">
        <f>IF(R411&lt;&gt;"Não","",IF(Q411+Config!$B$9&lt;=Config!$B$8,Config!$B$8-Q411,""))</f>
        <v/>
      </c>
      <c r="T411" s="26">
        <f>IF(S411="","","Sim")</f>
        <v/>
      </c>
      <c r="U411" s="41">
        <f>IF(T411="Sim",S411+ROW()/100000,0)</f>
        <v>0</v>
      </c>
      <c r="V411" s="41">
        <f>IF(AND(H411="Falta",L411=Config!$B$7,M411=Config!$B$5,COUNTIFS($E$5:E411,E411,$H$5:H411,"Falta",$L$5:L411,Config!$B$7,$M$5:M411,Config!$B$5)=1),COUNTIFS($E$5:$E$1204,E411,$H$5:$H$1204,"Falta",$L$5:$L$1204,Config!$B$7,$M$5:$M$1204,Config!$B$5)*1000-ROW()/100000,0)</f>
        <v>0</v>
      </c>
    </row>
    <row r="412">
      <c r="A412" s="39" t="n">
        <v>46245</v>
      </c>
      <c r="B412" s="40" t="n">
        <v>0.6527777777777778</v>
      </c>
      <c r="C412" s="35" t="inlineStr">
        <is>
          <t>Dr. Paulo Andrade</t>
        </is>
      </c>
      <c r="D412" s="35" t="inlineStr">
        <is>
          <t>Sala 2</t>
        </is>
      </c>
      <c r="E412" s="34" t="inlineStr">
        <is>
          <t>Daniel Almeida</t>
        </is>
      </c>
      <c r="F412" s="35" t="inlineStr">
        <is>
          <t>Saúde Total</t>
        </is>
      </c>
      <c r="G412" s="35" t="inlineStr">
        <is>
          <t>ECG</t>
        </is>
      </c>
      <c r="H412" s="35" t="inlineStr">
        <is>
          <t>Realizado</t>
        </is>
      </c>
      <c r="I412" s="35" t="inlineStr">
        <is>
          <t>Convênio</t>
        </is>
      </c>
      <c r="J412" s="35" t="n"/>
      <c r="K412" s="34" t="n"/>
      <c r="L412" s="26">
        <f>IF(A412="","",MONTH(A412))</f>
        <v>8</v>
      </c>
      <c r="M412" s="26">
        <f>IF(A412="","",YEAR(A412))</f>
        <v>2026</v>
      </c>
      <c r="N412" s="26" t="str">
        <f>IF(A412="","",CHOOSE(WEEKDAY(A412,2),"Segunda","Terça","Quarta","Quinta","Sexta","Sábado","Domingo"))</f>
        <v>Terça</v>
      </c>
      <c r="O412" s="26" t="str">
        <f>IF(B412="","",IF(B412&lt;TIME(12,0,0),"Manhã",IF(B412&lt;TIME(18,0,0),"Tarde","Noite")))</f>
        <v>Tarde</v>
      </c>
      <c r="P412" s="32">
        <f>IF(G412="","",IFERROR(INDEX(Config!$I$5:$I$16,MATCH(G412,Config!$H$5:$H$16,0)),0))</f>
        <v>0</v>
      </c>
      <c r="Q412" s="30">
        <f>IF(OR(H412&lt;&gt;"Realizado",P412="",P412=0),"",A412+P412)</f>
        <v/>
      </c>
      <c r="R412" s="26">
        <f>IF(Q412="","",IF(COUNTIFS($E$5:$E$1204,E412,$A$5:$A$1204,"&gt;"&amp;A412,$H$5:$H$1204,"&lt;&gt;Falta",$H$5:$H$1204,"&lt;&gt;Cancelado",$H$5:$H$1204,"&lt;&gt;Remarcado")&gt;0,"Sim","Não"))</f>
        <v/>
      </c>
      <c r="S412" s="32">
        <f>IF(R412&lt;&gt;"Não","",IF(Q412+Config!$B$9&lt;=Config!$B$8,Config!$B$8-Q412,""))</f>
        <v/>
      </c>
      <c r="T412" s="26">
        <f>IF(S412="","","Sim")</f>
        <v/>
      </c>
      <c r="U412" s="41">
        <f>IF(T412="Sim",S412+ROW()/100000,0)</f>
        <v>0</v>
      </c>
      <c r="V412" s="41">
        <f>IF(AND(H412="Falta",L412=Config!$B$7,M412=Config!$B$5,COUNTIFS($E$5:E412,E412,$H$5:H412,"Falta",$L$5:L412,Config!$B$7,$M$5:M412,Config!$B$5)=1),COUNTIFS($E$5:$E$1204,E412,$H$5:$H$1204,"Falta",$L$5:$L$1204,Config!$B$7,$M$5:$M$1204,Config!$B$5)*1000-ROW()/100000,0)</f>
        <v>0</v>
      </c>
    </row>
    <row r="413">
      <c r="A413" s="39" t="n">
        <v>46245</v>
      </c>
      <c r="B413" s="40" t="n">
        <v>0.6666666666666666</v>
      </c>
      <c r="C413" s="35" t="inlineStr">
        <is>
          <t>Dr. Paulo Andrade</t>
        </is>
      </c>
      <c r="D413" s="35" t="inlineStr">
        <is>
          <t>Sala 2</t>
        </is>
      </c>
      <c r="E413" s="34" t="inlineStr">
        <is>
          <t>Camila Martins</t>
        </is>
      </c>
      <c r="F413" s="35" t="inlineStr">
        <is>
          <t>Vida Care</t>
        </is>
      </c>
      <c r="G413" s="35" t="inlineStr">
        <is>
          <t>Retorno</t>
        </is>
      </c>
      <c r="H413" s="35" t="inlineStr">
        <is>
          <t>Falta</t>
        </is>
      </c>
      <c r="I413" s="35" t="n"/>
      <c r="J413" s="35" t="n"/>
      <c r="K413" s="34" t="n"/>
      <c r="L413" s="26">
        <f>IF(A413="","",MONTH(A413))</f>
        <v>8</v>
      </c>
      <c r="M413" s="26">
        <f>IF(A413="","",YEAR(A413))</f>
        <v>2026</v>
      </c>
      <c r="N413" s="26" t="str">
        <f>IF(A413="","",CHOOSE(WEEKDAY(A413,2),"Segunda","Terça","Quarta","Quinta","Sexta","Sábado","Domingo"))</f>
        <v>Terça</v>
      </c>
      <c r="O413" s="26" t="str">
        <f>IF(B413="","",IF(B413&lt;TIME(12,0,0),"Manhã",IF(B413&lt;TIME(18,0,0),"Tarde","Noite")))</f>
        <v>Tarde</v>
      </c>
      <c r="P413" s="32">
        <f>IF(G413="","",IFERROR(INDEX(Config!$I$5:$I$16,MATCH(G413,Config!$H$5:$H$16,0)),0))</f>
        <v>0</v>
      </c>
      <c r="Q413" s="30">
        <f>IF(OR(H413&lt;&gt;"Realizado",P413="",P413=0),"",A413+P413)</f>
        <v/>
      </c>
      <c r="R413" s="26">
        <f>IF(Q413="","",IF(COUNTIFS($E$5:$E$1204,E413,$A$5:$A$1204,"&gt;"&amp;A413,$H$5:$H$1204,"&lt;&gt;Falta",$H$5:$H$1204,"&lt;&gt;Cancelado",$H$5:$H$1204,"&lt;&gt;Remarcado")&gt;0,"Sim","Não"))</f>
        <v/>
      </c>
      <c r="S413" s="32">
        <f>IF(R413&lt;&gt;"Não","",IF(Q413+Config!$B$9&lt;=Config!$B$8,Config!$B$8-Q413,""))</f>
        <v/>
      </c>
      <c r="T413" s="26">
        <f>IF(S413="","","Sim")</f>
        <v/>
      </c>
      <c r="U413" s="41">
        <f>IF(T413="Sim",S413+ROW()/100000,0)</f>
        <v>0</v>
      </c>
      <c r="V413" s="41">
        <f>IF(AND(H413="Falta",L413=Config!$B$7,M413=Config!$B$5,COUNTIFS($E$5:E413,E413,$H$5:H413,"Falta",$L$5:L413,Config!$B$7,$M$5:M413,Config!$B$5)=1),COUNTIFS($E$5:$E$1204,E413,$H$5:$H$1204,"Falta",$L$5:$L$1204,Config!$B$7,$M$5:$M$1204,Config!$B$5)*1000-ROW()/100000,0)</f>
        <v>0</v>
      </c>
    </row>
    <row r="414">
      <c r="A414" s="39" t="n">
        <v>46245</v>
      </c>
      <c r="B414" s="40" t="n">
        <v>0.6805555555555556</v>
      </c>
      <c r="C414" s="35" t="inlineStr">
        <is>
          <t>Dr. Paulo Andrade</t>
        </is>
      </c>
      <c r="D414" s="35" t="inlineStr">
        <is>
          <t>Sala 2</t>
        </is>
      </c>
      <c r="E414" s="34" t="inlineStr">
        <is>
          <t>Gisele Ribeiro</t>
        </is>
      </c>
      <c r="F414" s="35" t="inlineStr">
        <is>
          <t>Particular</t>
        </is>
      </c>
      <c r="G414" s="35" t="inlineStr">
        <is>
          <t>ECG</t>
        </is>
      </c>
      <c r="H414" s="35" t="inlineStr">
        <is>
          <t>Realizado</t>
        </is>
      </c>
      <c r="I414" s="35" t="inlineStr">
        <is>
          <t>Pix</t>
        </is>
      </c>
      <c r="J414" s="35" t="n"/>
      <c r="K414" s="34" t="n"/>
      <c r="L414" s="26">
        <f>IF(A414="","",MONTH(A414))</f>
        <v>8</v>
      </c>
      <c r="M414" s="26">
        <f>IF(A414="","",YEAR(A414))</f>
        <v>2026</v>
      </c>
      <c r="N414" s="26" t="str">
        <f>IF(A414="","",CHOOSE(WEEKDAY(A414,2),"Segunda","Terça","Quarta","Quinta","Sexta","Sábado","Domingo"))</f>
        <v>Terça</v>
      </c>
      <c r="O414" s="26" t="str">
        <f>IF(B414="","",IF(B414&lt;TIME(12,0,0),"Manhã",IF(B414&lt;TIME(18,0,0),"Tarde","Noite")))</f>
        <v>Tarde</v>
      </c>
      <c r="P414" s="32">
        <f>IF(G414="","",IFERROR(INDEX(Config!$I$5:$I$16,MATCH(G414,Config!$H$5:$H$16,0)),0))</f>
        <v>0</v>
      </c>
      <c r="Q414" s="30">
        <f>IF(OR(H414&lt;&gt;"Realizado",P414="",P414=0),"",A414+P414)</f>
        <v/>
      </c>
      <c r="R414" s="26">
        <f>IF(Q414="","",IF(COUNTIFS($E$5:$E$1204,E414,$A$5:$A$1204,"&gt;"&amp;A414,$H$5:$H$1204,"&lt;&gt;Falta",$H$5:$H$1204,"&lt;&gt;Cancelado",$H$5:$H$1204,"&lt;&gt;Remarcado")&gt;0,"Sim","Não"))</f>
        <v/>
      </c>
      <c r="S414" s="32">
        <f>IF(R414&lt;&gt;"Não","",IF(Q414+Config!$B$9&lt;=Config!$B$8,Config!$B$8-Q414,""))</f>
        <v/>
      </c>
      <c r="T414" s="26">
        <f>IF(S414="","","Sim")</f>
        <v/>
      </c>
      <c r="U414" s="41">
        <f>IF(T414="Sim",S414+ROW()/100000,0)</f>
        <v>0</v>
      </c>
      <c r="V414" s="41">
        <f>IF(AND(H414="Falta",L414=Config!$B$7,M414=Config!$B$5,COUNTIFS($E$5:E414,E414,$H$5:H414,"Falta",$L$5:L414,Config!$B$7,$M$5:M414,Config!$B$5)=1),COUNTIFS($E$5:$E$1204,E414,$H$5:$H$1204,"Falta",$L$5:$L$1204,Config!$B$7,$M$5:$M$1204,Config!$B$5)*1000-ROW()/100000,0)</f>
        <v>0</v>
      </c>
    </row>
    <row r="415">
      <c r="A415" s="39" t="n">
        <v>46245</v>
      </c>
      <c r="B415" s="40" t="n">
        <v>0.7152777777777778</v>
      </c>
      <c r="C415" s="35" t="inlineStr">
        <is>
          <t>Dr. Paulo Andrade</t>
        </is>
      </c>
      <c r="D415" s="35" t="inlineStr">
        <is>
          <t>Sala 2</t>
        </is>
      </c>
      <c r="E415" s="34" t="inlineStr">
        <is>
          <t>Simone Monteiro</t>
        </is>
      </c>
      <c r="F415" s="35" t="inlineStr">
        <is>
          <t>Vida Care</t>
        </is>
      </c>
      <c r="G415" s="35" t="inlineStr">
        <is>
          <t>Teste ergométrico</t>
        </is>
      </c>
      <c r="H415" s="35" t="inlineStr">
        <is>
          <t>Falta</t>
        </is>
      </c>
      <c r="I415" s="35" t="n"/>
      <c r="J415" s="35" t="n"/>
      <c r="K415" s="34" t="n"/>
      <c r="L415" s="26">
        <f>IF(A415="","",MONTH(A415))</f>
        <v>8</v>
      </c>
      <c r="M415" s="26">
        <f>IF(A415="","",YEAR(A415))</f>
        <v>2026</v>
      </c>
      <c r="N415" s="26" t="str">
        <f>IF(A415="","",CHOOSE(WEEKDAY(A415,2),"Segunda","Terça","Quarta","Quinta","Sexta","Sábado","Domingo"))</f>
        <v>Terça</v>
      </c>
      <c r="O415" s="26" t="str">
        <f>IF(B415="","",IF(B415&lt;TIME(12,0,0),"Manhã",IF(B415&lt;TIME(18,0,0),"Tarde","Noite")))</f>
        <v>Tarde</v>
      </c>
      <c r="P415" s="32">
        <f>IF(G415="","",IFERROR(INDEX(Config!$I$5:$I$16,MATCH(G415,Config!$H$5:$H$16,0)),0))</f>
        <v>0</v>
      </c>
      <c r="Q415" s="30">
        <f>IF(OR(H415&lt;&gt;"Realizado",P415="",P415=0),"",A415+P415)</f>
        <v/>
      </c>
      <c r="R415" s="26">
        <f>IF(Q415="","",IF(COUNTIFS($E$5:$E$1204,E415,$A$5:$A$1204,"&gt;"&amp;A415,$H$5:$H$1204,"&lt;&gt;Falta",$H$5:$H$1204,"&lt;&gt;Cancelado",$H$5:$H$1204,"&lt;&gt;Remarcado")&gt;0,"Sim","Não"))</f>
        <v/>
      </c>
      <c r="S415" s="32">
        <f>IF(R415&lt;&gt;"Não","",IF(Q415+Config!$B$9&lt;=Config!$B$8,Config!$B$8-Q415,""))</f>
        <v/>
      </c>
      <c r="T415" s="26">
        <f>IF(S415="","","Sim")</f>
        <v/>
      </c>
      <c r="U415" s="41">
        <f>IF(T415="Sim",S415+ROW()/100000,0)</f>
        <v>0</v>
      </c>
      <c r="V415" s="41">
        <f>IF(AND(H415="Falta",L415=Config!$B$7,M415=Config!$B$5,COUNTIFS($E$5:E415,E415,$H$5:H415,"Falta",$L$5:L415,Config!$B$7,$M$5:M415,Config!$B$5)=1),COUNTIFS($E$5:$E$1204,E415,$H$5:$H$1204,"Falta",$L$5:$L$1204,Config!$B$7,$M$5:$M$1204,Config!$B$5)*1000-ROW()/100000,0)</f>
        <v>0</v>
      </c>
    </row>
    <row r="416">
      <c r="A416" s="39" t="n">
        <v>46245</v>
      </c>
      <c r="B416" s="40" t="n">
        <v>0.7222222222222222</v>
      </c>
      <c r="C416" s="35" t="inlineStr">
        <is>
          <t>Dra. Renata Sousa</t>
        </is>
      </c>
      <c r="D416" s="35" t="inlineStr">
        <is>
          <t>Sala 1</t>
        </is>
      </c>
      <c r="E416" s="34" t="inlineStr">
        <is>
          <t>Fábio Gomes</t>
        </is>
      </c>
      <c r="F416" s="35" t="inlineStr">
        <is>
          <t>Particular</t>
        </is>
      </c>
      <c r="G416" s="35" t="inlineStr">
        <is>
          <t>Avaliação endócrina</t>
        </is>
      </c>
      <c r="H416" s="35" t="inlineStr">
        <is>
          <t>Realizado</t>
        </is>
      </c>
      <c r="I416" s="35" t="inlineStr">
        <is>
          <t>A prazo</t>
        </is>
      </c>
      <c r="J416" s="35" t="n"/>
      <c r="K416" s="34" t="n"/>
      <c r="L416" s="26">
        <f>IF(A416="","",MONTH(A416))</f>
        <v>8</v>
      </c>
      <c r="M416" s="26">
        <f>IF(A416="","",YEAR(A416))</f>
        <v>2026</v>
      </c>
      <c r="N416" s="26" t="str">
        <f>IF(A416="","",CHOOSE(WEEKDAY(A416,2),"Segunda","Terça","Quarta","Quinta","Sexta","Sábado","Domingo"))</f>
        <v>Terça</v>
      </c>
      <c r="O416" s="26" t="str">
        <f>IF(B416="","",IF(B416&lt;TIME(12,0,0),"Manhã",IF(B416&lt;TIME(18,0,0),"Tarde","Noite")))</f>
        <v>Tarde</v>
      </c>
      <c r="P416" s="32">
        <f>IF(G416="","",IFERROR(INDEX(Config!$I$5:$I$16,MATCH(G416,Config!$H$5:$H$16,0)),0))</f>
        <v>45</v>
      </c>
      <c r="Q416" s="30">
        <f>IF(OR(H416&lt;&gt;"Realizado",P416="",P416=0),"",A416+P416)</f>
        <v>46290.0</v>
      </c>
      <c r="R416" s="26" t="str">
        <f>IF(Q416="","",IF(COUNTIFS($E$5:$E$1204,E416,$A$5:$A$1204,"&gt;"&amp;A416,$H$5:$H$1204,"&lt;&gt;Falta",$H$5:$H$1204,"&lt;&gt;Cancelado",$H$5:$H$1204,"&lt;&gt;Remarcado")&gt;0,"Sim","Não"))</f>
        <v>Sim</v>
      </c>
      <c r="S416" s="32">
        <f>IF(R416&lt;&gt;"Não","",IF(Q416+Config!$B$9&lt;=Config!$B$8,Config!$B$8-Q416,""))</f>
        <v/>
      </c>
      <c r="T416" s="26">
        <f>IF(S416="","","Sim")</f>
        <v/>
      </c>
      <c r="U416" s="41">
        <f>IF(T416="Sim",S416+ROW()/100000,0)</f>
        <v>0</v>
      </c>
      <c r="V416" s="41">
        <f>IF(AND(H416="Falta",L416=Config!$B$7,M416=Config!$B$5,COUNTIFS($E$5:E416,E416,$H$5:H416,"Falta",$L$5:L416,Config!$B$7,$M$5:M416,Config!$B$5)=1),COUNTIFS($E$5:$E$1204,E416,$H$5:$H$1204,"Falta",$L$5:$L$1204,Config!$B$7,$M$5:$M$1204,Config!$B$5)*1000-ROW()/100000,0)</f>
        <v>0</v>
      </c>
    </row>
    <row r="417">
      <c r="A417" s="39" t="n">
        <v>46246</v>
      </c>
      <c r="B417" s="40" t="n">
        <v>0.5833333333333334</v>
      </c>
      <c r="C417" s="35" t="inlineStr">
        <is>
          <t>Dra. Carolina Mendes</t>
        </is>
      </c>
      <c r="D417" s="35" t="inlineStr">
        <is>
          <t>Sala 1</t>
        </is>
      </c>
      <c r="E417" s="34" t="inlineStr">
        <is>
          <t>Cláudia Santos</t>
        </is>
      </c>
      <c r="F417" s="35" t="inlineStr">
        <is>
          <t>Particular</t>
        </is>
      </c>
      <c r="G417" s="35" t="inlineStr">
        <is>
          <t>Consulta</t>
        </is>
      </c>
      <c r="H417" s="35" t="inlineStr">
        <is>
          <t>Realizado</t>
        </is>
      </c>
      <c r="I417" s="35" t="inlineStr">
        <is>
          <t>Pix</t>
        </is>
      </c>
      <c r="J417" s="35" t="n"/>
      <c r="K417" s="34" t="n"/>
      <c r="L417" s="26">
        <f>IF(A417="","",MONTH(A417))</f>
        <v>8</v>
      </c>
      <c r="M417" s="26">
        <f>IF(A417="","",YEAR(A417))</f>
        <v>2026</v>
      </c>
      <c r="N417" s="26" t="str">
        <f>IF(A417="","",CHOOSE(WEEKDAY(A417,2),"Segunda","Terça","Quarta","Quinta","Sexta","Sábado","Domingo"))</f>
        <v>Quarta</v>
      </c>
      <c r="O417" s="26" t="str">
        <f>IF(B417="","",IF(B417&lt;TIME(12,0,0),"Manhã",IF(B417&lt;TIME(18,0,0),"Tarde","Noite")))</f>
        <v>Tarde</v>
      </c>
      <c r="P417" s="32">
        <f>IF(G417="","",IFERROR(INDEX(Config!$I$5:$I$16,MATCH(G417,Config!$H$5:$H$16,0)),0))</f>
        <v>30</v>
      </c>
      <c r="Q417" s="30">
        <f>IF(OR(H417&lt;&gt;"Realizado",P417="",P417=0),"",A417+P417)</f>
        <v>46276.0</v>
      </c>
      <c r="R417" s="26" t="str">
        <f>IF(Q417="","",IF(COUNTIFS($E$5:$E$1204,E417,$A$5:$A$1204,"&gt;"&amp;A417,$H$5:$H$1204,"&lt;&gt;Falta",$H$5:$H$1204,"&lt;&gt;Cancelado",$H$5:$H$1204,"&lt;&gt;Remarcado")&gt;0,"Sim","Não"))</f>
        <v>Sim</v>
      </c>
      <c r="S417" s="32">
        <f>IF(R417&lt;&gt;"Não","",IF(Q417+Config!$B$9&lt;=Config!$B$8,Config!$B$8-Q417,""))</f>
        <v/>
      </c>
      <c r="T417" s="26">
        <f>IF(S417="","","Sim")</f>
        <v/>
      </c>
      <c r="U417" s="41">
        <f>IF(T417="Sim",S417+ROW()/100000,0)</f>
        <v>0</v>
      </c>
      <c r="V417" s="41">
        <f>IF(AND(H417="Falta",L417=Config!$B$7,M417=Config!$B$5,COUNTIFS($E$5:E417,E417,$H$5:H417,"Falta",$L$5:L417,Config!$B$7,$M$5:M417,Config!$B$5)=1),COUNTIFS($E$5:$E$1204,E417,$H$5:$H$1204,"Falta",$L$5:$L$1204,Config!$B$7,$M$5:$M$1204,Config!$B$5)*1000-ROW()/100000,0)</f>
        <v>0</v>
      </c>
    </row>
    <row r="418">
      <c r="A418" s="39" t="n">
        <v>46246</v>
      </c>
      <c r="B418" s="40" t="n">
        <v>0.625</v>
      </c>
      <c r="C418" s="35" t="inlineStr">
        <is>
          <t>Dra. Carolina Mendes</t>
        </is>
      </c>
      <c r="D418" s="35" t="inlineStr">
        <is>
          <t>Sala 1</t>
        </is>
      </c>
      <c r="E418" s="34" t="inlineStr">
        <is>
          <t>Gisele Xavier</t>
        </is>
      </c>
      <c r="F418" s="35" t="inlineStr">
        <is>
          <t>Particular</t>
        </is>
      </c>
      <c r="G418" s="35" t="inlineStr">
        <is>
          <t>Consulta</t>
        </is>
      </c>
      <c r="H418" s="35" t="inlineStr">
        <is>
          <t>Realizado</t>
        </is>
      </c>
      <c r="I418" s="35" t="inlineStr">
        <is>
          <t>Pix</t>
        </is>
      </c>
      <c r="J418" s="35" t="n"/>
      <c r="K418" s="34" t="n"/>
      <c r="L418" s="26">
        <f>IF(A418="","",MONTH(A418))</f>
        <v>8</v>
      </c>
      <c r="M418" s="26">
        <f>IF(A418="","",YEAR(A418))</f>
        <v>2026</v>
      </c>
      <c r="N418" s="26" t="str">
        <f>IF(A418="","",CHOOSE(WEEKDAY(A418,2),"Segunda","Terça","Quarta","Quinta","Sexta","Sábado","Domingo"))</f>
        <v>Quarta</v>
      </c>
      <c r="O418" s="26" t="str">
        <f>IF(B418="","",IF(B418&lt;TIME(12,0,0),"Manhã",IF(B418&lt;TIME(18,0,0),"Tarde","Noite")))</f>
        <v>Tarde</v>
      </c>
      <c r="P418" s="32">
        <f>IF(G418="","",IFERROR(INDEX(Config!$I$5:$I$16,MATCH(G418,Config!$H$5:$H$16,0)),0))</f>
        <v>30</v>
      </c>
      <c r="Q418" s="30">
        <f>IF(OR(H418&lt;&gt;"Realizado",P418="",P418=0),"",A418+P418)</f>
        <v>46276.0</v>
      </c>
      <c r="R418" s="26" t="str">
        <f>IF(Q418="","",IF(COUNTIFS($E$5:$E$1204,E418,$A$5:$A$1204,"&gt;"&amp;A418,$H$5:$H$1204,"&lt;&gt;Falta",$H$5:$H$1204,"&lt;&gt;Cancelado",$H$5:$H$1204,"&lt;&gt;Remarcado")&gt;0,"Sim","Não"))</f>
        <v>Sim</v>
      </c>
      <c r="S418" s="32">
        <f>IF(R418&lt;&gt;"Não","",IF(Q418+Config!$B$9&lt;=Config!$B$8,Config!$B$8-Q418,""))</f>
        <v/>
      </c>
      <c r="T418" s="26">
        <f>IF(S418="","","Sim")</f>
        <v/>
      </c>
      <c r="U418" s="41">
        <f>IF(T418="Sim",S418+ROW()/100000,0)</f>
        <v>0</v>
      </c>
      <c r="V418" s="41">
        <f>IF(AND(H418="Falta",L418=Config!$B$7,M418=Config!$B$5,COUNTIFS($E$5:E418,E418,$H$5:H418,"Falta",$L$5:L418,Config!$B$7,$M$5:M418,Config!$B$5)=1),COUNTIFS($E$5:$E$1204,E418,$H$5:$H$1204,"Falta",$L$5:$L$1204,Config!$B$7,$M$5:$M$1204,Config!$B$5)*1000-ROW()/100000,0)</f>
        <v>0</v>
      </c>
    </row>
    <row r="419">
      <c r="A419" s="39" t="n">
        <v>46246</v>
      </c>
      <c r="B419" s="40" t="n">
        <v>0.6458333333333334</v>
      </c>
      <c r="C419" s="35" t="inlineStr">
        <is>
          <t>Dra. Carolina Mendes</t>
        </is>
      </c>
      <c r="D419" s="35" t="inlineStr">
        <is>
          <t>Sala 1</t>
        </is>
      </c>
      <c r="E419" s="34" t="inlineStr">
        <is>
          <t>Wagner Lima</t>
        </is>
      </c>
      <c r="F419" s="35" t="inlineStr">
        <is>
          <t>Particular</t>
        </is>
      </c>
      <c r="G419" s="35" t="inlineStr">
        <is>
          <t>Consulta</t>
        </is>
      </c>
      <c r="H419" s="35" t="inlineStr">
        <is>
          <t>Realizado</t>
        </is>
      </c>
      <c r="I419" s="35" t="inlineStr">
        <is>
          <t>Cartão de crédito</t>
        </is>
      </c>
      <c r="J419" s="35" t="n"/>
      <c r="K419" s="34" t="n"/>
      <c r="L419" s="26">
        <f>IF(A419="","",MONTH(A419))</f>
        <v>8</v>
      </c>
      <c r="M419" s="26">
        <f>IF(A419="","",YEAR(A419))</f>
        <v>2026</v>
      </c>
      <c r="N419" s="26" t="str">
        <f>IF(A419="","",CHOOSE(WEEKDAY(A419,2),"Segunda","Terça","Quarta","Quinta","Sexta","Sábado","Domingo"))</f>
        <v>Quarta</v>
      </c>
      <c r="O419" s="26" t="str">
        <f>IF(B419="","",IF(B419&lt;TIME(12,0,0),"Manhã",IF(B419&lt;TIME(18,0,0),"Tarde","Noite")))</f>
        <v>Tarde</v>
      </c>
      <c r="P419" s="32">
        <f>IF(G419="","",IFERROR(INDEX(Config!$I$5:$I$16,MATCH(G419,Config!$H$5:$H$16,0)),0))</f>
        <v>30</v>
      </c>
      <c r="Q419" s="30">
        <f>IF(OR(H419&lt;&gt;"Realizado",P419="",P419=0),"",A419+P419)</f>
        <v>46276.0</v>
      </c>
      <c r="R419" s="26" t="str">
        <f>IF(Q419="","",IF(COUNTIFS($E$5:$E$1204,E419,$A$5:$A$1204,"&gt;"&amp;A419,$H$5:$H$1204,"&lt;&gt;Falta",$H$5:$H$1204,"&lt;&gt;Cancelado",$H$5:$H$1204,"&lt;&gt;Remarcado")&gt;0,"Sim","Não"))</f>
        <v>Sim</v>
      </c>
      <c r="S419" s="32">
        <f>IF(R419&lt;&gt;"Não","",IF(Q419+Config!$B$9&lt;=Config!$B$8,Config!$B$8-Q419,""))</f>
        <v/>
      </c>
      <c r="T419" s="26">
        <f>IF(S419="","","Sim")</f>
        <v/>
      </c>
      <c r="U419" s="41">
        <f>IF(T419="Sim",S419+ROW()/100000,0)</f>
        <v>0</v>
      </c>
      <c r="V419" s="41">
        <f>IF(AND(H419="Falta",L419=Config!$B$7,M419=Config!$B$5,COUNTIFS($E$5:E419,E419,$H$5:H419,"Falta",$L$5:L419,Config!$B$7,$M$5:M419,Config!$B$5)=1),COUNTIFS($E$5:$E$1204,E419,$H$5:$H$1204,"Falta",$L$5:$L$1204,Config!$B$7,$M$5:$M$1204,Config!$B$5)*1000-ROW()/100000,0)</f>
        <v>0</v>
      </c>
    </row>
    <row r="420">
      <c r="A420" s="39" t="n">
        <v>46246</v>
      </c>
      <c r="B420" s="40" t="n">
        <v>0.6666666666666666</v>
      </c>
      <c r="C420" s="35" t="inlineStr">
        <is>
          <t>Dra. Carolina Mendes</t>
        </is>
      </c>
      <c r="D420" s="35" t="inlineStr">
        <is>
          <t>Sala 1</t>
        </is>
      </c>
      <c r="E420" s="34" t="inlineStr">
        <is>
          <t>Priscila Castro</t>
        </is>
      </c>
      <c r="F420" s="35" t="inlineStr">
        <is>
          <t>Saúde Total</t>
        </is>
      </c>
      <c r="G420" s="35" t="inlineStr">
        <is>
          <t>Consulta</t>
        </is>
      </c>
      <c r="H420" s="35" t="inlineStr">
        <is>
          <t>Realizado</t>
        </is>
      </c>
      <c r="I420" s="35" t="inlineStr">
        <is>
          <t>Convênio</t>
        </is>
      </c>
      <c r="J420" s="35" t="n"/>
      <c r="K420" s="34" t="n"/>
      <c r="L420" s="26">
        <f>IF(A420="","",MONTH(A420))</f>
        <v>8</v>
      </c>
      <c r="M420" s="26">
        <f>IF(A420="","",YEAR(A420))</f>
        <v>2026</v>
      </c>
      <c r="N420" s="26" t="str">
        <f>IF(A420="","",CHOOSE(WEEKDAY(A420,2),"Segunda","Terça","Quarta","Quinta","Sexta","Sábado","Domingo"))</f>
        <v>Quarta</v>
      </c>
      <c r="O420" s="26" t="str">
        <f>IF(B420="","",IF(B420&lt;TIME(12,0,0),"Manhã",IF(B420&lt;TIME(18,0,0),"Tarde","Noite")))</f>
        <v>Tarde</v>
      </c>
      <c r="P420" s="32">
        <f>IF(G420="","",IFERROR(INDEX(Config!$I$5:$I$16,MATCH(G420,Config!$H$5:$H$16,0)),0))</f>
        <v>30</v>
      </c>
      <c r="Q420" s="30">
        <f>IF(OR(H420&lt;&gt;"Realizado",P420="",P420=0),"",A420+P420)</f>
        <v>46276.0</v>
      </c>
      <c r="R420" s="26" t="str">
        <f>IF(Q420="","",IF(COUNTIFS($E$5:$E$1204,E420,$A$5:$A$1204,"&gt;"&amp;A420,$H$5:$H$1204,"&lt;&gt;Falta",$H$5:$H$1204,"&lt;&gt;Cancelado",$H$5:$H$1204,"&lt;&gt;Remarcado")&gt;0,"Sim","Não"))</f>
        <v>Sim</v>
      </c>
      <c r="S420" s="32">
        <f>IF(R420&lt;&gt;"Não","",IF(Q420+Config!$B$9&lt;=Config!$B$8,Config!$B$8-Q420,""))</f>
        <v/>
      </c>
      <c r="T420" s="26">
        <f>IF(S420="","","Sim")</f>
        <v/>
      </c>
      <c r="U420" s="41">
        <f>IF(T420="Sim",S420+ROW()/100000,0)</f>
        <v>0</v>
      </c>
      <c r="V420" s="41">
        <f>IF(AND(H420="Falta",L420=Config!$B$7,M420=Config!$B$5,COUNTIFS($E$5:E420,E420,$H$5:H420,"Falta",$L$5:L420,Config!$B$7,$M$5:M420,Config!$B$5)=1),COUNTIFS($E$5:$E$1204,E420,$H$5:$H$1204,"Falta",$L$5:$L$1204,Config!$B$7,$M$5:$M$1204,Config!$B$5)*1000-ROW()/100000,0)</f>
        <v>0</v>
      </c>
    </row>
    <row r="421">
      <c r="A421" s="39" t="n">
        <v>46246</v>
      </c>
      <c r="B421" s="40" t="n">
        <v>0.6875</v>
      </c>
      <c r="C421" s="35" t="inlineStr">
        <is>
          <t>Dra. Carolina Mendes</t>
        </is>
      </c>
      <c r="D421" s="35" t="inlineStr">
        <is>
          <t>Sala 1</t>
        </is>
      </c>
      <c r="E421" s="34" t="inlineStr">
        <is>
          <t>Regina Castro</t>
        </is>
      </c>
      <c r="F421" s="35" t="inlineStr">
        <is>
          <t>Vida Care</t>
        </is>
      </c>
      <c r="G421" s="35" t="inlineStr">
        <is>
          <t>Retorno</t>
        </is>
      </c>
      <c r="H421" s="35" t="inlineStr">
        <is>
          <t>Realizado</t>
        </is>
      </c>
      <c r="I421" s="35" t="inlineStr">
        <is>
          <t>Sem cobrança</t>
        </is>
      </c>
      <c r="J421" s="35" t="n"/>
      <c r="K421" s="34" t="n"/>
      <c r="L421" s="26">
        <f>IF(A421="","",MONTH(A421))</f>
        <v>8</v>
      </c>
      <c r="M421" s="26">
        <f>IF(A421="","",YEAR(A421))</f>
        <v>2026</v>
      </c>
      <c r="N421" s="26" t="str">
        <f>IF(A421="","",CHOOSE(WEEKDAY(A421,2),"Segunda","Terça","Quarta","Quinta","Sexta","Sábado","Domingo"))</f>
        <v>Quarta</v>
      </c>
      <c r="O421" s="26" t="str">
        <f>IF(B421="","",IF(B421&lt;TIME(12,0,0),"Manhã",IF(B421&lt;TIME(18,0,0),"Tarde","Noite")))</f>
        <v>Tarde</v>
      </c>
      <c r="P421" s="32">
        <f>IF(G421="","",IFERROR(INDEX(Config!$I$5:$I$16,MATCH(G421,Config!$H$5:$H$16,0)),0))</f>
        <v>0</v>
      </c>
      <c r="Q421" s="30">
        <f>IF(OR(H421&lt;&gt;"Realizado",P421="",P421=0),"",A421+P421)</f>
        <v/>
      </c>
      <c r="R421" s="26">
        <f>IF(Q421="","",IF(COUNTIFS($E$5:$E$1204,E421,$A$5:$A$1204,"&gt;"&amp;A421,$H$5:$H$1204,"&lt;&gt;Falta",$H$5:$H$1204,"&lt;&gt;Cancelado",$H$5:$H$1204,"&lt;&gt;Remarcado")&gt;0,"Sim","Não"))</f>
        <v/>
      </c>
      <c r="S421" s="32">
        <f>IF(R421&lt;&gt;"Não","",IF(Q421+Config!$B$9&lt;=Config!$B$8,Config!$B$8-Q421,""))</f>
        <v/>
      </c>
      <c r="T421" s="26">
        <f>IF(S421="","","Sim")</f>
        <v/>
      </c>
      <c r="U421" s="41">
        <f>IF(T421="Sim",S421+ROW()/100000,0)</f>
        <v>0</v>
      </c>
      <c r="V421" s="41">
        <f>IF(AND(H421="Falta",L421=Config!$B$7,M421=Config!$B$5,COUNTIFS($E$5:E421,E421,$H$5:H421,"Falta",$L$5:L421,Config!$B$7,$M$5:M421,Config!$B$5)=1),COUNTIFS($E$5:$E$1204,E421,$H$5:$H$1204,"Falta",$L$5:$L$1204,Config!$B$7,$M$5:$M$1204,Config!$B$5)*1000-ROW()/100000,0)</f>
        <v>0</v>
      </c>
    </row>
    <row r="422">
      <c r="A422" s="39" t="n">
        <v>46246</v>
      </c>
      <c r="B422" s="40" t="n">
        <v>0.7013888888888888</v>
      </c>
      <c r="C422" s="35" t="inlineStr">
        <is>
          <t>Dra. Carolina Mendes</t>
        </is>
      </c>
      <c r="D422" s="35" t="inlineStr">
        <is>
          <t>Sala 1</t>
        </is>
      </c>
      <c r="E422" s="34" t="inlineStr">
        <is>
          <t>Otávio Nascimento</t>
        </is>
      </c>
      <c r="F422" s="35" t="inlineStr">
        <is>
          <t>Particular</t>
        </is>
      </c>
      <c r="G422" s="35" t="inlineStr">
        <is>
          <t>Consulta</t>
        </is>
      </c>
      <c r="H422" s="35" t="inlineStr">
        <is>
          <t>Realizado</t>
        </is>
      </c>
      <c r="I422" s="35" t="inlineStr">
        <is>
          <t>Cartão de crédito</t>
        </is>
      </c>
      <c r="J422" s="35" t="n"/>
      <c r="K422" s="34" t="n"/>
      <c r="L422" s="26">
        <f>IF(A422="","",MONTH(A422))</f>
        <v>8</v>
      </c>
      <c r="M422" s="26">
        <f>IF(A422="","",YEAR(A422))</f>
        <v>2026</v>
      </c>
      <c r="N422" s="26" t="str">
        <f>IF(A422="","",CHOOSE(WEEKDAY(A422,2),"Segunda","Terça","Quarta","Quinta","Sexta","Sábado","Domingo"))</f>
        <v>Quarta</v>
      </c>
      <c r="O422" s="26" t="str">
        <f>IF(B422="","",IF(B422&lt;TIME(12,0,0),"Manhã",IF(B422&lt;TIME(18,0,0),"Tarde","Noite")))</f>
        <v>Tarde</v>
      </c>
      <c r="P422" s="32">
        <f>IF(G422="","",IFERROR(INDEX(Config!$I$5:$I$16,MATCH(G422,Config!$H$5:$H$16,0)),0))</f>
        <v>30</v>
      </c>
      <c r="Q422" s="30">
        <f>IF(OR(H422&lt;&gt;"Realizado",P422="",P422=0),"",A422+P422)</f>
        <v>46276.0</v>
      </c>
      <c r="R422" s="26" t="str">
        <f>IF(Q422="","",IF(COUNTIFS($E$5:$E$1204,E422,$A$5:$A$1204,"&gt;"&amp;A422,$H$5:$H$1204,"&lt;&gt;Falta",$H$5:$H$1204,"&lt;&gt;Cancelado",$H$5:$H$1204,"&lt;&gt;Remarcado")&gt;0,"Sim","Não"))</f>
        <v>Sim</v>
      </c>
      <c r="S422" s="32">
        <f>IF(R422&lt;&gt;"Não","",IF(Q422+Config!$B$9&lt;=Config!$B$8,Config!$B$8-Q422,""))</f>
        <v/>
      </c>
      <c r="T422" s="26">
        <f>IF(S422="","","Sim")</f>
        <v/>
      </c>
      <c r="U422" s="41">
        <f>IF(T422="Sim",S422+ROW()/100000,0)</f>
        <v>0</v>
      </c>
      <c r="V422" s="41">
        <f>IF(AND(H422="Falta",L422=Config!$B$7,M422=Config!$B$5,COUNTIFS($E$5:E422,E422,$H$5:H422,"Falta",$L$5:L422,Config!$B$7,$M$5:M422,Config!$B$5)=1),COUNTIFS($E$5:$E$1204,E422,$H$5:$H$1204,"Falta",$L$5:$L$1204,Config!$B$7,$M$5:$M$1204,Config!$B$5)*1000-ROW()/100000,0)</f>
        <v>0</v>
      </c>
    </row>
    <row r="423">
      <c r="A423" s="39" t="n">
        <v>46246</v>
      </c>
      <c r="B423" s="40" t="n">
        <v>0.7222222222222222</v>
      </c>
      <c r="C423" s="35" t="inlineStr">
        <is>
          <t>Dra. Carolina Mendes</t>
        </is>
      </c>
      <c r="D423" s="35" t="inlineStr">
        <is>
          <t>Sala 1</t>
        </is>
      </c>
      <c r="E423" s="34" t="inlineStr">
        <is>
          <t>Eduardo Nunes</t>
        </is>
      </c>
      <c r="F423" s="35" t="inlineStr">
        <is>
          <t>MediPlan</t>
        </is>
      </c>
      <c r="G423" s="35" t="inlineStr">
        <is>
          <t>Consulta</t>
        </is>
      </c>
      <c r="H423" s="35" t="inlineStr">
        <is>
          <t>Realizado</t>
        </is>
      </c>
      <c r="I423" s="35" t="inlineStr">
        <is>
          <t>Convênio</t>
        </is>
      </c>
      <c r="J423" s="35" t="n"/>
      <c r="K423" s="34" t="n"/>
      <c r="L423" s="26">
        <f>IF(A423="","",MONTH(A423))</f>
        <v>8</v>
      </c>
      <c r="M423" s="26">
        <f>IF(A423="","",YEAR(A423))</f>
        <v>2026</v>
      </c>
      <c r="N423" s="26" t="str">
        <f>IF(A423="","",CHOOSE(WEEKDAY(A423,2),"Segunda","Terça","Quarta","Quinta","Sexta","Sábado","Domingo"))</f>
        <v>Quarta</v>
      </c>
      <c r="O423" s="26" t="str">
        <f>IF(B423="","",IF(B423&lt;TIME(12,0,0),"Manhã",IF(B423&lt;TIME(18,0,0),"Tarde","Noite")))</f>
        <v>Tarde</v>
      </c>
      <c r="P423" s="32">
        <f>IF(G423="","",IFERROR(INDEX(Config!$I$5:$I$16,MATCH(G423,Config!$H$5:$H$16,0)),0))</f>
        <v>30</v>
      </c>
      <c r="Q423" s="30">
        <f>IF(OR(H423&lt;&gt;"Realizado",P423="",P423=0),"",A423+P423)</f>
        <v>46276.0</v>
      </c>
      <c r="R423" s="26" t="str">
        <f>IF(Q423="","",IF(COUNTIFS($E$5:$E$1204,E423,$A$5:$A$1204,"&gt;"&amp;A423,$H$5:$H$1204,"&lt;&gt;Falta",$H$5:$H$1204,"&lt;&gt;Cancelado",$H$5:$H$1204,"&lt;&gt;Remarcado")&gt;0,"Sim","Não"))</f>
        <v>Sim</v>
      </c>
      <c r="S423" s="32">
        <f>IF(R423&lt;&gt;"Não","",IF(Q423+Config!$B$9&lt;=Config!$B$8,Config!$B$8-Q423,""))</f>
        <v/>
      </c>
      <c r="T423" s="26">
        <f>IF(S423="","","Sim")</f>
        <v/>
      </c>
      <c r="U423" s="41">
        <f>IF(T423="Sim",S423+ROW()/100000,0)</f>
        <v>0</v>
      </c>
      <c r="V423" s="41">
        <f>IF(AND(H423="Falta",L423=Config!$B$7,M423=Config!$B$5,COUNTIFS($E$5:E423,E423,$H$5:H423,"Falta",$L$5:L423,Config!$B$7,$M$5:M423,Config!$B$5)=1),COUNTIFS($E$5:$E$1204,E423,$H$5:$H$1204,"Falta",$L$5:$L$1204,Config!$B$7,$M$5:$M$1204,Config!$B$5)*1000-ROW()/100000,0)</f>
        <v>0</v>
      </c>
    </row>
    <row r="424">
      <c r="A424" s="39" t="n">
        <v>46247</v>
      </c>
      <c r="B424" s="40" t="n">
        <v>0.3333333333333333</v>
      </c>
      <c r="C424" s="35" t="inlineStr">
        <is>
          <t>Dra. Carolina Mendes</t>
        </is>
      </c>
      <c r="D424" s="35" t="inlineStr">
        <is>
          <t>Sala 1</t>
        </is>
      </c>
      <c r="E424" s="34" t="inlineStr">
        <is>
          <t>Daniel Melo</t>
        </is>
      </c>
      <c r="F424" s="35" t="inlineStr">
        <is>
          <t>Saúde Total</t>
        </is>
      </c>
      <c r="G424" s="35" t="inlineStr">
        <is>
          <t>Consulta</t>
        </is>
      </c>
      <c r="H424" s="35" t="inlineStr">
        <is>
          <t>Realizado</t>
        </is>
      </c>
      <c r="I424" s="35" t="inlineStr">
        <is>
          <t>Convênio</t>
        </is>
      </c>
      <c r="J424" s="35" t="n"/>
      <c r="K424" s="34" t="n"/>
      <c r="L424" s="26">
        <f>IF(A424="","",MONTH(A424))</f>
        <v>8</v>
      </c>
      <c r="M424" s="26">
        <f>IF(A424="","",YEAR(A424))</f>
        <v>2026</v>
      </c>
      <c r="N424" s="26" t="str">
        <f>IF(A424="","",CHOOSE(WEEKDAY(A424,2),"Segunda","Terça","Quarta","Quinta","Sexta","Sábado","Domingo"))</f>
        <v>Quinta</v>
      </c>
      <c r="O424" s="26" t="str">
        <f>IF(B424="","",IF(B424&lt;TIME(12,0,0),"Manhã",IF(B424&lt;TIME(18,0,0),"Tarde","Noite")))</f>
        <v>Manhã</v>
      </c>
      <c r="P424" s="32">
        <f>IF(G424="","",IFERROR(INDEX(Config!$I$5:$I$16,MATCH(G424,Config!$H$5:$H$16,0)),0))</f>
        <v>30</v>
      </c>
      <c r="Q424" s="30">
        <f>IF(OR(H424&lt;&gt;"Realizado",P424="",P424=0),"",A424+P424)</f>
        <v>46277.0</v>
      </c>
      <c r="R424" s="26" t="str">
        <f>IF(Q424="","",IF(COUNTIFS($E$5:$E$1204,E424,$A$5:$A$1204,"&gt;"&amp;A424,$H$5:$H$1204,"&lt;&gt;Falta",$H$5:$H$1204,"&lt;&gt;Cancelado",$H$5:$H$1204,"&lt;&gt;Remarcado")&gt;0,"Sim","Não"))</f>
        <v>Sim</v>
      </c>
      <c r="S424" s="32">
        <f>IF(R424&lt;&gt;"Não","",IF(Q424+Config!$B$9&lt;=Config!$B$8,Config!$B$8-Q424,""))</f>
        <v/>
      </c>
      <c r="T424" s="26">
        <f>IF(S424="","","Sim")</f>
        <v/>
      </c>
      <c r="U424" s="41">
        <f>IF(T424="Sim",S424+ROW()/100000,0)</f>
        <v>0</v>
      </c>
      <c r="V424" s="41">
        <f>IF(AND(H424="Falta",L424=Config!$B$7,M424=Config!$B$5,COUNTIFS($E$5:E424,E424,$H$5:H424,"Falta",$L$5:L424,Config!$B$7,$M$5:M424,Config!$B$5)=1),COUNTIFS($E$5:$E$1204,E424,$H$5:$H$1204,"Falta",$L$5:$L$1204,Config!$B$7,$M$5:$M$1204,Config!$B$5)*1000-ROW()/100000,0)</f>
        <v>0</v>
      </c>
    </row>
    <row r="425">
      <c r="A425" s="39" t="n">
        <v>46247</v>
      </c>
      <c r="B425" s="40" t="n">
        <v>0.3541666666666667</v>
      </c>
      <c r="C425" s="35" t="inlineStr">
        <is>
          <t>Dra. Carolina Mendes</t>
        </is>
      </c>
      <c r="D425" s="35" t="inlineStr">
        <is>
          <t>Sala 1</t>
        </is>
      </c>
      <c r="E425" s="34" t="inlineStr">
        <is>
          <t>Mateus Lima</t>
        </is>
      </c>
      <c r="F425" s="35" t="inlineStr">
        <is>
          <t>MediPlan</t>
        </is>
      </c>
      <c r="G425" s="35" t="inlineStr">
        <is>
          <t>Consulta</t>
        </is>
      </c>
      <c r="H425" s="35" t="inlineStr">
        <is>
          <t>Realizado</t>
        </is>
      </c>
      <c r="I425" s="35" t="inlineStr">
        <is>
          <t>Convênio</t>
        </is>
      </c>
      <c r="J425" s="35" t="n"/>
      <c r="K425" s="34" t="n"/>
      <c r="L425" s="26">
        <f>IF(A425="","",MONTH(A425))</f>
        <v>8</v>
      </c>
      <c r="M425" s="26">
        <f>IF(A425="","",YEAR(A425))</f>
        <v>2026</v>
      </c>
      <c r="N425" s="26" t="str">
        <f>IF(A425="","",CHOOSE(WEEKDAY(A425,2),"Segunda","Terça","Quarta","Quinta","Sexta","Sábado","Domingo"))</f>
        <v>Quinta</v>
      </c>
      <c r="O425" s="26" t="str">
        <f>IF(B425="","",IF(B425&lt;TIME(12,0,0),"Manhã",IF(B425&lt;TIME(18,0,0),"Tarde","Noite")))</f>
        <v>Manhã</v>
      </c>
      <c r="P425" s="32">
        <f>IF(G425="","",IFERROR(INDEX(Config!$I$5:$I$16,MATCH(G425,Config!$H$5:$H$16,0)),0))</f>
        <v>30</v>
      </c>
      <c r="Q425" s="30">
        <f>IF(OR(H425&lt;&gt;"Realizado",P425="",P425=0),"",A425+P425)</f>
        <v>46277.0</v>
      </c>
      <c r="R425" s="26" t="str">
        <f>IF(Q425="","",IF(COUNTIFS($E$5:$E$1204,E425,$A$5:$A$1204,"&gt;"&amp;A425,$H$5:$H$1204,"&lt;&gt;Falta",$H$5:$H$1204,"&lt;&gt;Cancelado",$H$5:$H$1204,"&lt;&gt;Remarcado")&gt;0,"Sim","Não"))</f>
        <v>Sim</v>
      </c>
      <c r="S425" s="32">
        <f>IF(R425&lt;&gt;"Não","",IF(Q425+Config!$B$9&lt;=Config!$B$8,Config!$B$8-Q425,""))</f>
        <v/>
      </c>
      <c r="T425" s="26">
        <f>IF(S425="","","Sim")</f>
        <v/>
      </c>
      <c r="U425" s="41">
        <f>IF(T425="Sim",S425+ROW()/100000,0)</f>
        <v>0</v>
      </c>
      <c r="V425" s="41">
        <f>IF(AND(H425="Falta",L425=Config!$B$7,M425=Config!$B$5,COUNTIFS($E$5:E425,E425,$H$5:H425,"Falta",$L$5:L425,Config!$B$7,$M$5:M425,Config!$B$5)=1),COUNTIFS($E$5:$E$1204,E425,$H$5:$H$1204,"Falta",$L$5:$L$1204,Config!$B$7,$M$5:$M$1204,Config!$B$5)*1000-ROW()/100000,0)</f>
        <v>0</v>
      </c>
    </row>
    <row r="426">
      <c r="A426" s="39" t="n">
        <v>46247</v>
      </c>
      <c r="B426" s="40" t="n">
        <v>0.375</v>
      </c>
      <c r="C426" s="35" t="inlineStr">
        <is>
          <t>Dra. Carolina Mendes</t>
        </is>
      </c>
      <c r="D426" s="35" t="inlineStr">
        <is>
          <t>Sala 1</t>
        </is>
      </c>
      <c r="E426" s="34" t="inlineStr">
        <is>
          <t>Rafael Dias</t>
        </is>
      </c>
      <c r="F426" s="35" t="inlineStr">
        <is>
          <t>Particular</t>
        </is>
      </c>
      <c r="G426" s="35" t="inlineStr">
        <is>
          <t>Retorno</t>
        </is>
      </c>
      <c r="H426" s="35" t="inlineStr">
        <is>
          <t>Realizado</t>
        </is>
      </c>
      <c r="I426" s="35" t="inlineStr">
        <is>
          <t>Sem cobrança</t>
        </is>
      </c>
      <c r="J426" s="35" t="n"/>
      <c r="K426" s="34" t="n"/>
      <c r="L426" s="26">
        <f>IF(A426="","",MONTH(A426))</f>
        <v>8</v>
      </c>
      <c r="M426" s="26">
        <f>IF(A426="","",YEAR(A426))</f>
        <v>2026</v>
      </c>
      <c r="N426" s="26" t="str">
        <f>IF(A426="","",CHOOSE(WEEKDAY(A426,2),"Segunda","Terça","Quarta","Quinta","Sexta","Sábado","Domingo"))</f>
        <v>Quinta</v>
      </c>
      <c r="O426" s="26" t="str">
        <f>IF(B426="","",IF(B426&lt;TIME(12,0,0),"Manhã",IF(B426&lt;TIME(18,0,0),"Tarde","Noite")))</f>
        <v>Manhã</v>
      </c>
      <c r="P426" s="32">
        <f>IF(G426="","",IFERROR(INDEX(Config!$I$5:$I$16,MATCH(G426,Config!$H$5:$H$16,0)),0))</f>
        <v>0</v>
      </c>
      <c r="Q426" s="30">
        <f>IF(OR(H426&lt;&gt;"Realizado",P426="",P426=0),"",A426+P426)</f>
        <v/>
      </c>
      <c r="R426" s="26">
        <f>IF(Q426="","",IF(COUNTIFS($E$5:$E$1204,E426,$A$5:$A$1204,"&gt;"&amp;A426,$H$5:$H$1204,"&lt;&gt;Falta",$H$5:$H$1204,"&lt;&gt;Cancelado",$H$5:$H$1204,"&lt;&gt;Remarcado")&gt;0,"Sim","Não"))</f>
        <v/>
      </c>
      <c r="S426" s="32">
        <f>IF(R426&lt;&gt;"Não","",IF(Q426+Config!$B$9&lt;=Config!$B$8,Config!$B$8-Q426,""))</f>
        <v/>
      </c>
      <c r="T426" s="26">
        <f>IF(S426="","","Sim")</f>
        <v/>
      </c>
      <c r="U426" s="41">
        <f>IF(T426="Sim",S426+ROW()/100000,0)</f>
        <v>0</v>
      </c>
      <c r="V426" s="41">
        <f>IF(AND(H426="Falta",L426=Config!$B$7,M426=Config!$B$5,COUNTIFS($E$5:E426,E426,$H$5:H426,"Falta",$L$5:L426,Config!$B$7,$M$5:M426,Config!$B$5)=1),COUNTIFS($E$5:$E$1204,E426,$H$5:$H$1204,"Falta",$L$5:$L$1204,Config!$B$7,$M$5:$M$1204,Config!$B$5)*1000-ROW()/100000,0)</f>
        <v>0</v>
      </c>
    </row>
    <row r="427">
      <c r="A427" s="39" t="n">
        <v>46247</v>
      </c>
      <c r="B427" s="40" t="n">
        <v>0.3888888888888889</v>
      </c>
      <c r="C427" s="35" t="inlineStr">
        <is>
          <t>Dra. Carolina Mendes</t>
        </is>
      </c>
      <c r="D427" s="35" t="inlineStr">
        <is>
          <t>Sala 1</t>
        </is>
      </c>
      <c r="E427" s="34" t="inlineStr">
        <is>
          <t>Eduardo Lima</t>
        </is>
      </c>
      <c r="F427" s="35" t="inlineStr">
        <is>
          <t>Particular</t>
        </is>
      </c>
      <c r="G427" s="35" t="inlineStr">
        <is>
          <t>Consulta</t>
        </is>
      </c>
      <c r="H427" s="35" t="inlineStr">
        <is>
          <t>Realizado</t>
        </is>
      </c>
      <c r="I427" s="35" t="inlineStr">
        <is>
          <t>Cartão de crédito</t>
        </is>
      </c>
      <c r="J427" s="35" t="n"/>
      <c r="K427" s="34" t="n"/>
      <c r="L427" s="26">
        <f>IF(A427="","",MONTH(A427))</f>
        <v>8</v>
      </c>
      <c r="M427" s="26">
        <f>IF(A427="","",YEAR(A427))</f>
        <v>2026</v>
      </c>
      <c r="N427" s="26" t="str">
        <f>IF(A427="","",CHOOSE(WEEKDAY(A427,2),"Segunda","Terça","Quarta","Quinta","Sexta","Sábado","Domingo"))</f>
        <v>Quinta</v>
      </c>
      <c r="O427" s="26" t="str">
        <f>IF(B427="","",IF(B427&lt;TIME(12,0,0),"Manhã",IF(B427&lt;TIME(18,0,0),"Tarde","Noite")))</f>
        <v>Manhã</v>
      </c>
      <c r="P427" s="32">
        <f>IF(G427="","",IFERROR(INDEX(Config!$I$5:$I$16,MATCH(G427,Config!$H$5:$H$16,0)),0))</f>
        <v>30</v>
      </c>
      <c r="Q427" s="30">
        <f>IF(OR(H427&lt;&gt;"Realizado",P427="",P427=0),"",A427+P427)</f>
        <v>46277.0</v>
      </c>
      <c r="R427" s="26" t="str">
        <f>IF(Q427="","",IF(COUNTIFS($E$5:$E$1204,E427,$A$5:$A$1204,"&gt;"&amp;A427,$H$5:$H$1204,"&lt;&gt;Falta",$H$5:$H$1204,"&lt;&gt;Cancelado",$H$5:$H$1204,"&lt;&gt;Remarcado")&gt;0,"Sim","Não"))</f>
        <v>Sim</v>
      </c>
      <c r="S427" s="32">
        <f>IF(R427&lt;&gt;"Não","",IF(Q427+Config!$B$9&lt;=Config!$B$8,Config!$B$8-Q427,""))</f>
        <v/>
      </c>
      <c r="T427" s="26">
        <f>IF(S427="","","Sim")</f>
        <v/>
      </c>
      <c r="U427" s="41">
        <f>IF(T427="Sim",S427+ROW()/100000,0)</f>
        <v>0</v>
      </c>
      <c r="V427" s="41">
        <f>IF(AND(H427="Falta",L427=Config!$B$7,M427=Config!$B$5,COUNTIFS($E$5:E427,E427,$H$5:H427,"Falta",$L$5:L427,Config!$B$7,$M$5:M427,Config!$B$5)=1),COUNTIFS($E$5:$E$1204,E427,$H$5:$H$1204,"Falta",$L$5:$L$1204,Config!$B$7,$M$5:$M$1204,Config!$B$5)*1000-ROW()/100000,0)</f>
        <v>0</v>
      </c>
    </row>
    <row r="428">
      <c r="A428" s="39" t="n">
        <v>46247</v>
      </c>
      <c r="B428" s="40" t="n">
        <v>0.4097222222222222</v>
      </c>
      <c r="C428" s="35" t="inlineStr">
        <is>
          <t>Dra. Carolina Mendes</t>
        </is>
      </c>
      <c r="D428" s="35" t="inlineStr">
        <is>
          <t>Sala 1</t>
        </is>
      </c>
      <c r="E428" s="34" t="inlineStr">
        <is>
          <t>Roberta Araújo</t>
        </is>
      </c>
      <c r="F428" s="35" t="inlineStr">
        <is>
          <t>Particular</t>
        </is>
      </c>
      <c r="G428" s="35" t="inlineStr">
        <is>
          <t>Retorno</t>
        </is>
      </c>
      <c r="H428" s="35" t="inlineStr">
        <is>
          <t>Realizado</t>
        </is>
      </c>
      <c r="I428" s="35" t="inlineStr">
        <is>
          <t>Sem cobrança</t>
        </is>
      </c>
      <c r="J428" s="35" t="n"/>
      <c r="K428" s="34" t="n"/>
      <c r="L428" s="26">
        <f>IF(A428="","",MONTH(A428))</f>
        <v>8</v>
      </c>
      <c r="M428" s="26">
        <f>IF(A428="","",YEAR(A428))</f>
        <v>2026</v>
      </c>
      <c r="N428" s="26" t="str">
        <f>IF(A428="","",CHOOSE(WEEKDAY(A428,2),"Segunda","Terça","Quarta","Quinta","Sexta","Sábado","Domingo"))</f>
        <v>Quinta</v>
      </c>
      <c r="O428" s="26" t="str">
        <f>IF(B428="","",IF(B428&lt;TIME(12,0,0),"Manhã",IF(B428&lt;TIME(18,0,0),"Tarde","Noite")))</f>
        <v>Manhã</v>
      </c>
      <c r="P428" s="32">
        <f>IF(G428="","",IFERROR(INDEX(Config!$I$5:$I$16,MATCH(G428,Config!$H$5:$H$16,0)),0))</f>
        <v>0</v>
      </c>
      <c r="Q428" s="30">
        <f>IF(OR(H428&lt;&gt;"Realizado",P428="",P428=0),"",A428+P428)</f>
        <v/>
      </c>
      <c r="R428" s="26">
        <f>IF(Q428="","",IF(COUNTIFS($E$5:$E$1204,E428,$A$5:$A$1204,"&gt;"&amp;A428,$H$5:$H$1204,"&lt;&gt;Falta",$H$5:$H$1204,"&lt;&gt;Cancelado",$H$5:$H$1204,"&lt;&gt;Remarcado")&gt;0,"Sim","Não"))</f>
        <v/>
      </c>
      <c r="S428" s="32">
        <f>IF(R428&lt;&gt;"Não","",IF(Q428+Config!$B$9&lt;=Config!$B$8,Config!$B$8-Q428,""))</f>
        <v/>
      </c>
      <c r="T428" s="26">
        <f>IF(S428="","","Sim")</f>
        <v/>
      </c>
      <c r="U428" s="41">
        <f>IF(T428="Sim",S428+ROW()/100000,0)</f>
        <v>0</v>
      </c>
      <c r="V428" s="41">
        <f>IF(AND(H428="Falta",L428=Config!$B$7,M428=Config!$B$5,COUNTIFS($E$5:E428,E428,$H$5:H428,"Falta",$L$5:L428,Config!$B$7,$M$5:M428,Config!$B$5)=1),COUNTIFS($E$5:$E$1204,E428,$H$5:$H$1204,"Falta",$L$5:$L$1204,Config!$B$7,$M$5:$M$1204,Config!$B$5)*1000-ROW()/100000,0)</f>
        <v>0</v>
      </c>
    </row>
    <row r="429">
      <c r="A429" s="39" t="n">
        <v>46247</v>
      </c>
      <c r="B429" s="40" t="n">
        <v>0.4236111111111111</v>
      </c>
      <c r="C429" s="35" t="inlineStr">
        <is>
          <t>Dra. Carolina Mendes</t>
        </is>
      </c>
      <c r="D429" s="35" t="inlineStr">
        <is>
          <t>Sala 1</t>
        </is>
      </c>
      <c r="E429" s="34" t="inlineStr">
        <is>
          <t>Gustavo Barbosa</t>
        </is>
      </c>
      <c r="F429" s="35" t="inlineStr">
        <is>
          <t>Saúde Total</t>
        </is>
      </c>
      <c r="G429" s="35" t="inlineStr">
        <is>
          <t>Retorno</t>
        </is>
      </c>
      <c r="H429" s="35" t="inlineStr">
        <is>
          <t>Falta</t>
        </is>
      </c>
      <c r="I429" s="35" t="n"/>
      <c r="J429" s="35" t="n"/>
      <c r="K429" s="34" t="n"/>
      <c r="L429" s="26">
        <f>IF(A429="","",MONTH(A429))</f>
        <v>8</v>
      </c>
      <c r="M429" s="26">
        <f>IF(A429="","",YEAR(A429))</f>
        <v>2026</v>
      </c>
      <c r="N429" s="26" t="str">
        <f>IF(A429="","",CHOOSE(WEEKDAY(A429,2),"Segunda","Terça","Quarta","Quinta","Sexta","Sábado","Domingo"))</f>
        <v>Quinta</v>
      </c>
      <c r="O429" s="26" t="str">
        <f>IF(B429="","",IF(B429&lt;TIME(12,0,0),"Manhã",IF(B429&lt;TIME(18,0,0),"Tarde","Noite")))</f>
        <v>Manhã</v>
      </c>
      <c r="P429" s="32">
        <f>IF(G429="","",IFERROR(INDEX(Config!$I$5:$I$16,MATCH(G429,Config!$H$5:$H$16,0)),0))</f>
        <v>0</v>
      </c>
      <c r="Q429" s="30">
        <f>IF(OR(H429&lt;&gt;"Realizado",P429="",P429=0),"",A429+P429)</f>
        <v/>
      </c>
      <c r="R429" s="26">
        <f>IF(Q429="","",IF(COUNTIFS($E$5:$E$1204,E429,$A$5:$A$1204,"&gt;"&amp;A429,$H$5:$H$1204,"&lt;&gt;Falta",$H$5:$H$1204,"&lt;&gt;Cancelado",$H$5:$H$1204,"&lt;&gt;Remarcado")&gt;0,"Sim","Não"))</f>
        <v/>
      </c>
      <c r="S429" s="32">
        <f>IF(R429&lt;&gt;"Não","",IF(Q429+Config!$B$9&lt;=Config!$B$8,Config!$B$8-Q429,""))</f>
        <v/>
      </c>
      <c r="T429" s="26">
        <f>IF(S429="","","Sim")</f>
        <v/>
      </c>
      <c r="U429" s="41">
        <f>IF(T429="Sim",S429+ROW()/100000,0)</f>
        <v>0</v>
      </c>
      <c r="V429" s="41">
        <f>IF(AND(H429="Falta",L429=Config!$B$7,M429=Config!$B$5,COUNTIFS($E$5:E429,E429,$H$5:H429,"Falta",$L$5:L429,Config!$B$7,$M$5:M429,Config!$B$5)=1),COUNTIFS($E$5:$E$1204,E429,$H$5:$H$1204,"Falta",$L$5:$L$1204,Config!$B$7,$M$5:$M$1204,Config!$B$5)*1000-ROW()/100000,0)</f>
        <v>0</v>
      </c>
    </row>
    <row r="430">
      <c r="A430" s="39" t="n">
        <v>46247</v>
      </c>
      <c r="B430" s="40" t="n">
        <v>0.4375</v>
      </c>
      <c r="C430" s="35" t="inlineStr">
        <is>
          <t>Dra. Carolina Mendes</t>
        </is>
      </c>
      <c r="D430" s="35" t="inlineStr">
        <is>
          <t>Sala 1</t>
        </is>
      </c>
      <c r="E430" s="34" t="inlineStr">
        <is>
          <t>Regina Macedo</t>
        </is>
      </c>
      <c r="F430" s="35" t="inlineStr">
        <is>
          <t>Particular</t>
        </is>
      </c>
      <c r="G430" s="35" t="inlineStr">
        <is>
          <t>Consulta</t>
        </is>
      </c>
      <c r="H430" s="35" t="inlineStr">
        <is>
          <t>Realizado</t>
        </is>
      </c>
      <c r="I430" s="35" t="inlineStr">
        <is>
          <t>Pix</t>
        </is>
      </c>
      <c r="J430" s="35" t="n"/>
      <c r="K430" s="34" t="n"/>
      <c r="L430" s="26">
        <f>IF(A430="","",MONTH(A430))</f>
        <v>8</v>
      </c>
      <c r="M430" s="26">
        <f>IF(A430="","",YEAR(A430))</f>
        <v>2026</v>
      </c>
      <c r="N430" s="26" t="str">
        <f>IF(A430="","",CHOOSE(WEEKDAY(A430,2),"Segunda","Terça","Quarta","Quinta","Sexta","Sábado","Domingo"))</f>
        <v>Quinta</v>
      </c>
      <c r="O430" s="26" t="str">
        <f>IF(B430="","",IF(B430&lt;TIME(12,0,0),"Manhã",IF(B430&lt;TIME(18,0,0),"Tarde","Noite")))</f>
        <v>Manhã</v>
      </c>
      <c r="P430" s="32">
        <f>IF(G430="","",IFERROR(INDEX(Config!$I$5:$I$16,MATCH(G430,Config!$H$5:$H$16,0)),0))</f>
        <v>30</v>
      </c>
      <c r="Q430" s="30">
        <f>IF(OR(H430&lt;&gt;"Realizado",P430="",P430=0),"",A430+P430)</f>
        <v>46277.0</v>
      </c>
      <c r="R430" s="26" t="str">
        <f>IF(Q430="","",IF(COUNTIFS($E$5:$E$1204,E430,$A$5:$A$1204,"&gt;"&amp;A430,$H$5:$H$1204,"&lt;&gt;Falta",$H$5:$H$1204,"&lt;&gt;Cancelado",$H$5:$H$1204,"&lt;&gt;Remarcado")&gt;0,"Sim","Não"))</f>
        <v>Sim</v>
      </c>
      <c r="S430" s="32">
        <f>IF(R430&lt;&gt;"Não","",IF(Q430+Config!$B$9&lt;=Config!$B$8,Config!$B$8-Q430,""))</f>
        <v/>
      </c>
      <c r="T430" s="26">
        <f>IF(S430="","","Sim")</f>
        <v/>
      </c>
      <c r="U430" s="41">
        <f>IF(T430="Sim",S430+ROW()/100000,0)</f>
        <v>0</v>
      </c>
      <c r="V430" s="41">
        <f>IF(AND(H430="Falta",L430=Config!$B$7,M430=Config!$B$5,COUNTIFS($E$5:E430,E430,$H$5:H430,"Falta",$L$5:L430,Config!$B$7,$M$5:M430,Config!$B$5)=1),COUNTIFS($E$5:$E$1204,E430,$H$5:$H$1204,"Falta",$L$5:$L$1204,Config!$B$7,$M$5:$M$1204,Config!$B$5)*1000-ROW()/100000,0)</f>
        <v>0</v>
      </c>
    </row>
    <row r="431">
      <c r="A431" s="39" t="n">
        <v>46247</v>
      </c>
      <c r="B431" s="40" t="n">
        <v>0.4583333333333333</v>
      </c>
      <c r="C431" s="35" t="inlineStr">
        <is>
          <t>Dra. Carolina Mendes</t>
        </is>
      </c>
      <c r="D431" s="35" t="inlineStr">
        <is>
          <t>Sala 1</t>
        </is>
      </c>
      <c r="E431" s="34" t="inlineStr">
        <is>
          <t>Otávio Cardoso</t>
        </is>
      </c>
      <c r="F431" s="35" t="inlineStr">
        <is>
          <t>Particular</t>
        </is>
      </c>
      <c r="G431" s="35" t="inlineStr">
        <is>
          <t>Consulta</t>
        </is>
      </c>
      <c r="H431" s="35" t="inlineStr">
        <is>
          <t>Realizado</t>
        </is>
      </c>
      <c r="I431" s="35" t="inlineStr">
        <is>
          <t>Dinheiro</t>
        </is>
      </c>
      <c r="J431" s="35" t="n"/>
      <c r="K431" s="34" t="n"/>
      <c r="L431" s="26">
        <f>IF(A431="","",MONTH(A431))</f>
        <v>8</v>
      </c>
      <c r="M431" s="26">
        <f>IF(A431="","",YEAR(A431))</f>
        <v>2026</v>
      </c>
      <c r="N431" s="26" t="str">
        <f>IF(A431="","",CHOOSE(WEEKDAY(A431,2),"Segunda","Terça","Quarta","Quinta","Sexta","Sábado","Domingo"))</f>
        <v>Quinta</v>
      </c>
      <c r="O431" s="26" t="str">
        <f>IF(B431="","",IF(B431&lt;TIME(12,0,0),"Manhã",IF(B431&lt;TIME(18,0,0),"Tarde","Noite")))</f>
        <v>Manhã</v>
      </c>
      <c r="P431" s="32">
        <f>IF(G431="","",IFERROR(INDEX(Config!$I$5:$I$16,MATCH(G431,Config!$H$5:$H$16,0)),0))</f>
        <v>30</v>
      </c>
      <c r="Q431" s="30">
        <f>IF(OR(H431&lt;&gt;"Realizado",P431="",P431=0),"",A431+P431)</f>
        <v>46277.0</v>
      </c>
      <c r="R431" s="26" t="str">
        <f>IF(Q431="","",IF(COUNTIFS($E$5:$E$1204,E431,$A$5:$A$1204,"&gt;"&amp;A431,$H$5:$H$1204,"&lt;&gt;Falta",$H$5:$H$1204,"&lt;&gt;Cancelado",$H$5:$H$1204,"&lt;&gt;Remarcado")&gt;0,"Sim","Não"))</f>
        <v>Sim</v>
      </c>
      <c r="S431" s="32">
        <f>IF(R431&lt;&gt;"Não","",IF(Q431+Config!$B$9&lt;=Config!$B$8,Config!$B$8-Q431,""))</f>
        <v/>
      </c>
      <c r="T431" s="26">
        <f>IF(S431="","","Sim")</f>
        <v/>
      </c>
      <c r="U431" s="41">
        <f>IF(T431="Sim",S431+ROW()/100000,0)</f>
        <v>0</v>
      </c>
      <c r="V431" s="41">
        <f>IF(AND(H431="Falta",L431=Config!$B$7,M431=Config!$B$5,COUNTIFS($E$5:E431,E431,$H$5:H431,"Falta",$L$5:L431,Config!$B$7,$M$5:M431,Config!$B$5)=1),COUNTIFS($E$5:$E$1204,E431,$H$5:$H$1204,"Falta",$L$5:$L$1204,Config!$B$7,$M$5:$M$1204,Config!$B$5)*1000-ROW()/100000,0)</f>
        <v>0</v>
      </c>
    </row>
    <row r="432">
      <c r="A432" s="39" t="n">
        <v>46247</v>
      </c>
      <c r="B432" s="40" t="n">
        <v>0.4791666666666667</v>
      </c>
      <c r="C432" s="35" t="inlineStr">
        <is>
          <t>Dra. Carolina Mendes</t>
        </is>
      </c>
      <c r="D432" s="35" t="inlineStr">
        <is>
          <t>Sala 1</t>
        </is>
      </c>
      <c r="E432" s="34" t="inlineStr">
        <is>
          <t>Daniel Almeida</t>
        </is>
      </c>
      <c r="F432" s="35" t="inlineStr">
        <is>
          <t>Saúde Total</t>
        </is>
      </c>
      <c r="G432" s="35" t="inlineStr">
        <is>
          <t>Consulta</t>
        </is>
      </c>
      <c r="H432" s="35" t="inlineStr">
        <is>
          <t>Cancelado</t>
        </is>
      </c>
      <c r="I432" s="35" t="n"/>
      <c r="J432" s="35" t="n"/>
      <c r="K432" s="34" t="n"/>
      <c r="L432" s="26">
        <f>IF(A432="","",MONTH(A432))</f>
        <v>8</v>
      </c>
      <c r="M432" s="26">
        <f>IF(A432="","",YEAR(A432))</f>
        <v>2026</v>
      </c>
      <c r="N432" s="26" t="str">
        <f>IF(A432="","",CHOOSE(WEEKDAY(A432,2),"Segunda","Terça","Quarta","Quinta","Sexta","Sábado","Domingo"))</f>
        <v>Quinta</v>
      </c>
      <c r="O432" s="26" t="str">
        <f>IF(B432="","",IF(B432&lt;TIME(12,0,0),"Manhã",IF(B432&lt;TIME(18,0,0),"Tarde","Noite")))</f>
        <v>Manhã</v>
      </c>
      <c r="P432" s="32">
        <f>IF(G432="","",IFERROR(INDEX(Config!$I$5:$I$16,MATCH(G432,Config!$H$5:$H$16,0)),0))</f>
        <v>30</v>
      </c>
      <c r="Q432" s="30">
        <f>IF(OR(H432&lt;&gt;"Realizado",P432="",P432=0),"",A432+P432)</f>
        <v/>
      </c>
      <c r="R432" s="26">
        <f>IF(Q432="","",IF(COUNTIFS($E$5:$E$1204,E432,$A$5:$A$1204,"&gt;"&amp;A432,$H$5:$H$1204,"&lt;&gt;Falta",$H$5:$H$1204,"&lt;&gt;Cancelado",$H$5:$H$1204,"&lt;&gt;Remarcado")&gt;0,"Sim","Não"))</f>
        <v/>
      </c>
      <c r="S432" s="32">
        <f>IF(R432&lt;&gt;"Não","",IF(Q432+Config!$B$9&lt;=Config!$B$8,Config!$B$8-Q432,""))</f>
        <v/>
      </c>
      <c r="T432" s="26">
        <f>IF(S432="","","Sim")</f>
        <v/>
      </c>
      <c r="U432" s="41">
        <f>IF(T432="Sim",S432+ROW()/100000,0)</f>
        <v>0</v>
      </c>
      <c r="V432" s="41">
        <f>IF(AND(H432="Falta",L432=Config!$B$7,M432=Config!$B$5,COUNTIFS($E$5:E432,E432,$H$5:H432,"Falta",$L$5:L432,Config!$B$7,$M$5:M432,Config!$B$5)=1),COUNTIFS($E$5:$E$1204,E432,$H$5:$H$1204,"Falta",$L$5:$L$1204,Config!$B$7,$M$5:$M$1204,Config!$B$5)*1000-ROW()/100000,0)</f>
        <v>0</v>
      </c>
    </row>
    <row r="433">
      <c r="A433" s="39" t="n">
        <v>46247</v>
      </c>
      <c r="B433" s="40" t="n">
        <v>0.5833333333333334</v>
      </c>
      <c r="C433" s="35" t="inlineStr">
        <is>
          <t>Dra. Renata Sousa</t>
        </is>
      </c>
      <c r="D433" s="35" t="inlineStr">
        <is>
          <t>Sala 1</t>
        </is>
      </c>
      <c r="E433" s="34" t="inlineStr">
        <is>
          <t>Rafael Pereira</t>
        </is>
      </c>
      <c r="F433" s="35" t="inlineStr">
        <is>
          <t>Particular</t>
        </is>
      </c>
      <c r="G433" s="35" t="inlineStr">
        <is>
          <t>Avaliação endócrina</t>
        </is>
      </c>
      <c r="H433" s="35" t="inlineStr">
        <is>
          <t>Realizado</t>
        </is>
      </c>
      <c r="I433" s="35" t="inlineStr">
        <is>
          <t>Pix</t>
        </is>
      </c>
      <c r="J433" s="35" t="n"/>
      <c r="K433" s="34" t="n"/>
      <c r="L433" s="26">
        <f>IF(A433="","",MONTH(A433))</f>
        <v>8</v>
      </c>
      <c r="M433" s="26">
        <f>IF(A433="","",YEAR(A433))</f>
        <v>2026</v>
      </c>
      <c r="N433" s="26" t="str">
        <f>IF(A433="","",CHOOSE(WEEKDAY(A433,2),"Segunda","Terça","Quarta","Quinta","Sexta","Sábado","Domingo"))</f>
        <v>Quinta</v>
      </c>
      <c r="O433" s="26" t="str">
        <f>IF(B433="","",IF(B433&lt;TIME(12,0,0),"Manhã",IF(B433&lt;TIME(18,0,0),"Tarde","Noite")))</f>
        <v>Tarde</v>
      </c>
      <c r="P433" s="32">
        <f>IF(G433="","",IFERROR(INDEX(Config!$I$5:$I$16,MATCH(G433,Config!$H$5:$H$16,0)),0))</f>
        <v>45</v>
      </c>
      <c r="Q433" s="30">
        <f>IF(OR(H433&lt;&gt;"Realizado",P433="",P433=0),"",A433+P433)</f>
        <v>46292.0</v>
      </c>
      <c r="R433" s="26" t="str">
        <f>IF(Q433="","",IF(COUNTIFS($E$5:$E$1204,E433,$A$5:$A$1204,"&gt;"&amp;A433,$H$5:$H$1204,"&lt;&gt;Falta",$H$5:$H$1204,"&lt;&gt;Cancelado",$H$5:$H$1204,"&lt;&gt;Remarcado")&gt;0,"Sim","Não"))</f>
        <v>Sim</v>
      </c>
      <c r="S433" s="32">
        <f>IF(R433&lt;&gt;"Não","",IF(Q433+Config!$B$9&lt;=Config!$B$8,Config!$B$8-Q433,""))</f>
        <v/>
      </c>
      <c r="T433" s="26">
        <f>IF(S433="","","Sim")</f>
        <v/>
      </c>
      <c r="U433" s="41">
        <f>IF(T433="Sim",S433+ROW()/100000,0)</f>
        <v>0</v>
      </c>
      <c r="V433" s="41">
        <f>IF(AND(H433="Falta",L433=Config!$B$7,M433=Config!$B$5,COUNTIFS($E$5:E433,E433,$H$5:H433,"Falta",$L$5:L433,Config!$B$7,$M$5:M433,Config!$B$5)=1),COUNTIFS($E$5:$E$1204,E433,$H$5:$H$1204,"Falta",$L$5:$L$1204,Config!$B$7,$M$5:$M$1204,Config!$B$5)*1000-ROW()/100000,0)</f>
        <v>0</v>
      </c>
    </row>
    <row r="434">
      <c r="A434" s="39" t="n">
        <v>46247</v>
      </c>
      <c r="B434" s="40" t="n">
        <v>0.5833333333333334</v>
      </c>
      <c r="C434" s="35" t="inlineStr">
        <is>
          <t>Dr. Paulo Andrade</t>
        </is>
      </c>
      <c r="D434" s="35" t="inlineStr">
        <is>
          <t>Sala 2</t>
        </is>
      </c>
      <c r="E434" s="34" t="inlineStr">
        <is>
          <t>Camila Freitas</t>
        </is>
      </c>
      <c r="F434" s="35" t="inlineStr">
        <is>
          <t>Particular</t>
        </is>
      </c>
      <c r="G434" s="35" t="inlineStr">
        <is>
          <t>Consulta</t>
        </is>
      </c>
      <c r="H434" s="35" t="inlineStr">
        <is>
          <t>Realizado</t>
        </is>
      </c>
      <c r="I434" s="35" t="inlineStr">
        <is>
          <t>Pix</t>
        </is>
      </c>
      <c r="J434" s="35" t="n"/>
      <c r="K434" s="34" t="n"/>
      <c r="L434" s="26">
        <f>IF(A434="","",MONTH(A434))</f>
        <v>8</v>
      </c>
      <c r="M434" s="26">
        <f>IF(A434="","",YEAR(A434))</f>
        <v>2026</v>
      </c>
      <c r="N434" s="26" t="str">
        <f>IF(A434="","",CHOOSE(WEEKDAY(A434,2),"Segunda","Terça","Quarta","Quinta","Sexta","Sábado","Domingo"))</f>
        <v>Quinta</v>
      </c>
      <c r="O434" s="26" t="str">
        <f>IF(B434="","",IF(B434&lt;TIME(12,0,0),"Manhã",IF(B434&lt;TIME(18,0,0),"Tarde","Noite")))</f>
        <v>Tarde</v>
      </c>
      <c r="P434" s="32">
        <f>IF(G434="","",IFERROR(INDEX(Config!$I$5:$I$16,MATCH(G434,Config!$H$5:$H$16,0)),0))</f>
        <v>30</v>
      </c>
      <c r="Q434" s="30">
        <f>IF(OR(H434&lt;&gt;"Realizado",P434="",P434=0),"",A434+P434)</f>
        <v>46277.0</v>
      </c>
      <c r="R434" s="26" t="str">
        <f>IF(Q434="","",IF(COUNTIFS($E$5:$E$1204,E434,$A$5:$A$1204,"&gt;"&amp;A434,$H$5:$H$1204,"&lt;&gt;Falta",$H$5:$H$1204,"&lt;&gt;Cancelado",$H$5:$H$1204,"&lt;&gt;Remarcado")&gt;0,"Sim","Não"))</f>
        <v>Sim</v>
      </c>
      <c r="S434" s="32">
        <f>IF(R434&lt;&gt;"Não","",IF(Q434+Config!$B$9&lt;=Config!$B$8,Config!$B$8-Q434,""))</f>
        <v/>
      </c>
      <c r="T434" s="26">
        <f>IF(S434="","","Sim")</f>
        <v/>
      </c>
      <c r="U434" s="41">
        <f>IF(T434="Sim",S434+ROW()/100000,0)</f>
        <v>0</v>
      </c>
      <c r="V434" s="41">
        <f>IF(AND(H434="Falta",L434=Config!$B$7,M434=Config!$B$5,COUNTIFS($E$5:E434,E434,$H$5:H434,"Falta",$L$5:L434,Config!$B$7,$M$5:M434,Config!$B$5)=1),COUNTIFS($E$5:$E$1204,E434,$H$5:$H$1204,"Falta",$L$5:$L$1204,Config!$B$7,$M$5:$M$1204,Config!$B$5)*1000-ROW()/100000,0)</f>
        <v>0</v>
      </c>
    </row>
    <row r="435">
      <c r="A435" s="39" t="n">
        <v>46247</v>
      </c>
      <c r="B435" s="40" t="n">
        <v>0.6041666666666666</v>
      </c>
      <c r="C435" s="35" t="inlineStr">
        <is>
          <t>Dr. Paulo Andrade</t>
        </is>
      </c>
      <c r="D435" s="35" t="inlineStr">
        <is>
          <t>Sala 2</t>
        </is>
      </c>
      <c r="E435" s="34" t="inlineStr">
        <is>
          <t>Wagner Carvalho</t>
        </is>
      </c>
      <c r="F435" s="35" t="inlineStr">
        <is>
          <t>Vida Care</t>
        </is>
      </c>
      <c r="G435" s="35" t="inlineStr">
        <is>
          <t>Consulta</t>
        </is>
      </c>
      <c r="H435" s="35" t="inlineStr">
        <is>
          <t>Realizado</t>
        </is>
      </c>
      <c r="I435" s="35" t="inlineStr">
        <is>
          <t>Convênio</t>
        </is>
      </c>
      <c r="J435" s="35" t="n"/>
      <c r="K435" s="34" t="n"/>
      <c r="L435" s="26">
        <f>IF(A435="","",MONTH(A435))</f>
        <v>8</v>
      </c>
      <c r="M435" s="26">
        <f>IF(A435="","",YEAR(A435))</f>
        <v>2026</v>
      </c>
      <c r="N435" s="26" t="str">
        <f>IF(A435="","",CHOOSE(WEEKDAY(A435,2),"Segunda","Terça","Quarta","Quinta","Sexta","Sábado","Domingo"))</f>
        <v>Quinta</v>
      </c>
      <c r="O435" s="26" t="str">
        <f>IF(B435="","",IF(B435&lt;TIME(12,0,0),"Manhã",IF(B435&lt;TIME(18,0,0),"Tarde","Noite")))</f>
        <v>Tarde</v>
      </c>
      <c r="P435" s="32">
        <f>IF(G435="","",IFERROR(INDEX(Config!$I$5:$I$16,MATCH(G435,Config!$H$5:$H$16,0)),0))</f>
        <v>30</v>
      </c>
      <c r="Q435" s="30">
        <f>IF(OR(H435&lt;&gt;"Realizado",P435="",P435=0),"",A435+P435)</f>
        <v>46277.0</v>
      </c>
      <c r="R435" s="26" t="str">
        <f>IF(Q435="","",IF(COUNTIFS($E$5:$E$1204,E435,$A$5:$A$1204,"&gt;"&amp;A435,$H$5:$H$1204,"&lt;&gt;Falta",$H$5:$H$1204,"&lt;&gt;Cancelado",$H$5:$H$1204,"&lt;&gt;Remarcado")&gt;0,"Sim","Não"))</f>
        <v>Sim</v>
      </c>
      <c r="S435" s="32">
        <f>IF(R435&lt;&gt;"Não","",IF(Q435+Config!$B$9&lt;=Config!$B$8,Config!$B$8-Q435,""))</f>
        <v/>
      </c>
      <c r="T435" s="26">
        <f>IF(S435="","","Sim")</f>
        <v/>
      </c>
      <c r="U435" s="41">
        <f>IF(T435="Sim",S435+ROW()/100000,0)</f>
        <v>0</v>
      </c>
      <c r="V435" s="41">
        <f>IF(AND(H435="Falta",L435=Config!$B$7,M435=Config!$B$5,COUNTIFS($E$5:E435,E435,$H$5:H435,"Falta",$L$5:L435,Config!$B$7,$M$5:M435,Config!$B$5)=1),COUNTIFS($E$5:$E$1204,E435,$H$5:$H$1204,"Falta",$L$5:$L$1204,Config!$B$7,$M$5:$M$1204,Config!$B$5)*1000-ROW()/100000,0)</f>
        <v>0</v>
      </c>
    </row>
    <row r="436">
      <c r="A436" s="39" t="n">
        <v>46247</v>
      </c>
      <c r="B436" s="40" t="n">
        <v>0.6111111111111112</v>
      </c>
      <c r="C436" s="35" t="inlineStr">
        <is>
          <t>Dra. Renata Sousa</t>
        </is>
      </c>
      <c r="D436" s="35" t="inlineStr">
        <is>
          <t>Sala 1</t>
        </is>
      </c>
      <c r="E436" s="34" t="inlineStr">
        <is>
          <t>Cláudia Melo</t>
        </is>
      </c>
      <c r="F436" s="35" t="inlineStr">
        <is>
          <t>Particular</t>
        </is>
      </c>
      <c r="G436" s="35" t="inlineStr">
        <is>
          <t>Avaliação endócrina</t>
        </is>
      </c>
      <c r="H436" s="35" t="inlineStr">
        <is>
          <t>Realizado</t>
        </is>
      </c>
      <c r="I436" s="35" t="inlineStr">
        <is>
          <t>Cartão de débito</t>
        </is>
      </c>
      <c r="J436" s="35" t="n"/>
      <c r="K436" s="34" t="n"/>
      <c r="L436" s="26">
        <f>IF(A436="","",MONTH(A436))</f>
        <v>8</v>
      </c>
      <c r="M436" s="26">
        <f>IF(A436="","",YEAR(A436))</f>
        <v>2026</v>
      </c>
      <c r="N436" s="26" t="str">
        <f>IF(A436="","",CHOOSE(WEEKDAY(A436,2),"Segunda","Terça","Quarta","Quinta","Sexta","Sábado","Domingo"))</f>
        <v>Quinta</v>
      </c>
      <c r="O436" s="26" t="str">
        <f>IF(B436="","",IF(B436&lt;TIME(12,0,0),"Manhã",IF(B436&lt;TIME(18,0,0),"Tarde","Noite")))</f>
        <v>Tarde</v>
      </c>
      <c r="P436" s="32">
        <f>IF(G436="","",IFERROR(INDEX(Config!$I$5:$I$16,MATCH(G436,Config!$H$5:$H$16,0)),0))</f>
        <v>45</v>
      </c>
      <c r="Q436" s="30">
        <f>IF(OR(H436&lt;&gt;"Realizado",P436="",P436=0),"",A436+P436)</f>
        <v>46292.0</v>
      </c>
      <c r="R436" s="26" t="str">
        <f>IF(Q436="","",IF(COUNTIFS($E$5:$E$1204,E436,$A$5:$A$1204,"&gt;"&amp;A436,$H$5:$H$1204,"&lt;&gt;Falta",$H$5:$H$1204,"&lt;&gt;Cancelado",$H$5:$H$1204,"&lt;&gt;Remarcado")&gt;0,"Sim","Não"))</f>
        <v>Sim</v>
      </c>
      <c r="S436" s="32">
        <f>IF(R436&lt;&gt;"Não","",IF(Q436+Config!$B$9&lt;=Config!$B$8,Config!$B$8-Q436,""))</f>
        <v/>
      </c>
      <c r="T436" s="26">
        <f>IF(S436="","","Sim")</f>
        <v/>
      </c>
      <c r="U436" s="41">
        <f>IF(T436="Sim",S436+ROW()/100000,0)</f>
        <v>0</v>
      </c>
      <c r="V436" s="41">
        <f>IF(AND(H436="Falta",L436=Config!$B$7,M436=Config!$B$5,COUNTIFS($E$5:E436,E436,$H$5:H436,"Falta",$L$5:L436,Config!$B$7,$M$5:M436,Config!$B$5)=1),COUNTIFS($E$5:$E$1204,E436,$H$5:$H$1204,"Falta",$L$5:$L$1204,Config!$B$7,$M$5:$M$1204,Config!$B$5)*1000-ROW()/100000,0)</f>
        <v>0</v>
      </c>
    </row>
    <row r="437">
      <c r="A437" s="39" t="n">
        <v>46247</v>
      </c>
      <c r="B437" s="40" t="n">
        <v>0.625</v>
      </c>
      <c r="C437" s="35" t="inlineStr">
        <is>
          <t>Dr. Paulo Andrade</t>
        </is>
      </c>
      <c r="D437" s="35" t="inlineStr">
        <is>
          <t>Sala 2</t>
        </is>
      </c>
      <c r="E437" s="34" t="inlineStr">
        <is>
          <t>Sérgio Batista</t>
        </is>
      </c>
      <c r="F437" s="35" t="inlineStr">
        <is>
          <t>MediPlan</t>
        </is>
      </c>
      <c r="G437" s="35" t="inlineStr">
        <is>
          <t>Teste ergométrico</t>
        </is>
      </c>
      <c r="H437" s="35" t="inlineStr">
        <is>
          <t>Realizado</t>
        </is>
      </c>
      <c r="I437" s="35" t="inlineStr">
        <is>
          <t>Convênio</t>
        </is>
      </c>
      <c r="J437" s="35" t="n"/>
      <c r="K437" s="34" t="n"/>
      <c r="L437" s="26">
        <f>IF(A437="","",MONTH(A437))</f>
        <v>8</v>
      </c>
      <c r="M437" s="26">
        <f>IF(A437="","",YEAR(A437))</f>
        <v>2026</v>
      </c>
      <c r="N437" s="26" t="str">
        <f>IF(A437="","",CHOOSE(WEEKDAY(A437,2),"Segunda","Terça","Quarta","Quinta","Sexta","Sábado","Domingo"))</f>
        <v>Quinta</v>
      </c>
      <c r="O437" s="26" t="str">
        <f>IF(B437="","",IF(B437&lt;TIME(12,0,0),"Manhã",IF(B437&lt;TIME(18,0,0),"Tarde","Noite")))</f>
        <v>Tarde</v>
      </c>
      <c r="P437" s="32">
        <f>IF(G437="","",IFERROR(INDEX(Config!$I$5:$I$16,MATCH(G437,Config!$H$5:$H$16,0)),0))</f>
        <v>0</v>
      </c>
      <c r="Q437" s="30">
        <f>IF(OR(H437&lt;&gt;"Realizado",P437="",P437=0),"",A437+P437)</f>
        <v/>
      </c>
      <c r="R437" s="26">
        <f>IF(Q437="","",IF(COUNTIFS($E$5:$E$1204,E437,$A$5:$A$1204,"&gt;"&amp;A437,$H$5:$H$1204,"&lt;&gt;Falta",$H$5:$H$1204,"&lt;&gt;Cancelado",$H$5:$H$1204,"&lt;&gt;Remarcado")&gt;0,"Sim","Não"))</f>
        <v/>
      </c>
      <c r="S437" s="32">
        <f>IF(R437&lt;&gt;"Não","",IF(Q437+Config!$B$9&lt;=Config!$B$8,Config!$B$8-Q437,""))</f>
        <v/>
      </c>
      <c r="T437" s="26">
        <f>IF(S437="","","Sim")</f>
        <v/>
      </c>
      <c r="U437" s="41">
        <f>IF(T437="Sim",S437+ROW()/100000,0)</f>
        <v>0</v>
      </c>
      <c r="V437" s="41">
        <f>IF(AND(H437="Falta",L437=Config!$B$7,M437=Config!$B$5,COUNTIFS($E$5:E437,E437,$H$5:H437,"Falta",$L$5:L437,Config!$B$7,$M$5:M437,Config!$B$5)=1),COUNTIFS($E$5:$E$1204,E437,$H$5:$H$1204,"Falta",$L$5:$L$1204,Config!$B$7,$M$5:$M$1204,Config!$B$5)*1000-ROW()/100000,0)</f>
        <v>0</v>
      </c>
    </row>
    <row r="438">
      <c r="A438" s="39" t="n">
        <v>46247</v>
      </c>
      <c r="B438" s="40" t="n">
        <v>0.6527777777777778</v>
      </c>
      <c r="C438" s="35" t="inlineStr">
        <is>
          <t>Dr. Paulo Andrade</t>
        </is>
      </c>
      <c r="D438" s="35" t="inlineStr">
        <is>
          <t>Sala 2</t>
        </is>
      </c>
      <c r="E438" s="34" t="inlineStr">
        <is>
          <t>Bruno Carvalho</t>
        </is>
      </c>
      <c r="F438" s="35" t="inlineStr">
        <is>
          <t>Saúde Total</t>
        </is>
      </c>
      <c r="G438" s="35" t="inlineStr">
        <is>
          <t>Consulta</t>
        </is>
      </c>
      <c r="H438" s="35" t="inlineStr">
        <is>
          <t>Realizado</t>
        </is>
      </c>
      <c r="I438" s="35" t="inlineStr">
        <is>
          <t>Convênio</t>
        </is>
      </c>
      <c r="J438" s="35" t="n"/>
      <c r="K438" s="34" t="n"/>
      <c r="L438" s="26">
        <f>IF(A438="","",MONTH(A438))</f>
        <v>8</v>
      </c>
      <c r="M438" s="26">
        <f>IF(A438="","",YEAR(A438))</f>
        <v>2026</v>
      </c>
      <c r="N438" s="26" t="str">
        <f>IF(A438="","",CHOOSE(WEEKDAY(A438,2),"Segunda","Terça","Quarta","Quinta","Sexta","Sábado","Domingo"))</f>
        <v>Quinta</v>
      </c>
      <c r="O438" s="26" t="str">
        <f>IF(B438="","",IF(B438&lt;TIME(12,0,0),"Manhã",IF(B438&lt;TIME(18,0,0),"Tarde","Noite")))</f>
        <v>Tarde</v>
      </c>
      <c r="P438" s="32">
        <f>IF(G438="","",IFERROR(INDEX(Config!$I$5:$I$16,MATCH(G438,Config!$H$5:$H$16,0)),0))</f>
        <v>30</v>
      </c>
      <c r="Q438" s="30">
        <f>IF(OR(H438&lt;&gt;"Realizado",P438="",P438=0),"",A438+P438)</f>
        <v>46277.0</v>
      </c>
      <c r="R438" s="26" t="str">
        <f>IF(Q438="","",IF(COUNTIFS($E$5:$E$1204,E438,$A$5:$A$1204,"&gt;"&amp;A438,$H$5:$H$1204,"&lt;&gt;Falta",$H$5:$H$1204,"&lt;&gt;Cancelado",$H$5:$H$1204,"&lt;&gt;Remarcado")&gt;0,"Sim","Não"))</f>
        <v>Sim</v>
      </c>
      <c r="S438" s="32">
        <f>IF(R438&lt;&gt;"Não","",IF(Q438+Config!$B$9&lt;=Config!$B$8,Config!$B$8-Q438,""))</f>
        <v/>
      </c>
      <c r="T438" s="26">
        <f>IF(S438="","","Sim")</f>
        <v/>
      </c>
      <c r="U438" s="41">
        <f>IF(T438="Sim",S438+ROW()/100000,0)</f>
        <v>0</v>
      </c>
      <c r="V438" s="41">
        <f>IF(AND(H438="Falta",L438=Config!$B$7,M438=Config!$B$5,COUNTIFS($E$5:E438,E438,$H$5:H438,"Falta",$L$5:L438,Config!$B$7,$M$5:M438,Config!$B$5)=1),COUNTIFS($E$5:$E$1204,E438,$H$5:$H$1204,"Falta",$L$5:$L$1204,Config!$B$7,$M$5:$M$1204,Config!$B$5)*1000-ROW()/100000,0)</f>
        <v>0</v>
      </c>
    </row>
    <row r="439">
      <c r="A439" s="39" t="n">
        <v>46247</v>
      </c>
      <c r="B439" s="40" t="n">
        <v>0.6597222222222222</v>
      </c>
      <c r="C439" s="35" t="inlineStr">
        <is>
          <t>Dra. Renata Sousa</t>
        </is>
      </c>
      <c r="D439" s="35" t="inlineStr">
        <is>
          <t>Sala 1</t>
        </is>
      </c>
      <c r="E439" s="34" t="inlineStr">
        <is>
          <t>Patrícia Dias</t>
        </is>
      </c>
      <c r="F439" s="35" t="inlineStr">
        <is>
          <t>Particular</t>
        </is>
      </c>
      <c r="G439" s="35" t="inlineStr">
        <is>
          <t>Retorno</t>
        </is>
      </c>
      <c r="H439" s="35" t="inlineStr">
        <is>
          <t>Realizado</t>
        </is>
      </c>
      <c r="I439" s="35" t="inlineStr">
        <is>
          <t>Sem cobrança</t>
        </is>
      </c>
      <c r="J439" s="35" t="n"/>
      <c r="K439" s="34" t="n"/>
      <c r="L439" s="26">
        <f>IF(A439="","",MONTH(A439))</f>
        <v>8</v>
      </c>
      <c r="M439" s="26">
        <f>IF(A439="","",YEAR(A439))</f>
        <v>2026</v>
      </c>
      <c r="N439" s="26" t="str">
        <f>IF(A439="","",CHOOSE(WEEKDAY(A439,2),"Segunda","Terça","Quarta","Quinta","Sexta","Sábado","Domingo"))</f>
        <v>Quinta</v>
      </c>
      <c r="O439" s="26" t="str">
        <f>IF(B439="","",IF(B439&lt;TIME(12,0,0),"Manhã",IF(B439&lt;TIME(18,0,0),"Tarde","Noite")))</f>
        <v>Tarde</v>
      </c>
      <c r="P439" s="32">
        <f>IF(G439="","",IFERROR(INDEX(Config!$I$5:$I$16,MATCH(G439,Config!$H$5:$H$16,0)),0))</f>
        <v>0</v>
      </c>
      <c r="Q439" s="30">
        <f>IF(OR(H439&lt;&gt;"Realizado",P439="",P439=0),"",A439+P439)</f>
        <v/>
      </c>
      <c r="R439" s="26">
        <f>IF(Q439="","",IF(COUNTIFS($E$5:$E$1204,E439,$A$5:$A$1204,"&gt;"&amp;A439,$H$5:$H$1204,"&lt;&gt;Falta",$H$5:$H$1204,"&lt;&gt;Cancelado",$H$5:$H$1204,"&lt;&gt;Remarcado")&gt;0,"Sim","Não"))</f>
        <v/>
      </c>
      <c r="S439" s="32">
        <f>IF(R439&lt;&gt;"Não","",IF(Q439+Config!$B$9&lt;=Config!$B$8,Config!$B$8-Q439,""))</f>
        <v/>
      </c>
      <c r="T439" s="26">
        <f>IF(S439="","","Sim")</f>
        <v/>
      </c>
      <c r="U439" s="41">
        <f>IF(T439="Sim",S439+ROW()/100000,0)</f>
        <v>0</v>
      </c>
      <c r="V439" s="41">
        <f>IF(AND(H439="Falta",L439=Config!$B$7,M439=Config!$B$5,COUNTIFS($E$5:E439,E439,$H$5:H439,"Falta",$L$5:L439,Config!$B$7,$M$5:M439,Config!$B$5)=1),COUNTIFS($E$5:$E$1204,E439,$H$5:$H$1204,"Falta",$L$5:$L$1204,Config!$B$7,$M$5:$M$1204,Config!$B$5)*1000-ROW()/100000,0)</f>
        <v>0</v>
      </c>
    </row>
    <row r="440">
      <c r="A440" s="39" t="n">
        <v>46247</v>
      </c>
      <c r="B440" s="40" t="n">
        <v>0.6736111111111112</v>
      </c>
      <c r="C440" s="35" t="inlineStr">
        <is>
          <t>Dra. Renata Sousa</t>
        </is>
      </c>
      <c r="D440" s="35" t="inlineStr">
        <is>
          <t>Sala 1</t>
        </is>
      </c>
      <c r="E440" s="34" t="inlineStr">
        <is>
          <t>Carlos Gonçalves</t>
        </is>
      </c>
      <c r="F440" s="35" t="inlineStr">
        <is>
          <t>Saúde Total</t>
        </is>
      </c>
      <c r="G440" s="35" t="inlineStr">
        <is>
          <t>Retorno</t>
        </is>
      </c>
      <c r="H440" s="35" t="inlineStr">
        <is>
          <t>Realizado</t>
        </is>
      </c>
      <c r="I440" s="35" t="inlineStr">
        <is>
          <t>Sem cobrança</t>
        </is>
      </c>
      <c r="J440" s="35" t="n"/>
      <c r="K440" s="34" t="n"/>
      <c r="L440" s="26">
        <f>IF(A440="","",MONTH(A440))</f>
        <v>8</v>
      </c>
      <c r="M440" s="26">
        <f>IF(A440="","",YEAR(A440))</f>
        <v>2026</v>
      </c>
      <c r="N440" s="26" t="str">
        <f>IF(A440="","",CHOOSE(WEEKDAY(A440,2),"Segunda","Terça","Quarta","Quinta","Sexta","Sábado","Domingo"))</f>
        <v>Quinta</v>
      </c>
      <c r="O440" s="26" t="str">
        <f>IF(B440="","",IF(B440&lt;TIME(12,0,0),"Manhã",IF(B440&lt;TIME(18,0,0),"Tarde","Noite")))</f>
        <v>Tarde</v>
      </c>
      <c r="P440" s="32">
        <f>IF(G440="","",IFERROR(INDEX(Config!$I$5:$I$16,MATCH(G440,Config!$H$5:$H$16,0)),0))</f>
        <v>0</v>
      </c>
      <c r="Q440" s="30">
        <f>IF(OR(H440&lt;&gt;"Realizado",P440="",P440=0),"",A440+P440)</f>
        <v/>
      </c>
      <c r="R440" s="26">
        <f>IF(Q440="","",IF(COUNTIFS($E$5:$E$1204,E440,$A$5:$A$1204,"&gt;"&amp;A440,$H$5:$H$1204,"&lt;&gt;Falta",$H$5:$H$1204,"&lt;&gt;Cancelado",$H$5:$H$1204,"&lt;&gt;Remarcado")&gt;0,"Sim","Não"))</f>
        <v/>
      </c>
      <c r="S440" s="32">
        <f>IF(R440&lt;&gt;"Não","",IF(Q440+Config!$B$9&lt;=Config!$B$8,Config!$B$8-Q440,""))</f>
        <v/>
      </c>
      <c r="T440" s="26">
        <f>IF(S440="","","Sim")</f>
        <v/>
      </c>
      <c r="U440" s="41">
        <f>IF(T440="Sim",S440+ROW()/100000,0)</f>
        <v>0</v>
      </c>
      <c r="V440" s="41">
        <f>IF(AND(H440="Falta",L440=Config!$B$7,M440=Config!$B$5,COUNTIFS($E$5:E440,E440,$H$5:H440,"Falta",$L$5:L440,Config!$B$7,$M$5:M440,Config!$B$5)=1),COUNTIFS($E$5:$E$1204,E440,$H$5:$H$1204,"Falta",$L$5:$L$1204,Config!$B$7,$M$5:$M$1204,Config!$B$5)*1000-ROW()/100000,0)</f>
        <v>0</v>
      </c>
    </row>
    <row r="441">
      <c r="A441" s="39" t="n">
        <v>46247</v>
      </c>
      <c r="B441" s="40" t="n">
        <v>0.6736111111111112</v>
      </c>
      <c r="C441" s="35" t="inlineStr">
        <is>
          <t>Dr. Paulo Andrade</t>
        </is>
      </c>
      <c r="D441" s="35" t="inlineStr">
        <is>
          <t>Sala 2</t>
        </is>
      </c>
      <c r="E441" s="34" t="inlineStr">
        <is>
          <t>Débora Moreira</t>
        </is>
      </c>
      <c r="F441" s="35" t="inlineStr">
        <is>
          <t>Particular</t>
        </is>
      </c>
      <c r="G441" s="35" t="inlineStr">
        <is>
          <t>Consulta</t>
        </is>
      </c>
      <c r="H441" s="35" t="inlineStr">
        <is>
          <t>Realizado</t>
        </is>
      </c>
      <c r="I441" s="35" t="inlineStr">
        <is>
          <t>Pix</t>
        </is>
      </c>
      <c r="J441" s="35" t="n"/>
      <c r="K441" s="34" t="n"/>
      <c r="L441" s="26">
        <f>IF(A441="","",MONTH(A441))</f>
        <v>8</v>
      </c>
      <c r="M441" s="26">
        <f>IF(A441="","",YEAR(A441))</f>
        <v>2026</v>
      </c>
      <c r="N441" s="26" t="str">
        <f>IF(A441="","",CHOOSE(WEEKDAY(A441,2),"Segunda","Terça","Quarta","Quinta","Sexta","Sábado","Domingo"))</f>
        <v>Quinta</v>
      </c>
      <c r="O441" s="26" t="str">
        <f>IF(B441="","",IF(B441&lt;TIME(12,0,0),"Manhã",IF(B441&lt;TIME(18,0,0),"Tarde","Noite")))</f>
        <v>Tarde</v>
      </c>
      <c r="P441" s="32">
        <f>IF(G441="","",IFERROR(INDEX(Config!$I$5:$I$16,MATCH(G441,Config!$H$5:$H$16,0)),0))</f>
        <v>30</v>
      </c>
      <c r="Q441" s="30">
        <f>IF(OR(H441&lt;&gt;"Realizado",P441="",P441=0),"",A441+P441)</f>
        <v>46277.0</v>
      </c>
      <c r="R441" s="26" t="str">
        <f>IF(Q441="","",IF(COUNTIFS($E$5:$E$1204,E441,$A$5:$A$1204,"&gt;"&amp;A441,$H$5:$H$1204,"&lt;&gt;Falta",$H$5:$H$1204,"&lt;&gt;Cancelado",$H$5:$H$1204,"&lt;&gt;Remarcado")&gt;0,"Sim","Não"))</f>
        <v>Sim</v>
      </c>
      <c r="S441" s="32">
        <f>IF(R441&lt;&gt;"Não","",IF(Q441+Config!$B$9&lt;=Config!$B$8,Config!$B$8-Q441,""))</f>
        <v/>
      </c>
      <c r="T441" s="26">
        <f>IF(S441="","","Sim")</f>
        <v/>
      </c>
      <c r="U441" s="41">
        <f>IF(T441="Sim",S441+ROW()/100000,0)</f>
        <v>0</v>
      </c>
      <c r="V441" s="41">
        <f>IF(AND(H441="Falta",L441=Config!$B$7,M441=Config!$B$5,COUNTIFS($E$5:E441,E441,$H$5:H441,"Falta",$L$5:L441,Config!$B$7,$M$5:M441,Config!$B$5)=1),COUNTIFS($E$5:$E$1204,E441,$H$5:$H$1204,"Falta",$L$5:$L$1204,Config!$B$7,$M$5:$M$1204,Config!$B$5)*1000-ROW()/100000,0)</f>
        <v>0</v>
      </c>
    </row>
    <row r="442">
      <c r="A442" s="39" t="n">
        <v>46247</v>
      </c>
      <c r="B442" s="40" t="n">
        <v>0.6875</v>
      </c>
      <c r="C442" s="35" t="inlineStr">
        <is>
          <t>Dra. Renata Sousa</t>
        </is>
      </c>
      <c r="D442" s="35" t="inlineStr">
        <is>
          <t>Sala 1</t>
        </is>
      </c>
      <c r="E442" s="34" t="inlineStr">
        <is>
          <t>Isabela Xavier</t>
        </is>
      </c>
      <c r="F442" s="35" t="inlineStr">
        <is>
          <t>Particular</t>
        </is>
      </c>
      <c r="G442" s="35" t="inlineStr">
        <is>
          <t>Avaliação endócrina</t>
        </is>
      </c>
      <c r="H442" s="35" t="inlineStr">
        <is>
          <t>Realizado</t>
        </is>
      </c>
      <c r="I442" s="35" t="inlineStr">
        <is>
          <t>Cartão de débito</t>
        </is>
      </c>
      <c r="J442" s="35" t="n"/>
      <c r="K442" s="34" t="n"/>
      <c r="L442" s="26">
        <f>IF(A442="","",MONTH(A442))</f>
        <v>8</v>
      </c>
      <c r="M442" s="26">
        <f>IF(A442="","",YEAR(A442))</f>
        <v>2026</v>
      </c>
      <c r="N442" s="26" t="str">
        <f>IF(A442="","",CHOOSE(WEEKDAY(A442,2),"Segunda","Terça","Quarta","Quinta","Sexta","Sábado","Domingo"))</f>
        <v>Quinta</v>
      </c>
      <c r="O442" s="26" t="str">
        <f>IF(B442="","",IF(B442&lt;TIME(12,0,0),"Manhã",IF(B442&lt;TIME(18,0,0),"Tarde","Noite")))</f>
        <v>Tarde</v>
      </c>
      <c r="P442" s="32">
        <f>IF(G442="","",IFERROR(INDEX(Config!$I$5:$I$16,MATCH(G442,Config!$H$5:$H$16,0)),0))</f>
        <v>45</v>
      </c>
      <c r="Q442" s="30">
        <f>IF(OR(H442&lt;&gt;"Realizado",P442="",P442=0),"",A442+P442)</f>
        <v>46292.0</v>
      </c>
      <c r="R442" s="26" t="str">
        <f>IF(Q442="","",IF(COUNTIFS($E$5:$E$1204,E442,$A$5:$A$1204,"&gt;"&amp;A442,$H$5:$H$1204,"&lt;&gt;Falta",$H$5:$H$1204,"&lt;&gt;Cancelado",$H$5:$H$1204,"&lt;&gt;Remarcado")&gt;0,"Sim","Não"))</f>
        <v>Sim</v>
      </c>
      <c r="S442" s="32">
        <f>IF(R442&lt;&gt;"Não","",IF(Q442+Config!$B$9&lt;=Config!$B$8,Config!$B$8-Q442,""))</f>
        <v/>
      </c>
      <c r="T442" s="26">
        <f>IF(S442="","","Sim")</f>
        <v/>
      </c>
      <c r="U442" s="41">
        <f>IF(T442="Sim",S442+ROW()/100000,0)</f>
        <v>0</v>
      </c>
      <c r="V442" s="41">
        <f>IF(AND(H442="Falta",L442=Config!$B$7,M442=Config!$B$5,COUNTIFS($E$5:E442,E442,$H$5:H442,"Falta",$L$5:L442,Config!$B$7,$M$5:M442,Config!$B$5)=1),COUNTIFS($E$5:$E$1204,E442,$H$5:$H$1204,"Falta",$L$5:$L$1204,Config!$B$7,$M$5:$M$1204,Config!$B$5)*1000-ROW()/100000,0)</f>
        <v>0</v>
      </c>
    </row>
    <row r="443">
      <c r="A443" s="39" t="n">
        <v>46247</v>
      </c>
      <c r="B443" s="40" t="n">
        <v>0.6944444444444444</v>
      </c>
      <c r="C443" s="35" t="inlineStr">
        <is>
          <t>Dr. Paulo Andrade</t>
        </is>
      </c>
      <c r="D443" s="35" t="inlineStr">
        <is>
          <t>Sala 2</t>
        </is>
      </c>
      <c r="E443" s="34" t="inlineStr">
        <is>
          <t>Leandro Gomes</t>
        </is>
      </c>
      <c r="F443" s="35" t="inlineStr">
        <is>
          <t>Saúde Total</t>
        </is>
      </c>
      <c r="G443" s="35" t="inlineStr">
        <is>
          <t>Holter</t>
        </is>
      </c>
      <c r="H443" s="35" t="inlineStr">
        <is>
          <t>Realizado</t>
        </is>
      </c>
      <c r="I443" s="35" t="inlineStr">
        <is>
          <t>Convênio</t>
        </is>
      </c>
      <c r="J443" s="35" t="n"/>
      <c r="K443" s="34" t="n"/>
      <c r="L443" s="26">
        <f>IF(A443="","",MONTH(A443))</f>
        <v>8</v>
      </c>
      <c r="M443" s="26">
        <f>IF(A443="","",YEAR(A443))</f>
        <v>2026</v>
      </c>
      <c r="N443" s="26" t="str">
        <f>IF(A443="","",CHOOSE(WEEKDAY(A443,2),"Segunda","Terça","Quarta","Quinta","Sexta","Sábado","Domingo"))</f>
        <v>Quinta</v>
      </c>
      <c r="O443" s="26" t="str">
        <f>IF(B443="","",IF(B443&lt;TIME(12,0,0),"Manhã",IF(B443&lt;TIME(18,0,0),"Tarde","Noite")))</f>
        <v>Tarde</v>
      </c>
      <c r="P443" s="32">
        <f>IF(G443="","",IFERROR(INDEX(Config!$I$5:$I$16,MATCH(G443,Config!$H$5:$H$16,0)),0))</f>
        <v>0</v>
      </c>
      <c r="Q443" s="30">
        <f>IF(OR(H443&lt;&gt;"Realizado",P443="",P443=0),"",A443+P443)</f>
        <v/>
      </c>
      <c r="R443" s="26">
        <f>IF(Q443="","",IF(COUNTIFS($E$5:$E$1204,E443,$A$5:$A$1204,"&gt;"&amp;A443,$H$5:$H$1204,"&lt;&gt;Falta",$H$5:$H$1204,"&lt;&gt;Cancelado",$H$5:$H$1204,"&lt;&gt;Remarcado")&gt;0,"Sim","Não"))</f>
        <v/>
      </c>
      <c r="S443" s="32">
        <f>IF(R443&lt;&gt;"Não","",IF(Q443+Config!$B$9&lt;=Config!$B$8,Config!$B$8-Q443,""))</f>
        <v/>
      </c>
      <c r="T443" s="26">
        <f>IF(S443="","","Sim")</f>
        <v/>
      </c>
      <c r="U443" s="41">
        <f>IF(T443="Sim",S443+ROW()/100000,0)</f>
        <v>0</v>
      </c>
      <c r="V443" s="41">
        <f>IF(AND(H443="Falta",L443=Config!$B$7,M443=Config!$B$5,COUNTIFS($E$5:E443,E443,$H$5:H443,"Falta",$L$5:L443,Config!$B$7,$M$5:M443,Config!$B$5)=1),COUNTIFS($E$5:$E$1204,E443,$H$5:$H$1204,"Falta",$L$5:$L$1204,Config!$B$7,$M$5:$M$1204,Config!$B$5)*1000-ROW()/100000,0)</f>
        <v>0</v>
      </c>
    </row>
    <row r="444">
      <c r="A444" s="39" t="n">
        <v>46247</v>
      </c>
      <c r="B444" s="40" t="n">
        <v>0.7083333333333334</v>
      </c>
      <c r="C444" s="35" t="inlineStr">
        <is>
          <t>Dr. Paulo Andrade</t>
        </is>
      </c>
      <c r="D444" s="35" t="inlineStr">
        <is>
          <t>Sala 2</t>
        </is>
      </c>
      <c r="E444" s="34" t="inlineStr">
        <is>
          <t>Sandra Cardoso</t>
        </is>
      </c>
      <c r="F444" s="35" t="inlineStr">
        <is>
          <t>Saúde Total</t>
        </is>
      </c>
      <c r="G444" s="35" t="inlineStr">
        <is>
          <t>Consulta</t>
        </is>
      </c>
      <c r="H444" s="35" t="inlineStr">
        <is>
          <t>Realizado</t>
        </is>
      </c>
      <c r="I444" s="35" t="inlineStr">
        <is>
          <t>Convênio</t>
        </is>
      </c>
      <c r="J444" s="35" t="n"/>
      <c r="K444" s="34" t="n"/>
      <c r="L444" s="26">
        <f>IF(A444="","",MONTH(A444))</f>
        <v>8</v>
      </c>
      <c r="M444" s="26">
        <f>IF(A444="","",YEAR(A444))</f>
        <v>2026</v>
      </c>
      <c r="N444" s="26" t="str">
        <f>IF(A444="","",CHOOSE(WEEKDAY(A444,2),"Segunda","Terça","Quarta","Quinta","Sexta","Sábado","Domingo"))</f>
        <v>Quinta</v>
      </c>
      <c r="O444" s="26" t="str">
        <f>IF(B444="","",IF(B444&lt;TIME(12,0,0),"Manhã",IF(B444&lt;TIME(18,0,0),"Tarde","Noite")))</f>
        <v>Tarde</v>
      </c>
      <c r="P444" s="32">
        <f>IF(G444="","",IFERROR(INDEX(Config!$I$5:$I$16,MATCH(G444,Config!$H$5:$H$16,0)),0))</f>
        <v>30</v>
      </c>
      <c r="Q444" s="30">
        <f>IF(OR(H444&lt;&gt;"Realizado",P444="",P444=0),"",A444+P444)</f>
        <v>46277.0</v>
      </c>
      <c r="R444" s="26" t="str">
        <f>IF(Q444="","",IF(COUNTIFS($E$5:$E$1204,E444,$A$5:$A$1204,"&gt;"&amp;A444,$H$5:$H$1204,"&lt;&gt;Falta",$H$5:$H$1204,"&lt;&gt;Cancelado",$H$5:$H$1204,"&lt;&gt;Remarcado")&gt;0,"Sim","Não"))</f>
        <v>Sim</v>
      </c>
      <c r="S444" s="32">
        <f>IF(R444&lt;&gt;"Não","",IF(Q444+Config!$B$9&lt;=Config!$B$8,Config!$B$8-Q444,""))</f>
        <v/>
      </c>
      <c r="T444" s="26">
        <f>IF(S444="","","Sim")</f>
        <v/>
      </c>
      <c r="U444" s="41">
        <f>IF(T444="Sim",S444+ROW()/100000,0)</f>
        <v>0</v>
      </c>
      <c r="V444" s="41">
        <f>IF(AND(H444="Falta",L444=Config!$B$7,M444=Config!$B$5,COUNTIFS($E$5:E444,E444,$H$5:H444,"Falta",$L$5:L444,Config!$B$7,$M$5:M444,Config!$B$5)=1),COUNTIFS($E$5:$E$1204,E444,$H$5:$H$1204,"Falta",$L$5:$L$1204,Config!$B$7,$M$5:$M$1204,Config!$B$5)*1000-ROW()/100000,0)</f>
        <v>0</v>
      </c>
    </row>
    <row r="445">
      <c r="A445" s="39" t="n">
        <v>46247</v>
      </c>
      <c r="B445" s="40" t="n">
        <v>0.7152777777777778</v>
      </c>
      <c r="C445" s="35" t="inlineStr">
        <is>
          <t>Dra. Renata Sousa</t>
        </is>
      </c>
      <c r="D445" s="35" t="inlineStr">
        <is>
          <t>Sala 1</t>
        </is>
      </c>
      <c r="E445" s="34" t="inlineStr">
        <is>
          <t>Rodrigo Cardoso</t>
        </is>
      </c>
      <c r="F445" s="35" t="inlineStr">
        <is>
          <t>Saúde Total</t>
        </is>
      </c>
      <c r="G445" s="35" t="inlineStr">
        <is>
          <t>Retorno</t>
        </is>
      </c>
      <c r="H445" s="35" t="inlineStr">
        <is>
          <t>Realizado</t>
        </is>
      </c>
      <c r="I445" s="35" t="inlineStr">
        <is>
          <t>Sem cobrança</t>
        </is>
      </c>
      <c r="J445" s="35" t="n"/>
      <c r="K445" s="34" t="n"/>
      <c r="L445" s="26">
        <f>IF(A445="","",MONTH(A445))</f>
        <v>8</v>
      </c>
      <c r="M445" s="26">
        <f>IF(A445="","",YEAR(A445))</f>
        <v>2026</v>
      </c>
      <c r="N445" s="26" t="str">
        <f>IF(A445="","",CHOOSE(WEEKDAY(A445,2),"Segunda","Terça","Quarta","Quinta","Sexta","Sábado","Domingo"))</f>
        <v>Quinta</v>
      </c>
      <c r="O445" s="26" t="str">
        <f>IF(B445="","",IF(B445&lt;TIME(12,0,0),"Manhã",IF(B445&lt;TIME(18,0,0),"Tarde","Noite")))</f>
        <v>Tarde</v>
      </c>
      <c r="P445" s="32">
        <f>IF(G445="","",IFERROR(INDEX(Config!$I$5:$I$16,MATCH(G445,Config!$H$5:$H$16,0)),0))</f>
        <v>0</v>
      </c>
      <c r="Q445" s="30">
        <f>IF(OR(H445&lt;&gt;"Realizado",P445="",P445=0),"",A445+P445)</f>
        <v/>
      </c>
      <c r="R445" s="26">
        <f>IF(Q445="","",IF(COUNTIFS($E$5:$E$1204,E445,$A$5:$A$1204,"&gt;"&amp;A445,$H$5:$H$1204,"&lt;&gt;Falta",$H$5:$H$1204,"&lt;&gt;Cancelado",$H$5:$H$1204,"&lt;&gt;Remarcado")&gt;0,"Sim","Não"))</f>
        <v/>
      </c>
      <c r="S445" s="32">
        <f>IF(R445&lt;&gt;"Não","",IF(Q445+Config!$B$9&lt;=Config!$B$8,Config!$B$8-Q445,""))</f>
        <v/>
      </c>
      <c r="T445" s="26">
        <f>IF(S445="","","Sim")</f>
        <v/>
      </c>
      <c r="U445" s="41">
        <f>IF(T445="Sim",S445+ROW()/100000,0)</f>
        <v>0</v>
      </c>
      <c r="V445" s="41">
        <f>IF(AND(H445="Falta",L445=Config!$B$7,M445=Config!$B$5,COUNTIFS($E$5:E445,E445,$H$5:H445,"Falta",$L$5:L445,Config!$B$7,$M$5:M445,Config!$B$5)=1),COUNTIFS($E$5:$E$1204,E445,$H$5:$H$1204,"Falta",$L$5:$L$1204,Config!$B$7,$M$5:$M$1204,Config!$B$5)*1000-ROW()/100000,0)</f>
        <v>0</v>
      </c>
    </row>
    <row r="446">
      <c r="A446" s="39" t="n">
        <v>46247</v>
      </c>
      <c r="B446" s="40" t="n">
        <v>0.7291666666666666</v>
      </c>
      <c r="C446" s="35" t="inlineStr">
        <is>
          <t>Dra. Renata Sousa</t>
        </is>
      </c>
      <c r="D446" s="35" t="inlineStr">
        <is>
          <t>Sala 1</t>
        </is>
      </c>
      <c r="E446" s="34" t="inlineStr">
        <is>
          <t>Priscila Reis</t>
        </is>
      </c>
      <c r="F446" s="35" t="inlineStr">
        <is>
          <t>Particular</t>
        </is>
      </c>
      <c r="G446" s="35" t="inlineStr">
        <is>
          <t>Avaliação endócrina</t>
        </is>
      </c>
      <c r="H446" s="35" t="inlineStr">
        <is>
          <t>Realizado</t>
        </is>
      </c>
      <c r="I446" s="35" t="inlineStr">
        <is>
          <t>Pix</t>
        </is>
      </c>
      <c r="J446" s="35" t="n"/>
      <c r="K446" s="34" t="n"/>
      <c r="L446" s="26">
        <f>IF(A446="","",MONTH(A446))</f>
        <v>8</v>
      </c>
      <c r="M446" s="26">
        <f>IF(A446="","",YEAR(A446))</f>
        <v>2026</v>
      </c>
      <c r="N446" s="26" t="str">
        <f>IF(A446="","",CHOOSE(WEEKDAY(A446,2),"Segunda","Terça","Quarta","Quinta","Sexta","Sábado","Domingo"))</f>
        <v>Quinta</v>
      </c>
      <c r="O446" s="26" t="str">
        <f>IF(B446="","",IF(B446&lt;TIME(12,0,0),"Manhã",IF(B446&lt;TIME(18,0,0),"Tarde","Noite")))</f>
        <v>Tarde</v>
      </c>
      <c r="P446" s="32">
        <f>IF(G446="","",IFERROR(INDEX(Config!$I$5:$I$16,MATCH(G446,Config!$H$5:$H$16,0)),0))</f>
        <v>45</v>
      </c>
      <c r="Q446" s="30">
        <f>IF(OR(H446&lt;&gt;"Realizado",P446="",P446=0),"",A446+P446)</f>
        <v>46292.0</v>
      </c>
      <c r="R446" s="26" t="str">
        <f>IF(Q446="","",IF(COUNTIFS($E$5:$E$1204,E446,$A$5:$A$1204,"&gt;"&amp;A446,$H$5:$H$1204,"&lt;&gt;Falta",$H$5:$H$1204,"&lt;&gt;Cancelado",$H$5:$H$1204,"&lt;&gt;Remarcado")&gt;0,"Sim","Não"))</f>
        <v>Sim</v>
      </c>
      <c r="S446" s="32">
        <f>IF(R446&lt;&gt;"Não","",IF(Q446+Config!$B$9&lt;=Config!$B$8,Config!$B$8-Q446,""))</f>
        <v/>
      </c>
      <c r="T446" s="26">
        <f>IF(S446="","","Sim")</f>
        <v/>
      </c>
      <c r="U446" s="41">
        <f>IF(T446="Sim",S446+ROW()/100000,0)</f>
        <v>0</v>
      </c>
      <c r="V446" s="41">
        <f>IF(AND(H446="Falta",L446=Config!$B$7,M446=Config!$B$5,COUNTIFS($E$5:E446,E446,$H$5:H446,"Falta",$L$5:L446,Config!$B$7,$M$5:M446,Config!$B$5)=1),COUNTIFS($E$5:$E$1204,E446,$H$5:$H$1204,"Falta",$L$5:$L$1204,Config!$B$7,$M$5:$M$1204,Config!$B$5)*1000-ROW()/100000,0)</f>
        <v>0</v>
      </c>
    </row>
    <row r="447">
      <c r="A447" s="39" t="n">
        <v>46247</v>
      </c>
      <c r="B447" s="40" t="n">
        <v>0.7291666666666666</v>
      </c>
      <c r="C447" s="35" t="inlineStr">
        <is>
          <t>Dr. Paulo Andrade</t>
        </is>
      </c>
      <c r="D447" s="35" t="inlineStr">
        <is>
          <t>Sala 2</t>
        </is>
      </c>
      <c r="E447" s="34" t="inlineStr">
        <is>
          <t>Gustavo Barbosa</t>
        </is>
      </c>
      <c r="F447" s="35" t="inlineStr">
        <is>
          <t>Saúde Total</t>
        </is>
      </c>
      <c r="G447" s="35" t="inlineStr">
        <is>
          <t>ECG</t>
        </is>
      </c>
      <c r="H447" s="35" t="inlineStr">
        <is>
          <t>Realizado</t>
        </is>
      </c>
      <c r="I447" s="35" t="inlineStr">
        <is>
          <t>Convênio</t>
        </is>
      </c>
      <c r="J447" s="35" t="n"/>
      <c r="K447" s="34" t="n"/>
      <c r="L447" s="26">
        <f>IF(A447="","",MONTH(A447))</f>
        <v>8</v>
      </c>
      <c r="M447" s="26">
        <f>IF(A447="","",YEAR(A447))</f>
        <v>2026</v>
      </c>
      <c r="N447" s="26" t="str">
        <f>IF(A447="","",CHOOSE(WEEKDAY(A447,2),"Segunda","Terça","Quarta","Quinta","Sexta","Sábado","Domingo"))</f>
        <v>Quinta</v>
      </c>
      <c r="O447" s="26" t="str">
        <f>IF(B447="","",IF(B447&lt;TIME(12,0,0),"Manhã",IF(B447&lt;TIME(18,0,0),"Tarde","Noite")))</f>
        <v>Tarde</v>
      </c>
      <c r="P447" s="32">
        <f>IF(G447="","",IFERROR(INDEX(Config!$I$5:$I$16,MATCH(G447,Config!$H$5:$H$16,0)),0))</f>
        <v>0</v>
      </c>
      <c r="Q447" s="30">
        <f>IF(OR(H447&lt;&gt;"Realizado",P447="",P447=0),"",A447+P447)</f>
        <v/>
      </c>
      <c r="R447" s="26">
        <f>IF(Q447="","",IF(COUNTIFS($E$5:$E$1204,E447,$A$5:$A$1204,"&gt;"&amp;A447,$H$5:$H$1204,"&lt;&gt;Falta",$H$5:$H$1204,"&lt;&gt;Cancelado",$H$5:$H$1204,"&lt;&gt;Remarcado")&gt;0,"Sim","Não"))</f>
        <v/>
      </c>
      <c r="S447" s="32">
        <f>IF(R447&lt;&gt;"Não","",IF(Q447+Config!$B$9&lt;=Config!$B$8,Config!$B$8-Q447,""))</f>
        <v/>
      </c>
      <c r="T447" s="26">
        <f>IF(S447="","","Sim")</f>
        <v/>
      </c>
      <c r="U447" s="41">
        <f>IF(T447="Sim",S447+ROW()/100000,0)</f>
        <v>0</v>
      </c>
      <c r="V447" s="41">
        <f>IF(AND(H447="Falta",L447=Config!$B$7,M447=Config!$B$5,COUNTIFS($E$5:E447,E447,$H$5:H447,"Falta",$L$5:L447,Config!$B$7,$M$5:M447,Config!$B$5)=1),COUNTIFS($E$5:$E$1204,E447,$H$5:$H$1204,"Falta",$L$5:$L$1204,Config!$B$7,$M$5:$M$1204,Config!$B$5)*1000-ROW()/100000,0)</f>
        <v>0</v>
      </c>
    </row>
    <row r="448">
      <c r="A448" s="39" t="n">
        <v>46248</v>
      </c>
      <c r="B448" s="40" t="n">
        <v>0.375</v>
      </c>
      <c r="C448" s="35" t="inlineStr">
        <is>
          <t>Dr. Paulo Andrade</t>
        </is>
      </c>
      <c r="D448" s="35" t="inlineStr">
        <is>
          <t>Sala 2</t>
        </is>
      </c>
      <c r="E448" s="34" t="inlineStr">
        <is>
          <t>Sandra Martins</t>
        </is>
      </c>
      <c r="F448" s="35" t="inlineStr">
        <is>
          <t>MediPlan</t>
        </is>
      </c>
      <c r="G448" s="35" t="inlineStr">
        <is>
          <t>Consulta</t>
        </is>
      </c>
      <c r="H448" s="35" t="inlineStr">
        <is>
          <t>Realizado</t>
        </is>
      </c>
      <c r="I448" s="35" t="inlineStr">
        <is>
          <t>Convênio</t>
        </is>
      </c>
      <c r="J448" s="35" t="n"/>
      <c r="K448" s="34" t="n"/>
      <c r="L448" s="26">
        <f>IF(A448="","",MONTH(A448))</f>
        <v>8</v>
      </c>
      <c r="M448" s="26">
        <f>IF(A448="","",YEAR(A448))</f>
        <v>2026</v>
      </c>
      <c r="N448" s="26" t="str">
        <f>IF(A448="","",CHOOSE(WEEKDAY(A448,2),"Segunda","Terça","Quarta","Quinta","Sexta","Sábado","Domingo"))</f>
        <v>Sexta</v>
      </c>
      <c r="O448" s="26" t="str">
        <f>IF(B448="","",IF(B448&lt;TIME(12,0,0),"Manhã",IF(B448&lt;TIME(18,0,0),"Tarde","Noite")))</f>
        <v>Manhã</v>
      </c>
      <c r="P448" s="32">
        <f>IF(G448="","",IFERROR(INDEX(Config!$I$5:$I$16,MATCH(G448,Config!$H$5:$H$16,0)),0))</f>
        <v>30</v>
      </c>
      <c r="Q448" s="30">
        <f>IF(OR(H448&lt;&gt;"Realizado",P448="",P448=0),"",A448+P448)</f>
        <v>46278.0</v>
      </c>
      <c r="R448" s="26" t="str">
        <f>IF(Q448="","",IF(COUNTIFS($E$5:$E$1204,E448,$A$5:$A$1204,"&gt;"&amp;A448,$H$5:$H$1204,"&lt;&gt;Falta",$H$5:$H$1204,"&lt;&gt;Cancelado",$H$5:$H$1204,"&lt;&gt;Remarcado")&gt;0,"Sim","Não"))</f>
        <v>Sim</v>
      </c>
      <c r="S448" s="32">
        <f>IF(R448&lt;&gt;"Não","",IF(Q448+Config!$B$9&lt;=Config!$B$8,Config!$B$8-Q448,""))</f>
        <v/>
      </c>
      <c r="T448" s="26">
        <f>IF(S448="","","Sim")</f>
        <v/>
      </c>
      <c r="U448" s="41">
        <f>IF(T448="Sim",S448+ROW()/100000,0)</f>
        <v>0</v>
      </c>
      <c r="V448" s="41">
        <f>IF(AND(H448="Falta",L448=Config!$B$7,M448=Config!$B$5,COUNTIFS($E$5:E448,E448,$H$5:H448,"Falta",$L$5:L448,Config!$B$7,$M$5:M448,Config!$B$5)=1),COUNTIFS($E$5:$E$1204,E448,$H$5:$H$1204,"Falta",$L$5:$L$1204,Config!$B$7,$M$5:$M$1204,Config!$B$5)*1000-ROW()/100000,0)</f>
        <v>0</v>
      </c>
    </row>
    <row r="449">
      <c r="A449" s="39" t="n">
        <v>46248</v>
      </c>
      <c r="B449" s="40" t="n">
        <v>0.3958333333333333</v>
      </c>
      <c r="C449" s="35" t="inlineStr">
        <is>
          <t>Dr. Paulo Andrade</t>
        </is>
      </c>
      <c r="D449" s="35" t="inlineStr">
        <is>
          <t>Sala 2</t>
        </is>
      </c>
      <c r="E449" s="34" t="inlineStr">
        <is>
          <t>Henrique Ribeiro</t>
        </is>
      </c>
      <c r="F449" s="35" t="inlineStr">
        <is>
          <t>Particular</t>
        </is>
      </c>
      <c r="G449" s="35" t="inlineStr">
        <is>
          <t>Retorno</t>
        </is>
      </c>
      <c r="H449" s="35" t="inlineStr">
        <is>
          <t>Realizado</t>
        </is>
      </c>
      <c r="I449" s="35" t="inlineStr">
        <is>
          <t>Sem cobrança</t>
        </is>
      </c>
      <c r="J449" s="35" t="n"/>
      <c r="K449" s="34" t="n"/>
      <c r="L449" s="26">
        <f>IF(A449="","",MONTH(A449))</f>
        <v>8</v>
      </c>
      <c r="M449" s="26">
        <f>IF(A449="","",YEAR(A449))</f>
        <v>2026</v>
      </c>
      <c r="N449" s="26" t="str">
        <f>IF(A449="","",CHOOSE(WEEKDAY(A449,2),"Segunda","Terça","Quarta","Quinta","Sexta","Sábado","Domingo"))</f>
        <v>Sexta</v>
      </c>
      <c r="O449" s="26" t="str">
        <f>IF(B449="","",IF(B449&lt;TIME(12,0,0),"Manhã",IF(B449&lt;TIME(18,0,0),"Tarde","Noite")))</f>
        <v>Manhã</v>
      </c>
      <c r="P449" s="32">
        <f>IF(G449="","",IFERROR(INDEX(Config!$I$5:$I$16,MATCH(G449,Config!$H$5:$H$16,0)),0))</f>
        <v>0</v>
      </c>
      <c r="Q449" s="30">
        <f>IF(OR(H449&lt;&gt;"Realizado",P449="",P449=0),"",A449+P449)</f>
        <v/>
      </c>
      <c r="R449" s="26">
        <f>IF(Q449="","",IF(COUNTIFS($E$5:$E$1204,E449,$A$5:$A$1204,"&gt;"&amp;A449,$H$5:$H$1204,"&lt;&gt;Falta",$H$5:$H$1204,"&lt;&gt;Cancelado",$H$5:$H$1204,"&lt;&gt;Remarcado")&gt;0,"Sim","Não"))</f>
        <v/>
      </c>
      <c r="S449" s="32">
        <f>IF(R449&lt;&gt;"Não","",IF(Q449+Config!$B$9&lt;=Config!$B$8,Config!$B$8-Q449,""))</f>
        <v/>
      </c>
      <c r="T449" s="26">
        <f>IF(S449="","","Sim")</f>
        <v/>
      </c>
      <c r="U449" s="41">
        <f>IF(T449="Sim",S449+ROW()/100000,0)</f>
        <v>0</v>
      </c>
      <c r="V449" s="41">
        <f>IF(AND(H449="Falta",L449=Config!$B$7,M449=Config!$B$5,COUNTIFS($E$5:E449,E449,$H$5:H449,"Falta",$L$5:L449,Config!$B$7,$M$5:M449,Config!$B$5)=1),COUNTIFS($E$5:$E$1204,E449,$H$5:$H$1204,"Falta",$L$5:$L$1204,Config!$B$7,$M$5:$M$1204,Config!$B$5)*1000-ROW()/100000,0)</f>
        <v>0</v>
      </c>
    </row>
    <row r="450">
      <c r="A450" s="39" t="n">
        <v>46248</v>
      </c>
      <c r="B450" s="40" t="n">
        <v>0.4097222222222222</v>
      </c>
      <c r="C450" s="35" t="inlineStr">
        <is>
          <t>Dr. Paulo Andrade</t>
        </is>
      </c>
      <c r="D450" s="35" t="inlineStr">
        <is>
          <t>Sala 2</t>
        </is>
      </c>
      <c r="E450" s="34" t="inlineStr">
        <is>
          <t>Gisele Pinto</t>
        </is>
      </c>
      <c r="F450" s="35" t="inlineStr">
        <is>
          <t>Saúde Total</t>
        </is>
      </c>
      <c r="G450" s="35" t="inlineStr">
        <is>
          <t>Consulta</t>
        </is>
      </c>
      <c r="H450" s="35" t="inlineStr">
        <is>
          <t>Realizado</t>
        </is>
      </c>
      <c r="I450" s="35" t="inlineStr">
        <is>
          <t>Convênio</t>
        </is>
      </c>
      <c r="J450" s="35" t="n"/>
      <c r="K450" s="34" t="n"/>
      <c r="L450" s="26">
        <f>IF(A450="","",MONTH(A450))</f>
        <v>8</v>
      </c>
      <c r="M450" s="26">
        <f>IF(A450="","",YEAR(A450))</f>
        <v>2026</v>
      </c>
      <c r="N450" s="26" t="str">
        <f>IF(A450="","",CHOOSE(WEEKDAY(A450,2),"Segunda","Terça","Quarta","Quinta","Sexta","Sábado","Domingo"))</f>
        <v>Sexta</v>
      </c>
      <c r="O450" s="26" t="str">
        <f>IF(B450="","",IF(B450&lt;TIME(12,0,0),"Manhã",IF(B450&lt;TIME(18,0,0),"Tarde","Noite")))</f>
        <v>Manhã</v>
      </c>
      <c r="P450" s="32">
        <f>IF(G450="","",IFERROR(INDEX(Config!$I$5:$I$16,MATCH(G450,Config!$H$5:$H$16,0)),0))</f>
        <v>30</v>
      </c>
      <c r="Q450" s="30">
        <f>IF(OR(H450&lt;&gt;"Realizado",P450="",P450=0),"",A450+P450)</f>
        <v>46278.0</v>
      </c>
      <c r="R450" s="26" t="str">
        <f>IF(Q450="","",IF(COUNTIFS($E$5:$E$1204,E450,$A$5:$A$1204,"&gt;"&amp;A450,$H$5:$H$1204,"&lt;&gt;Falta",$H$5:$H$1204,"&lt;&gt;Cancelado",$H$5:$H$1204,"&lt;&gt;Remarcado")&gt;0,"Sim","Não"))</f>
        <v>Sim</v>
      </c>
      <c r="S450" s="32">
        <f>IF(R450&lt;&gt;"Não","",IF(Q450+Config!$B$9&lt;=Config!$B$8,Config!$B$8-Q450,""))</f>
        <v/>
      </c>
      <c r="T450" s="26">
        <f>IF(S450="","","Sim")</f>
        <v/>
      </c>
      <c r="U450" s="41">
        <f>IF(T450="Sim",S450+ROW()/100000,0)</f>
        <v>0</v>
      </c>
      <c r="V450" s="41">
        <f>IF(AND(H450="Falta",L450=Config!$B$7,M450=Config!$B$5,COUNTIFS($E$5:E450,E450,$H$5:H450,"Falta",$L$5:L450,Config!$B$7,$M$5:M450,Config!$B$5)=1),COUNTIFS($E$5:$E$1204,E450,$H$5:$H$1204,"Falta",$L$5:$L$1204,Config!$B$7,$M$5:$M$1204,Config!$B$5)*1000-ROW()/100000,0)</f>
        <v>0</v>
      </c>
    </row>
    <row r="451">
      <c r="A451" s="39" t="n">
        <v>46248</v>
      </c>
      <c r="B451" s="40" t="n">
        <v>0.4305555555555556</v>
      </c>
      <c r="C451" s="35" t="inlineStr">
        <is>
          <t>Dr. Paulo Andrade</t>
        </is>
      </c>
      <c r="D451" s="35" t="inlineStr">
        <is>
          <t>Sala 2</t>
        </is>
      </c>
      <c r="E451" s="34" t="inlineStr">
        <is>
          <t>Cláudia Santos</t>
        </is>
      </c>
      <c r="F451" s="35" t="inlineStr">
        <is>
          <t>Particular</t>
        </is>
      </c>
      <c r="G451" s="35" t="inlineStr">
        <is>
          <t>MAPA</t>
        </is>
      </c>
      <c r="H451" s="35" t="inlineStr">
        <is>
          <t>Falta</t>
        </is>
      </c>
      <c r="I451" s="35" t="n"/>
      <c r="J451" s="35" t="n"/>
      <c r="K451" s="34" t="n"/>
      <c r="L451" s="26">
        <f>IF(A451="","",MONTH(A451))</f>
        <v>8</v>
      </c>
      <c r="M451" s="26">
        <f>IF(A451="","",YEAR(A451))</f>
        <v>2026</v>
      </c>
      <c r="N451" s="26" t="str">
        <f>IF(A451="","",CHOOSE(WEEKDAY(A451,2),"Segunda","Terça","Quarta","Quinta","Sexta","Sábado","Domingo"))</f>
        <v>Sexta</v>
      </c>
      <c r="O451" s="26" t="str">
        <f>IF(B451="","",IF(B451&lt;TIME(12,0,0),"Manhã",IF(B451&lt;TIME(18,0,0),"Tarde","Noite")))</f>
        <v>Manhã</v>
      </c>
      <c r="P451" s="32">
        <f>IF(G451="","",IFERROR(INDEX(Config!$I$5:$I$16,MATCH(G451,Config!$H$5:$H$16,0)),0))</f>
        <v>0</v>
      </c>
      <c r="Q451" s="30">
        <f>IF(OR(H451&lt;&gt;"Realizado",P451="",P451=0),"",A451+P451)</f>
        <v/>
      </c>
      <c r="R451" s="26">
        <f>IF(Q451="","",IF(COUNTIFS($E$5:$E$1204,E451,$A$5:$A$1204,"&gt;"&amp;A451,$H$5:$H$1204,"&lt;&gt;Falta",$H$5:$H$1204,"&lt;&gt;Cancelado",$H$5:$H$1204,"&lt;&gt;Remarcado")&gt;0,"Sim","Não"))</f>
        <v/>
      </c>
      <c r="S451" s="32">
        <f>IF(R451&lt;&gt;"Não","",IF(Q451+Config!$B$9&lt;=Config!$B$8,Config!$B$8-Q451,""))</f>
        <v/>
      </c>
      <c r="T451" s="26">
        <f>IF(S451="","","Sim")</f>
        <v/>
      </c>
      <c r="U451" s="41">
        <f>IF(T451="Sim",S451+ROW()/100000,0)</f>
        <v>0</v>
      </c>
      <c r="V451" s="41">
        <f>IF(AND(H451="Falta",L451=Config!$B$7,M451=Config!$B$5,COUNTIFS($E$5:E451,E451,$H$5:H451,"Falta",$L$5:L451,Config!$B$7,$M$5:M451,Config!$B$5)=1),COUNTIFS($E$5:$E$1204,E451,$H$5:$H$1204,"Falta",$L$5:$L$1204,Config!$B$7,$M$5:$M$1204,Config!$B$5)*1000-ROW()/100000,0)</f>
        <v>0</v>
      </c>
    </row>
    <row r="452">
      <c r="A452" s="39" t="n">
        <v>46248</v>
      </c>
      <c r="B452" s="40" t="n">
        <v>0.4652777777777778</v>
      </c>
      <c r="C452" s="35" t="inlineStr">
        <is>
          <t>Dr. Paulo Andrade</t>
        </is>
      </c>
      <c r="D452" s="35" t="inlineStr">
        <is>
          <t>Sala 2</t>
        </is>
      </c>
      <c r="E452" s="34" t="inlineStr">
        <is>
          <t>Thiago Duarte</t>
        </is>
      </c>
      <c r="F452" s="35" t="inlineStr">
        <is>
          <t>Saúde Total</t>
        </is>
      </c>
      <c r="G452" s="35" t="inlineStr">
        <is>
          <t>ECG</t>
        </is>
      </c>
      <c r="H452" s="35" t="inlineStr">
        <is>
          <t>Realizado</t>
        </is>
      </c>
      <c r="I452" s="35" t="inlineStr">
        <is>
          <t>Convênio</t>
        </is>
      </c>
      <c r="J452" s="35" t="n"/>
      <c r="K452" s="34" t="n"/>
      <c r="L452" s="26">
        <f>IF(A452="","",MONTH(A452))</f>
        <v>8</v>
      </c>
      <c r="M452" s="26">
        <f>IF(A452="","",YEAR(A452))</f>
        <v>2026</v>
      </c>
      <c r="N452" s="26" t="str">
        <f>IF(A452="","",CHOOSE(WEEKDAY(A452,2),"Segunda","Terça","Quarta","Quinta","Sexta","Sábado","Domingo"))</f>
        <v>Sexta</v>
      </c>
      <c r="O452" s="26" t="str">
        <f>IF(B452="","",IF(B452&lt;TIME(12,0,0),"Manhã",IF(B452&lt;TIME(18,0,0),"Tarde","Noite")))</f>
        <v>Manhã</v>
      </c>
      <c r="P452" s="32">
        <f>IF(G452="","",IFERROR(INDEX(Config!$I$5:$I$16,MATCH(G452,Config!$H$5:$H$16,0)),0))</f>
        <v>0</v>
      </c>
      <c r="Q452" s="30">
        <f>IF(OR(H452&lt;&gt;"Realizado",P452="",P452=0),"",A452+P452)</f>
        <v/>
      </c>
      <c r="R452" s="26">
        <f>IF(Q452="","",IF(COUNTIFS($E$5:$E$1204,E452,$A$5:$A$1204,"&gt;"&amp;A452,$H$5:$H$1204,"&lt;&gt;Falta",$H$5:$H$1204,"&lt;&gt;Cancelado",$H$5:$H$1204,"&lt;&gt;Remarcado")&gt;0,"Sim","Não"))</f>
        <v/>
      </c>
      <c r="S452" s="32">
        <f>IF(R452&lt;&gt;"Não","",IF(Q452+Config!$B$9&lt;=Config!$B$8,Config!$B$8-Q452,""))</f>
        <v/>
      </c>
      <c r="T452" s="26">
        <f>IF(S452="","","Sim")</f>
        <v/>
      </c>
      <c r="U452" s="41">
        <f>IF(T452="Sim",S452+ROW()/100000,0)</f>
        <v>0</v>
      </c>
      <c r="V452" s="41">
        <f>IF(AND(H452="Falta",L452=Config!$B$7,M452=Config!$B$5,COUNTIFS($E$5:E452,E452,$H$5:H452,"Falta",$L$5:L452,Config!$B$7,$M$5:M452,Config!$B$5)=1),COUNTIFS($E$5:$E$1204,E452,$H$5:$H$1204,"Falta",$L$5:$L$1204,Config!$B$7,$M$5:$M$1204,Config!$B$5)*1000-ROW()/100000,0)</f>
        <v>0</v>
      </c>
    </row>
    <row r="453">
      <c r="A453" s="39" t="n">
        <v>46248</v>
      </c>
      <c r="B453" s="40" t="n">
        <v>0.4791666666666667</v>
      </c>
      <c r="C453" s="35" t="inlineStr">
        <is>
          <t>Dr. Paulo Andrade</t>
        </is>
      </c>
      <c r="D453" s="35" t="inlineStr">
        <is>
          <t>Sala 2</t>
        </is>
      </c>
      <c r="E453" s="34" t="inlineStr">
        <is>
          <t>Elaine Cardoso</t>
        </is>
      </c>
      <c r="F453" s="35" t="inlineStr">
        <is>
          <t>Particular</t>
        </is>
      </c>
      <c r="G453" s="35" t="inlineStr">
        <is>
          <t>ECG</t>
        </is>
      </c>
      <c r="H453" s="35" t="inlineStr">
        <is>
          <t>Realizado</t>
        </is>
      </c>
      <c r="I453" s="35" t="inlineStr">
        <is>
          <t>A prazo</t>
        </is>
      </c>
      <c r="J453" s="35" t="n"/>
      <c r="K453" s="34" t="n"/>
      <c r="L453" s="26">
        <f>IF(A453="","",MONTH(A453))</f>
        <v>8</v>
      </c>
      <c r="M453" s="26">
        <f>IF(A453="","",YEAR(A453))</f>
        <v>2026</v>
      </c>
      <c r="N453" s="26" t="str">
        <f>IF(A453="","",CHOOSE(WEEKDAY(A453,2),"Segunda","Terça","Quarta","Quinta","Sexta","Sábado","Domingo"))</f>
        <v>Sexta</v>
      </c>
      <c r="O453" s="26" t="str">
        <f>IF(B453="","",IF(B453&lt;TIME(12,0,0),"Manhã",IF(B453&lt;TIME(18,0,0),"Tarde","Noite")))</f>
        <v>Manhã</v>
      </c>
      <c r="P453" s="32">
        <f>IF(G453="","",IFERROR(INDEX(Config!$I$5:$I$16,MATCH(G453,Config!$H$5:$H$16,0)),0))</f>
        <v>0</v>
      </c>
      <c r="Q453" s="30">
        <f>IF(OR(H453&lt;&gt;"Realizado",P453="",P453=0),"",A453+P453)</f>
        <v/>
      </c>
      <c r="R453" s="26">
        <f>IF(Q453="","",IF(COUNTIFS($E$5:$E$1204,E453,$A$5:$A$1204,"&gt;"&amp;A453,$H$5:$H$1204,"&lt;&gt;Falta",$H$5:$H$1204,"&lt;&gt;Cancelado",$H$5:$H$1204,"&lt;&gt;Remarcado")&gt;0,"Sim","Não"))</f>
        <v/>
      </c>
      <c r="S453" s="32">
        <f>IF(R453&lt;&gt;"Não","",IF(Q453+Config!$B$9&lt;=Config!$B$8,Config!$B$8-Q453,""))</f>
        <v/>
      </c>
      <c r="T453" s="26">
        <f>IF(S453="","","Sim")</f>
        <v/>
      </c>
      <c r="U453" s="41">
        <f>IF(T453="Sim",S453+ROW()/100000,0)</f>
        <v>0</v>
      </c>
      <c r="V453" s="41">
        <f>IF(AND(H453="Falta",L453=Config!$B$7,M453=Config!$B$5,COUNTIFS($E$5:E453,E453,$H$5:H453,"Falta",$L$5:L453,Config!$B$7,$M$5:M453,Config!$B$5)=1),COUNTIFS($E$5:$E$1204,E453,$H$5:$H$1204,"Falta",$L$5:$L$1204,Config!$B$7,$M$5:$M$1204,Config!$B$5)*1000-ROW()/100000,0)</f>
        <v>0</v>
      </c>
    </row>
    <row r="454">
      <c r="A454" s="39" t="n">
        <v>46251</v>
      </c>
      <c r="B454" s="40" t="n">
        <v>0.3333333333333333</v>
      </c>
      <c r="C454" s="35" t="inlineStr">
        <is>
          <t>Dra. Carolina Mendes</t>
        </is>
      </c>
      <c r="D454" s="35" t="inlineStr">
        <is>
          <t>Sala 1</t>
        </is>
      </c>
      <c r="E454" s="34" t="inlineStr">
        <is>
          <t>Letícia Vieira</t>
        </is>
      </c>
      <c r="F454" s="35" t="inlineStr">
        <is>
          <t>Saúde Total</t>
        </is>
      </c>
      <c r="G454" s="35" t="inlineStr">
        <is>
          <t>Retorno</t>
        </is>
      </c>
      <c r="H454" s="35" t="inlineStr">
        <is>
          <t>Realizado</t>
        </is>
      </c>
      <c r="I454" s="35" t="inlineStr">
        <is>
          <t>Sem cobrança</t>
        </is>
      </c>
      <c r="J454" s="35" t="n"/>
      <c r="K454" s="34" t="n"/>
      <c r="L454" s="26">
        <f>IF(A454="","",MONTH(A454))</f>
        <v>8</v>
      </c>
      <c r="M454" s="26">
        <f>IF(A454="","",YEAR(A454))</f>
        <v>2026</v>
      </c>
      <c r="N454" s="26" t="str">
        <f>IF(A454="","",CHOOSE(WEEKDAY(A454,2),"Segunda","Terça","Quarta","Quinta","Sexta","Sábado","Domingo"))</f>
        <v>Segunda</v>
      </c>
      <c r="O454" s="26" t="str">
        <f>IF(B454="","",IF(B454&lt;TIME(12,0,0),"Manhã",IF(B454&lt;TIME(18,0,0),"Tarde","Noite")))</f>
        <v>Manhã</v>
      </c>
      <c r="P454" s="32">
        <f>IF(G454="","",IFERROR(INDEX(Config!$I$5:$I$16,MATCH(G454,Config!$H$5:$H$16,0)),0))</f>
        <v>0</v>
      </c>
      <c r="Q454" s="30">
        <f>IF(OR(H454&lt;&gt;"Realizado",P454="",P454=0),"",A454+P454)</f>
        <v/>
      </c>
      <c r="R454" s="26">
        <f>IF(Q454="","",IF(COUNTIFS($E$5:$E$1204,E454,$A$5:$A$1204,"&gt;"&amp;A454,$H$5:$H$1204,"&lt;&gt;Falta",$H$5:$H$1204,"&lt;&gt;Cancelado",$H$5:$H$1204,"&lt;&gt;Remarcado")&gt;0,"Sim","Não"))</f>
        <v/>
      </c>
      <c r="S454" s="32">
        <f>IF(R454&lt;&gt;"Não","",IF(Q454+Config!$B$9&lt;=Config!$B$8,Config!$B$8-Q454,""))</f>
        <v/>
      </c>
      <c r="T454" s="26">
        <f>IF(S454="","","Sim")</f>
        <v/>
      </c>
      <c r="U454" s="41">
        <f>IF(T454="Sim",S454+ROW()/100000,0)</f>
        <v>0</v>
      </c>
      <c r="V454" s="41">
        <f>IF(AND(H454="Falta",L454=Config!$B$7,M454=Config!$B$5,COUNTIFS($E$5:E454,E454,$H$5:H454,"Falta",$L$5:L454,Config!$B$7,$M$5:M454,Config!$B$5)=1),COUNTIFS($E$5:$E$1204,E454,$H$5:$H$1204,"Falta",$L$5:$L$1204,Config!$B$7,$M$5:$M$1204,Config!$B$5)*1000-ROW()/100000,0)</f>
        <v>0</v>
      </c>
    </row>
    <row r="455">
      <c r="A455" s="39" t="n">
        <v>46251</v>
      </c>
      <c r="B455" s="40" t="n">
        <v>0.3472222222222222</v>
      </c>
      <c r="C455" s="35" t="inlineStr">
        <is>
          <t>Dra. Carolina Mendes</t>
        </is>
      </c>
      <c r="D455" s="35" t="inlineStr">
        <is>
          <t>Sala 1</t>
        </is>
      </c>
      <c r="E455" s="34" t="inlineStr">
        <is>
          <t>Regina Duarte</t>
        </is>
      </c>
      <c r="F455" s="35" t="inlineStr">
        <is>
          <t>Particular</t>
        </is>
      </c>
      <c r="G455" s="35" t="inlineStr">
        <is>
          <t>Consulta</t>
        </is>
      </c>
      <c r="H455" s="35" t="inlineStr">
        <is>
          <t>Realizado</t>
        </is>
      </c>
      <c r="I455" s="35" t="inlineStr">
        <is>
          <t>Cartão de débito</t>
        </is>
      </c>
      <c r="J455" s="35" t="n"/>
      <c r="K455" s="34" t="n"/>
      <c r="L455" s="26">
        <f>IF(A455="","",MONTH(A455))</f>
        <v>8</v>
      </c>
      <c r="M455" s="26">
        <f>IF(A455="","",YEAR(A455))</f>
        <v>2026</v>
      </c>
      <c r="N455" s="26" t="str">
        <f>IF(A455="","",CHOOSE(WEEKDAY(A455,2),"Segunda","Terça","Quarta","Quinta","Sexta","Sábado","Domingo"))</f>
        <v>Segunda</v>
      </c>
      <c r="O455" s="26" t="str">
        <f>IF(B455="","",IF(B455&lt;TIME(12,0,0),"Manhã",IF(B455&lt;TIME(18,0,0),"Tarde","Noite")))</f>
        <v>Manhã</v>
      </c>
      <c r="P455" s="32">
        <f>IF(G455="","",IFERROR(INDEX(Config!$I$5:$I$16,MATCH(G455,Config!$H$5:$H$16,0)),0))</f>
        <v>30</v>
      </c>
      <c r="Q455" s="30">
        <f>IF(OR(H455&lt;&gt;"Realizado",P455="",P455=0),"",A455+P455)</f>
        <v>46281.0</v>
      </c>
      <c r="R455" s="26" t="str">
        <f>IF(Q455="","",IF(COUNTIFS($E$5:$E$1204,E455,$A$5:$A$1204,"&gt;"&amp;A455,$H$5:$H$1204,"&lt;&gt;Falta",$H$5:$H$1204,"&lt;&gt;Cancelado",$H$5:$H$1204,"&lt;&gt;Remarcado")&gt;0,"Sim","Não"))</f>
        <v>Sim</v>
      </c>
      <c r="S455" s="32">
        <f>IF(R455&lt;&gt;"Não","",IF(Q455+Config!$B$9&lt;=Config!$B$8,Config!$B$8-Q455,""))</f>
        <v/>
      </c>
      <c r="T455" s="26">
        <f>IF(S455="","","Sim")</f>
        <v/>
      </c>
      <c r="U455" s="41">
        <f>IF(T455="Sim",S455+ROW()/100000,0)</f>
        <v>0</v>
      </c>
      <c r="V455" s="41">
        <f>IF(AND(H455="Falta",L455=Config!$B$7,M455=Config!$B$5,COUNTIFS($E$5:E455,E455,$H$5:H455,"Falta",$L$5:L455,Config!$B$7,$M$5:M455,Config!$B$5)=1),COUNTIFS($E$5:$E$1204,E455,$H$5:$H$1204,"Falta",$L$5:$L$1204,Config!$B$7,$M$5:$M$1204,Config!$B$5)*1000-ROW()/100000,0)</f>
        <v>0</v>
      </c>
    </row>
    <row r="456">
      <c r="A456" s="39" t="n">
        <v>46251</v>
      </c>
      <c r="B456" s="40" t="n">
        <v>0.3888888888888889</v>
      </c>
      <c r="C456" s="35" t="inlineStr">
        <is>
          <t>Dra. Carolina Mendes</t>
        </is>
      </c>
      <c r="D456" s="35" t="inlineStr">
        <is>
          <t>Sala 1</t>
        </is>
      </c>
      <c r="E456" s="34" t="inlineStr">
        <is>
          <t>Tatiana Rocha</t>
        </is>
      </c>
      <c r="F456" s="35" t="inlineStr">
        <is>
          <t>Vida Care</t>
        </is>
      </c>
      <c r="G456" s="35" t="inlineStr">
        <is>
          <t>Retorno</t>
        </is>
      </c>
      <c r="H456" s="35" t="inlineStr">
        <is>
          <t>Falta</t>
        </is>
      </c>
      <c r="I456" s="35" t="n"/>
      <c r="J456" s="35" t="n"/>
      <c r="K456" s="34" t="n"/>
      <c r="L456" s="26">
        <f>IF(A456="","",MONTH(A456))</f>
        <v>8</v>
      </c>
      <c r="M456" s="26">
        <f>IF(A456="","",YEAR(A456))</f>
        <v>2026</v>
      </c>
      <c r="N456" s="26" t="str">
        <f>IF(A456="","",CHOOSE(WEEKDAY(A456,2),"Segunda","Terça","Quarta","Quinta","Sexta","Sábado","Domingo"))</f>
        <v>Segunda</v>
      </c>
      <c r="O456" s="26" t="str">
        <f>IF(B456="","",IF(B456&lt;TIME(12,0,0),"Manhã",IF(B456&lt;TIME(18,0,0),"Tarde","Noite")))</f>
        <v>Manhã</v>
      </c>
      <c r="P456" s="32">
        <f>IF(G456="","",IFERROR(INDEX(Config!$I$5:$I$16,MATCH(G456,Config!$H$5:$H$16,0)),0))</f>
        <v>0</v>
      </c>
      <c r="Q456" s="30">
        <f>IF(OR(H456&lt;&gt;"Realizado",P456="",P456=0),"",A456+P456)</f>
        <v/>
      </c>
      <c r="R456" s="26">
        <f>IF(Q456="","",IF(COUNTIFS($E$5:$E$1204,E456,$A$5:$A$1204,"&gt;"&amp;A456,$H$5:$H$1204,"&lt;&gt;Falta",$H$5:$H$1204,"&lt;&gt;Cancelado",$H$5:$H$1204,"&lt;&gt;Remarcado")&gt;0,"Sim","Não"))</f>
        <v/>
      </c>
      <c r="S456" s="32">
        <f>IF(R456&lt;&gt;"Não","",IF(Q456+Config!$B$9&lt;=Config!$B$8,Config!$B$8-Q456,""))</f>
        <v/>
      </c>
      <c r="T456" s="26">
        <f>IF(S456="","","Sim")</f>
        <v/>
      </c>
      <c r="U456" s="41">
        <f>IF(T456="Sim",S456+ROW()/100000,0)</f>
        <v>0</v>
      </c>
      <c r="V456" s="41">
        <f>IF(AND(H456="Falta",L456=Config!$B$7,M456=Config!$B$5,COUNTIFS($E$5:E456,E456,$H$5:H456,"Falta",$L$5:L456,Config!$B$7,$M$5:M456,Config!$B$5)=1),COUNTIFS($E$5:$E$1204,E456,$H$5:$H$1204,"Falta",$L$5:$L$1204,Config!$B$7,$M$5:$M$1204,Config!$B$5)*1000-ROW()/100000,0)</f>
        <v>0</v>
      </c>
    </row>
    <row r="457">
      <c r="A457" s="39" t="n">
        <v>46251</v>
      </c>
      <c r="B457" s="40" t="n">
        <v>0.4236111111111111</v>
      </c>
      <c r="C457" s="35" t="inlineStr">
        <is>
          <t>Dra. Carolina Mendes</t>
        </is>
      </c>
      <c r="D457" s="35" t="inlineStr">
        <is>
          <t>Sala 1</t>
        </is>
      </c>
      <c r="E457" s="34" t="inlineStr">
        <is>
          <t>Larissa Costa</t>
        </is>
      </c>
      <c r="F457" s="35" t="inlineStr">
        <is>
          <t>Particular</t>
        </is>
      </c>
      <c r="G457" s="35" t="inlineStr">
        <is>
          <t>Retorno</t>
        </is>
      </c>
      <c r="H457" s="35" t="inlineStr">
        <is>
          <t>Realizado</t>
        </is>
      </c>
      <c r="I457" s="35" t="inlineStr">
        <is>
          <t>Sem cobrança</t>
        </is>
      </c>
      <c r="J457" s="35" t="n"/>
      <c r="K457" s="34" t="n"/>
      <c r="L457" s="26">
        <f>IF(A457="","",MONTH(A457))</f>
        <v>8</v>
      </c>
      <c r="M457" s="26">
        <f>IF(A457="","",YEAR(A457))</f>
        <v>2026</v>
      </c>
      <c r="N457" s="26" t="str">
        <f>IF(A457="","",CHOOSE(WEEKDAY(A457,2),"Segunda","Terça","Quarta","Quinta","Sexta","Sábado","Domingo"))</f>
        <v>Segunda</v>
      </c>
      <c r="O457" s="26" t="str">
        <f>IF(B457="","",IF(B457&lt;TIME(12,0,0),"Manhã",IF(B457&lt;TIME(18,0,0),"Tarde","Noite")))</f>
        <v>Manhã</v>
      </c>
      <c r="P457" s="32">
        <f>IF(G457="","",IFERROR(INDEX(Config!$I$5:$I$16,MATCH(G457,Config!$H$5:$H$16,0)),0))</f>
        <v>0</v>
      </c>
      <c r="Q457" s="30">
        <f>IF(OR(H457&lt;&gt;"Realizado",P457="",P457=0),"",A457+P457)</f>
        <v/>
      </c>
      <c r="R457" s="26">
        <f>IF(Q457="","",IF(COUNTIFS($E$5:$E$1204,E457,$A$5:$A$1204,"&gt;"&amp;A457,$H$5:$H$1204,"&lt;&gt;Falta",$H$5:$H$1204,"&lt;&gt;Cancelado",$H$5:$H$1204,"&lt;&gt;Remarcado")&gt;0,"Sim","Não"))</f>
        <v/>
      </c>
      <c r="S457" s="32">
        <f>IF(R457&lt;&gt;"Não","",IF(Q457+Config!$B$9&lt;=Config!$B$8,Config!$B$8-Q457,""))</f>
        <v/>
      </c>
      <c r="T457" s="26">
        <f>IF(S457="","","Sim")</f>
        <v/>
      </c>
      <c r="U457" s="41">
        <f>IF(T457="Sim",S457+ROW()/100000,0)</f>
        <v>0</v>
      </c>
      <c r="V457" s="41">
        <f>IF(AND(H457="Falta",L457=Config!$B$7,M457=Config!$B$5,COUNTIFS($E$5:E457,E457,$H$5:H457,"Falta",$L$5:L457,Config!$B$7,$M$5:M457,Config!$B$5)=1),COUNTIFS($E$5:$E$1204,E457,$H$5:$H$1204,"Falta",$L$5:$L$1204,Config!$B$7,$M$5:$M$1204,Config!$B$5)*1000-ROW()/100000,0)</f>
        <v>0</v>
      </c>
    </row>
    <row r="458">
      <c r="A458" s="39" t="n">
        <v>46251</v>
      </c>
      <c r="B458" s="40" t="n">
        <v>0.4375</v>
      </c>
      <c r="C458" s="35" t="inlineStr">
        <is>
          <t>Dra. Carolina Mendes</t>
        </is>
      </c>
      <c r="D458" s="35" t="inlineStr">
        <is>
          <t>Sala 1</t>
        </is>
      </c>
      <c r="E458" s="34" t="inlineStr">
        <is>
          <t>Camila Batista</t>
        </is>
      </c>
      <c r="F458" s="35" t="inlineStr">
        <is>
          <t>MediPlan</t>
        </is>
      </c>
      <c r="G458" s="35" t="inlineStr">
        <is>
          <t>Consulta</t>
        </is>
      </c>
      <c r="H458" s="35" t="inlineStr">
        <is>
          <t>Realizado</t>
        </is>
      </c>
      <c r="I458" s="35" t="inlineStr">
        <is>
          <t>Convênio</t>
        </is>
      </c>
      <c r="J458" s="35" t="n"/>
      <c r="K458" s="34" t="n"/>
      <c r="L458" s="26">
        <f>IF(A458="","",MONTH(A458))</f>
        <v>8</v>
      </c>
      <c r="M458" s="26">
        <f>IF(A458="","",YEAR(A458))</f>
        <v>2026</v>
      </c>
      <c r="N458" s="26" t="str">
        <f>IF(A458="","",CHOOSE(WEEKDAY(A458,2),"Segunda","Terça","Quarta","Quinta","Sexta","Sábado","Domingo"))</f>
        <v>Segunda</v>
      </c>
      <c r="O458" s="26" t="str">
        <f>IF(B458="","",IF(B458&lt;TIME(12,0,0),"Manhã",IF(B458&lt;TIME(18,0,0),"Tarde","Noite")))</f>
        <v>Manhã</v>
      </c>
      <c r="P458" s="32">
        <f>IF(G458="","",IFERROR(INDEX(Config!$I$5:$I$16,MATCH(G458,Config!$H$5:$H$16,0)),0))</f>
        <v>30</v>
      </c>
      <c r="Q458" s="30">
        <f>IF(OR(H458&lt;&gt;"Realizado",P458="",P458=0),"",A458+P458)</f>
        <v>46281.0</v>
      </c>
      <c r="R458" s="26" t="str">
        <f>IF(Q458="","",IF(COUNTIFS($E$5:$E$1204,E458,$A$5:$A$1204,"&gt;"&amp;A458,$H$5:$H$1204,"&lt;&gt;Falta",$H$5:$H$1204,"&lt;&gt;Cancelado",$H$5:$H$1204,"&lt;&gt;Remarcado")&gt;0,"Sim","Não"))</f>
        <v>Sim</v>
      </c>
      <c r="S458" s="32">
        <f>IF(R458&lt;&gt;"Não","",IF(Q458+Config!$B$9&lt;=Config!$B$8,Config!$B$8-Q458,""))</f>
        <v/>
      </c>
      <c r="T458" s="26">
        <f>IF(S458="","","Sim")</f>
        <v/>
      </c>
      <c r="U458" s="41">
        <f>IF(T458="Sim",S458+ROW()/100000,0)</f>
        <v>0</v>
      </c>
      <c r="V458" s="41">
        <f>IF(AND(H458="Falta",L458=Config!$B$7,M458=Config!$B$5,COUNTIFS($E$5:E458,E458,$H$5:H458,"Falta",$L$5:L458,Config!$B$7,$M$5:M458,Config!$B$5)=1),COUNTIFS($E$5:$E$1204,E458,$H$5:$H$1204,"Falta",$L$5:$L$1204,Config!$B$7,$M$5:$M$1204,Config!$B$5)*1000-ROW()/100000,0)</f>
        <v>0</v>
      </c>
    </row>
    <row r="459">
      <c r="A459" s="39" t="n">
        <v>46251</v>
      </c>
      <c r="B459" s="40" t="n">
        <v>0.4583333333333333</v>
      </c>
      <c r="C459" s="35" t="inlineStr">
        <is>
          <t>Dra. Carolina Mendes</t>
        </is>
      </c>
      <c r="D459" s="35" t="inlineStr">
        <is>
          <t>Sala 1</t>
        </is>
      </c>
      <c r="E459" s="34" t="inlineStr">
        <is>
          <t>Elaine Cardoso</t>
        </is>
      </c>
      <c r="F459" s="35" t="inlineStr">
        <is>
          <t>Particular</t>
        </is>
      </c>
      <c r="G459" s="35" t="inlineStr">
        <is>
          <t>Consulta</t>
        </is>
      </c>
      <c r="H459" s="35" t="inlineStr">
        <is>
          <t>Realizado</t>
        </is>
      </c>
      <c r="I459" s="35" t="inlineStr">
        <is>
          <t>A prazo</t>
        </is>
      </c>
      <c r="J459" s="35" t="n"/>
      <c r="K459" s="34" t="n"/>
      <c r="L459" s="26">
        <f>IF(A459="","",MONTH(A459))</f>
        <v>8</v>
      </c>
      <c r="M459" s="26">
        <f>IF(A459="","",YEAR(A459))</f>
        <v>2026</v>
      </c>
      <c r="N459" s="26" t="str">
        <f>IF(A459="","",CHOOSE(WEEKDAY(A459,2),"Segunda","Terça","Quarta","Quinta","Sexta","Sábado","Domingo"))</f>
        <v>Segunda</v>
      </c>
      <c r="O459" s="26" t="str">
        <f>IF(B459="","",IF(B459&lt;TIME(12,0,0),"Manhã",IF(B459&lt;TIME(18,0,0),"Tarde","Noite")))</f>
        <v>Manhã</v>
      </c>
      <c r="P459" s="32">
        <f>IF(G459="","",IFERROR(INDEX(Config!$I$5:$I$16,MATCH(G459,Config!$H$5:$H$16,0)),0))</f>
        <v>30</v>
      </c>
      <c r="Q459" s="30">
        <f>IF(OR(H459&lt;&gt;"Realizado",P459="",P459=0),"",A459+P459)</f>
        <v>46281.0</v>
      </c>
      <c r="R459" s="26" t="str">
        <f>IF(Q459="","",IF(COUNTIFS($E$5:$E$1204,E459,$A$5:$A$1204,"&gt;"&amp;A459,$H$5:$H$1204,"&lt;&gt;Falta",$H$5:$H$1204,"&lt;&gt;Cancelado",$H$5:$H$1204,"&lt;&gt;Remarcado")&gt;0,"Sim","Não"))</f>
        <v>Sim</v>
      </c>
      <c r="S459" s="32">
        <f>IF(R459&lt;&gt;"Não","",IF(Q459+Config!$B$9&lt;=Config!$B$8,Config!$B$8-Q459,""))</f>
        <v/>
      </c>
      <c r="T459" s="26">
        <f>IF(S459="","","Sim")</f>
        <v/>
      </c>
      <c r="U459" s="41">
        <f>IF(T459="Sim",S459+ROW()/100000,0)</f>
        <v>0</v>
      </c>
      <c r="V459" s="41">
        <f>IF(AND(H459="Falta",L459=Config!$B$7,M459=Config!$B$5,COUNTIFS($E$5:E459,E459,$H$5:H459,"Falta",$L$5:L459,Config!$B$7,$M$5:M459,Config!$B$5)=1),COUNTIFS($E$5:$E$1204,E459,$H$5:$H$1204,"Falta",$L$5:$L$1204,Config!$B$7,$M$5:$M$1204,Config!$B$5)*1000-ROW()/100000,0)</f>
        <v>0</v>
      </c>
    </row>
    <row r="460">
      <c r="A460" s="39" t="n">
        <v>46251</v>
      </c>
      <c r="B460" s="40" t="n">
        <v>0.4791666666666667</v>
      </c>
      <c r="C460" s="35" t="inlineStr">
        <is>
          <t>Dra. Carolina Mendes</t>
        </is>
      </c>
      <c r="D460" s="35" t="inlineStr">
        <is>
          <t>Sala 1</t>
        </is>
      </c>
      <c r="E460" s="34" t="inlineStr">
        <is>
          <t>Daniel Almeida</t>
        </is>
      </c>
      <c r="F460" s="35" t="inlineStr">
        <is>
          <t>Saúde Total</t>
        </is>
      </c>
      <c r="G460" s="35" t="inlineStr">
        <is>
          <t>Consulta</t>
        </is>
      </c>
      <c r="H460" s="35" t="inlineStr">
        <is>
          <t>Falta</t>
        </is>
      </c>
      <c r="I460" s="35" t="n"/>
      <c r="J460" s="35" t="n"/>
      <c r="K460" s="34" t="n"/>
      <c r="L460" s="26">
        <f>IF(A460="","",MONTH(A460))</f>
        <v>8</v>
      </c>
      <c r="M460" s="26">
        <f>IF(A460="","",YEAR(A460))</f>
        <v>2026</v>
      </c>
      <c r="N460" s="26" t="str">
        <f>IF(A460="","",CHOOSE(WEEKDAY(A460,2),"Segunda","Terça","Quarta","Quinta","Sexta","Sábado","Domingo"))</f>
        <v>Segunda</v>
      </c>
      <c r="O460" s="26" t="str">
        <f>IF(B460="","",IF(B460&lt;TIME(12,0,0),"Manhã",IF(B460&lt;TIME(18,0,0),"Tarde","Noite")))</f>
        <v>Manhã</v>
      </c>
      <c r="P460" s="32">
        <f>IF(G460="","",IFERROR(INDEX(Config!$I$5:$I$16,MATCH(G460,Config!$H$5:$H$16,0)),0))</f>
        <v>30</v>
      </c>
      <c r="Q460" s="30">
        <f>IF(OR(H460&lt;&gt;"Realizado",P460="",P460=0),"",A460+P460)</f>
        <v/>
      </c>
      <c r="R460" s="26">
        <f>IF(Q460="","",IF(COUNTIFS($E$5:$E$1204,E460,$A$5:$A$1204,"&gt;"&amp;A460,$H$5:$H$1204,"&lt;&gt;Falta",$H$5:$H$1204,"&lt;&gt;Cancelado",$H$5:$H$1204,"&lt;&gt;Remarcado")&gt;0,"Sim","Não"))</f>
        <v/>
      </c>
      <c r="S460" s="32">
        <f>IF(R460&lt;&gt;"Não","",IF(Q460+Config!$B$9&lt;=Config!$B$8,Config!$B$8-Q460,""))</f>
        <v/>
      </c>
      <c r="T460" s="26">
        <f>IF(S460="","","Sim")</f>
        <v/>
      </c>
      <c r="U460" s="41">
        <f>IF(T460="Sim",S460+ROW()/100000,0)</f>
        <v>0</v>
      </c>
      <c r="V460" s="41">
        <f>IF(AND(H460="Falta",L460=Config!$B$7,M460=Config!$B$5,COUNTIFS($E$5:E460,E460,$H$5:H460,"Falta",$L$5:L460,Config!$B$7,$M$5:M460,Config!$B$5)=1),COUNTIFS($E$5:$E$1204,E460,$H$5:$H$1204,"Falta",$L$5:$L$1204,Config!$B$7,$M$5:$M$1204,Config!$B$5)*1000-ROW()/100000,0)</f>
        <v>0</v>
      </c>
    </row>
    <row r="461">
      <c r="A461" s="39" t="n">
        <v>46251</v>
      </c>
      <c r="B461" s="40" t="n">
        <v>0.5833333333333334</v>
      </c>
      <c r="C461" s="35" t="inlineStr">
        <is>
          <t>Dr. Paulo Andrade</t>
        </is>
      </c>
      <c r="D461" s="35" t="inlineStr">
        <is>
          <t>Sala 2</t>
        </is>
      </c>
      <c r="E461" s="34" t="inlineStr">
        <is>
          <t>Rafael Correia</t>
        </is>
      </c>
      <c r="F461" s="35" t="inlineStr">
        <is>
          <t>Particular</t>
        </is>
      </c>
      <c r="G461" s="35" t="inlineStr">
        <is>
          <t>Consulta</t>
        </is>
      </c>
      <c r="H461" s="35" t="inlineStr">
        <is>
          <t>Realizado</t>
        </is>
      </c>
      <c r="I461" s="35" t="inlineStr">
        <is>
          <t>Dinheiro</t>
        </is>
      </c>
      <c r="J461" s="35" t="n"/>
      <c r="K461" s="34" t="n"/>
      <c r="L461" s="26">
        <f>IF(A461="","",MONTH(A461))</f>
        <v>8</v>
      </c>
      <c r="M461" s="26">
        <f>IF(A461="","",YEAR(A461))</f>
        <v>2026</v>
      </c>
      <c r="N461" s="26" t="str">
        <f>IF(A461="","",CHOOSE(WEEKDAY(A461,2),"Segunda","Terça","Quarta","Quinta","Sexta","Sábado","Domingo"))</f>
        <v>Segunda</v>
      </c>
      <c r="O461" s="26" t="str">
        <f>IF(B461="","",IF(B461&lt;TIME(12,0,0),"Manhã",IF(B461&lt;TIME(18,0,0),"Tarde","Noite")))</f>
        <v>Tarde</v>
      </c>
      <c r="P461" s="32">
        <f>IF(G461="","",IFERROR(INDEX(Config!$I$5:$I$16,MATCH(G461,Config!$H$5:$H$16,0)),0))</f>
        <v>30</v>
      </c>
      <c r="Q461" s="30">
        <f>IF(OR(H461&lt;&gt;"Realizado",P461="",P461=0),"",A461+P461)</f>
        <v>46281.0</v>
      </c>
      <c r="R461" s="26" t="str">
        <f>IF(Q461="","",IF(COUNTIFS($E$5:$E$1204,E461,$A$5:$A$1204,"&gt;"&amp;A461,$H$5:$H$1204,"&lt;&gt;Falta",$H$5:$H$1204,"&lt;&gt;Cancelado",$H$5:$H$1204,"&lt;&gt;Remarcado")&gt;0,"Sim","Não"))</f>
        <v>Sim</v>
      </c>
      <c r="S461" s="32">
        <f>IF(R461&lt;&gt;"Não","",IF(Q461+Config!$B$9&lt;=Config!$B$8,Config!$B$8-Q461,""))</f>
        <v/>
      </c>
      <c r="T461" s="26">
        <f>IF(S461="","","Sim")</f>
        <v/>
      </c>
      <c r="U461" s="41">
        <f>IF(T461="Sim",S461+ROW()/100000,0)</f>
        <v>0</v>
      </c>
      <c r="V461" s="41">
        <f>IF(AND(H461="Falta",L461=Config!$B$7,M461=Config!$B$5,COUNTIFS($E$5:E461,E461,$H$5:H461,"Falta",$L$5:L461,Config!$B$7,$M$5:M461,Config!$B$5)=1),COUNTIFS($E$5:$E$1204,E461,$H$5:$H$1204,"Falta",$L$5:$L$1204,Config!$B$7,$M$5:$M$1204,Config!$B$5)*1000-ROW()/100000,0)</f>
        <v>0</v>
      </c>
    </row>
    <row r="462">
      <c r="A462" s="39" t="n">
        <v>46251</v>
      </c>
      <c r="B462" s="40" t="n">
        <v>0.6458333333333334</v>
      </c>
      <c r="C462" s="35" t="inlineStr">
        <is>
          <t>Dr. Paulo Andrade</t>
        </is>
      </c>
      <c r="D462" s="35" t="inlineStr">
        <is>
          <t>Sala 2</t>
        </is>
      </c>
      <c r="E462" s="34" t="inlineStr">
        <is>
          <t>Helena Moreira</t>
        </is>
      </c>
      <c r="F462" s="35" t="inlineStr">
        <is>
          <t>Particular</t>
        </is>
      </c>
      <c r="G462" s="35" t="inlineStr">
        <is>
          <t>MAPA</t>
        </is>
      </c>
      <c r="H462" s="35" t="inlineStr">
        <is>
          <t>Realizado</t>
        </is>
      </c>
      <c r="I462" s="35" t="inlineStr">
        <is>
          <t>Cartão de crédito</t>
        </is>
      </c>
      <c r="J462" s="35" t="n">
        <v>2</v>
      </c>
      <c r="K462" s="34" t="n"/>
      <c r="L462" s="26">
        <f>IF(A462="","",MONTH(A462))</f>
        <v>8</v>
      </c>
      <c r="M462" s="26">
        <f>IF(A462="","",YEAR(A462))</f>
        <v>2026</v>
      </c>
      <c r="N462" s="26" t="str">
        <f>IF(A462="","",CHOOSE(WEEKDAY(A462,2),"Segunda","Terça","Quarta","Quinta","Sexta","Sábado","Domingo"))</f>
        <v>Segunda</v>
      </c>
      <c r="O462" s="26" t="str">
        <f>IF(B462="","",IF(B462&lt;TIME(12,0,0),"Manhã",IF(B462&lt;TIME(18,0,0),"Tarde","Noite")))</f>
        <v>Tarde</v>
      </c>
      <c r="P462" s="32">
        <f>IF(G462="","",IFERROR(INDEX(Config!$I$5:$I$16,MATCH(G462,Config!$H$5:$H$16,0)),0))</f>
        <v>0</v>
      </c>
      <c r="Q462" s="30">
        <f>IF(OR(H462&lt;&gt;"Realizado",P462="",P462=0),"",A462+P462)</f>
        <v/>
      </c>
      <c r="R462" s="26">
        <f>IF(Q462="","",IF(COUNTIFS($E$5:$E$1204,E462,$A$5:$A$1204,"&gt;"&amp;A462,$H$5:$H$1204,"&lt;&gt;Falta",$H$5:$H$1204,"&lt;&gt;Cancelado",$H$5:$H$1204,"&lt;&gt;Remarcado")&gt;0,"Sim","Não"))</f>
        <v/>
      </c>
      <c r="S462" s="32">
        <f>IF(R462&lt;&gt;"Não","",IF(Q462+Config!$B$9&lt;=Config!$B$8,Config!$B$8-Q462,""))</f>
        <v/>
      </c>
      <c r="T462" s="26">
        <f>IF(S462="","","Sim")</f>
        <v/>
      </c>
      <c r="U462" s="41">
        <f>IF(T462="Sim",S462+ROW()/100000,0)</f>
        <v>0</v>
      </c>
      <c r="V462" s="41">
        <f>IF(AND(H462="Falta",L462=Config!$B$7,M462=Config!$B$5,COUNTIFS($E$5:E462,E462,$H$5:H462,"Falta",$L$5:L462,Config!$B$7,$M$5:M462,Config!$B$5)=1),COUNTIFS($E$5:$E$1204,E462,$H$5:$H$1204,"Falta",$L$5:$L$1204,Config!$B$7,$M$5:$M$1204,Config!$B$5)*1000-ROW()/100000,0)</f>
        <v>0</v>
      </c>
    </row>
    <row r="463">
      <c r="A463" s="39" t="n">
        <v>46251</v>
      </c>
      <c r="B463" s="40" t="n">
        <v>0.6597222222222222</v>
      </c>
      <c r="C463" s="35" t="inlineStr">
        <is>
          <t>Dr. Paulo Andrade</t>
        </is>
      </c>
      <c r="D463" s="35" t="inlineStr">
        <is>
          <t>Sala 2</t>
        </is>
      </c>
      <c r="E463" s="34" t="inlineStr">
        <is>
          <t>Paulo Nascimento</t>
        </is>
      </c>
      <c r="F463" s="35" t="inlineStr">
        <is>
          <t>MediPlan</t>
        </is>
      </c>
      <c r="G463" s="35" t="inlineStr">
        <is>
          <t>Consulta</t>
        </is>
      </c>
      <c r="H463" s="35" t="inlineStr">
        <is>
          <t>Realizado</t>
        </is>
      </c>
      <c r="I463" s="35" t="inlineStr">
        <is>
          <t>Convênio</t>
        </is>
      </c>
      <c r="J463" s="35" t="n"/>
      <c r="K463" s="34" t="n"/>
      <c r="L463" s="26">
        <f>IF(A463="","",MONTH(A463))</f>
        <v>8</v>
      </c>
      <c r="M463" s="26">
        <f>IF(A463="","",YEAR(A463))</f>
        <v>2026</v>
      </c>
      <c r="N463" s="26" t="str">
        <f>IF(A463="","",CHOOSE(WEEKDAY(A463,2),"Segunda","Terça","Quarta","Quinta","Sexta","Sábado","Domingo"))</f>
        <v>Segunda</v>
      </c>
      <c r="O463" s="26" t="str">
        <f>IF(B463="","",IF(B463&lt;TIME(12,0,0),"Manhã",IF(B463&lt;TIME(18,0,0),"Tarde","Noite")))</f>
        <v>Tarde</v>
      </c>
      <c r="P463" s="32">
        <f>IF(G463="","",IFERROR(INDEX(Config!$I$5:$I$16,MATCH(G463,Config!$H$5:$H$16,0)),0))</f>
        <v>30</v>
      </c>
      <c r="Q463" s="30">
        <f>IF(OR(H463&lt;&gt;"Realizado",P463="",P463=0),"",A463+P463)</f>
        <v>46281.0</v>
      </c>
      <c r="R463" s="26" t="str">
        <f>IF(Q463="","",IF(COUNTIFS($E$5:$E$1204,E463,$A$5:$A$1204,"&gt;"&amp;A463,$H$5:$H$1204,"&lt;&gt;Falta",$H$5:$H$1204,"&lt;&gt;Cancelado",$H$5:$H$1204,"&lt;&gt;Remarcado")&gt;0,"Sim","Não"))</f>
        <v>Sim</v>
      </c>
      <c r="S463" s="32">
        <f>IF(R463&lt;&gt;"Não","",IF(Q463+Config!$B$9&lt;=Config!$B$8,Config!$B$8-Q463,""))</f>
        <v/>
      </c>
      <c r="T463" s="26">
        <f>IF(S463="","","Sim")</f>
        <v/>
      </c>
      <c r="U463" s="41">
        <f>IF(T463="Sim",S463+ROW()/100000,0)</f>
        <v>0</v>
      </c>
      <c r="V463" s="41">
        <f>IF(AND(H463="Falta",L463=Config!$B$7,M463=Config!$B$5,COUNTIFS($E$5:E463,E463,$H$5:H463,"Falta",$L$5:L463,Config!$B$7,$M$5:M463,Config!$B$5)=1),COUNTIFS($E$5:$E$1204,E463,$H$5:$H$1204,"Falta",$L$5:$L$1204,Config!$B$7,$M$5:$M$1204,Config!$B$5)*1000-ROW()/100000,0)</f>
        <v>0</v>
      </c>
    </row>
    <row r="464">
      <c r="A464" s="39" t="n">
        <v>46251</v>
      </c>
      <c r="B464" s="40" t="n">
        <v>0.6805555555555556</v>
      </c>
      <c r="C464" s="35" t="inlineStr">
        <is>
          <t>Dr. Paulo Andrade</t>
        </is>
      </c>
      <c r="D464" s="35" t="inlineStr">
        <is>
          <t>Sala 2</t>
        </is>
      </c>
      <c r="E464" s="34" t="inlineStr">
        <is>
          <t>Marcelo Ferreira</t>
        </is>
      </c>
      <c r="F464" s="35" t="inlineStr">
        <is>
          <t>Particular</t>
        </is>
      </c>
      <c r="G464" s="35" t="inlineStr">
        <is>
          <t>Consulta</t>
        </is>
      </c>
      <c r="H464" s="35" t="inlineStr">
        <is>
          <t>Realizado</t>
        </is>
      </c>
      <c r="I464" s="35" t="inlineStr">
        <is>
          <t>Pix</t>
        </is>
      </c>
      <c r="J464" s="35" t="n"/>
      <c r="K464" s="34" t="n"/>
      <c r="L464" s="26">
        <f>IF(A464="","",MONTH(A464))</f>
        <v>8</v>
      </c>
      <c r="M464" s="26">
        <f>IF(A464="","",YEAR(A464))</f>
        <v>2026</v>
      </c>
      <c r="N464" s="26" t="str">
        <f>IF(A464="","",CHOOSE(WEEKDAY(A464,2),"Segunda","Terça","Quarta","Quinta","Sexta","Sábado","Domingo"))</f>
        <v>Segunda</v>
      </c>
      <c r="O464" s="26" t="str">
        <f>IF(B464="","",IF(B464&lt;TIME(12,0,0),"Manhã",IF(B464&lt;TIME(18,0,0),"Tarde","Noite")))</f>
        <v>Tarde</v>
      </c>
      <c r="P464" s="32">
        <f>IF(G464="","",IFERROR(INDEX(Config!$I$5:$I$16,MATCH(G464,Config!$H$5:$H$16,0)),0))</f>
        <v>30</v>
      </c>
      <c r="Q464" s="30">
        <f>IF(OR(H464&lt;&gt;"Realizado",P464="",P464=0),"",A464+P464)</f>
        <v>46281.0</v>
      </c>
      <c r="R464" s="26" t="str">
        <f>IF(Q464="","",IF(COUNTIFS($E$5:$E$1204,E464,$A$5:$A$1204,"&gt;"&amp;A464,$H$5:$H$1204,"&lt;&gt;Falta",$H$5:$H$1204,"&lt;&gt;Cancelado",$H$5:$H$1204,"&lt;&gt;Remarcado")&gt;0,"Sim","Não"))</f>
        <v>Sim</v>
      </c>
      <c r="S464" s="32">
        <f>IF(R464&lt;&gt;"Não","",IF(Q464+Config!$B$9&lt;=Config!$B$8,Config!$B$8-Q464,""))</f>
        <v/>
      </c>
      <c r="T464" s="26">
        <f>IF(S464="","","Sim")</f>
        <v/>
      </c>
      <c r="U464" s="41">
        <f>IF(T464="Sim",S464+ROW()/100000,0)</f>
        <v>0</v>
      </c>
      <c r="V464" s="41">
        <f>IF(AND(H464="Falta",L464=Config!$B$7,M464=Config!$B$5,COUNTIFS($E$5:E464,E464,$H$5:H464,"Falta",$L$5:L464,Config!$B$7,$M$5:M464,Config!$B$5)=1),COUNTIFS($E$5:$E$1204,E464,$H$5:$H$1204,"Falta",$L$5:$L$1204,Config!$B$7,$M$5:$M$1204,Config!$B$5)*1000-ROW()/100000,0)</f>
        <v>0</v>
      </c>
    </row>
    <row r="465">
      <c r="A465" s="39" t="n">
        <v>46251</v>
      </c>
      <c r="B465" s="40" t="n">
        <v>0.7013888888888888</v>
      </c>
      <c r="C465" s="35" t="inlineStr">
        <is>
          <t>Dr. Paulo Andrade</t>
        </is>
      </c>
      <c r="D465" s="35" t="inlineStr">
        <is>
          <t>Sala 2</t>
        </is>
      </c>
      <c r="E465" s="34" t="inlineStr">
        <is>
          <t>Fábio Machado</t>
        </is>
      </c>
      <c r="F465" s="35" t="inlineStr">
        <is>
          <t>Particular</t>
        </is>
      </c>
      <c r="G465" s="35" t="inlineStr">
        <is>
          <t>Retorno</t>
        </is>
      </c>
      <c r="H465" s="35" t="inlineStr">
        <is>
          <t>Realizado</t>
        </is>
      </c>
      <c r="I465" s="35" t="inlineStr">
        <is>
          <t>Sem cobrança</t>
        </is>
      </c>
      <c r="J465" s="35" t="n"/>
      <c r="K465" s="34" t="n"/>
      <c r="L465" s="26">
        <f>IF(A465="","",MONTH(A465))</f>
        <v>8</v>
      </c>
      <c r="M465" s="26">
        <f>IF(A465="","",YEAR(A465))</f>
        <v>2026</v>
      </c>
      <c r="N465" s="26" t="str">
        <f>IF(A465="","",CHOOSE(WEEKDAY(A465,2),"Segunda","Terça","Quarta","Quinta","Sexta","Sábado","Domingo"))</f>
        <v>Segunda</v>
      </c>
      <c r="O465" s="26" t="str">
        <f>IF(B465="","",IF(B465&lt;TIME(12,0,0),"Manhã",IF(B465&lt;TIME(18,0,0),"Tarde","Noite")))</f>
        <v>Tarde</v>
      </c>
      <c r="P465" s="32">
        <f>IF(G465="","",IFERROR(INDEX(Config!$I$5:$I$16,MATCH(G465,Config!$H$5:$H$16,0)),0))</f>
        <v>0</v>
      </c>
      <c r="Q465" s="30">
        <f>IF(OR(H465&lt;&gt;"Realizado",P465="",P465=0),"",A465+P465)</f>
        <v/>
      </c>
      <c r="R465" s="26">
        <f>IF(Q465="","",IF(COUNTIFS($E$5:$E$1204,E465,$A$5:$A$1204,"&gt;"&amp;A465,$H$5:$H$1204,"&lt;&gt;Falta",$H$5:$H$1204,"&lt;&gt;Cancelado",$H$5:$H$1204,"&lt;&gt;Remarcado")&gt;0,"Sim","Não"))</f>
        <v/>
      </c>
      <c r="S465" s="32">
        <f>IF(R465&lt;&gt;"Não","",IF(Q465+Config!$B$9&lt;=Config!$B$8,Config!$B$8-Q465,""))</f>
        <v/>
      </c>
      <c r="T465" s="26">
        <f>IF(S465="","","Sim")</f>
        <v/>
      </c>
      <c r="U465" s="41">
        <f>IF(T465="Sim",S465+ROW()/100000,0)</f>
        <v>0</v>
      </c>
      <c r="V465" s="41">
        <f>IF(AND(H465="Falta",L465=Config!$B$7,M465=Config!$B$5,COUNTIFS($E$5:E465,E465,$H$5:H465,"Falta",$L$5:L465,Config!$B$7,$M$5:M465,Config!$B$5)=1),COUNTIFS($E$5:$E$1204,E465,$H$5:$H$1204,"Falta",$L$5:$L$1204,Config!$B$7,$M$5:$M$1204,Config!$B$5)*1000-ROW()/100000,0)</f>
        <v>0</v>
      </c>
    </row>
    <row r="466">
      <c r="A466" s="39" t="n">
        <v>46251</v>
      </c>
      <c r="B466" s="40" t="n">
        <v>0.7152777777777778</v>
      </c>
      <c r="C466" s="35" t="inlineStr">
        <is>
          <t>Dr. Paulo Andrade</t>
        </is>
      </c>
      <c r="D466" s="35" t="inlineStr">
        <is>
          <t>Sala 2</t>
        </is>
      </c>
      <c r="E466" s="34" t="inlineStr">
        <is>
          <t>Viviane Duarte</t>
        </is>
      </c>
      <c r="F466" s="35" t="inlineStr">
        <is>
          <t>MediPlan</t>
        </is>
      </c>
      <c r="G466" s="35" t="inlineStr">
        <is>
          <t>Retorno</t>
        </is>
      </c>
      <c r="H466" s="35" t="inlineStr">
        <is>
          <t>Realizado</t>
        </is>
      </c>
      <c r="I466" s="35" t="inlineStr">
        <is>
          <t>Sem cobrança</t>
        </is>
      </c>
      <c r="J466" s="35" t="n"/>
      <c r="K466" s="34" t="n"/>
      <c r="L466" s="26">
        <f>IF(A466="","",MONTH(A466))</f>
        <v>8</v>
      </c>
      <c r="M466" s="26">
        <f>IF(A466="","",YEAR(A466))</f>
        <v>2026</v>
      </c>
      <c r="N466" s="26" t="str">
        <f>IF(A466="","",CHOOSE(WEEKDAY(A466,2),"Segunda","Terça","Quarta","Quinta","Sexta","Sábado","Domingo"))</f>
        <v>Segunda</v>
      </c>
      <c r="O466" s="26" t="str">
        <f>IF(B466="","",IF(B466&lt;TIME(12,0,0),"Manhã",IF(B466&lt;TIME(18,0,0),"Tarde","Noite")))</f>
        <v>Tarde</v>
      </c>
      <c r="P466" s="32">
        <f>IF(G466="","",IFERROR(INDEX(Config!$I$5:$I$16,MATCH(G466,Config!$H$5:$H$16,0)),0))</f>
        <v>0</v>
      </c>
      <c r="Q466" s="30">
        <f>IF(OR(H466&lt;&gt;"Realizado",P466="",P466=0),"",A466+P466)</f>
        <v/>
      </c>
      <c r="R466" s="26">
        <f>IF(Q466="","",IF(COUNTIFS($E$5:$E$1204,E466,$A$5:$A$1204,"&gt;"&amp;A466,$H$5:$H$1204,"&lt;&gt;Falta",$H$5:$H$1204,"&lt;&gt;Cancelado",$H$5:$H$1204,"&lt;&gt;Remarcado")&gt;0,"Sim","Não"))</f>
        <v/>
      </c>
      <c r="S466" s="32">
        <f>IF(R466&lt;&gt;"Não","",IF(Q466+Config!$B$9&lt;=Config!$B$8,Config!$B$8-Q466,""))</f>
        <v/>
      </c>
      <c r="T466" s="26">
        <f>IF(S466="","","Sim")</f>
        <v/>
      </c>
      <c r="U466" s="41">
        <f>IF(T466="Sim",S466+ROW()/100000,0)</f>
        <v>0</v>
      </c>
      <c r="V466" s="41">
        <f>IF(AND(H466="Falta",L466=Config!$B$7,M466=Config!$B$5,COUNTIFS($E$5:E466,E466,$H$5:H466,"Falta",$L$5:L466,Config!$B$7,$M$5:M466,Config!$B$5)=1),COUNTIFS($E$5:$E$1204,E466,$H$5:$H$1204,"Falta",$L$5:$L$1204,Config!$B$7,$M$5:$M$1204,Config!$B$5)*1000-ROW()/100000,0)</f>
        <v>0</v>
      </c>
    </row>
    <row r="467">
      <c r="A467" s="39" t="n">
        <v>46251</v>
      </c>
      <c r="B467" s="40" t="n">
        <v>0.7291666666666666</v>
      </c>
      <c r="C467" s="35" t="inlineStr">
        <is>
          <t>Dr. Paulo Andrade</t>
        </is>
      </c>
      <c r="D467" s="35" t="inlineStr">
        <is>
          <t>Sala 2</t>
        </is>
      </c>
      <c r="E467" s="34" t="inlineStr">
        <is>
          <t>Lucas Cardoso</t>
        </is>
      </c>
      <c r="F467" s="35" t="inlineStr">
        <is>
          <t>Particular</t>
        </is>
      </c>
      <c r="G467" s="35" t="inlineStr">
        <is>
          <t>Consulta</t>
        </is>
      </c>
      <c r="H467" s="35" t="inlineStr">
        <is>
          <t>Falta</t>
        </is>
      </c>
      <c r="I467" s="35" t="n"/>
      <c r="J467" s="35" t="n"/>
      <c r="K467" s="34" t="n"/>
      <c r="L467" s="26">
        <f>IF(A467="","",MONTH(A467))</f>
        <v>8</v>
      </c>
      <c r="M467" s="26">
        <f>IF(A467="","",YEAR(A467))</f>
        <v>2026</v>
      </c>
      <c r="N467" s="26" t="str">
        <f>IF(A467="","",CHOOSE(WEEKDAY(A467,2),"Segunda","Terça","Quarta","Quinta","Sexta","Sábado","Domingo"))</f>
        <v>Segunda</v>
      </c>
      <c r="O467" s="26" t="str">
        <f>IF(B467="","",IF(B467&lt;TIME(12,0,0),"Manhã",IF(B467&lt;TIME(18,0,0),"Tarde","Noite")))</f>
        <v>Tarde</v>
      </c>
      <c r="P467" s="32">
        <f>IF(G467="","",IFERROR(INDEX(Config!$I$5:$I$16,MATCH(G467,Config!$H$5:$H$16,0)),0))</f>
        <v>30</v>
      </c>
      <c r="Q467" s="30">
        <f>IF(OR(H467&lt;&gt;"Realizado",P467="",P467=0),"",A467+P467)</f>
        <v/>
      </c>
      <c r="R467" s="26">
        <f>IF(Q467="","",IF(COUNTIFS($E$5:$E$1204,E467,$A$5:$A$1204,"&gt;"&amp;A467,$H$5:$H$1204,"&lt;&gt;Falta",$H$5:$H$1204,"&lt;&gt;Cancelado",$H$5:$H$1204,"&lt;&gt;Remarcado")&gt;0,"Sim","Não"))</f>
        <v/>
      </c>
      <c r="S467" s="32">
        <f>IF(R467&lt;&gt;"Não","",IF(Q467+Config!$B$9&lt;=Config!$B$8,Config!$B$8-Q467,""))</f>
        <v/>
      </c>
      <c r="T467" s="26">
        <f>IF(S467="","","Sim")</f>
        <v/>
      </c>
      <c r="U467" s="41">
        <f>IF(T467="Sim",S467+ROW()/100000,0)</f>
        <v>0</v>
      </c>
      <c r="V467" s="41">
        <f>IF(AND(H467="Falta",L467=Config!$B$7,M467=Config!$B$5,COUNTIFS($E$5:E467,E467,$H$5:H467,"Falta",$L$5:L467,Config!$B$7,$M$5:M467,Config!$B$5)=1),COUNTIFS($E$5:$E$1204,E467,$H$5:$H$1204,"Falta",$L$5:$L$1204,Config!$B$7,$M$5:$M$1204,Config!$B$5)*1000-ROW()/100000,0)</f>
        <v>0</v>
      </c>
    </row>
    <row r="468">
      <c r="A468" s="39" t="n">
        <v>46252</v>
      </c>
      <c r="B468" s="40" t="n">
        <v>0.3541666666666667</v>
      </c>
      <c r="C468" s="35" t="inlineStr">
        <is>
          <t>Dra. Carolina Mendes</t>
        </is>
      </c>
      <c r="D468" s="35" t="inlineStr">
        <is>
          <t>Sala 1</t>
        </is>
      </c>
      <c r="E468" s="34" t="inlineStr">
        <is>
          <t>Helena Moreira</t>
        </is>
      </c>
      <c r="F468" s="35" t="inlineStr">
        <is>
          <t>Particular</t>
        </is>
      </c>
      <c r="G468" s="35" t="inlineStr">
        <is>
          <t>Retorno</t>
        </is>
      </c>
      <c r="H468" s="35" t="inlineStr">
        <is>
          <t>Realizado</t>
        </is>
      </c>
      <c r="I468" s="35" t="inlineStr">
        <is>
          <t>Sem cobrança</t>
        </is>
      </c>
      <c r="J468" s="35" t="n"/>
      <c r="K468" s="34" t="n"/>
      <c r="L468" s="26">
        <f>IF(A468="","",MONTH(A468))</f>
        <v>8</v>
      </c>
      <c r="M468" s="26">
        <f>IF(A468="","",YEAR(A468))</f>
        <v>2026</v>
      </c>
      <c r="N468" s="26" t="str">
        <f>IF(A468="","",CHOOSE(WEEKDAY(A468,2),"Segunda","Terça","Quarta","Quinta","Sexta","Sábado","Domingo"))</f>
        <v>Terça</v>
      </c>
      <c r="O468" s="26" t="str">
        <f>IF(B468="","",IF(B468&lt;TIME(12,0,0),"Manhã",IF(B468&lt;TIME(18,0,0),"Tarde","Noite")))</f>
        <v>Manhã</v>
      </c>
      <c r="P468" s="32">
        <f>IF(G468="","",IFERROR(INDEX(Config!$I$5:$I$16,MATCH(G468,Config!$H$5:$H$16,0)),0))</f>
        <v>0</v>
      </c>
      <c r="Q468" s="30">
        <f>IF(OR(H468&lt;&gt;"Realizado",P468="",P468=0),"",A468+P468)</f>
        <v/>
      </c>
      <c r="R468" s="26">
        <f>IF(Q468="","",IF(COUNTIFS($E$5:$E$1204,E468,$A$5:$A$1204,"&gt;"&amp;A468,$H$5:$H$1204,"&lt;&gt;Falta",$H$5:$H$1204,"&lt;&gt;Cancelado",$H$5:$H$1204,"&lt;&gt;Remarcado")&gt;0,"Sim","Não"))</f>
        <v/>
      </c>
      <c r="S468" s="32">
        <f>IF(R468&lt;&gt;"Não","",IF(Q468+Config!$B$9&lt;=Config!$B$8,Config!$B$8-Q468,""))</f>
        <v/>
      </c>
      <c r="T468" s="26">
        <f>IF(S468="","","Sim")</f>
        <v/>
      </c>
      <c r="U468" s="41">
        <f>IF(T468="Sim",S468+ROW()/100000,0)</f>
        <v>0</v>
      </c>
      <c r="V468" s="41">
        <f>IF(AND(H468="Falta",L468=Config!$B$7,M468=Config!$B$5,COUNTIFS($E$5:E468,E468,$H$5:H468,"Falta",$L$5:L468,Config!$B$7,$M$5:M468,Config!$B$5)=1),COUNTIFS($E$5:$E$1204,E468,$H$5:$H$1204,"Falta",$L$5:$L$1204,Config!$B$7,$M$5:$M$1204,Config!$B$5)*1000-ROW()/100000,0)</f>
        <v>0</v>
      </c>
    </row>
    <row r="469">
      <c r="A469" s="39" t="n">
        <v>46252</v>
      </c>
      <c r="B469" s="40" t="n">
        <v>0.3680555555555556</v>
      </c>
      <c r="C469" s="35" t="inlineStr">
        <is>
          <t>Dra. Carolina Mendes</t>
        </is>
      </c>
      <c r="D469" s="35" t="inlineStr">
        <is>
          <t>Sala 1</t>
        </is>
      </c>
      <c r="E469" s="34" t="inlineStr">
        <is>
          <t>Rodrigo Teixeira</t>
        </is>
      </c>
      <c r="F469" s="35" t="inlineStr">
        <is>
          <t>Vida Care</t>
        </is>
      </c>
      <c r="G469" s="35" t="inlineStr">
        <is>
          <t>Consulta</t>
        </is>
      </c>
      <c r="H469" s="35" t="inlineStr">
        <is>
          <t>Realizado</t>
        </is>
      </c>
      <c r="I469" s="35" t="inlineStr">
        <is>
          <t>Convênio</t>
        </is>
      </c>
      <c r="J469" s="35" t="n"/>
      <c r="K469" s="34" t="n"/>
      <c r="L469" s="26">
        <f>IF(A469="","",MONTH(A469))</f>
        <v>8</v>
      </c>
      <c r="M469" s="26">
        <f>IF(A469="","",YEAR(A469))</f>
        <v>2026</v>
      </c>
      <c r="N469" s="26" t="str">
        <f>IF(A469="","",CHOOSE(WEEKDAY(A469,2),"Segunda","Terça","Quarta","Quinta","Sexta","Sábado","Domingo"))</f>
        <v>Terça</v>
      </c>
      <c r="O469" s="26" t="str">
        <f>IF(B469="","",IF(B469&lt;TIME(12,0,0),"Manhã",IF(B469&lt;TIME(18,0,0),"Tarde","Noite")))</f>
        <v>Manhã</v>
      </c>
      <c r="P469" s="32">
        <f>IF(G469="","",IFERROR(INDEX(Config!$I$5:$I$16,MATCH(G469,Config!$H$5:$H$16,0)),0))</f>
        <v>30</v>
      </c>
      <c r="Q469" s="30">
        <f>IF(OR(H469&lt;&gt;"Realizado",P469="",P469=0),"",A469+P469)</f>
        <v>46282.0</v>
      </c>
      <c r="R469" s="26" t="str">
        <f>IF(Q469="","",IF(COUNTIFS($E$5:$E$1204,E469,$A$5:$A$1204,"&gt;"&amp;A469,$H$5:$H$1204,"&lt;&gt;Falta",$H$5:$H$1204,"&lt;&gt;Cancelado",$H$5:$H$1204,"&lt;&gt;Remarcado")&gt;0,"Sim","Não"))</f>
        <v>Sim</v>
      </c>
      <c r="S469" s="32">
        <f>IF(R469&lt;&gt;"Não","",IF(Q469+Config!$B$9&lt;=Config!$B$8,Config!$B$8-Q469,""))</f>
        <v/>
      </c>
      <c r="T469" s="26">
        <f>IF(S469="","","Sim")</f>
        <v/>
      </c>
      <c r="U469" s="41">
        <f>IF(T469="Sim",S469+ROW()/100000,0)</f>
        <v>0</v>
      </c>
      <c r="V469" s="41">
        <f>IF(AND(H469="Falta",L469=Config!$B$7,M469=Config!$B$5,COUNTIFS($E$5:E469,E469,$H$5:H469,"Falta",$L$5:L469,Config!$B$7,$M$5:M469,Config!$B$5)=1),COUNTIFS($E$5:$E$1204,E469,$H$5:$H$1204,"Falta",$L$5:$L$1204,Config!$B$7,$M$5:$M$1204,Config!$B$5)*1000-ROW()/100000,0)</f>
        <v>0</v>
      </c>
    </row>
    <row r="470">
      <c r="A470" s="39" t="n">
        <v>46252</v>
      </c>
      <c r="B470" s="40" t="n">
        <v>0.3888888888888889</v>
      </c>
      <c r="C470" s="35" t="inlineStr">
        <is>
          <t>Dra. Carolina Mendes</t>
        </is>
      </c>
      <c r="D470" s="35" t="inlineStr">
        <is>
          <t>Sala 1</t>
        </is>
      </c>
      <c r="E470" s="34" t="inlineStr">
        <is>
          <t>Sérgio Martins</t>
        </is>
      </c>
      <c r="F470" s="35" t="inlineStr">
        <is>
          <t>Particular</t>
        </is>
      </c>
      <c r="G470" s="35" t="inlineStr">
        <is>
          <t>Consulta</t>
        </is>
      </c>
      <c r="H470" s="35" t="inlineStr">
        <is>
          <t>Realizado</t>
        </is>
      </c>
      <c r="I470" s="35" t="inlineStr">
        <is>
          <t>Cartão de débito</t>
        </is>
      </c>
      <c r="J470" s="35" t="n"/>
      <c r="K470" s="34" t="n"/>
      <c r="L470" s="26">
        <f>IF(A470="","",MONTH(A470))</f>
        <v>8</v>
      </c>
      <c r="M470" s="26">
        <f>IF(A470="","",YEAR(A470))</f>
        <v>2026</v>
      </c>
      <c r="N470" s="26" t="str">
        <f>IF(A470="","",CHOOSE(WEEKDAY(A470,2),"Segunda","Terça","Quarta","Quinta","Sexta","Sábado","Domingo"))</f>
        <v>Terça</v>
      </c>
      <c r="O470" s="26" t="str">
        <f>IF(B470="","",IF(B470&lt;TIME(12,0,0),"Manhã",IF(B470&lt;TIME(18,0,0),"Tarde","Noite")))</f>
        <v>Manhã</v>
      </c>
      <c r="P470" s="32">
        <f>IF(G470="","",IFERROR(INDEX(Config!$I$5:$I$16,MATCH(G470,Config!$H$5:$H$16,0)),0))</f>
        <v>30</v>
      </c>
      <c r="Q470" s="30">
        <f>IF(OR(H470&lt;&gt;"Realizado",P470="",P470=0),"",A470+P470)</f>
        <v>46282.0</v>
      </c>
      <c r="R470" s="26" t="str">
        <f>IF(Q470="","",IF(COUNTIFS($E$5:$E$1204,E470,$A$5:$A$1204,"&gt;"&amp;A470,$H$5:$H$1204,"&lt;&gt;Falta",$H$5:$H$1204,"&lt;&gt;Cancelado",$H$5:$H$1204,"&lt;&gt;Remarcado")&gt;0,"Sim","Não"))</f>
        <v>Sim</v>
      </c>
      <c r="S470" s="32">
        <f>IF(R470&lt;&gt;"Não","",IF(Q470+Config!$B$9&lt;=Config!$B$8,Config!$B$8-Q470,""))</f>
        <v/>
      </c>
      <c r="T470" s="26">
        <f>IF(S470="","","Sim")</f>
        <v/>
      </c>
      <c r="U470" s="41">
        <f>IF(T470="Sim",S470+ROW()/100000,0)</f>
        <v>0</v>
      </c>
      <c r="V470" s="41">
        <f>IF(AND(H470="Falta",L470=Config!$B$7,M470=Config!$B$5,COUNTIFS($E$5:E470,E470,$H$5:H470,"Falta",$L$5:L470,Config!$B$7,$M$5:M470,Config!$B$5)=1),COUNTIFS($E$5:$E$1204,E470,$H$5:$H$1204,"Falta",$L$5:$L$1204,Config!$B$7,$M$5:$M$1204,Config!$B$5)*1000-ROW()/100000,0)</f>
        <v>0</v>
      </c>
    </row>
    <row r="471">
      <c r="A471" s="39" t="n">
        <v>46252</v>
      </c>
      <c r="B471" s="40" t="n">
        <v>0.4097222222222222</v>
      </c>
      <c r="C471" s="35" t="inlineStr">
        <is>
          <t>Dra. Carolina Mendes</t>
        </is>
      </c>
      <c r="D471" s="35" t="inlineStr">
        <is>
          <t>Sala 1</t>
        </is>
      </c>
      <c r="E471" s="34" t="inlineStr">
        <is>
          <t>Carlos Barros</t>
        </is>
      </c>
      <c r="F471" s="35" t="inlineStr">
        <is>
          <t>MediPlan</t>
        </is>
      </c>
      <c r="G471" s="35" t="inlineStr">
        <is>
          <t>Consulta</t>
        </is>
      </c>
      <c r="H471" s="35" t="inlineStr">
        <is>
          <t>Realizado</t>
        </is>
      </c>
      <c r="I471" s="35" t="inlineStr">
        <is>
          <t>Convênio</t>
        </is>
      </c>
      <c r="J471" s="35" t="n"/>
      <c r="K471" s="34" t="n"/>
      <c r="L471" s="26">
        <f>IF(A471="","",MONTH(A471))</f>
        <v>8</v>
      </c>
      <c r="M471" s="26">
        <f>IF(A471="","",YEAR(A471))</f>
        <v>2026</v>
      </c>
      <c r="N471" s="26" t="str">
        <f>IF(A471="","",CHOOSE(WEEKDAY(A471,2),"Segunda","Terça","Quarta","Quinta","Sexta","Sábado","Domingo"))</f>
        <v>Terça</v>
      </c>
      <c r="O471" s="26" t="str">
        <f>IF(B471="","",IF(B471&lt;TIME(12,0,0),"Manhã",IF(B471&lt;TIME(18,0,0),"Tarde","Noite")))</f>
        <v>Manhã</v>
      </c>
      <c r="P471" s="32">
        <f>IF(G471="","",IFERROR(INDEX(Config!$I$5:$I$16,MATCH(G471,Config!$H$5:$H$16,0)),0))</f>
        <v>30</v>
      </c>
      <c r="Q471" s="30">
        <f>IF(OR(H471&lt;&gt;"Realizado",P471="",P471=0),"",A471+P471)</f>
        <v>46282.0</v>
      </c>
      <c r="R471" s="26" t="str">
        <f>IF(Q471="","",IF(COUNTIFS($E$5:$E$1204,E471,$A$5:$A$1204,"&gt;"&amp;A471,$H$5:$H$1204,"&lt;&gt;Falta",$H$5:$H$1204,"&lt;&gt;Cancelado",$H$5:$H$1204,"&lt;&gt;Remarcado")&gt;0,"Sim","Não"))</f>
        <v>Sim</v>
      </c>
      <c r="S471" s="32">
        <f>IF(R471&lt;&gt;"Não","",IF(Q471+Config!$B$9&lt;=Config!$B$8,Config!$B$8-Q471,""))</f>
        <v/>
      </c>
      <c r="T471" s="26">
        <f>IF(S471="","","Sim")</f>
        <v/>
      </c>
      <c r="U471" s="41">
        <f>IF(T471="Sim",S471+ROW()/100000,0)</f>
        <v>0</v>
      </c>
      <c r="V471" s="41">
        <f>IF(AND(H471="Falta",L471=Config!$B$7,M471=Config!$B$5,COUNTIFS($E$5:E471,E471,$H$5:H471,"Falta",$L$5:L471,Config!$B$7,$M$5:M471,Config!$B$5)=1),COUNTIFS($E$5:$E$1204,E471,$H$5:$H$1204,"Falta",$L$5:$L$1204,Config!$B$7,$M$5:$M$1204,Config!$B$5)*1000-ROW()/100000,0)</f>
        <v>0</v>
      </c>
    </row>
    <row r="472">
      <c r="A472" s="39" t="n">
        <v>46252</v>
      </c>
      <c r="B472" s="40" t="n">
        <v>0.4305555555555556</v>
      </c>
      <c r="C472" s="35" t="inlineStr">
        <is>
          <t>Dra. Carolina Mendes</t>
        </is>
      </c>
      <c r="D472" s="35" t="inlineStr">
        <is>
          <t>Sala 1</t>
        </is>
      </c>
      <c r="E472" s="34" t="inlineStr">
        <is>
          <t>Priscila Carvalho</t>
        </is>
      </c>
      <c r="F472" s="35" t="inlineStr">
        <is>
          <t>Vida Care</t>
        </is>
      </c>
      <c r="G472" s="35" t="inlineStr">
        <is>
          <t>Consulta</t>
        </is>
      </c>
      <c r="H472" s="35" t="inlineStr">
        <is>
          <t>Realizado</t>
        </is>
      </c>
      <c r="I472" s="35" t="inlineStr">
        <is>
          <t>Convênio</t>
        </is>
      </c>
      <c r="J472" s="35" t="n"/>
      <c r="K472" s="34" t="n"/>
      <c r="L472" s="26">
        <f>IF(A472="","",MONTH(A472))</f>
        <v>8</v>
      </c>
      <c r="M472" s="26">
        <f>IF(A472="","",YEAR(A472))</f>
        <v>2026</v>
      </c>
      <c r="N472" s="26" t="str">
        <f>IF(A472="","",CHOOSE(WEEKDAY(A472,2),"Segunda","Terça","Quarta","Quinta","Sexta","Sábado","Domingo"))</f>
        <v>Terça</v>
      </c>
      <c r="O472" s="26" t="str">
        <f>IF(B472="","",IF(B472&lt;TIME(12,0,0),"Manhã",IF(B472&lt;TIME(18,0,0),"Tarde","Noite")))</f>
        <v>Manhã</v>
      </c>
      <c r="P472" s="32">
        <f>IF(G472="","",IFERROR(INDEX(Config!$I$5:$I$16,MATCH(G472,Config!$H$5:$H$16,0)),0))</f>
        <v>30</v>
      </c>
      <c r="Q472" s="30">
        <f>IF(OR(H472&lt;&gt;"Realizado",P472="",P472=0),"",A472+P472)</f>
        <v>46282.0</v>
      </c>
      <c r="R472" s="26" t="str">
        <f>IF(Q472="","",IF(COUNTIFS($E$5:$E$1204,E472,$A$5:$A$1204,"&gt;"&amp;A472,$H$5:$H$1204,"&lt;&gt;Falta",$H$5:$H$1204,"&lt;&gt;Cancelado",$H$5:$H$1204,"&lt;&gt;Remarcado")&gt;0,"Sim","Não"))</f>
        <v>Sim</v>
      </c>
      <c r="S472" s="32">
        <f>IF(R472&lt;&gt;"Não","",IF(Q472+Config!$B$9&lt;=Config!$B$8,Config!$B$8-Q472,""))</f>
        <v/>
      </c>
      <c r="T472" s="26">
        <f>IF(S472="","","Sim")</f>
        <v/>
      </c>
      <c r="U472" s="41">
        <f>IF(T472="Sim",S472+ROW()/100000,0)</f>
        <v>0</v>
      </c>
      <c r="V472" s="41">
        <f>IF(AND(H472="Falta",L472=Config!$B$7,M472=Config!$B$5,COUNTIFS($E$5:E472,E472,$H$5:H472,"Falta",$L$5:L472,Config!$B$7,$M$5:M472,Config!$B$5)=1),COUNTIFS($E$5:$E$1204,E472,$H$5:$H$1204,"Falta",$L$5:$L$1204,Config!$B$7,$M$5:$M$1204,Config!$B$5)*1000-ROW()/100000,0)</f>
        <v>0</v>
      </c>
    </row>
    <row r="473">
      <c r="A473" s="39" t="n">
        <v>46252</v>
      </c>
      <c r="B473" s="40" t="n">
        <v>0.4513888888888889</v>
      </c>
      <c r="C473" s="35" t="inlineStr">
        <is>
          <t>Dra. Carolina Mendes</t>
        </is>
      </c>
      <c r="D473" s="35" t="inlineStr">
        <is>
          <t>Sala 1</t>
        </is>
      </c>
      <c r="E473" s="34" t="inlineStr">
        <is>
          <t>Gustavo Barbosa</t>
        </is>
      </c>
      <c r="F473" s="35" t="inlineStr">
        <is>
          <t>Saúde Total</t>
        </is>
      </c>
      <c r="G473" s="35" t="inlineStr">
        <is>
          <t>Consulta</t>
        </is>
      </c>
      <c r="H473" s="35" t="inlineStr">
        <is>
          <t>Realizado</t>
        </is>
      </c>
      <c r="I473" s="35" t="inlineStr">
        <is>
          <t>Convênio</t>
        </is>
      </c>
      <c r="J473" s="35" t="n"/>
      <c r="K473" s="34" t="n"/>
      <c r="L473" s="26">
        <f>IF(A473="","",MONTH(A473))</f>
        <v>8</v>
      </c>
      <c r="M473" s="26">
        <f>IF(A473="","",YEAR(A473))</f>
        <v>2026</v>
      </c>
      <c r="N473" s="26" t="str">
        <f>IF(A473="","",CHOOSE(WEEKDAY(A473,2),"Segunda","Terça","Quarta","Quinta","Sexta","Sábado","Domingo"))</f>
        <v>Terça</v>
      </c>
      <c r="O473" s="26" t="str">
        <f>IF(B473="","",IF(B473&lt;TIME(12,0,0),"Manhã",IF(B473&lt;TIME(18,0,0),"Tarde","Noite")))</f>
        <v>Manhã</v>
      </c>
      <c r="P473" s="32">
        <f>IF(G473="","",IFERROR(INDEX(Config!$I$5:$I$16,MATCH(G473,Config!$H$5:$H$16,0)),0))</f>
        <v>30</v>
      </c>
      <c r="Q473" s="30">
        <f>IF(OR(H473&lt;&gt;"Realizado",P473="",P473=0),"",A473+P473)</f>
        <v>46282.0</v>
      </c>
      <c r="R473" s="26" t="str">
        <f>IF(Q473="","",IF(COUNTIFS($E$5:$E$1204,E473,$A$5:$A$1204,"&gt;"&amp;A473,$H$5:$H$1204,"&lt;&gt;Falta",$H$5:$H$1204,"&lt;&gt;Cancelado",$H$5:$H$1204,"&lt;&gt;Remarcado")&gt;0,"Sim","Não"))</f>
        <v>Sim</v>
      </c>
      <c r="S473" s="32">
        <f>IF(R473&lt;&gt;"Não","",IF(Q473+Config!$B$9&lt;=Config!$B$8,Config!$B$8-Q473,""))</f>
        <v/>
      </c>
      <c r="T473" s="26">
        <f>IF(S473="","","Sim")</f>
        <v/>
      </c>
      <c r="U473" s="41">
        <f>IF(T473="Sim",S473+ROW()/100000,0)</f>
        <v>0</v>
      </c>
      <c r="V473" s="41">
        <f>IF(AND(H473="Falta",L473=Config!$B$7,M473=Config!$B$5,COUNTIFS($E$5:E473,E473,$H$5:H473,"Falta",$L$5:L473,Config!$B$7,$M$5:M473,Config!$B$5)=1),COUNTIFS($E$5:$E$1204,E473,$H$5:$H$1204,"Falta",$L$5:$L$1204,Config!$B$7,$M$5:$M$1204,Config!$B$5)*1000-ROW()/100000,0)</f>
        <v>0</v>
      </c>
    </row>
    <row r="474">
      <c r="A474" s="39" t="n">
        <v>46252</v>
      </c>
      <c r="B474" s="40" t="n">
        <v>0.4722222222222222</v>
      </c>
      <c r="C474" s="35" t="inlineStr">
        <is>
          <t>Dra. Carolina Mendes</t>
        </is>
      </c>
      <c r="D474" s="35" t="inlineStr">
        <is>
          <t>Sala 1</t>
        </is>
      </c>
      <c r="E474" s="34" t="inlineStr">
        <is>
          <t>Rodrigo Moreira</t>
        </is>
      </c>
      <c r="F474" s="35" t="inlineStr">
        <is>
          <t>Particular</t>
        </is>
      </c>
      <c r="G474" s="35" t="inlineStr">
        <is>
          <t>Consulta</t>
        </is>
      </c>
      <c r="H474" s="35" t="inlineStr">
        <is>
          <t>Realizado</t>
        </is>
      </c>
      <c r="I474" s="35" t="inlineStr">
        <is>
          <t>Cartão de crédito</t>
        </is>
      </c>
      <c r="J474" s="35" t="n">
        <v>2</v>
      </c>
      <c r="K474" s="34" t="n"/>
      <c r="L474" s="26">
        <f>IF(A474="","",MONTH(A474))</f>
        <v>8</v>
      </c>
      <c r="M474" s="26">
        <f>IF(A474="","",YEAR(A474))</f>
        <v>2026</v>
      </c>
      <c r="N474" s="26" t="str">
        <f>IF(A474="","",CHOOSE(WEEKDAY(A474,2),"Segunda","Terça","Quarta","Quinta","Sexta","Sábado","Domingo"))</f>
        <v>Terça</v>
      </c>
      <c r="O474" s="26" t="str">
        <f>IF(B474="","",IF(B474&lt;TIME(12,0,0),"Manhã",IF(B474&lt;TIME(18,0,0),"Tarde","Noite")))</f>
        <v>Manhã</v>
      </c>
      <c r="P474" s="32">
        <f>IF(G474="","",IFERROR(INDEX(Config!$I$5:$I$16,MATCH(G474,Config!$H$5:$H$16,0)),0))</f>
        <v>30</v>
      </c>
      <c r="Q474" s="30">
        <f>IF(OR(H474&lt;&gt;"Realizado",P474="",P474=0),"",A474+P474)</f>
        <v>46282.0</v>
      </c>
      <c r="R474" s="26" t="str">
        <f>IF(Q474="","",IF(COUNTIFS($E$5:$E$1204,E474,$A$5:$A$1204,"&gt;"&amp;A474,$H$5:$H$1204,"&lt;&gt;Falta",$H$5:$H$1204,"&lt;&gt;Cancelado",$H$5:$H$1204,"&lt;&gt;Remarcado")&gt;0,"Sim","Não"))</f>
        <v>Sim</v>
      </c>
      <c r="S474" s="32">
        <f>IF(R474&lt;&gt;"Não","",IF(Q474+Config!$B$9&lt;=Config!$B$8,Config!$B$8-Q474,""))</f>
        <v/>
      </c>
      <c r="T474" s="26">
        <f>IF(S474="","","Sim")</f>
        <v/>
      </c>
      <c r="U474" s="41">
        <f>IF(T474="Sim",S474+ROW()/100000,0)</f>
        <v>0</v>
      </c>
      <c r="V474" s="41">
        <f>IF(AND(H474="Falta",L474=Config!$B$7,M474=Config!$B$5,COUNTIFS($E$5:E474,E474,$H$5:H474,"Falta",$L$5:L474,Config!$B$7,$M$5:M474,Config!$B$5)=1),COUNTIFS($E$5:$E$1204,E474,$H$5:$H$1204,"Falta",$L$5:$L$1204,Config!$B$7,$M$5:$M$1204,Config!$B$5)*1000-ROW()/100000,0)</f>
        <v>0</v>
      </c>
    </row>
    <row r="475">
      <c r="A475" s="39" t="n">
        <v>46252</v>
      </c>
      <c r="B475" s="40" t="n">
        <v>0.5833333333333334</v>
      </c>
      <c r="C475" s="35" t="inlineStr">
        <is>
          <t>Dra. Renata Sousa</t>
        </is>
      </c>
      <c r="D475" s="35" t="inlineStr">
        <is>
          <t>Sala 1</t>
        </is>
      </c>
      <c r="E475" s="34" t="inlineStr">
        <is>
          <t>Gustavo Carvalho</t>
        </is>
      </c>
      <c r="F475" s="35" t="inlineStr">
        <is>
          <t>Particular</t>
        </is>
      </c>
      <c r="G475" s="35" t="inlineStr">
        <is>
          <t>Retorno</t>
        </is>
      </c>
      <c r="H475" s="35" t="inlineStr">
        <is>
          <t>Realizado</t>
        </is>
      </c>
      <c r="I475" s="35" t="inlineStr">
        <is>
          <t>Sem cobrança</t>
        </is>
      </c>
      <c r="J475" s="35" t="n"/>
      <c r="K475" s="34" t="n"/>
      <c r="L475" s="26">
        <f>IF(A475="","",MONTH(A475))</f>
        <v>8</v>
      </c>
      <c r="M475" s="26">
        <f>IF(A475="","",YEAR(A475))</f>
        <v>2026</v>
      </c>
      <c r="N475" s="26" t="str">
        <f>IF(A475="","",CHOOSE(WEEKDAY(A475,2),"Segunda","Terça","Quarta","Quinta","Sexta","Sábado","Domingo"))</f>
        <v>Terça</v>
      </c>
      <c r="O475" s="26" t="str">
        <f>IF(B475="","",IF(B475&lt;TIME(12,0,0),"Manhã",IF(B475&lt;TIME(18,0,0),"Tarde","Noite")))</f>
        <v>Tarde</v>
      </c>
      <c r="P475" s="32">
        <f>IF(G475="","",IFERROR(INDEX(Config!$I$5:$I$16,MATCH(G475,Config!$H$5:$H$16,0)),0))</f>
        <v>0</v>
      </c>
      <c r="Q475" s="30">
        <f>IF(OR(H475&lt;&gt;"Realizado",P475="",P475=0),"",A475+P475)</f>
        <v/>
      </c>
      <c r="R475" s="26">
        <f>IF(Q475="","",IF(COUNTIFS($E$5:$E$1204,E475,$A$5:$A$1204,"&gt;"&amp;A475,$H$5:$H$1204,"&lt;&gt;Falta",$H$5:$H$1204,"&lt;&gt;Cancelado",$H$5:$H$1204,"&lt;&gt;Remarcado")&gt;0,"Sim","Não"))</f>
        <v/>
      </c>
      <c r="S475" s="32">
        <f>IF(R475&lt;&gt;"Não","",IF(Q475+Config!$B$9&lt;=Config!$B$8,Config!$B$8-Q475,""))</f>
        <v/>
      </c>
      <c r="T475" s="26">
        <f>IF(S475="","","Sim")</f>
        <v/>
      </c>
      <c r="U475" s="41">
        <f>IF(T475="Sim",S475+ROW()/100000,0)</f>
        <v>0</v>
      </c>
      <c r="V475" s="41">
        <f>IF(AND(H475="Falta",L475=Config!$B$7,M475=Config!$B$5,COUNTIFS($E$5:E475,E475,$H$5:H475,"Falta",$L$5:L475,Config!$B$7,$M$5:M475,Config!$B$5)=1),COUNTIFS($E$5:$E$1204,E475,$H$5:$H$1204,"Falta",$L$5:$L$1204,Config!$B$7,$M$5:$M$1204,Config!$B$5)*1000-ROW()/100000,0)</f>
        <v>0</v>
      </c>
    </row>
    <row r="476">
      <c r="A476" s="39" t="n">
        <v>46252</v>
      </c>
      <c r="B476" s="40" t="n">
        <v>0.5833333333333334</v>
      </c>
      <c r="C476" s="35" t="inlineStr">
        <is>
          <t>Dr. Paulo Andrade</t>
        </is>
      </c>
      <c r="D476" s="35" t="inlineStr">
        <is>
          <t>Sala 2</t>
        </is>
      </c>
      <c r="E476" s="34" t="inlineStr">
        <is>
          <t>Tatiana Cunha</t>
        </is>
      </c>
      <c r="F476" s="35" t="inlineStr">
        <is>
          <t>Saúde Total</t>
        </is>
      </c>
      <c r="G476" s="35" t="inlineStr">
        <is>
          <t>ECG</t>
        </is>
      </c>
      <c r="H476" s="35" t="inlineStr">
        <is>
          <t>Realizado</t>
        </is>
      </c>
      <c r="I476" s="35" t="inlineStr">
        <is>
          <t>Convênio</t>
        </is>
      </c>
      <c r="J476" s="35" t="n"/>
      <c r="K476" s="34" t="n"/>
      <c r="L476" s="26">
        <f>IF(A476="","",MONTH(A476))</f>
        <v>8</v>
      </c>
      <c r="M476" s="26">
        <f>IF(A476="","",YEAR(A476))</f>
        <v>2026</v>
      </c>
      <c r="N476" s="26" t="str">
        <f>IF(A476="","",CHOOSE(WEEKDAY(A476,2),"Segunda","Terça","Quarta","Quinta","Sexta","Sábado","Domingo"))</f>
        <v>Terça</v>
      </c>
      <c r="O476" s="26" t="str">
        <f>IF(B476="","",IF(B476&lt;TIME(12,0,0),"Manhã",IF(B476&lt;TIME(18,0,0),"Tarde","Noite")))</f>
        <v>Tarde</v>
      </c>
      <c r="P476" s="32">
        <f>IF(G476="","",IFERROR(INDEX(Config!$I$5:$I$16,MATCH(G476,Config!$H$5:$H$16,0)),0))</f>
        <v>0</v>
      </c>
      <c r="Q476" s="30">
        <f>IF(OR(H476&lt;&gt;"Realizado",P476="",P476=0),"",A476+P476)</f>
        <v/>
      </c>
      <c r="R476" s="26">
        <f>IF(Q476="","",IF(COUNTIFS($E$5:$E$1204,E476,$A$5:$A$1204,"&gt;"&amp;A476,$H$5:$H$1204,"&lt;&gt;Falta",$H$5:$H$1204,"&lt;&gt;Cancelado",$H$5:$H$1204,"&lt;&gt;Remarcado")&gt;0,"Sim","Não"))</f>
        <v/>
      </c>
      <c r="S476" s="32">
        <f>IF(R476&lt;&gt;"Não","",IF(Q476+Config!$B$9&lt;=Config!$B$8,Config!$B$8-Q476,""))</f>
        <v/>
      </c>
      <c r="T476" s="26">
        <f>IF(S476="","","Sim")</f>
        <v/>
      </c>
      <c r="U476" s="41">
        <f>IF(T476="Sim",S476+ROW()/100000,0)</f>
        <v>0</v>
      </c>
      <c r="V476" s="41">
        <f>IF(AND(H476="Falta",L476=Config!$B$7,M476=Config!$B$5,COUNTIFS($E$5:E476,E476,$H$5:H476,"Falta",$L$5:L476,Config!$B$7,$M$5:M476,Config!$B$5)=1),COUNTIFS($E$5:$E$1204,E476,$H$5:$H$1204,"Falta",$L$5:$L$1204,Config!$B$7,$M$5:$M$1204,Config!$B$5)*1000-ROW()/100000,0)</f>
        <v>0</v>
      </c>
    </row>
    <row r="477">
      <c r="A477" s="39" t="n">
        <v>46252</v>
      </c>
      <c r="B477" s="40" t="n">
        <v>0.5972222222222222</v>
      </c>
      <c r="C477" s="35" t="inlineStr">
        <is>
          <t>Dra. Renata Sousa</t>
        </is>
      </c>
      <c r="D477" s="35" t="inlineStr">
        <is>
          <t>Sala 1</t>
        </is>
      </c>
      <c r="E477" s="34" t="inlineStr">
        <is>
          <t>Gabriel Lopes</t>
        </is>
      </c>
      <c r="F477" s="35" t="inlineStr">
        <is>
          <t>Saúde Total</t>
        </is>
      </c>
      <c r="G477" s="35" t="inlineStr">
        <is>
          <t>Retorno</t>
        </is>
      </c>
      <c r="H477" s="35" t="inlineStr">
        <is>
          <t>Realizado</t>
        </is>
      </c>
      <c r="I477" s="35" t="inlineStr">
        <is>
          <t>Sem cobrança</t>
        </is>
      </c>
      <c r="J477" s="35" t="n"/>
      <c r="K477" s="34" t="n"/>
      <c r="L477" s="26">
        <f>IF(A477="","",MONTH(A477))</f>
        <v>8</v>
      </c>
      <c r="M477" s="26">
        <f>IF(A477="","",YEAR(A477))</f>
        <v>2026</v>
      </c>
      <c r="N477" s="26" t="str">
        <f>IF(A477="","",CHOOSE(WEEKDAY(A477,2),"Segunda","Terça","Quarta","Quinta","Sexta","Sábado","Domingo"))</f>
        <v>Terça</v>
      </c>
      <c r="O477" s="26" t="str">
        <f>IF(B477="","",IF(B477&lt;TIME(12,0,0),"Manhã",IF(B477&lt;TIME(18,0,0),"Tarde","Noite")))</f>
        <v>Tarde</v>
      </c>
      <c r="P477" s="32">
        <f>IF(G477="","",IFERROR(INDEX(Config!$I$5:$I$16,MATCH(G477,Config!$H$5:$H$16,0)),0))</f>
        <v>0</v>
      </c>
      <c r="Q477" s="30">
        <f>IF(OR(H477&lt;&gt;"Realizado",P477="",P477=0),"",A477+P477)</f>
        <v/>
      </c>
      <c r="R477" s="26">
        <f>IF(Q477="","",IF(COUNTIFS($E$5:$E$1204,E477,$A$5:$A$1204,"&gt;"&amp;A477,$H$5:$H$1204,"&lt;&gt;Falta",$H$5:$H$1204,"&lt;&gt;Cancelado",$H$5:$H$1204,"&lt;&gt;Remarcado")&gt;0,"Sim","Não"))</f>
        <v/>
      </c>
      <c r="S477" s="32">
        <f>IF(R477&lt;&gt;"Não","",IF(Q477+Config!$B$9&lt;=Config!$B$8,Config!$B$8-Q477,""))</f>
        <v/>
      </c>
      <c r="T477" s="26">
        <f>IF(S477="","","Sim")</f>
        <v/>
      </c>
      <c r="U477" s="41">
        <f>IF(T477="Sim",S477+ROW()/100000,0)</f>
        <v>0</v>
      </c>
      <c r="V477" s="41">
        <f>IF(AND(H477="Falta",L477=Config!$B$7,M477=Config!$B$5,COUNTIFS($E$5:E477,E477,$H$5:H477,"Falta",$L$5:L477,Config!$B$7,$M$5:M477,Config!$B$5)=1),COUNTIFS($E$5:$E$1204,E477,$H$5:$H$1204,"Falta",$L$5:$L$1204,Config!$B$7,$M$5:$M$1204,Config!$B$5)*1000-ROW()/100000,0)</f>
        <v>0</v>
      </c>
    </row>
    <row r="478">
      <c r="A478" s="39" t="n">
        <v>46252</v>
      </c>
      <c r="B478" s="40" t="n">
        <v>0.5972222222222222</v>
      </c>
      <c r="C478" s="35" t="inlineStr">
        <is>
          <t>Dr. Paulo Andrade</t>
        </is>
      </c>
      <c r="D478" s="35" t="inlineStr">
        <is>
          <t>Sala 2</t>
        </is>
      </c>
      <c r="E478" s="34" t="inlineStr">
        <is>
          <t>Patrícia Vieira</t>
        </is>
      </c>
      <c r="F478" s="35" t="inlineStr">
        <is>
          <t>Saúde Total</t>
        </is>
      </c>
      <c r="G478" s="35" t="inlineStr">
        <is>
          <t>Retorno</t>
        </is>
      </c>
      <c r="H478" s="35" t="inlineStr">
        <is>
          <t>Falta</t>
        </is>
      </c>
      <c r="I478" s="35" t="n"/>
      <c r="J478" s="35" t="n"/>
      <c r="K478" s="34" t="n"/>
      <c r="L478" s="26">
        <f>IF(A478="","",MONTH(A478))</f>
        <v>8</v>
      </c>
      <c r="M478" s="26">
        <f>IF(A478="","",YEAR(A478))</f>
        <v>2026</v>
      </c>
      <c r="N478" s="26" t="str">
        <f>IF(A478="","",CHOOSE(WEEKDAY(A478,2),"Segunda","Terça","Quarta","Quinta","Sexta","Sábado","Domingo"))</f>
        <v>Terça</v>
      </c>
      <c r="O478" s="26" t="str">
        <f>IF(B478="","",IF(B478&lt;TIME(12,0,0),"Manhã",IF(B478&lt;TIME(18,0,0),"Tarde","Noite")))</f>
        <v>Tarde</v>
      </c>
      <c r="P478" s="32">
        <f>IF(G478="","",IFERROR(INDEX(Config!$I$5:$I$16,MATCH(G478,Config!$H$5:$H$16,0)),0))</f>
        <v>0</v>
      </c>
      <c r="Q478" s="30">
        <f>IF(OR(H478&lt;&gt;"Realizado",P478="",P478=0),"",A478+P478)</f>
        <v/>
      </c>
      <c r="R478" s="26">
        <f>IF(Q478="","",IF(COUNTIFS($E$5:$E$1204,E478,$A$5:$A$1204,"&gt;"&amp;A478,$H$5:$H$1204,"&lt;&gt;Falta",$H$5:$H$1204,"&lt;&gt;Cancelado",$H$5:$H$1204,"&lt;&gt;Remarcado")&gt;0,"Sim","Não"))</f>
        <v/>
      </c>
      <c r="S478" s="32">
        <f>IF(R478&lt;&gt;"Não","",IF(Q478+Config!$B$9&lt;=Config!$B$8,Config!$B$8-Q478,""))</f>
        <v/>
      </c>
      <c r="T478" s="26">
        <f>IF(S478="","","Sim")</f>
        <v/>
      </c>
      <c r="U478" s="41">
        <f>IF(T478="Sim",S478+ROW()/100000,0)</f>
        <v>0</v>
      </c>
      <c r="V478" s="41">
        <f>IF(AND(H478="Falta",L478=Config!$B$7,M478=Config!$B$5,COUNTIFS($E$5:E478,E478,$H$5:H478,"Falta",$L$5:L478,Config!$B$7,$M$5:M478,Config!$B$5)=1),COUNTIFS($E$5:$E$1204,E478,$H$5:$H$1204,"Falta",$L$5:$L$1204,Config!$B$7,$M$5:$M$1204,Config!$B$5)*1000-ROW()/100000,0)</f>
        <v>0</v>
      </c>
    </row>
    <row r="479">
      <c r="A479" s="39" t="n">
        <v>46252</v>
      </c>
      <c r="B479" s="40" t="n">
        <v>0.6319444444444444</v>
      </c>
      <c r="C479" s="35" t="inlineStr">
        <is>
          <t>Dra. Renata Sousa</t>
        </is>
      </c>
      <c r="D479" s="35" t="inlineStr">
        <is>
          <t>Sala 1</t>
        </is>
      </c>
      <c r="E479" s="34" t="inlineStr">
        <is>
          <t>Carlos Gomes</t>
        </is>
      </c>
      <c r="F479" s="35" t="inlineStr">
        <is>
          <t>Saúde Total</t>
        </is>
      </c>
      <c r="G479" s="35" t="inlineStr">
        <is>
          <t>Avaliação endócrina</t>
        </is>
      </c>
      <c r="H479" s="35" t="inlineStr">
        <is>
          <t>Realizado</t>
        </is>
      </c>
      <c r="I479" s="35" t="inlineStr">
        <is>
          <t>Convênio</t>
        </is>
      </c>
      <c r="J479" s="35" t="n"/>
      <c r="K479" s="34" t="n"/>
      <c r="L479" s="26">
        <f>IF(A479="","",MONTH(A479))</f>
        <v>8</v>
      </c>
      <c r="M479" s="26">
        <f>IF(A479="","",YEAR(A479))</f>
        <v>2026</v>
      </c>
      <c r="N479" s="26" t="str">
        <f>IF(A479="","",CHOOSE(WEEKDAY(A479,2),"Segunda","Terça","Quarta","Quinta","Sexta","Sábado","Domingo"))</f>
        <v>Terça</v>
      </c>
      <c r="O479" s="26" t="str">
        <f>IF(B479="","",IF(B479&lt;TIME(12,0,0),"Manhã",IF(B479&lt;TIME(18,0,0),"Tarde","Noite")))</f>
        <v>Tarde</v>
      </c>
      <c r="P479" s="32">
        <f>IF(G479="","",IFERROR(INDEX(Config!$I$5:$I$16,MATCH(G479,Config!$H$5:$H$16,0)),0))</f>
        <v>45</v>
      </c>
      <c r="Q479" s="30">
        <f>IF(OR(H479&lt;&gt;"Realizado",P479="",P479=0),"",A479+P479)</f>
        <v>46297.0</v>
      </c>
      <c r="R479" s="26" t="str">
        <f>IF(Q479="","",IF(COUNTIFS($E$5:$E$1204,E479,$A$5:$A$1204,"&gt;"&amp;A479,$H$5:$H$1204,"&lt;&gt;Falta",$H$5:$H$1204,"&lt;&gt;Cancelado",$H$5:$H$1204,"&lt;&gt;Remarcado")&gt;0,"Sim","Não"))</f>
        <v>Sim</v>
      </c>
      <c r="S479" s="32">
        <f>IF(R479&lt;&gt;"Não","",IF(Q479+Config!$B$9&lt;=Config!$B$8,Config!$B$8-Q479,""))</f>
        <v/>
      </c>
      <c r="T479" s="26">
        <f>IF(S479="","","Sim")</f>
        <v/>
      </c>
      <c r="U479" s="41">
        <f>IF(T479="Sim",S479+ROW()/100000,0)</f>
        <v>0</v>
      </c>
      <c r="V479" s="41">
        <f>IF(AND(H479="Falta",L479=Config!$B$7,M479=Config!$B$5,COUNTIFS($E$5:E479,E479,$H$5:H479,"Falta",$L$5:L479,Config!$B$7,$M$5:M479,Config!$B$5)=1),COUNTIFS($E$5:$E$1204,E479,$H$5:$H$1204,"Falta",$L$5:$L$1204,Config!$B$7,$M$5:$M$1204,Config!$B$5)*1000-ROW()/100000,0)</f>
        <v>0</v>
      </c>
    </row>
    <row r="480">
      <c r="A480" s="39" t="n">
        <v>46252</v>
      </c>
      <c r="B480" s="40" t="n">
        <v>0.6319444444444444</v>
      </c>
      <c r="C480" s="35" t="inlineStr">
        <is>
          <t>Dr. Paulo Andrade</t>
        </is>
      </c>
      <c r="D480" s="35" t="inlineStr">
        <is>
          <t>Sala 2</t>
        </is>
      </c>
      <c r="E480" s="34" t="inlineStr">
        <is>
          <t>Henrique Santos</t>
        </is>
      </c>
      <c r="F480" s="35" t="inlineStr">
        <is>
          <t>Vida Care</t>
        </is>
      </c>
      <c r="G480" s="35" t="inlineStr">
        <is>
          <t>Consulta</t>
        </is>
      </c>
      <c r="H480" s="35" t="inlineStr">
        <is>
          <t>Remarcado</t>
        </is>
      </c>
      <c r="I480" s="35" t="n"/>
      <c r="J480" s="35" t="n"/>
      <c r="K480" s="34" t="inlineStr">
        <is>
          <t>Paciente pediu outra data</t>
        </is>
      </c>
      <c r="L480" s="26">
        <f>IF(A480="","",MONTH(A480))</f>
        <v>8</v>
      </c>
      <c r="M480" s="26">
        <f>IF(A480="","",YEAR(A480))</f>
        <v>2026</v>
      </c>
      <c r="N480" s="26" t="str">
        <f>IF(A480="","",CHOOSE(WEEKDAY(A480,2),"Segunda","Terça","Quarta","Quinta","Sexta","Sábado","Domingo"))</f>
        <v>Terça</v>
      </c>
      <c r="O480" s="26" t="str">
        <f>IF(B480="","",IF(B480&lt;TIME(12,0,0),"Manhã",IF(B480&lt;TIME(18,0,0),"Tarde","Noite")))</f>
        <v>Tarde</v>
      </c>
      <c r="P480" s="32">
        <f>IF(G480="","",IFERROR(INDEX(Config!$I$5:$I$16,MATCH(G480,Config!$H$5:$H$16,0)),0))</f>
        <v>30</v>
      </c>
      <c r="Q480" s="30">
        <f>IF(OR(H480&lt;&gt;"Realizado",P480="",P480=0),"",A480+P480)</f>
        <v/>
      </c>
      <c r="R480" s="26">
        <f>IF(Q480="","",IF(COUNTIFS($E$5:$E$1204,E480,$A$5:$A$1204,"&gt;"&amp;A480,$H$5:$H$1204,"&lt;&gt;Falta",$H$5:$H$1204,"&lt;&gt;Cancelado",$H$5:$H$1204,"&lt;&gt;Remarcado")&gt;0,"Sim","Não"))</f>
        <v/>
      </c>
      <c r="S480" s="32">
        <f>IF(R480&lt;&gt;"Não","",IF(Q480+Config!$B$9&lt;=Config!$B$8,Config!$B$8-Q480,""))</f>
        <v/>
      </c>
      <c r="T480" s="26">
        <f>IF(S480="","","Sim")</f>
        <v/>
      </c>
      <c r="U480" s="41">
        <f>IF(T480="Sim",S480+ROW()/100000,0)</f>
        <v>0</v>
      </c>
      <c r="V480" s="41">
        <f>IF(AND(H480="Falta",L480=Config!$B$7,M480=Config!$B$5,COUNTIFS($E$5:E480,E480,$H$5:H480,"Falta",$L$5:L480,Config!$B$7,$M$5:M480,Config!$B$5)=1),COUNTIFS($E$5:$E$1204,E480,$H$5:$H$1204,"Falta",$L$5:$L$1204,Config!$B$7,$M$5:$M$1204,Config!$B$5)*1000-ROW()/100000,0)</f>
        <v>0</v>
      </c>
    </row>
    <row r="481">
      <c r="A481" s="39" t="n">
        <v>46252</v>
      </c>
      <c r="B481" s="40" t="n">
        <v>0.6527777777777778</v>
      </c>
      <c r="C481" s="35" t="inlineStr">
        <is>
          <t>Dr. Paulo Andrade</t>
        </is>
      </c>
      <c r="D481" s="35" t="inlineStr">
        <is>
          <t>Sala 2</t>
        </is>
      </c>
      <c r="E481" s="34" t="inlineStr">
        <is>
          <t>Leandro Cardoso</t>
        </is>
      </c>
      <c r="F481" s="35" t="inlineStr">
        <is>
          <t>MediPlan</t>
        </is>
      </c>
      <c r="G481" s="35" t="inlineStr">
        <is>
          <t>Consulta</t>
        </is>
      </c>
      <c r="H481" s="35" t="inlineStr">
        <is>
          <t>Realizado</t>
        </is>
      </c>
      <c r="I481" s="35" t="inlineStr">
        <is>
          <t>Convênio</t>
        </is>
      </c>
      <c r="J481" s="35" t="n"/>
      <c r="K481" s="34" t="n"/>
      <c r="L481" s="26">
        <f>IF(A481="","",MONTH(A481))</f>
        <v>8</v>
      </c>
      <c r="M481" s="26">
        <f>IF(A481="","",YEAR(A481))</f>
        <v>2026</v>
      </c>
      <c r="N481" s="26" t="str">
        <f>IF(A481="","",CHOOSE(WEEKDAY(A481,2),"Segunda","Terça","Quarta","Quinta","Sexta","Sábado","Domingo"))</f>
        <v>Terça</v>
      </c>
      <c r="O481" s="26" t="str">
        <f>IF(B481="","",IF(B481&lt;TIME(12,0,0),"Manhã",IF(B481&lt;TIME(18,0,0),"Tarde","Noite")))</f>
        <v>Tarde</v>
      </c>
      <c r="P481" s="32">
        <f>IF(G481="","",IFERROR(INDEX(Config!$I$5:$I$16,MATCH(G481,Config!$H$5:$H$16,0)),0))</f>
        <v>30</v>
      </c>
      <c r="Q481" s="30">
        <f>IF(OR(H481&lt;&gt;"Realizado",P481="",P481=0),"",A481+P481)</f>
        <v>46282.0</v>
      </c>
      <c r="R481" s="26" t="str">
        <f>IF(Q481="","",IF(COUNTIFS($E$5:$E$1204,E481,$A$5:$A$1204,"&gt;"&amp;A481,$H$5:$H$1204,"&lt;&gt;Falta",$H$5:$H$1204,"&lt;&gt;Cancelado",$H$5:$H$1204,"&lt;&gt;Remarcado")&gt;0,"Sim","Não"))</f>
        <v>Sim</v>
      </c>
      <c r="S481" s="32">
        <f>IF(R481&lt;&gt;"Não","",IF(Q481+Config!$B$9&lt;=Config!$B$8,Config!$B$8-Q481,""))</f>
        <v/>
      </c>
      <c r="T481" s="26">
        <f>IF(S481="","","Sim")</f>
        <v/>
      </c>
      <c r="U481" s="41">
        <f>IF(T481="Sim",S481+ROW()/100000,0)</f>
        <v>0</v>
      </c>
      <c r="V481" s="41">
        <f>IF(AND(H481="Falta",L481=Config!$B$7,M481=Config!$B$5,COUNTIFS($E$5:E481,E481,$H$5:H481,"Falta",$L$5:L481,Config!$B$7,$M$5:M481,Config!$B$5)=1),COUNTIFS($E$5:$E$1204,E481,$H$5:$H$1204,"Falta",$L$5:$L$1204,Config!$B$7,$M$5:$M$1204,Config!$B$5)*1000-ROW()/100000,0)</f>
        <v>0</v>
      </c>
    </row>
    <row r="482">
      <c r="A482" s="39" t="n">
        <v>46252</v>
      </c>
      <c r="B482" s="40" t="n">
        <v>0.6597222222222222</v>
      </c>
      <c r="C482" s="35" t="inlineStr">
        <is>
          <t>Dra. Renata Sousa</t>
        </is>
      </c>
      <c r="D482" s="35" t="inlineStr">
        <is>
          <t>Sala 1</t>
        </is>
      </c>
      <c r="E482" s="34" t="inlineStr">
        <is>
          <t>Mariana Reis</t>
        </is>
      </c>
      <c r="F482" s="35" t="inlineStr">
        <is>
          <t>Particular</t>
        </is>
      </c>
      <c r="G482" s="35" t="inlineStr">
        <is>
          <t>Avaliação endócrina</t>
        </is>
      </c>
      <c r="H482" s="35" t="inlineStr">
        <is>
          <t>Realizado</t>
        </is>
      </c>
      <c r="I482" s="35" t="inlineStr">
        <is>
          <t>Pix</t>
        </is>
      </c>
      <c r="J482" s="35" t="n"/>
      <c r="K482" s="34" t="n"/>
      <c r="L482" s="26">
        <f>IF(A482="","",MONTH(A482))</f>
        <v>8</v>
      </c>
      <c r="M482" s="26">
        <f>IF(A482="","",YEAR(A482))</f>
        <v>2026</v>
      </c>
      <c r="N482" s="26" t="str">
        <f>IF(A482="","",CHOOSE(WEEKDAY(A482,2),"Segunda","Terça","Quarta","Quinta","Sexta","Sábado","Domingo"))</f>
        <v>Terça</v>
      </c>
      <c r="O482" s="26" t="str">
        <f>IF(B482="","",IF(B482&lt;TIME(12,0,0),"Manhã",IF(B482&lt;TIME(18,0,0),"Tarde","Noite")))</f>
        <v>Tarde</v>
      </c>
      <c r="P482" s="32">
        <f>IF(G482="","",IFERROR(INDEX(Config!$I$5:$I$16,MATCH(G482,Config!$H$5:$H$16,0)),0))</f>
        <v>45</v>
      </c>
      <c r="Q482" s="30">
        <f>IF(OR(H482&lt;&gt;"Realizado",P482="",P482=0),"",A482+P482)</f>
        <v>46297.0</v>
      </c>
      <c r="R482" s="26" t="str">
        <f>IF(Q482="","",IF(COUNTIFS($E$5:$E$1204,E482,$A$5:$A$1204,"&gt;"&amp;A482,$H$5:$H$1204,"&lt;&gt;Falta",$H$5:$H$1204,"&lt;&gt;Cancelado",$H$5:$H$1204,"&lt;&gt;Remarcado")&gt;0,"Sim","Não"))</f>
        <v>Sim</v>
      </c>
      <c r="S482" s="32">
        <f>IF(R482&lt;&gt;"Não","",IF(Q482+Config!$B$9&lt;=Config!$B$8,Config!$B$8-Q482,""))</f>
        <v/>
      </c>
      <c r="T482" s="26">
        <f>IF(S482="","","Sim")</f>
        <v/>
      </c>
      <c r="U482" s="41">
        <f>IF(T482="Sim",S482+ROW()/100000,0)</f>
        <v>0</v>
      </c>
      <c r="V482" s="41">
        <f>IF(AND(H482="Falta",L482=Config!$B$7,M482=Config!$B$5,COUNTIFS($E$5:E482,E482,$H$5:H482,"Falta",$L$5:L482,Config!$B$7,$M$5:M482,Config!$B$5)=1),COUNTIFS($E$5:$E$1204,E482,$H$5:$H$1204,"Falta",$L$5:$L$1204,Config!$B$7,$M$5:$M$1204,Config!$B$5)*1000-ROW()/100000,0)</f>
        <v>0</v>
      </c>
    </row>
    <row r="483">
      <c r="A483" s="39" t="n">
        <v>46252</v>
      </c>
      <c r="B483" s="40" t="n">
        <v>0.6736111111111112</v>
      </c>
      <c r="C483" s="35" t="inlineStr">
        <is>
          <t>Dr. Paulo Andrade</t>
        </is>
      </c>
      <c r="D483" s="35" t="inlineStr">
        <is>
          <t>Sala 2</t>
        </is>
      </c>
      <c r="E483" s="34" t="inlineStr">
        <is>
          <t>Fábio Correia</t>
        </is>
      </c>
      <c r="F483" s="35" t="inlineStr">
        <is>
          <t>Particular</t>
        </is>
      </c>
      <c r="G483" s="35" t="inlineStr">
        <is>
          <t>Consulta</t>
        </is>
      </c>
      <c r="H483" s="35" t="inlineStr">
        <is>
          <t>Realizado</t>
        </is>
      </c>
      <c r="I483" s="35" t="inlineStr">
        <is>
          <t>Pix</t>
        </is>
      </c>
      <c r="J483" s="35" t="n"/>
      <c r="K483" s="34" t="n"/>
      <c r="L483" s="26">
        <f>IF(A483="","",MONTH(A483))</f>
        <v>8</v>
      </c>
      <c r="M483" s="26">
        <f>IF(A483="","",YEAR(A483))</f>
        <v>2026</v>
      </c>
      <c r="N483" s="26" t="str">
        <f>IF(A483="","",CHOOSE(WEEKDAY(A483,2),"Segunda","Terça","Quarta","Quinta","Sexta","Sábado","Domingo"))</f>
        <v>Terça</v>
      </c>
      <c r="O483" s="26" t="str">
        <f>IF(B483="","",IF(B483&lt;TIME(12,0,0),"Manhã",IF(B483&lt;TIME(18,0,0),"Tarde","Noite")))</f>
        <v>Tarde</v>
      </c>
      <c r="P483" s="32">
        <f>IF(G483="","",IFERROR(INDEX(Config!$I$5:$I$16,MATCH(G483,Config!$H$5:$H$16,0)),0))</f>
        <v>30</v>
      </c>
      <c r="Q483" s="30">
        <f>IF(OR(H483&lt;&gt;"Realizado",P483="",P483=0),"",A483+P483)</f>
        <v>46282.0</v>
      </c>
      <c r="R483" s="26" t="str">
        <f>IF(Q483="","",IF(COUNTIFS($E$5:$E$1204,E483,$A$5:$A$1204,"&gt;"&amp;A483,$H$5:$H$1204,"&lt;&gt;Falta",$H$5:$H$1204,"&lt;&gt;Cancelado",$H$5:$H$1204,"&lt;&gt;Remarcado")&gt;0,"Sim","Não"))</f>
        <v>Sim</v>
      </c>
      <c r="S483" s="32">
        <f>IF(R483&lt;&gt;"Não","",IF(Q483+Config!$B$9&lt;=Config!$B$8,Config!$B$8-Q483,""))</f>
        <v/>
      </c>
      <c r="T483" s="26">
        <f>IF(S483="","","Sim")</f>
        <v/>
      </c>
      <c r="U483" s="41">
        <f>IF(T483="Sim",S483+ROW()/100000,0)</f>
        <v>0</v>
      </c>
      <c r="V483" s="41">
        <f>IF(AND(H483="Falta",L483=Config!$B$7,M483=Config!$B$5,COUNTIFS($E$5:E483,E483,$H$5:H483,"Falta",$L$5:L483,Config!$B$7,$M$5:M483,Config!$B$5)=1),COUNTIFS($E$5:$E$1204,E483,$H$5:$H$1204,"Falta",$L$5:$L$1204,Config!$B$7,$M$5:$M$1204,Config!$B$5)*1000-ROW()/100000,0)</f>
        <v>0</v>
      </c>
    </row>
    <row r="484">
      <c r="A484" s="39" t="n">
        <v>46252</v>
      </c>
      <c r="B484" s="40" t="n">
        <v>0.6875</v>
      </c>
      <c r="C484" s="35" t="inlineStr">
        <is>
          <t>Dra. Renata Sousa</t>
        </is>
      </c>
      <c r="D484" s="35" t="inlineStr">
        <is>
          <t>Sala 1</t>
        </is>
      </c>
      <c r="E484" s="34" t="inlineStr">
        <is>
          <t>Fábio Gomes</t>
        </is>
      </c>
      <c r="F484" s="35" t="inlineStr">
        <is>
          <t>Particular</t>
        </is>
      </c>
      <c r="G484" s="35" t="inlineStr">
        <is>
          <t>Avaliação endócrina</t>
        </is>
      </c>
      <c r="H484" s="35" t="inlineStr">
        <is>
          <t>Realizado</t>
        </is>
      </c>
      <c r="I484" s="35" t="inlineStr">
        <is>
          <t>A prazo</t>
        </is>
      </c>
      <c r="J484" s="35" t="n"/>
      <c r="K484" s="34" t="n"/>
      <c r="L484" s="26">
        <f>IF(A484="","",MONTH(A484))</f>
        <v>8</v>
      </c>
      <c r="M484" s="26">
        <f>IF(A484="","",YEAR(A484))</f>
        <v>2026</v>
      </c>
      <c r="N484" s="26" t="str">
        <f>IF(A484="","",CHOOSE(WEEKDAY(A484,2),"Segunda","Terça","Quarta","Quinta","Sexta","Sábado","Domingo"))</f>
        <v>Terça</v>
      </c>
      <c r="O484" s="26" t="str">
        <f>IF(B484="","",IF(B484&lt;TIME(12,0,0),"Manhã",IF(B484&lt;TIME(18,0,0),"Tarde","Noite")))</f>
        <v>Tarde</v>
      </c>
      <c r="P484" s="32">
        <f>IF(G484="","",IFERROR(INDEX(Config!$I$5:$I$16,MATCH(G484,Config!$H$5:$H$16,0)),0))</f>
        <v>45</v>
      </c>
      <c r="Q484" s="30">
        <f>IF(OR(H484&lt;&gt;"Realizado",P484="",P484=0),"",A484+P484)</f>
        <v>46297.0</v>
      </c>
      <c r="R484" s="26" t="str">
        <f>IF(Q484="","",IF(COUNTIFS($E$5:$E$1204,E484,$A$5:$A$1204,"&gt;"&amp;A484,$H$5:$H$1204,"&lt;&gt;Falta",$H$5:$H$1204,"&lt;&gt;Cancelado",$H$5:$H$1204,"&lt;&gt;Remarcado")&gt;0,"Sim","Não"))</f>
        <v>Sim</v>
      </c>
      <c r="S484" s="32">
        <f>IF(R484&lt;&gt;"Não","",IF(Q484+Config!$B$9&lt;=Config!$B$8,Config!$B$8-Q484,""))</f>
        <v/>
      </c>
      <c r="T484" s="26">
        <f>IF(S484="","","Sim")</f>
        <v/>
      </c>
      <c r="U484" s="41">
        <f>IF(T484="Sim",S484+ROW()/100000,0)</f>
        <v>0</v>
      </c>
      <c r="V484" s="41">
        <f>IF(AND(H484="Falta",L484=Config!$B$7,M484=Config!$B$5,COUNTIFS($E$5:E484,E484,$H$5:H484,"Falta",$L$5:L484,Config!$B$7,$M$5:M484,Config!$B$5)=1),COUNTIFS($E$5:$E$1204,E484,$H$5:$H$1204,"Falta",$L$5:$L$1204,Config!$B$7,$M$5:$M$1204,Config!$B$5)*1000-ROW()/100000,0)</f>
        <v>0</v>
      </c>
    </row>
    <row r="485">
      <c r="A485" s="39" t="n">
        <v>46252</v>
      </c>
      <c r="B485" s="40" t="n">
        <v>0.6944444444444444</v>
      </c>
      <c r="C485" s="35" t="inlineStr">
        <is>
          <t>Dr. Paulo Andrade</t>
        </is>
      </c>
      <c r="D485" s="35" t="inlineStr">
        <is>
          <t>Sala 2</t>
        </is>
      </c>
      <c r="E485" s="34" t="inlineStr">
        <is>
          <t>Helena Ribeiro</t>
        </is>
      </c>
      <c r="F485" s="35" t="inlineStr">
        <is>
          <t>MediPlan</t>
        </is>
      </c>
      <c r="G485" s="35" t="inlineStr">
        <is>
          <t>Consulta</t>
        </is>
      </c>
      <c r="H485" s="35" t="inlineStr">
        <is>
          <t>Realizado</t>
        </is>
      </c>
      <c r="I485" s="35" t="inlineStr">
        <is>
          <t>Convênio</t>
        </is>
      </c>
      <c r="J485" s="35" t="n"/>
      <c r="K485" s="34" t="n"/>
      <c r="L485" s="26">
        <f>IF(A485="","",MONTH(A485))</f>
        <v>8</v>
      </c>
      <c r="M485" s="26">
        <f>IF(A485="","",YEAR(A485))</f>
        <v>2026</v>
      </c>
      <c r="N485" s="26" t="str">
        <f>IF(A485="","",CHOOSE(WEEKDAY(A485,2),"Segunda","Terça","Quarta","Quinta","Sexta","Sábado","Domingo"))</f>
        <v>Terça</v>
      </c>
      <c r="O485" s="26" t="str">
        <f>IF(B485="","",IF(B485&lt;TIME(12,0,0),"Manhã",IF(B485&lt;TIME(18,0,0),"Tarde","Noite")))</f>
        <v>Tarde</v>
      </c>
      <c r="P485" s="32">
        <f>IF(G485="","",IFERROR(INDEX(Config!$I$5:$I$16,MATCH(G485,Config!$H$5:$H$16,0)),0))</f>
        <v>30</v>
      </c>
      <c r="Q485" s="30">
        <f>IF(OR(H485&lt;&gt;"Realizado",P485="",P485=0),"",A485+P485)</f>
        <v>46282.0</v>
      </c>
      <c r="R485" s="26" t="str">
        <f>IF(Q485="","",IF(COUNTIFS($E$5:$E$1204,E485,$A$5:$A$1204,"&gt;"&amp;A485,$H$5:$H$1204,"&lt;&gt;Falta",$H$5:$H$1204,"&lt;&gt;Cancelado",$H$5:$H$1204,"&lt;&gt;Remarcado")&gt;0,"Sim","Não"))</f>
        <v>Sim</v>
      </c>
      <c r="S485" s="32">
        <f>IF(R485&lt;&gt;"Não","",IF(Q485+Config!$B$9&lt;=Config!$B$8,Config!$B$8-Q485,""))</f>
        <v/>
      </c>
      <c r="T485" s="26">
        <f>IF(S485="","","Sim")</f>
        <v/>
      </c>
      <c r="U485" s="41">
        <f>IF(T485="Sim",S485+ROW()/100000,0)</f>
        <v>0</v>
      </c>
      <c r="V485" s="41">
        <f>IF(AND(H485="Falta",L485=Config!$B$7,M485=Config!$B$5,COUNTIFS($E$5:E485,E485,$H$5:H485,"Falta",$L$5:L485,Config!$B$7,$M$5:M485,Config!$B$5)=1),COUNTIFS($E$5:$E$1204,E485,$H$5:$H$1204,"Falta",$L$5:$L$1204,Config!$B$7,$M$5:$M$1204,Config!$B$5)*1000-ROW()/100000,0)</f>
        <v>0</v>
      </c>
    </row>
    <row r="486">
      <c r="A486" s="39" t="n">
        <v>46252</v>
      </c>
      <c r="B486" s="40" t="n">
        <v>0.7152777777777778</v>
      </c>
      <c r="C486" s="35" t="inlineStr">
        <is>
          <t>Dra. Renata Sousa</t>
        </is>
      </c>
      <c r="D486" s="35" t="inlineStr">
        <is>
          <t>Sala 1</t>
        </is>
      </c>
      <c r="E486" s="34" t="inlineStr">
        <is>
          <t>Beatriz Monteiro</t>
        </is>
      </c>
      <c r="F486" s="35" t="inlineStr">
        <is>
          <t>Particular</t>
        </is>
      </c>
      <c r="G486" s="35" t="inlineStr">
        <is>
          <t>Avaliação endócrina</t>
        </is>
      </c>
      <c r="H486" s="35" t="inlineStr">
        <is>
          <t>Cancelado</t>
        </is>
      </c>
      <c r="I486" s="35" t="n"/>
      <c r="J486" s="35" t="n"/>
      <c r="K486" s="34" t="n"/>
      <c r="L486" s="26">
        <f>IF(A486="","",MONTH(A486))</f>
        <v>8</v>
      </c>
      <c r="M486" s="26">
        <f>IF(A486="","",YEAR(A486))</f>
        <v>2026</v>
      </c>
      <c r="N486" s="26" t="str">
        <f>IF(A486="","",CHOOSE(WEEKDAY(A486,2),"Segunda","Terça","Quarta","Quinta","Sexta","Sábado","Domingo"))</f>
        <v>Terça</v>
      </c>
      <c r="O486" s="26" t="str">
        <f>IF(B486="","",IF(B486&lt;TIME(12,0,0),"Manhã",IF(B486&lt;TIME(18,0,0),"Tarde","Noite")))</f>
        <v>Tarde</v>
      </c>
      <c r="P486" s="32">
        <f>IF(G486="","",IFERROR(INDEX(Config!$I$5:$I$16,MATCH(G486,Config!$H$5:$H$16,0)),0))</f>
        <v>45</v>
      </c>
      <c r="Q486" s="30">
        <f>IF(OR(H486&lt;&gt;"Realizado",P486="",P486=0),"",A486+P486)</f>
        <v/>
      </c>
      <c r="R486" s="26">
        <f>IF(Q486="","",IF(COUNTIFS($E$5:$E$1204,E486,$A$5:$A$1204,"&gt;"&amp;A486,$H$5:$H$1204,"&lt;&gt;Falta",$H$5:$H$1204,"&lt;&gt;Cancelado",$H$5:$H$1204,"&lt;&gt;Remarcado")&gt;0,"Sim","Não"))</f>
        <v/>
      </c>
      <c r="S486" s="32">
        <f>IF(R486&lt;&gt;"Não","",IF(Q486+Config!$B$9&lt;=Config!$B$8,Config!$B$8-Q486,""))</f>
        <v/>
      </c>
      <c r="T486" s="26">
        <f>IF(S486="","","Sim")</f>
        <v/>
      </c>
      <c r="U486" s="41">
        <f>IF(T486="Sim",S486+ROW()/100000,0)</f>
        <v>0</v>
      </c>
      <c r="V486" s="41">
        <f>IF(AND(H486="Falta",L486=Config!$B$7,M486=Config!$B$5,COUNTIFS($E$5:E486,E486,$H$5:H486,"Falta",$L$5:L486,Config!$B$7,$M$5:M486,Config!$B$5)=1),COUNTIFS($E$5:$E$1204,E486,$H$5:$H$1204,"Falta",$L$5:$L$1204,Config!$B$7,$M$5:$M$1204,Config!$B$5)*1000-ROW()/100000,0)</f>
        <v>0</v>
      </c>
    </row>
    <row r="487">
      <c r="A487" s="39" t="n">
        <v>46252</v>
      </c>
      <c r="B487" s="40" t="n">
        <v>0.7152777777777778</v>
      </c>
      <c r="C487" s="35" t="inlineStr">
        <is>
          <t>Dr. Paulo Andrade</t>
        </is>
      </c>
      <c r="D487" s="35" t="inlineStr">
        <is>
          <t>Sala 2</t>
        </is>
      </c>
      <c r="E487" s="34" t="inlineStr">
        <is>
          <t>Natália Xavier</t>
        </is>
      </c>
      <c r="F487" s="35" t="inlineStr">
        <is>
          <t>MediPlan</t>
        </is>
      </c>
      <c r="G487" s="35" t="inlineStr">
        <is>
          <t>Consulta</t>
        </is>
      </c>
      <c r="H487" s="35" t="inlineStr">
        <is>
          <t>Realizado</t>
        </is>
      </c>
      <c r="I487" s="35" t="inlineStr">
        <is>
          <t>Convênio</t>
        </is>
      </c>
      <c r="J487" s="35" t="n"/>
      <c r="K487" s="34" t="n"/>
      <c r="L487" s="26">
        <f>IF(A487="","",MONTH(A487))</f>
        <v>8</v>
      </c>
      <c r="M487" s="26">
        <f>IF(A487="","",YEAR(A487))</f>
        <v>2026</v>
      </c>
      <c r="N487" s="26" t="str">
        <f>IF(A487="","",CHOOSE(WEEKDAY(A487,2),"Segunda","Terça","Quarta","Quinta","Sexta","Sábado","Domingo"))</f>
        <v>Terça</v>
      </c>
      <c r="O487" s="26" t="str">
        <f>IF(B487="","",IF(B487&lt;TIME(12,0,0),"Manhã",IF(B487&lt;TIME(18,0,0),"Tarde","Noite")))</f>
        <v>Tarde</v>
      </c>
      <c r="P487" s="32">
        <f>IF(G487="","",IFERROR(INDEX(Config!$I$5:$I$16,MATCH(G487,Config!$H$5:$H$16,0)),0))</f>
        <v>30</v>
      </c>
      <c r="Q487" s="30">
        <f>IF(OR(H487&lt;&gt;"Realizado",P487="",P487=0),"",A487+P487)</f>
        <v>46282.0</v>
      </c>
      <c r="R487" s="26" t="str">
        <f>IF(Q487="","",IF(COUNTIFS($E$5:$E$1204,E487,$A$5:$A$1204,"&gt;"&amp;A487,$H$5:$H$1204,"&lt;&gt;Falta",$H$5:$H$1204,"&lt;&gt;Cancelado",$H$5:$H$1204,"&lt;&gt;Remarcado")&gt;0,"Sim","Não"))</f>
        <v>Sim</v>
      </c>
      <c r="S487" s="32">
        <f>IF(R487&lt;&gt;"Não","",IF(Q487+Config!$B$9&lt;=Config!$B$8,Config!$B$8-Q487,""))</f>
        <v/>
      </c>
      <c r="T487" s="26">
        <f>IF(S487="","","Sim")</f>
        <v/>
      </c>
      <c r="U487" s="41">
        <f>IF(T487="Sim",S487+ROW()/100000,0)</f>
        <v>0</v>
      </c>
      <c r="V487" s="41">
        <f>IF(AND(H487="Falta",L487=Config!$B$7,M487=Config!$B$5,COUNTIFS($E$5:E487,E487,$H$5:H487,"Falta",$L$5:L487,Config!$B$7,$M$5:M487,Config!$B$5)=1),COUNTIFS($E$5:$E$1204,E487,$H$5:$H$1204,"Falta",$L$5:$L$1204,Config!$B$7,$M$5:$M$1204,Config!$B$5)*1000-ROW()/100000,0)</f>
        <v>0</v>
      </c>
    </row>
    <row r="488">
      <c r="A488" s="39" t="n">
        <v>46252</v>
      </c>
      <c r="B488" s="40" t="n">
        <v>0.7361111111111112</v>
      </c>
      <c r="C488" s="35" t="inlineStr">
        <is>
          <t>Dr. Paulo Andrade</t>
        </is>
      </c>
      <c r="D488" s="35" t="inlineStr">
        <is>
          <t>Sala 2</t>
        </is>
      </c>
      <c r="E488" s="34" t="inlineStr">
        <is>
          <t>Rodrigo Moreira</t>
        </is>
      </c>
      <c r="F488" s="35" t="inlineStr">
        <is>
          <t>Particular</t>
        </is>
      </c>
      <c r="G488" s="35" t="inlineStr">
        <is>
          <t>MAPA</t>
        </is>
      </c>
      <c r="H488" s="35" t="inlineStr">
        <is>
          <t>Cancelado</t>
        </is>
      </c>
      <c r="I488" s="35" t="n"/>
      <c r="J488" s="35" t="n"/>
      <c r="K488" s="34" t="n"/>
      <c r="L488" s="26">
        <f>IF(A488="","",MONTH(A488))</f>
        <v>8</v>
      </c>
      <c r="M488" s="26">
        <f>IF(A488="","",YEAR(A488))</f>
        <v>2026</v>
      </c>
      <c r="N488" s="26" t="str">
        <f>IF(A488="","",CHOOSE(WEEKDAY(A488,2),"Segunda","Terça","Quarta","Quinta","Sexta","Sábado","Domingo"))</f>
        <v>Terça</v>
      </c>
      <c r="O488" s="26" t="str">
        <f>IF(B488="","",IF(B488&lt;TIME(12,0,0),"Manhã",IF(B488&lt;TIME(18,0,0),"Tarde","Noite")))</f>
        <v>Tarde</v>
      </c>
      <c r="P488" s="32">
        <f>IF(G488="","",IFERROR(INDEX(Config!$I$5:$I$16,MATCH(G488,Config!$H$5:$H$16,0)),0))</f>
        <v>0</v>
      </c>
      <c r="Q488" s="30">
        <f>IF(OR(H488&lt;&gt;"Realizado",P488="",P488=0),"",A488+P488)</f>
        <v/>
      </c>
      <c r="R488" s="26">
        <f>IF(Q488="","",IF(COUNTIFS($E$5:$E$1204,E488,$A$5:$A$1204,"&gt;"&amp;A488,$H$5:$H$1204,"&lt;&gt;Falta",$H$5:$H$1204,"&lt;&gt;Cancelado",$H$5:$H$1204,"&lt;&gt;Remarcado")&gt;0,"Sim","Não"))</f>
        <v/>
      </c>
      <c r="S488" s="32">
        <f>IF(R488&lt;&gt;"Não","",IF(Q488+Config!$B$9&lt;=Config!$B$8,Config!$B$8-Q488,""))</f>
        <v/>
      </c>
      <c r="T488" s="26">
        <f>IF(S488="","","Sim")</f>
        <v/>
      </c>
      <c r="U488" s="41">
        <f>IF(T488="Sim",S488+ROW()/100000,0)</f>
        <v>0</v>
      </c>
      <c r="V488" s="41">
        <f>IF(AND(H488="Falta",L488=Config!$B$7,M488=Config!$B$5,COUNTIFS($E$5:E488,E488,$H$5:H488,"Falta",$L$5:L488,Config!$B$7,$M$5:M488,Config!$B$5)=1),COUNTIFS($E$5:$E$1204,E488,$H$5:$H$1204,"Falta",$L$5:$L$1204,Config!$B$7,$M$5:$M$1204,Config!$B$5)*1000-ROW()/100000,0)</f>
        <v>0</v>
      </c>
    </row>
    <row r="489">
      <c r="A489" s="39" t="n">
        <v>46253</v>
      </c>
      <c r="B489" s="40" t="n">
        <v>0.5833333333333334</v>
      </c>
      <c r="C489" s="35" t="inlineStr">
        <is>
          <t>Dra. Carolina Mendes</t>
        </is>
      </c>
      <c r="D489" s="35" t="inlineStr">
        <is>
          <t>Sala 1</t>
        </is>
      </c>
      <c r="E489" s="34" t="inlineStr">
        <is>
          <t>Otávio Nascimento</t>
        </is>
      </c>
      <c r="F489" s="35" t="inlineStr">
        <is>
          <t>Particular</t>
        </is>
      </c>
      <c r="G489" s="35" t="inlineStr">
        <is>
          <t>Consulta</t>
        </is>
      </c>
      <c r="H489" s="35" t="inlineStr">
        <is>
          <t>Falta</t>
        </is>
      </c>
      <c r="I489" s="35" t="n"/>
      <c r="J489" s="35" t="n"/>
      <c r="K489" s="34" t="n"/>
      <c r="L489" s="26">
        <f>IF(A489="","",MONTH(A489))</f>
        <v>8</v>
      </c>
      <c r="M489" s="26">
        <f>IF(A489="","",YEAR(A489))</f>
        <v>2026</v>
      </c>
      <c r="N489" s="26" t="str">
        <f>IF(A489="","",CHOOSE(WEEKDAY(A489,2),"Segunda","Terça","Quarta","Quinta","Sexta","Sábado","Domingo"))</f>
        <v>Quarta</v>
      </c>
      <c r="O489" s="26" t="str">
        <f>IF(B489="","",IF(B489&lt;TIME(12,0,0),"Manhã",IF(B489&lt;TIME(18,0,0),"Tarde","Noite")))</f>
        <v>Tarde</v>
      </c>
      <c r="P489" s="32">
        <f>IF(G489="","",IFERROR(INDEX(Config!$I$5:$I$16,MATCH(G489,Config!$H$5:$H$16,0)),0))</f>
        <v>30</v>
      </c>
      <c r="Q489" s="30">
        <f>IF(OR(H489&lt;&gt;"Realizado",P489="",P489=0),"",A489+P489)</f>
        <v/>
      </c>
      <c r="R489" s="26">
        <f>IF(Q489="","",IF(COUNTIFS($E$5:$E$1204,E489,$A$5:$A$1204,"&gt;"&amp;A489,$H$5:$H$1204,"&lt;&gt;Falta",$H$5:$H$1204,"&lt;&gt;Cancelado",$H$5:$H$1204,"&lt;&gt;Remarcado")&gt;0,"Sim","Não"))</f>
        <v/>
      </c>
      <c r="S489" s="32">
        <f>IF(R489&lt;&gt;"Não","",IF(Q489+Config!$B$9&lt;=Config!$B$8,Config!$B$8-Q489,""))</f>
        <v/>
      </c>
      <c r="T489" s="26">
        <f>IF(S489="","","Sim")</f>
        <v/>
      </c>
      <c r="U489" s="41">
        <f>IF(T489="Sim",S489+ROW()/100000,0)</f>
        <v>0</v>
      </c>
      <c r="V489" s="41">
        <f>IF(AND(H489="Falta",L489=Config!$B$7,M489=Config!$B$5,COUNTIFS($E$5:E489,E489,$H$5:H489,"Falta",$L$5:L489,Config!$B$7,$M$5:M489,Config!$B$5)=1),COUNTIFS($E$5:$E$1204,E489,$H$5:$H$1204,"Falta",$L$5:$L$1204,Config!$B$7,$M$5:$M$1204,Config!$B$5)*1000-ROW()/100000,0)</f>
        <v>0</v>
      </c>
    </row>
    <row r="490">
      <c r="A490" s="39" t="n">
        <v>46253</v>
      </c>
      <c r="B490" s="40" t="n">
        <v>0.6041666666666666</v>
      </c>
      <c r="C490" s="35" t="inlineStr">
        <is>
          <t>Dra. Carolina Mendes</t>
        </is>
      </c>
      <c r="D490" s="35" t="inlineStr">
        <is>
          <t>Sala 1</t>
        </is>
      </c>
      <c r="E490" s="34" t="inlineStr">
        <is>
          <t>Isabela Pinto</t>
        </is>
      </c>
      <c r="F490" s="35" t="inlineStr">
        <is>
          <t>Saúde Total</t>
        </is>
      </c>
      <c r="G490" s="35" t="inlineStr">
        <is>
          <t>Consulta</t>
        </is>
      </c>
      <c r="H490" s="35" t="inlineStr">
        <is>
          <t>Remarcado</t>
        </is>
      </c>
      <c r="I490" s="35" t="n"/>
      <c r="J490" s="35" t="n"/>
      <c r="K490" s="34" t="inlineStr">
        <is>
          <t>Paciente pediu outra data</t>
        </is>
      </c>
      <c r="L490" s="26">
        <f>IF(A490="","",MONTH(A490))</f>
        <v>8</v>
      </c>
      <c r="M490" s="26">
        <f>IF(A490="","",YEAR(A490))</f>
        <v>2026</v>
      </c>
      <c r="N490" s="26" t="str">
        <f>IF(A490="","",CHOOSE(WEEKDAY(A490,2),"Segunda","Terça","Quarta","Quinta","Sexta","Sábado","Domingo"))</f>
        <v>Quarta</v>
      </c>
      <c r="O490" s="26" t="str">
        <f>IF(B490="","",IF(B490&lt;TIME(12,0,0),"Manhã",IF(B490&lt;TIME(18,0,0),"Tarde","Noite")))</f>
        <v>Tarde</v>
      </c>
      <c r="P490" s="32">
        <f>IF(G490="","",IFERROR(INDEX(Config!$I$5:$I$16,MATCH(G490,Config!$H$5:$H$16,0)),0))</f>
        <v>30</v>
      </c>
      <c r="Q490" s="30">
        <f>IF(OR(H490&lt;&gt;"Realizado",P490="",P490=0),"",A490+P490)</f>
        <v/>
      </c>
      <c r="R490" s="26">
        <f>IF(Q490="","",IF(COUNTIFS($E$5:$E$1204,E490,$A$5:$A$1204,"&gt;"&amp;A490,$H$5:$H$1204,"&lt;&gt;Falta",$H$5:$H$1204,"&lt;&gt;Cancelado",$H$5:$H$1204,"&lt;&gt;Remarcado")&gt;0,"Sim","Não"))</f>
        <v/>
      </c>
      <c r="S490" s="32">
        <f>IF(R490&lt;&gt;"Não","",IF(Q490+Config!$B$9&lt;=Config!$B$8,Config!$B$8-Q490,""))</f>
        <v/>
      </c>
      <c r="T490" s="26">
        <f>IF(S490="","","Sim")</f>
        <v/>
      </c>
      <c r="U490" s="41">
        <f>IF(T490="Sim",S490+ROW()/100000,0)</f>
        <v>0</v>
      </c>
      <c r="V490" s="41">
        <f>IF(AND(H490="Falta",L490=Config!$B$7,M490=Config!$B$5,COUNTIFS($E$5:E490,E490,$H$5:H490,"Falta",$L$5:L490,Config!$B$7,$M$5:M490,Config!$B$5)=1),COUNTIFS($E$5:$E$1204,E490,$H$5:$H$1204,"Falta",$L$5:$L$1204,Config!$B$7,$M$5:$M$1204,Config!$B$5)*1000-ROW()/100000,0)</f>
        <v>0</v>
      </c>
    </row>
    <row r="491">
      <c r="A491" s="39" t="n">
        <v>46253</v>
      </c>
      <c r="B491" s="40" t="n">
        <v>0.625</v>
      </c>
      <c r="C491" s="35" t="inlineStr">
        <is>
          <t>Dra. Carolina Mendes</t>
        </is>
      </c>
      <c r="D491" s="35" t="inlineStr">
        <is>
          <t>Sala 1</t>
        </is>
      </c>
      <c r="E491" s="34" t="inlineStr">
        <is>
          <t>Marcelo Santos</t>
        </is>
      </c>
      <c r="F491" s="35" t="inlineStr">
        <is>
          <t>Particular</t>
        </is>
      </c>
      <c r="G491" s="35" t="inlineStr">
        <is>
          <t>Consulta</t>
        </is>
      </c>
      <c r="H491" s="35" t="inlineStr">
        <is>
          <t>Realizado</t>
        </is>
      </c>
      <c r="I491" s="35" t="inlineStr">
        <is>
          <t>Pix</t>
        </is>
      </c>
      <c r="J491" s="35" t="n"/>
      <c r="K491" s="34" t="n"/>
      <c r="L491" s="26">
        <f>IF(A491="","",MONTH(A491))</f>
        <v>8</v>
      </c>
      <c r="M491" s="26">
        <f>IF(A491="","",YEAR(A491))</f>
        <v>2026</v>
      </c>
      <c r="N491" s="26" t="str">
        <f>IF(A491="","",CHOOSE(WEEKDAY(A491,2),"Segunda","Terça","Quarta","Quinta","Sexta","Sábado","Domingo"))</f>
        <v>Quarta</v>
      </c>
      <c r="O491" s="26" t="str">
        <f>IF(B491="","",IF(B491&lt;TIME(12,0,0),"Manhã",IF(B491&lt;TIME(18,0,0),"Tarde","Noite")))</f>
        <v>Tarde</v>
      </c>
      <c r="P491" s="32">
        <f>IF(G491="","",IFERROR(INDEX(Config!$I$5:$I$16,MATCH(G491,Config!$H$5:$H$16,0)),0))</f>
        <v>30</v>
      </c>
      <c r="Q491" s="30">
        <f>IF(OR(H491&lt;&gt;"Realizado",P491="",P491=0),"",A491+P491)</f>
        <v>46283.0</v>
      </c>
      <c r="R491" s="26" t="str">
        <f>IF(Q491="","",IF(COUNTIFS($E$5:$E$1204,E491,$A$5:$A$1204,"&gt;"&amp;A491,$H$5:$H$1204,"&lt;&gt;Falta",$H$5:$H$1204,"&lt;&gt;Cancelado",$H$5:$H$1204,"&lt;&gt;Remarcado")&gt;0,"Sim","Não"))</f>
        <v>Sim</v>
      </c>
      <c r="S491" s="32">
        <f>IF(R491&lt;&gt;"Não","",IF(Q491+Config!$B$9&lt;=Config!$B$8,Config!$B$8-Q491,""))</f>
        <v/>
      </c>
      <c r="T491" s="26">
        <f>IF(S491="","","Sim")</f>
        <v/>
      </c>
      <c r="U491" s="41">
        <f>IF(T491="Sim",S491+ROW()/100000,0)</f>
        <v>0</v>
      </c>
      <c r="V491" s="41">
        <f>IF(AND(H491="Falta",L491=Config!$B$7,M491=Config!$B$5,COUNTIFS($E$5:E491,E491,$H$5:H491,"Falta",$L$5:L491,Config!$B$7,$M$5:M491,Config!$B$5)=1),COUNTIFS($E$5:$E$1204,E491,$H$5:$H$1204,"Falta",$L$5:$L$1204,Config!$B$7,$M$5:$M$1204,Config!$B$5)*1000-ROW()/100000,0)</f>
        <v>0</v>
      </c>
    </row>
    <row r="492">
      <c r="A492" s="39" t="n">
        <v>46253</v>
      </c>
      <c r="B492" s="40" t="n">
        <v>0.6458333333333334</v>
      </c>
      <c r="C492" s="35" t="inlineStr">
        <is>
          <t>Dra. Carolina Mendes</t>
        </is>
      </c>
      <c r="D492" s="35" t="inlineStr">
        <is>
          <t>Sala 1</t>
        </is>
      </c>
      <c r="E492" s="34" t="inlineStr">
        <is>
          <t>Cláudia Santos</t>
        </is>
      </c>
      <c r="F492" s="35" t="inlineStr">
        <is>
          <t>Particular</t>
        </is>
      </c>
      <c r="G492" s="35" t="inlineStr">
        <is>
          <t>Consulta</t>
        </is>
      </c>
      <c r="H492" s="35" t="inlineStr">
        <is>
          <t>Cancelado</t>
        </is>
      </c>
      <c r="I492" s="35" t="n"/>
      <c r="J492" s="35" t="n"/>
      <c r="K492" s="34" t="n"/>
      <c r="L492" s="26">
        <f>IF(A492="","",MONTH(A492))</f>
        <v>8</v>
      </c>
      <c r="M492" s="26">
        <f>IF(A492="","",YEAR(A492))</f>
        <v>2026</v>
      </c>
      <c r="N492" s="26" t="str">
        <f>IF(A492="","",CHOOSE(WEEKDAY(A492,2),"Segunda","Terça","Quarta","Quinta","Sexta","Sábado","Domingo"))</f>
        <v>Quarta</v>
      </c>
      <c r="O492" s="26" t="str">
        <f>IF(B492="","",IF(B492&lt;TIME(12,0,0),"Manhã",IF(B492&lt;TIME(18,0,0),"Tarde","Noite")))</f>
        <v>Tarde</v>
      </c>
      <c r="P492" s="32">
        <f>IF(G492="","",IFERROR(INDEX(Config!$I$5:$I$16,MATCH(G492,Config!$H$5:$H$16,0)),0))</f>
        <v>30</v>
      </c>
      <c r="Q492" s="30">
        <f>IF(OR(H492&lt;&gt;"Realizado",P492="",P492=0),"",A492+P492)</f>
        <v/>
      </c>
      <c r="R492" s="26">
        <f>IF(Q492="","",IF(COUNTIFS($E$5:$E$1204,E492,$A$5:$A$1204,"&gt;"&amp;A492,$H$5:$H$1204,"&lt;&gt;Falta",$H$5:$H$1204,"&lt;&gt;Cancelado",$H$5:$H$1204,"&lt;&gt;Remarcado")&gt;0,"Sim","Não"))</f>
        <v/>
      </c>
      <c r="S492" s="32">
        <f>IF(R492&lt;&gt;"Não","",IF(Q492+Config!$B$9&lt;=Config!$B$8,Config!$B$8-Q492,""))</f>
        <v/>
      </c>
      <c r="T492" s="26">
        <f>IF(S492="","","Sim")</f>
        <v/>
      </c>
      <c r="U492" s="41">
        <f>IF(T492="Sim",S492+ROW()/100000,0)</f>
        <v>0</v>
      </c>
      <c r="V492" s="41">
        <f>IF(AND(H492="Falta",L492=Config!$B$7,M492=Config!$B$5,COUNTIFS($E$5:E492,E492,$H$5:H492,"Falta",$L$5:L492,Config!$B$7,$M$5:M492,Config!$B$5)=1),COUNTIFS($E$5:$E$1204,E492,$H$5:$H$1204,"Falta",$L$5:$L$1204,Config!$B$7,$M$5:$M$1204,Config!$B$5)*1000-ROW()/100000,0)</f>
        <v>0</v>
      </c>
    </row>
    <row r="493">
      <c r="A493" s="39" t="n">
        <v>46253</v>
      </c>
      <c r="B493" s="40" t="n">
        <v>0.6666666666666666</v>
      </c>
      <c r="C493" s="35" t="inlineStr">
        <is>
          <t>Dra. Carolina Mendes</t>
        </is>
      </c>
      <c r="D493" s="35" t="inlineStr">
        <is>
          <t>Sala 1</t>
        </is>
      </c>
      <c r="E493" s="34" t="inlineStr">
        <is>
          <t>Isabela Pinto</t>
        </is>
      </c>
      <c r="F493" s="35" t="inlineStr">
        <is>
          <t>Saúde Total</t>
        </is>
      </c>
      <c r="G493" s="35" t="inlineStr">
        <is>
          <t>Consulta</t>
        </is>
      </c>
      <c r="H493" s="35" t="inlineStr">
        <is>
          <t>Realizado</t>
        </is>
      </c>
      <c r="I493" s="35" t="inlineStr">
        <is>
          <t>Convênio</t>
        </is>
      </c>
      <c r="J493" s="35" t="n"/>
      <c r="K493" s="34" t="n"/>
      <c r="L493" s="26">
        <f>IF(A493="","",MONTH(A493))</f>
        <v>8</v>
      </c>
      <c r="M493" s="26">
        <f>IF(A493="","",YEAR(A493))</f>
        <v>2026</v>
      </c>
      <c r="N493" s="26" t="str">
        <f>IF(A493="","",CHOOSE(WEEKDAY(A493,2),"Segunda","Terça","Quarta","Quinta","Sexta","Sábado","Domingo"))</f>
        <v>Quarta</v>
      </c>
      <c r="O493" s="26" t="str">
        <f>IF(B493="","",IF(B493&lt;TIME(12,0,0),"Manhã",IF(B493&lt;TIME(18,0,0),"Tarde","Noite")))</f>
        <v>Tarde</v>
      </c>
      <c r="P493" s="32">
        <f>IF(G493="","",IFERROR(INDEX(Config!$I$5:$I$16,MATCH(G493,Config!$H$5:$H$16,0)),0))</f>
        <v>30</v>
      </c>
      <c r="Q493" s="30">
        <f>IF(OR(H493&lt;&gt;"Realizado",P493="",P493=0),"",A493+P493)</f>
        <v>46283.0</v>
      </c>
      <c r="R493" s="26" t="str">
        <f>IF(Q493="","",IF(COUNTIFS($E$5:$E$1204,E493,$A$5:$A$1204,"&gt;"&amp;A493,$H$5:$H$1204,"&lt;&gt;Falta",$H$5:$H$1204,"&lt;&gt;Cancelado",$H$5:$H$1204,"&lt;&gt;Remarcado")&gt;0,"Sim","Não"))</f>
        <v>Sim</v>
      </c>
      <c r="S493" s="32">
        <f>IF(R493&lt;&gt;"Não","",IF(Q493+Config!$B$9&lt;=Config!$B$8,Config!$B$8-Q493,""))</f>
        <v/>
      </c>
      <c r="T493" s="26">
        <f>IF(S493="","","Sim")</f>
        <v/>
      </c>
      <c r="U493" s="41">
        <f>IF(T493="Sim",S493+ROW()/100000,0)</f>
        <v>0</v>
      </c>
      <c r="V493" s="41">
        <f>IF(AND(H493="Falta",L493=Config!$B$7,M493=Config!$B$5,COUNTIFS($E$5:E493,E493,$H$5:H493,"Falta",$L$5:L493,Config!$B$7,$M$5:M493,Config!$B$5)=1),COUNTIFS($E$5:$E$1204,E493,$H$5:$H$1204,"Falta",$L$5:$L$1204,Config!$B$7,$M$5:$M$1204,Config!$B$5)*1000-ROW()/100000,0)</f>
        <v>0</v>
      </c>
    </row>
    <row r="494">
      <c r="A494" s="39" t="n">
        <v>46253</v>
      </c>
      <c r="B494" s="40" t="n">
        <v>0.6875</v>
      </c>
      <c r="C494" s="35" t="inlineStr">
        <is>
          <t>Dra. Carolina Mendes</t>
        </is>
      </c>
      <c r="D494" s="35" t="inlineStr">
        <is>
          <t>Sala 1</t>
        </is>
      </c>
      <c r="E494" s="34" t="inlineStr">
        <is>
          <t>Gisele Xavier</t>
        </is>
      </c>
      <c r="F494" s="35" t="inlineStr">
        <is>
          <t>Particular</t>
        </is>
      </c>
      <c r="G494" s="35" t="inlineStr">
        <is>
          <t>Consulta</t>
        </is>
      </c>
      <c r="H494" s="35" t="inlineStr">
        <is>
          <t>Realizado</t>
        </is>
      </c>
      <c r="I494" s="35" t="inlineStr">
        <is>
          <t>Cartão de débito</t>
        </is>
      </c>
      <c r="J494" s="35" t="n"/>
      <c r="K494" s="34" t="n"/>
      <c r="L494" s="26">
        <f>IF(A494="","",MONTH(A494))</f>
        <v>8</v>
      </c>
      <c r="M494" s="26">
        <f>IF(A494="","",YEAR(A494))</f>
        <v>2026</v>
      </c>
      <c r="N494" s="26" t="str">
        <f>IF(A494="","",CHOOSE(WEEKDAY(A494,2),"Segunda","Terça","Quarta","Quinta","Sexta","Sábado","Domingo"))</f>
        <v>Quarta</v>
      </c>
      <c r="O494" s="26" t="str">
        <f>IF(B494="","",IF(B494&lt;TIME(12,0,0),"Manhã",IF(B494&lt;TIME(18,0,0),"Tarde","Noite")))</f>
        <v>Tarde</v>
      </c>
      <c r="P494" s="32">
        <f>IF(G494="","",IFERROR(INDEX(Config!$I$5:$I$16,MATCH(G494,Config!$H$5:$H$16,0)),0))</f>
        <v>30</v>
      </c>
      <c r="Q494" s="30">
        <f>IF(OR(H494&lt;&gt;"Realizado",P494="",P494=0),"",A494+P494)</f>
        <v>46283.0</v>
      </c>
      <c r="R494" s="26" t="str">
        <f>IF(Q494="","",IF(COUNTIFS($E$5:$E$1204,E494,$A$5:$A$1204,"&gt;"&amp;A494,$H$5:$H$1204,"&lt;&gt;Falta",$H$5:$H$1204,"&lt;&gt;Cancelado",$H$5:$H$1204,"&lt;&gt;Remarcado")&gt;0,"Sim","Não"))</f>
        <v>Sim</v>
      </c>
      <c r="S494" s="32">
        <f>IF(R494&lt;&gt;"Não","",IF(Q494+Config!$B$9&lt;=Config!$B$8,Config!$B$8-Q494,""))</f>
        <v/>
      </c>
      <c r="T494" s="26">
        <f>IF(S494="","","Sim")</f>
        <v/>
      </c>
      <c r="U494" s="41">
        <f>IF(T494="Sim",S494+ROW()/100000,0)</f>
        <v>0</v>
      </c>
      <c r="V494" s="41">
        <f>IF(AND(H494="Falta",L494=Config!$B$7,M494=Config!$B$5,COUNTIFS($E$5:E494,E494,$H$5:H494,"Falta",$L$5:L494,Config!$B$7,$M$5:M494,Config!$B$5)=1),COUNTIFS($E$5:$E$1204,E494,$H$5:$H$1204,"Falta",$L$5:$L$1204,Config!$B$7,$M$5:$M$1204,Config!$B$5)*1000-ROW()/100000,0)</f>
        <v>0</v>
      </c>
    </row>
    <row r="495">
      <c r="A495" s="39" t="n">
        <v>46253</v>
      </c>
      <c r="B495" s="40" t="n">
        <v>0.7083333333333334</v>
      </c>
      <c r="C495" s="35" t="inlineStr">
        <is>
          <t>Dra. Carolina Mendes</t>
        </is>
      </c>
      <c r="D495" s="35" t="inlineStr">
        <is>
          <t>Sala 1</t>
        </is>
      </c>
      <c r="E495" s="34" t="inlineStr">
        <is>
          <t>Mônica Batista</t>
        </is>
      </c>
      <c r="F495" s="35" t="inlineStr">
        <is>
          <t>MediPlan</t>
        </is>
      </c>
      <c r="G495" s="35" t="inlineStr">
        <is>
          <t>Consulta</t>
        </is>
      </c>
      <c r="H495" s="35" t="inlineStr">
        <is>
          <t>Realizado</t>
        </is>
      </c>
      <c r="I495" s="35" t="inlineStr">
        <is>
          <t>Convênio</t>
        </is>
      </c>
      <c r="J495" s="35" t="n"/>
      <c r="K495" s="34" t="n"/>
      <c r="L495" s="26">
        <f>IF(A495="","",MONTH(A495))</f>
        <v>8</v>
      </c>
      <c r="M495" s="26">
        <f>IF(A495="","",YEAR(A495))</f>
        <v>2026</v>
      </c>
      <c r="N495" s="26" t="str">
        <f>IF(A495="","",CHOOSE(WEEKDAY(A495,2),"Segunda","Terça","Quarta","Quinta","Sexta","Sábado","Domingo"))</f>
        <v>Quarta</v>
      </c>
      <c r="O495" s="26" t="str">
        <f>IF(B495="","",IF(B495&lt;TIME(12,0,0),"Manhã",IF(B495&lt;TIME(18,0,0),"Tarde","Noite")))</f>
        <v>Tarde</v>
      </c>
      <c r="P495" s="32">
        <f>IF(G495="","",IFERROR(INDEX(Config!$I$5:$I$16,MATCH(G495,Config!$H$5:$H$16,0)),0))</f>
        <v>30</v>
      </c>
      <c r="Q495" s="30">
        <f>IF(OR(H495&lt;&gt;"Realizado",P495="",P495=0),"",A495+P495)</f>
        <v>46283.0</v>
      </c>
      <c r="R495" s="26" t="str">
        <f>IF(Q495="","",IF(COUNTIFS($E$5:$E$1204,E495,$A$5:$A$1204,"&gt;"&amp;A495,$H$5:$H$1204,"&lt;&gt;Falta",$H$5:$H$1204,"&lt;&gt;Cancelado",$H$5:$H$1204,"&lt;&gt;Remarcado")&gt;0,"Sim","Não"))</f>
        <v>Sim</v>
      </c>
      <c r="S495" s="32">
        <f>IF(R495&lt;&gt;"Não","",IF(Q495+Config!$B$9&lt;=Config!$B$8,Config!$B$8-Q495,""))</f>
        <v/>
      </c>
      <c r="T495" s="26">
        <f>IF(S495="","","Sim")</f>
        <v/>
      </c>
      <c r="U495" s="41">
        <f>IF(T495="Sim",S495+ROW()/100000,0)</f>
        <v>0</v>
      </c>
      <c r="V495" s="41">
        <f>IF(AND(H495="Falta",L495=Config!$B$7,M495=Config!$B$5,COUNTIFS($E$5:E495,E495,$H$5:H495,"Falta",$L$5:L495,Config!$B$7,$M$5:M495,Config!$B$5)=1),COUNTIFS($E$5:$E$1204,E495,$H$5:$H$1204,"Falta",$L$5:$L$1204,Config!$B$7,$M$5:$M$1204,Config!$B$5)*1000-ROW()/100000,0)</f>
        <v>0</v>
      </c>
    </row>
    <row r="496">
      <c r="A496" s="39" t="n">
        <v>46253</v>
      </c>
      <c r="B496" s="40" t="n">
        <v>0.7291666666666666</v>
      </c>
      <c r="C496" s="35" t="inlineStr">
        <is>
          <t>Dra. Carolina Mendes</t>
        </is>
      </c>
      <c r="D496" s="35" t="inlineStr">
        <is>
          <t>Sala 1</t>
        </is>
      </c>
      <c r="E496" s="34" t="inlineStr">
        <is>
          <t>Roberta Fernandes</t>
        </is>
      </c>
      <c r="F496" s="35" t="inlineStr">
        <is>
          <t>Saúde Total</t>
        </is>
      </c>
      <c r="G496" s="35" t="inlineStr">
        <is>
          <t>Consulta</t>
        </is>
      </c>
      <c r="H496" s="35" t="inlineStr">
        <is>
          <t>Realizado</t>
        </is>
      </c>
      <c r="I496" s="35" t="inlineStr">
        <is>
          <t>Convênio</t>
        </is>
      </c>
      <c r="J496" s="35" t="n"/>
      <c r="K496" s="34" t="n"/>
      <c r="L496" s="26">
        <f>IF(A496="","",MONTH(A496))</f>
        <v>8</v>
      </c>
      <c r="M496" s="26">
        <f>IF(A496="","",YEAR(A496))</f>
        <v>2026</v>
      </c>
      <c r="N496" s="26" t="str">
        <f>IF(A496="","",CHOOSE(WEEKDAY(A496,2),"Segunda","Terça","Quarta","Quinta","Sexta","Sábado","Domingo"))</f>
        <v>Quarta</v>
      </c>
      <c r="O496" s="26" t="str">
        <f>IF(B496="","",IF(B496&lt;TIME(12,0,0),"Manhã",IF(B496&lt;TIME(18,0,0),"Tarde","Noite")))</f>
        <v>Tarde</v>
      </c>
      <c r="P496" s="32">
        <f>IF(G496="","",IFERROR(INDEX(Config!$I$5:$I$16,MATCH(G496,Config!$H$5:$H$16,0)),0))</f>
        <v>30</v>
      </c>
      <c r="Q496" s="30">
        <f>IF(OR(H496&lt;&gt;"Realizado",P496="",P496=0),"",A496+P496)</f>
        <v>46283.0</v>
      </c>
      <c r="R496" s="26" t="str">
        <f>IF(Q496="","",IF(COUNTIFS($E$5:$E$1204,E496,$A$5:$A$1204,"&gt;"&amp;A496,$H$5:$H$1204,"&lt;&gt;Falta",$H$5:$H$1204,"&lt;&gt;Cancelado",$H$5:$H$1204,"&lt;&gt;Remarcado")&gt;0,"Sim","Não"))</f>
        <v>Sim</v>
      </c>
      <c r="S496" s="32">
        <f>IF(R496&lt;&gt;"Não","",IF(Q496+Config!$B$9&lt;=Config!$B$8,Config!$B$8-Q496,""))</f>
        <v/>
      </c>
      <c r="T496" s="26">
        <f>IF(S496="","","Sim")</f>
        <v/>
      </c>
      <c r="U496" s="41">
        <f>IF(T496="Sim",S496+ROW()/100000,0)</f>
        <v>0</v>
      </c>
      <c r="V496" s="41">
        <f>IF(AND(H496="Falta",L496=Config!$B$7,M496=Config!$B$5,COUNTIFS($E$5:E496,E496,$H$5:H496,"Falta",$L$5:L496,Config!$B$7,$M$5:M496,Config!$B$5)=1),COUNTIFS($E$5:$E$1204,E496,$H$5:$H$1204,"Falta",$L$5:$L$1204,Config!$B$7,$M$5:$M$1204,Config!$B$5)*1000-ROW()/100000,0)</f>
        <v>0</v>
      </c>
    </row>
    <row r="497">
      <c r="A497" s="39" t="n">
        <v>46254</v>
      </c>
      <c r="B497" s="40" t="n">
        <v>0.3541666666666667</v>
      </c>
      <c r="C497" s="35" t="inlineStr">
        <is>
          <t>Dra. Carolina Mendes</t>
        </is>
      </c>
      <c r="D497" s="35" t="inlineStr">
        <is>
          <t>Sala 1</t>
        </is>
      </c>
      <c r="E497" s="34" t="inlineStr">
        <is>
          <t>Eduardo Lima</t>
        </is>
      </c>
      <c r="F497" s="35" t="inlineStr">
        <is>
          <t>Particular</t>
        </is>
      </c>
      <c r="G497" s="35" t="inlineStr">
        <is>
          <t>Consulta</t>
        </is>
      </c>
      <c r="H497" s="35" t="inlineStr">
        <is>
          <t>Realizado</t>
        </is>
      </c>
      <c r="I497" s="35" t="inlineStr">
        <is>
          <t>A prazo</t>
        </is>
      </c>
      <c r="J497" s="35" t="n"/>
      <c r="K497" s="34" t="n"/>
      <c r="L497" s="26">
        <f>IF(A497="","",MONTH(A497))</f>
        <v>8</v>
      </c>
      <c r="M497" s="26">
        <f>IF(A497="","",YEAR(A497))</f>
        <v>2026</v>
      </c>
      <c r="N497" s="26" t="str">
        <f>IF(A497="","",CHOOSE(WEEKDAY(A497,2),"Segunda","Terça","Quarta","Quinta","Sexta","Sábado","Domingo"))</f>
        <v>Quinta</v>
      </c>
      <c r="O497" s="26" t="str">
        <f>IF(B497="","",IF(B497&lt;TIME(12,0,0),"Manhã",IF(B497&lt;TIME(18,0,0),"Tarde","Noite")))</f>
        <v>Manhã</v>
      </c>
      <c r="P497" s="32">
        <f>IF(G497="","",IFERROR(INDEX(Config!$I$5:$I$16,MATCH(G497,Config!$H$5:$H$16,0)),0))</f>
        <v>30</v>
      </c>
      <c r="Q497" s="30">
        <f>IF(OR(H497&lt;&gt;"Realizado",P497="",P497=0),"",A497+P497)</f>
        <v>46284.0</v>
      </c>
      <c r="R497" s="26" t="str">
        <f>IF(Q497="","",IF(COUNTIFS($E$5:$E$1204,E497,$A$5:$A$1204,"&gt;"&amp;A497,$H$5:$H$1204,"&lt;&gt;Falta",$H$5:$H$1204,"&lt;&gt;Cancelado",$H$5:$H$1204,"&lt;&gt;Remarcado")&gt;0,"Sim","Não"))</f>
        <v>Sim</v>
      </c>
      <c r="S497" s="32">
        <f>IF(R497&lt;&gt;"Não","",IF(Q497+Config!$B$9&lt;=Config!$B$8,Config!$B$8-Q497,""))</f>
        <v/>
      </c>
      <c r="T497" s="26">
        <f>IF(S497="","","Sim")</f>
        <v/>
      </c>
      <c r="U497" s="41">
        <f>IF(T497="Sim",S497+ROW()/100000,0)</f>
        <v>0</v>
      </c>
      <c r="V497" s="41">
        <f>IF(AND(H497="Falta",L497=Config!$B$7,M497=Config!$B$5,COUNTIFS($E$5:E497,E497,$H$5:H497,"Falta",$L$5:L497,Config!$B$7,$M$5:M497,Config!$B$5)=1),COUNTIFS($E$5:$E$1204,E497,$H$5:$H$1204,"Falta",$L$5:$L$1204,Config!$B$7,$M$5:$M$1204,Config!$B$5)*1000-ROW()/100000,0)</f>
        <v>0</v>
      </c>
    </row>
    <row r="498">
      <c r="A498" s="39" t="n">
        <v>46254</v>
      </c>
      <c r="B498" s="40" t="n">
        <v>0.375</v>
      </c>
      <c r="C498" s="35" t="inlineStr">
        <is>
          <t>Dra. Carolina Mendes</t>
        </is>
      </c>
      <c r="D498" s="35" t="inlineStr">
        <is>
          <t>Sala 1</t>
        </is>
      </c>
      <c r="E498" s="34" t="inlineStr">
        <is>
          <t>Daniel Almeida</t>
        </is>
      </c>
      <c r="F498" s="35" t="inlineStr">
        <is>
          <t>Saúde Total</t>
        </is>
      </c>
      <c r="G498" s="35" t="inlineStr">
        <is>
          <t>Retorno</t>
        </is>
      </c>
      <c r="H498" s="35" t="inlineStr">
        <is>
          <t>Realizado</t>
        </is>
      </c>
      <c r="I498" s="35" t="inlineStr">
        <is>
          <t>Sem cobrança</t>
        </is>
      </c>
      <c r="J498" s="35" t="n"/>
      <c r="K498" s="34" t="n"/>
      <c r="L498" s="26">
        <f>IF(A498="","",MONTH(A498))</f>
        <v>8</v>
      </c>
      <c r="M498" s="26">
        <f>IF(A498="","",YEAR(A498))</f>
        <v>2026</v>
      </c>
      <c r="N498" s="26" t="str">
        <f>IF(A498="","",CHOOSE(WEEKDAY(A498,2),"Segunda","Terça","Quarta","Quinta","Sexta","Sábado","Domingo"))</f>
        <v>Quinta</v>
      </c>
      <c r="O498" s="26" t="str">
        <f>IF(B498="","",IF(B498&lt;TIME(12,0,0),"Manhã",IF(B498&lt;TIME(18,0,0),"Tarde","Noite")))</f>
        <v>Manhã</v>
      </c>
      <c r="P498" s="32">
        <f>IF(G498="","",IFERROR(INDEX(Config!$I$5:$I$16,MATCH(G498,Config!$H$5:$H$16,0)),0))</f>
        <v>0</v>
      </c>
      <c r="Q498" s="30">
        <f>IF(OR(H498&lt;&gt;"Realizado",P498="",P498=0),"",A498+P498)</f>
        <v/>
      </c>
      <c r="R498" s="26">
        <f>IF(Q498="","",IF(COUNTIFS($E$5:$E$1204,E498,$A$5:$A$1204,"&gt;"&amp;A498,$H$5:$H$1204,"&lt;&gt;Falta",$H$5:$H$1204,"&lt;&gt;Cancelado",$H$5:$H$1204,"&lt;&gt;Remarcado")&gt;0,"Sim","Não"))</f>
        <v/>
      </c>
      <c r="S498" s="32">
        <f>IF(R498&lt;&gt;"Não","",IF(Q498+Config!$B$9&lt;=Config!$B$8,Config!$B$8-Q498,""))</f>
        <v/>
      </c>
      <c r="T498" s="26">
        <f>IF(S498="","","Sim")</f>
        <v/>
      </c>
      <c r="U498" s="41">
        <f>IF(T498="Sim",S498+ROW()/100000,0)</f>
        <v>0</v>
      </c>
      <c r="V498" s="41">
        <f>IF(AND(H498="Falta",L498=Config!$B$7,M498=Config!$B$5,COUNTIFS($E$5:E498,E498,$H$5:H498,"Falta",$L$5:L498,Config!$B$7,$M$5:M498,Config!$B$5)=1),COUNTIFS($E$5:$E$1204,E498,$H$5:$H$1204,"Falta",$L$5:$L$1204,Config!$B$7,$M$5:$M$1204,Config!$B$5)*1000-ROW()/100000,0)</f>
        <v>0</v>
      </c>
    </row>
    <row r="499">
      <c r="A499" s="39" t="n">
        <v>46254</v>
      </c>
      <c r="B499" s="40" t="n">
        <v>0.3888888888888889</v>
      </c>
      <c r="C499" s="35" t="inlineStr">
        <is>
          <t>Dra. Carolina Mendes</t>
        </is>
      </c>
      <c r="D499" s="35" t="inlineStr">
        <is>
          <t>Sala 1</t>
        </is>
      </c>
      <c r="E499" s="34" t="inlineStr">
        <is>
          <t>Regina Macedo</t>
        </is>
      </c>
      <c r="F499" s="35" t="inlineStr">
        <is>
          <t>Particular</t>
        </is>
      </c>
      <c r="G499" s="35" t="inlineStr">
        <is>
          <t>Consulta</t>
        </is>
      </c>
      <c r="H499" s="35" t="inlineStr">
        <is>
          <t>Realizado</t>
        </is>
      </c>
      <c r="I499" s="35" t="inlineStr">
        <is>
          <t>Pix</t>
        </is>
      </c>
      <c r="J499" s="35" t="n"/>
      <c r="K499" s="34" t="n"/>
      <c r="L499" s="26">
        <f>IF(A499="","",MONTH(A499))</f>
        <v>8</v>
      </c>
      <c r="M499" s="26">
        <f>IF(A499="","",YEAR(A499))</f>
        <v>2026</v>
      </c>
      <c r="N499" s="26" t="str">
        <f>IF(A499="","",CHOOSE(WEEKDAY(A499,2),"Segunda","Terça","Quarta","Quinta","Sexta","Sábado","Domingo"))</f>
        <v>Quinta</v>
      </c>
      <c r="O499" s="26" t="str">
        <f>IF(B499="","",IF(B499&lt;TIME(12,0,0),"Manhã",IF(B499&lt;TIME(18,0,0),"Tarde","Noite")))</f>
        <v>Manhã</v>
      </c>
      <c r="P499" s="32">
        <f>IF(G499="","",IFERROR(INDEX(Config!$I$5:$I$16,MATCH(G499,Config!$H$5:$H$16,0)),0))</f>
        <v>30</v>
      </c>
      <c r="Q499" s="30">
        <f>IF(OR(H499&lt;&gt;"Realizado",P499="",P499=0),"",A499+P499)</f>
        <v>46284.0</v>
      </c>
      <c r="R499" s="26" t="str">
        <f>IF(Q499="","",IF(COUNTIFS($E$5:$E$1204,E499,$A$5:$A$1204,"&gt;"&amp;A499,$H$5:$H$1204,"&lt;&gt;Falta",$H$5:$H$1204,"&lt;&gt;Cancelado",$H$5:$H$1204,"&lt;&gt;Remarcado")&gt;0,"Sim","Não"))</f>
        <v>Sim</v>
      </c>
      <c r="S499" s="32">
        <f>IF(R499&lt;&gt;"Não","",IF(Q499+Config!$B$9&lt;=Config!$B$8,Config!$B$8-Q499,""))</f>
        <v/>
      </c>
      <c r="T499" s="26">
        <f>IF(S499="","","Sim")</f>
        <v/>
      </c>
      <c r="U499" s="41">
        <f>IF(T499="Sim",S499+ROW()/100000,0)</f>
        <v>0</v>
      </c>
      <c r="V499" s="41">
        <f>IF(AND(H499="Falta",L499=Config!$B$7,M499=Config!$B$5,COUNTIFS($E$5:E499,E499,$H$5:H499,"Falta",$L$5:L499,Config!$B$7,$M$5:M499,Config!$B$5)=1),COUNTIFS($E$5:$E$1204,E499,$H$5:$H$1204,"Falta",$L$5:$L$1204,Config!$B$7,$M$5:$M$1204,Config!$B$5)*1000-ROW()/100000,0)</f>
        <v>0</v>
      </c>
    </row>
    <row r="500">
      <c r="A500" s="39" t="n">
        <v>46254</v>
      </c>
      <c r="B500" s="40" t="n">
        <v>0.4097222222222222</v>
      </c>
      <c r="C500" s="35" t="inlineStr">
        <is>
          <t>Dra. Carolina Mendes</t>
        </is>
      </c>
      <c r="D500" s="35" t="inlineStr">
        <is>
          <t>Sala 1</t>
        </is>
      </c>
      <c r="E500" s="34" t="inlineStr">
        <is>
          <t>Eduardo Nunes</t>
        </is>
      </c>
      <c r="F500" s="35" t="inlineStr">
        <is>
          <t>MediPlan</t>
        </is>
      </c>
      <c r="G500" s="35" t="inlineStr">
        <is>
          <t>Consulta</t>
        </is>
      </c>
      <c r="H500" s="35" t="inlineStr">
        <is>
          <t>Realizado</t>
        </is>
      </c>
      <c r="I500" s="35" t="inlineStr">
        <is>
          <t>Convênio</t>
        </is>
      </c>
      <c r="J500" s="35" t="n"/>
      <c r="K500" s="34" t="n"/>
      <c r="L500" s="26">
        <f>IF(A500="","",MONTH(A500))</f>
        <v>8</v>
      </c>
      <c r="M500" s="26">
        <f>IF(A500="","",YEAR(A500))</f>
        <v>2026</v>
      </c>
      <c r="N500" s="26" t="str">
        <f>IF(A500="","",CHOOSE(WEEKDAY(A500,2),"Segunda","Terça","Quarta","Quinta","Sexta","Sábado","Domingo"))</f>
        <v>Quinta</v>
      </c>
      <c r="O500" s="26" t="str">
        <f>IF(B500="","",IF(B500&lt;TIME(12,0,0),"Manhã",IF(B500&lt;TIME(18,0,0),"Tarde","Noite")))</f>
        <v>Manhã</v>
      </c>
      <c r="P500" s="32">
        <f>IF(G500="","",IFERROR(INDEX(Config!$I$5:$I$16,MATCH(G500,Config!$H$5:$H$16,0)),0))</f>
        <v>30</v>
      </c>
      <c r="Q500" s="30">
        <f>IF(OR(H500&lt;&gt;"Realizado",P500="",P500=0),"",A500+P500)</f>
        <v>46284.0</v>
      </c>
      <c r="R500" s="26" t="str">
        <f>IF(Q500="","",IF(COUNTIFS($E$5:$E$1204,E500,$A$5:$A$1204,"&gt;"&amp;A500,$H$5:$H$1204,"&lt;&gt;Falta",$H$5:$H$1204,"&lt;&gt;Cancelado",$H$5:$H$1204,"&lt;&gt;Remarcado")&gt;0,"Sim","Não"))</f>
        <v>Sim</v>
      </c>
      <c r="S500" s="32">
        <f>IF(R500&lt;&gt;"Não","",IF(Q500+Config!$B$9&lt;=Config!$B$8,Config!$B$8-Q500,""))</f>
        <v/>
      </c>
      <c r="T500" s="26">
        <f>IF(S500="","","Sim")</f>
        <v/>
      </c>
      <c r="U500" s="41">
        <f>IF(T500="Sim",S500+ROW()/100000,0)</f>
        <v>0</v>
      </c>
      <c r="V500" s="41">
        <f>IF(AND(H500="Falta",L500=Config!$B$7,M500=Config!$B$5,COUNTIFS($E$5:E500,E500,$H$5:H500,"Falta",$L$5:L500,Config!$B$7,$M$5:M500,Config!$B$5)=1),COUNTIFS($E$5:$E$1204,E500,$H$5:$H$1204,"Falta",$L$5:$L$1204,Config!$B$7,$M$5:$M$1204,Config!$B$5)*1000-ROW()/100000,0)</f>
        <v>0</v>
      </c>
    </row>
    <row r="501">
      <c r="A501" s="39" t="n">
        <v>46254</v>
      </c>
      <c r="B501" s="40" t="n">
        <v>0.4513888888888889</v>
      </c>
      <c r="C501" s="35" t="inlineStr">
        <is>
          <t>Dra. Carolina Mendes</t>
        </is>
      </c>
      <c r="D501" s="35" t="inlineStr">
        <is>
          <t>Sala 1</t>
        </is>
      </c>
      <c r="E501" s="34" t="inlineStr">
        <is>
          <t>Mônica Teixeira</t>
        </is>
      </c>
      <c r="F501" s="35" t="inlineStr">
        <is>
          <t>Vida Care</t>
        </is>
      </c>
      <c r="G501" s="35" t="inlineStr">
        <is>
          <t>Consulta</t>
        </is>
      </c>
      <c r="H501" s="35" t="inlineStr">
        <is>
          <t>Realizado</t>
        </is>
      </c>
      <c r="I501" s="35" t="inlineStr">
        <is>
          <t>Convênio</t>
        </is>
      </c>
      <c r="J501" s="35" t="n"/>
      <c r="K501" s="34" t="n"/>
      <c r="L501" s="26">
        <f>IF(A501="","",MONTH(A501))</f>
        <v>8</v>
      </c>
      <c r="M501" s="26">
        <f>IF(A501="","",YEAR(A501))</f>
        <v>2026</v>
      </c>
      <c r="N501" s="26" t="str">
        <f>IF(A501="","",CHOOSE(WEEKDAY(A501,2),"Segunda","Terça","Quarta","Quinta","Sexta","Sábado","Domingo"))</f>
        <v>Quinta</v>
      </c>
      <c r="O501" s="26" t="str">
        <f>IF(B501="","",IF(B501&lt;TIME(12,0,0),"Manhã",IF(B501&lt;TIME(18,0,0),"Tarde","Noite")))</f>
        <v>Manhã</v>
      </c>
      <c r="P501" s="32">
        <f>IF(G501="","",IFERROR(INDEX(Config!$I$5:$I$16,MATCH(G501,Config!$H$5:$H$16,0)),0))</f>
        <v>30</v>
      </c>
      <c r="Q501" s="30">
        <f>IF(OR(H501&lt;&gt;"Realizado",P501="",P501=0),"",A501+P501)</f>
        <v>46284.0</v>
      </c>
      <c r="R501" s="26" t="str">
        <f>IF(Q501="","",IF(COUNTIFS($E$5:$E$1204,E501,$A$5:$A$1204,"&gt;"&amp;A501,$H$5:$H$1204,"&lt;&gt;Falta",$H$5:$H$1204,"&lt;&gt;Cancelado",$H$5:$H$1204,"&lt;&gt;Remarcado")&gt;0,"Sim","Não"))</f>
        <v>Sim</v>
      </c>
      <c r="S501" s="32">
        <f>IF(R501&lt;&gt;"Não","",IF(Q501+Config!$B$9&lt;=Config!$B$8,Config!$B$8-Q501,""))</f>
        <v/>
      </c>
      <c r="T501" s="26">
        <f>IF(S501="","","Sim")</f>
        <v/>
      </c>
      <c r="U501" s="41">
        <f>IF(T501="Sim",S501+ROW()/100000,0)</f>
        <v>0</v>
      </c>
      <c r="V501" s="41">
        <f>IF(AND(H501="Falta",L501=Config!$B$7,M501=Config!$B$5,COUNTIFS($E$5:E501,E501,$H$5:H501,"Falta",$L$5:L501,Config!$B$7,$M$5:M501,Config!$B$5)=1),COUNTIFS($E$5:$E$1204,E501,$H$5:$H$1204,"Falta",$L$5:$L$1204,Config!$B$7,$M$5:$M$1204,Config!$B$5)*1000-ROW()/100000,0)</f>
        <v>0</v>
      </c>
    </row>
    <row r="502">
      <c r="A502" s="39" t="n">
        <v>46254</v>
      </c>
      <c r="B502" s="40" t="n">
        <v>0.4722222222222222</v>
      </c>
      <c r="C502" s="35" t="inlineStr">
        <is>
          <t>Dra. Carolina Mendes</t>
        </is>
      </c>
      <c r="D502" s="35" t="inlineStr">
        <is>
          <t>Sala 1</t>
        </is>
      </c>
      <c r="E502" s="34" t="inlineStr">
        <is>
          <t>Otávio Cardoso</t>
        </is>
      </c>
      <c r="F502" s="35" t="inlineStr">
        <is>
          <t>Particular</t>
        </is>
      </c>
      <c r="G502" s="35" t="inlineStr">
        <is>
          <t>Consulta</t>
        </is>
      </c>
      <c r="H502" s="35" t="inlineStr">
        <is>
          <t>Cancelado</t>
        </is>
      </c>
      <c r="I502" s="35" t="n"/>
      <c r="J502" s="35" t="n"/>
      <c r="K502" s="34" t="n"/>
      <c r="L502" s="26">
        <f>IF(A502="","",MONTH(A502))</f>
        <v>8</v>
      </c>
      <c r="M502" s="26">
        <f>IF(A502="","",YEAR(A502))</f>
        <v>2026</v>
      </c>
      <c r="N502" s="26" t="str">
        <f>IF(A502="","",CHOOSE(WEEKDAY(A502,2),"Segunda","Terça","Quarta","Quinta","Sexta","Sábado","Domingo"))</f>
        <v>Quinta</v>
      </c>
      <c r="O502" s="26" t="str">
        <f>IF(B502="","",IF(B502&lt;TIME(12,0,0),"Manhã",IF(B502&lt;TIME(18,0,0),"Tarde","Noite")))</f>
        <v>Manhã</v>
      </c>
      <c r="P502" s="32">
        <f>IF(G502="","",IFERROR(INDEX(Config!$I$5:$I$16,MATCH(G502,Config!$H$5:$H$16,0)),0))</f>
        <v>30</v>
      </c>
      <c r="Q502" s="30">
        <f>IF(OR(H502&lt;&gt;"Realizado",P502="",P502=0),"",A502+P502)</f>
        <v/>
      </c>
      <c r="R502" s="26">
        <f>IF(Q502="","",IF(COUNTIFS($E$5:$E$1204,E502,$A$5:$A$1204,"&gt;"&amp;A502,$H$5:$H$1204,"&lt;&gt;Falta",$H$5:$H$1204,"&lt;&gt;Cancelado",$H$5:$H$1204,"&lt;&gt;Remarcado")&gt;0,"Sim","Não"))</f>
        <v/>
      </c>
      <c r="S502" s="32">
        <f>IF(R502&lt;&gt;"Não","",IF(Q502+Config!$B$9&lt;=Config!$B$8,Config!$B$8-Q502,""))</f>
        <v/>
      </c>
      <c r="T502" s="26">
        <f>IF(S502="","","Sim")</f>
        <v/>
      </c>
      <c r="U502" s="41">
        <f>IF(T502="Sim",S502+ROW()/100000,0)</f>
        <v>0</v>
      </c>
      <c r="V502" s="41">
        <f>IF(AND(H502="Falta",L502=Config!$B$7,M502=Config!$B$5,COUNTIFS($E$5:E502,E502,$H$5:H502,"Falta",$L$5:L502,Config!$B$7,$M$5:M502,Config!$B$5)=1),COUNTIFS($E$5:$E$1204,E502,$H$5:$H$1204,"Falta",$L$5:$L$1204,Config!$B$7,$M$5:$M$1204,Config!$B$5)*1000-ROW()/100000,0)</f>
        <v>0</v>
      </c>
    </row>
    <row r="503">
      <c r="A503" s="39" t="n">
        <v>46254</v>
      </c>
      <c r="B503" s="40" t="n">
        <v>0.5833333333333334</v>
      </c>
      <c r="C503" s="35" t="inlineStr">
        <is>
          <t>Dra. Renata Sousa</t>
        </is>
      </c>
      <c r="D503" s="35" t="inlineStr">
        <is>
          <t>Sala 1</t>
        </is>
      </c>
      <c r="E503" s="34" t="inlineStr">
        <is>
          <t>Beatriz Monteiro</t>
        </is>
      </c>
      <c r="F503" s="35" t="inlineStr">
        <is>
          <t>Particular</t>
        </is>
      </c>
      <c r="G503" s="35" t="inlineStr">
        <is>
          <t>Avaliação endócrina</t>
        </is>
      </c>
      <c r="H503" s="35" t="inlineStr">
        <is>
          <t>Cancelado</t>
        </is>
      </c>
      <c r="I503" s="35" t="n"/>
      <c r="J503" s="35" t="n"/>
      <c r="K503" s="34" t="n"/>
      <c r="L503" s="26">
        <f>IF(A503="","",MONTH(A503))</f>
        <v>8</v>
      </c>
      <c r="M503" s="26">
        <f>IF(A503="","",YEAR(A503))</f>
        <v>2026</v>
      </c>
      <c r="N503" s="26" t="str">
        <f>IF(A503="","",CHOOSE(WEEKDAY(A503,2),"Segunda","Terça","Quarta","Quinta","Sexta","Sábado","Domingo"))</f>
        <v>Quinta</v>
      </c>
      <c r="O503" s="26" t="str">
        <f>IF(B503="","",IF(B503&lt;TIME(12,0,0),"Manhã",IF(B503&lt;TIME(18,0,0),"Tarde","Noite")))</f>
        <v>Tarde</v>
      </c>
      <c r="P503" s="32">
        <f>IF(G503="","",IFERROR(INDEX(Config!$I$5:$I$16,MATCH(G503,Config!$H$5:$H$16,0)),0))</f>
        <v>45</v>
      </c>
      <c r="Q503" s="30">
        <f>IF(OR(H503&lt;&gt;"Realizado",P503="",P503=0),"",A503+P503)</f>
        <v/>
      </c>
      <c r="R503" s="26">
        <f>IF(Q503="","",IF(COUNTIFS($E$5:$E$1204,E503,$A$5:$A$1204,"&gt;"&amp;A503,$H$5:$H$1204,"&lt;&gt;Falta",$H$5:$H$1204,"&lt;&gt;Cancelado",$H$5:$H$1204,"&lt;&gt;Remarcado")&gt;0,"Sim","Não"))</f>
        <v/>
      </c>
      <c r="S503" s="32">
        <f>IF(R503&lt;&gt;"Não","",IF(Q503+Config!$B$9&lt;=Config!$B$8,Config!$B$8-Q503,""))</f>
        <v/>
      </c>
      <c r="T503" s="26">
        <f>IF(S503="","","Sim")</f>
        <v/>
      </c>
      <c r="U503" s="41">
        <f>IF(T503="Sim",S503+ROW()/100000,0)</f>
        <v>0</v>
      </c>
      <c r="V503" s="41">
        <f>IF(AND(H503="Falta",L503=Config!$B$7,M503=Config!$B$5,COUNTIFS($E$5:E503,E503,$H$5:H503,"Falta",$L$5:L503,Config!$B$7,$M$5:M503,Config!$B$5)=1),COUNTIFS($E$5:$E$1204,E503,$H$5:$H$1204,"Falta",$L$5:$L$1204,Config!$B$7,$M$5:$M$1204,Config!$B$5)*1000-ROW()/100000,0)</f>
        <v>0</v>
      </c>
    </row>
    <row r="504">
      <c r="A504" s="39" t="n">
        <v>46254</v>
      </c>
      <c r="B504" s="40" t="n">
        <v>0.6041666666666666</v>
      </c>
      <c r="C504" s="35" t="inlineStr">
        <is>
          <t>Dr. Paulo Andrade</t>
        </is>
      </c>
      <c r="D504" s="35" t="inlineStr">
        <is>
          <t>Sala 2</t>
        </is>
      </c>
      <c r="E504" s="34" t="inlineStr">
        <is>
          <t>Viviane Ribeiro</t>
        </is>
      </c>
      <c r="F504" s="35" t="inlineStr">
        <is>
          <t>Particular</t>
        </is>
      </c>
      <c r="G504" s="35" t="inlineStr">
        <is>
          <t>Teste ergométrico</t>
        </is>
      </c>
      <c r="H504" s="35" t="inlineStr">
        <is>
          <t>Realizado</t>
        </is>
      </c>
      <c r="I504" s="35" t="inlineStr">
        <is>
          <t>Pix</t>
        </is>
      </c>
      <c r="J504" s="35" t="n"/>
      <c r="K504" s="34" t="n"/>
      <c r="L504" s="26">
        <f>IF(A504="","",MONTH(A504))</f>
        <v>8</v>
      </c>
      <c r="M504" s="26">
        <f>IF(A504="","",YEAR(A504))</f>
        <v>2026</v>
      </c>
      <c r="N504" s="26" t="str">
        <f>IF(A504="","",CHOOSE(WEEKDAY(A504,2),"Segunda","Terça","Quarta","Quinta","Sexta","Sábado","Domingo"))</f>
        <v>Quinta</v>
      </c>
      <c r="O504" s="26" t="str">
        <f>IF(B504="","",IF(B504&lt;TIME(12,0,0),"Manhã",IF(B504&lt;TIME(18,0,0),"Tarde","Noite")))</f>
        <v>Tarde</v>
      </c>
      <c r="P504" s="32">
        <f>IF(G504="","",IFERROR(INDEX(Config!$I$5:$I$16,MATCH(G504,Config!$H$5:$H$16,0)),0))</f>
        <v>0</v>
      </c>
      <c r="Q504" s="30">
        <f>IF(OR(H504&lt;&gt;"Realizado",P504="",P504=0),"",A504+P504)</f>
        <v/>
      </c>
      <c r="R504" s="26">
        <f>IF(Q504="","",IF(COUNTIFS($E$5:$E$1204,E504,$A$5:$A$1204,"&gt;"&amp;A504,$H$5:$H$1204,"&lt;&gt;Falta",$H$5:$H$1204,"&lt;&gt;Cancelado",$H$5:$H$1204,"&lt;&gt;Remarcado")&gt;0,"Sim","Não"))</f>
        <v/>
      </c>
      <c r="S504" s="32">
        <f>IF(R504&lt;&gt;"Não","",IF(Q504+Config!$B$9&lt;=Config!$B$8,Config!$B$8-Q504,""))</f>
        <v/>
      </c>
      <c r="T504" s="26">
        <f>IF(S504="","","Sim")</f>
        <v/>
      </c>
      <c r="U504" s="41">
        <f>IF(T504="Sim",S504+ROW()/100000,0)</f>
        <v>0</v>
      </c>
      <c r="V504" s="41">
        <f>IF(AND(H504="Falta",L504=Config!$B$7,M504=Config!$B$5,COUNTIFS($E$5:E504,E504,$H$5:H504,"Falta",$L$5:L504,Config!$B$7,$M$5:M504,Config!$B$5)=1),COUNTIFS($E$5:$E$1204,E504,$H$5:$H$1204,"Falta",$L$5:$L$1204,Config!$B$7,$M$5:$M$1204,Config!$B$5)*1000-ROW()/100000,0)</f>
        <v>0</v>
      </c>
    </row>
    <row r="505">
      <c r="A505" s="39" t="n">
        <v>46254</v>
      </c>
      <c r="B505" s="40" t="n">
        <v>0.6319444444444444</v>
      </c>
      <c r="C505" s="35" t="inlineStr">
        <is>
          <t>Dra. Renata Sousa</t>
        </is>
      </c>
      <c r="D505" s="35" t="inlineStr">
        <is>
          <t>Sala 1</t>
        </is>
      </c>
      <c r="E505" s="34" t="inlineStr">
        <is>
          <t>Patrícia Dias</t>
        </is>
      </c>
      <c r="F505" s="35" t="inlineStr">
        <is>
          <t>Particular</t>
        </is>
      </c>
      <c r="G505" s="35" t="inlineStr">
        <is>
          <t>Avaliação endócrina</t>
        </is>
      </c>
      <c r="H505" s="35" t="inlineStr">
        <is>
          <t>Realizado</t>
        </is>
      </c>
      <c r="I505" s="35" t="inlineStr">
        <is>
          <t>Cartão de crédito</t>
        </is>
      </c>
      <c r="J505" s="35" t="n">
        <v>2</v>
      </c>
      <c r="K505" s="34" t="n"/>
      <c r="L505" s="26">
        <f>IF(A505="","",MONTH(A505))</f>
        <v>8</v>
      </c>
      <c r="M505" s="26">
        <f>IF(A505="","",YEAR(A505))</f>
        <v>2026</v>
      </c>
      <c r="N505" s="26" t="str">
        <f>IF(A505="","",CHOOSE(WEEKDAY(A505,2),"Segunda","Terça","Quarta","Quinta","Sexta","Sábado","Domingo"))</f>
        <v>Quinta</v>
      </c>
      <c r="O505" s="26" t="str">
        <f>IF(B505="","",IF(B505&lt;TIME(12,0,0),"Manhã",IF(B505&lt;TIME(18,0,0),"Tarde","Noite")))</f>
        <v>Tarde</v>
      </c>
      <c r="P505" s="32">
        <f>IF(G505="","",IFERROR(INDEX(Config!$I$5:$I$16,MATCH(G505,Config!$H$5:$H$16,0)),0))</f>
        <v>45</v>
      </c>
      <c r="Q505" s="30">
        <f>IF(OR(H505&lt;&gt;"Realizado",P505="",P505=0),"",A505+P505)</f>
        <v>46299.0</v>
      </c>
      <c r="R505" s="26" t="str">
        <f>IF(Q505="","",IF(COUNTIFS($E$5:$E$1204,E505,$A$5:$A$1204,"&gt;"&amp;A505,$H$5:$H$1204,"&lt;&gt;Falta",$H$5:$H$1204,"&lt;&gt;Cancelado",$H$5:$H$1204,"&lt;&gt;Remarcado")&gt;0,"Sim","Não"))</f>
        <v>Sim</v>
      </c>
      <c r="S505" s="32">
        <f>IF(R505&lt;&gt;"Não","",IF(Q505+Config!$B$9&lt;=Config!$B$8,Config!$B$8-Q505,""))</f>
        <v/>
      </c>
      <c r="T505" s="26">
        <f>IF(S505="","","Sim")</f>
        <v/>
      </c>
      <c r="U505" s="41">
        <f>IF(T505="Sim",S505+ROW()/100000,0)</f>
        <v>0</v>
      </c>
      <c r="V505" s="41">
        <f>IF(AND(H505="Falta",L505=Config!$B$7,M505=Config!$B$5,COUNTIFS($E$5:E505,E505,$H$5:H505,"Falta",$L$5:L505,Config!$B$7,$M$5:M505,Config!$B$5)=1),COUNTIFS($E$5:$E$1204,E505,$H$5:$H$1204,"Falta",$L$5:$L$1204,Config!$B$7,$M$5:$M$1204,Config!$B$5)*1000-ROW()/100000,0)</f>
        <v>0</v>
      </c>
    </row>
    <row r="506">
      <c r="A506" s="39" t="n">
        <v>46254</v>
      </c>
      <c r="B506" s="40" t="n">
        <v>0.6319444444444444</v>
      </c>
      <c r="C506" s="35" t="inlineStr">
        <is>
          <t>Dr. Paulo Andrade</t>
        </is>
      </c>
      <c r="D506" s="35" t="inlineStr">
        <is>
          <t>Sala 2</t>
        </is>
      </c>
      <c r="E506" s="34" t="inlineStr">
        <is>
          <t>Wagner Costa</t>
        </is>
      </c>
      <c r="F506" s="35" t="inlineStr">
        <is>
          <t>Particular</t>
        </is>
      </c>
      <c r="G506" s="35" t="inlineStr">
        <is>
          <t>Consulta</t>
        </is>
      </c>
      <c r="H506" s="35" t="inlineStr">
        <is>
          <t>Realizado</t>
        </is>
      </c>
      <c r="I506" s="35" t="inlineStr">
        <is>
          <t>Pix</t>
        </is>
      </c>
      <c r="J506" s="35" t="n"/>
      <c r="K506" s="34" t="n"/>
      <c r="L506" s="26">
        <f>IF(A506="","",MONTH(A506))</f>
        <v>8</v>
      </c>
      <c r="M506" s="26">
        <f>IF(A506="","",YEAR(A506))</f>
        <v>2026</v>
      </c>
      <c r="N506" s="26" t="str">
        <f>IF(A506="","",CHOOSE(WEEKDAY(A506,2),"Segunda","Terça","Quarta","Quinta","Sexta","Sábado","Domingo"))</f>
        <v>Quinta</v>
      </c>
      <c r="O506" s="26" t="str">
        <f>IF(B506="","",IF(B506&lt;TIME(12,0,0),"Manhã",IF(B506&lt;TIME(18,0,0),"Tarde","Noite")))</f>
        <v>Tarde</v>
      </c>
      <c r="P506" s="32">
        <f>IF(G506="","",IFERROR(INDEX(Config!$I$5:$I$16,MATCH(G506,Config!$H$5:$H$16,0)),0))</f>
        <v>30</v>
      </c>
      <c r="Q506" s="30">
        <f>IF(OR(H506&lt;&gt;"Realizado",P506="",P506=0),"",A506+P506)</f>
        <v>46284.0</v>
      </c>
      <c r="R506" s="26" t="str">
        <f>IF(Q506="","",IF(COUNTIFS($E$5:$E$1204,E506,$A$5:$A$1204,"&gt;"&amp;A506,$H$5:$H$1204,"&lt;&gt;Falta",$H$5:$H$1204,"&lt;&gt;Cancelado",$H$5:$H$1204,"&lt;&gt;Remarcado")&gt;0,"Sim","Não"))</f>
        <v>Sim</v>
      </c>
      <c r="S506" s="32">
        <f>IF(R506&lt;&gt;"Não","",IF(Q506+Config!$B$9&lt;=Config!$B$8,Config!$B$8-Q506,""))</f>
        <v/>
      </c>
      <c r="T506" s="26">
        <f>IF(S506="","","Sim")</f>
        <v/>
      </c>
      <c r="U506" s="41">
        <f>IF(T506="Sim",S506+ROW()/100000,0)</f>
        <v>0</v>
      </c>
      <c r="V506" s="41">
        <f>IF(AND(H506="Falta",L506=Config!$B$7,M506=Config!$B$5,COUNTIFS($E$5:E506,E506,$H$5:H506,"Falta",$L$5:L506,Config!$B$7,$M$5:M506,Config!$B$5)=1),COUNTIFS($E$5:$E$1204,E506,$H$5:$H$1204,"Falta",$L$5:$L$1204,Config!$B$7,$M$5:$M$1204,Config!$B$5)*1000-ROW()/100000,0)</f>
        <v>0</v>
      </c>
    </row>
    <row r="507">
      <c r="A507" s="39" t="n">
        <v>46254</v>
      </c>
      <c r="B507" s="40" t="n">
        <v>0.6527777777777778</v>
      </c>
      <c r="C507" s="35" t="inlineStr">
        <is>
          <t>Dr. Paulo Andrade</t>
        </is>
      </c>
      <c r="D507" s="35" t="inlineStr">
        <is>
          <t>Sala 2</t>
        </is>
      </c>
      <c r="E507" s="34" t="inlineStr">
        <is>
          <t>Regina Teixeira</t>
        </is>
      </c>
      <c r="F507" s="35" t="inlineStr">
        <is>
          <t>Particular</t>
        </is>
      </c>
      <c r="G507" s="35" t="inlineStr">
        <is>
          <t>Consulta</t>
        </is>
      </c>
      <c r="H507" s="35" t="inlineStr">
        <is>
          <t>Realizado</t>
        </is>
      </c>
      <c r="I507" s="35" t="inlineStr">
        <is>
          <t>Pix</t>
        </is>
      </c>
      <c r="J507" s="35" t="n"/>
      <c r="K507" s="34" t="inlineStr">
        <is>
          <t>Check-up cardiológico (consulta + ECG + teste ergométrico)</t>
        </is>
      </c>
      <c r="L507" s="26">
        <f>IF(A507="","",MONTH(A507))</f>
        <v>8</v>
      </c>
      <c r="M507" s="26">
        <f>IF(A507="","",YEAR(A507))</f>
        <v>2026</v>
      </c>
      <c r="N507" s="26" t="str">
        <f>IF(A507="","",CHOOSE(WEEKDAY(A507,2),"Segunda","Terça","Quarta","Quinta","Sexta","Sábado","Domingo"))</f>
        <v>Quinta</v>
      </c>
      <c r="O507" s="26" t="str">
        <f>IF(B507="","",IF(B507&lt;TIME(12,0,0),"Manhã",IF(B507&lt;TIME(18,0,0),"Tarde","Noite")))</f>
        <v>Tarde</v>
      </c>
      <c r="P507" s="32">
        <f>IF(G507="","",IFERROR(INDEX(Config!$I$5:$I$16,MATCH(G507,Config!$H$5:$H$16,0)),0))</f>
        <v>30</v>
      </c>
      <c r="Q507" s="30">
        <f>IF(OR(H507&lt;&gt;"Realizado",P507="",P507=0),"",A507+P507)</f>
        <v>46284.0</v>
      </c>
      <c r="R507" s="26" t="str">
        <f>IF(Q507="","",IF(COUNTIFS($E$5:$E$1204,E507,$A$5:$A$1204,"&gt;"&amp;A507,$H$5:$H$1204,"&lt;&gt;Falta",$H$5:$H$1204,"&lt;&gt;Cancelado",$H$5:$H$1204,"&lt;&gt;Remarcado")&gt;0,"Sim","Não"))</f>
        <v>Sim</v>
      </c>
      <c r="S507" s="32">
        <f>IF(R507&lt;&gt;"Não","",IF(Q507+Config!$B$9&lt;=Config!$B$8,Config!$B$8-Q507,""))</f>
        <v/>
      </c>
      <c r="T507" s="26">
        <f>IF(S507="","","Sim")</f>
        <v/>
      </c>
      <c r="U507" s="41">
        <f>IF(T507="Sim",S507+ROW()/100000,0)</f>
        <v>0</v>
      </c>
      <c r="V507" s="41">
        <f>IF(AND(H507="Falta",L507=Config!$B$7,M507=Config!$B$5,COUNTIFS($E$5:E507,E507,$H$5:H507,"Falta",$L$5:L507,Config!$B$7,$M$5:M507,Config!$B$5)=1),COUNTIFS($E$5:$E$1204,E507,$H$5:$H$1204,"Falta",$L$5:$L$1204,Config!$B$7,$M$5:$M$1204,Config!$B$5)*1000-ROW()/100000,0)</f>
        <v>0</v>
      </c>
    </row>
    <row r="508">
      <c r="A508" s="39" t="n">
        <v>46254</v>
      </c>
      <c r="B508" s="40" t="n">
        <v>0.6597222222222222</v>
      </c>
      <c r="C508" s="35" t="inlineStr">
        <is>
          <t>Dra. Renata Sousa</t>
        </is>
      </c>
      <c r="D508" s="35" t="inlineStr">
        <is>
          <t>Sala 1</t>
        </is>
      </c>
      <c r="E508" s="34" t="inlineStr">
        <is>
          <t>Beatriz Monteiro</t>
        </is>
      </c>
      <c r="F508" s="35" t="inlineStr">
        <is>
          <t>Particular</t>
        </is>
      </c>
      <c r="G508" s="35" t="inlineStr">
        <is>
          <t>Avaliação endócrina</t>
        </is>
      </c>
      <c r="H508" s="35" t="inlineStr">
        <is>
          <t>Realizado</t>
        </is>
      </c>
      <c r="I508" s="35" t="inlineStr">
        <is>
          <t>Cartão de débito</t>
        </is>
      </c>
      <c r="J508" s="35" t="n"/>
      <c r="K508" s="34" t="n"/>
      <c r="L508" s="26">
        <f>IF(A508="","",MONTH(A508))</f>
        <v>8</v>
      </c>
      <c r="M508" s="26">
        <f>IF(A508="","",YEAR(A508))</f>
        <v>2026</v>
      </c>
      <c r="N508" s="26" t="str">
        <f>IF(A508="","",CHOOSE(WEEKDAY(A508,2),"Segunda","Terça","Quarta","Quinta","Sexta","Sábado","Domingo"))</f>
        <v>Quinta</v>
      </c>
      <c r="O508" s="26" t="str">
        <f>IF(B508="","",IF(B508&lt;TIME(12,0,0),"Manhã",IF(B508&lt;TIME(18,0,0),"Tarde","Noite")))</f>
        <v>Tarde</v>
      </c>
      <c r="P508" s="32">
        <f>IF(G508="","",IFERROR(INDEX(Config!$I$5:$I$16,MATCH(G508,Config!$H$5:$H$16,0)),0))</f>
        <v>45</v>
      </c>
      <c r="Q508" s="30">
        <f>IF(OR(H508&lt;&gt;"Realizado",P508="",P508=0),"",A508+P508)</f>
        <v>46299.0</v>
      </c>
      <c r="R508" s="26" t="str">
        <f>IF(Q508="","",IF(COUNTIFS($E$5:$E$1204,E508,$A$5:$A$1204,"&gt;"&amp;A508,$H$5:$H$1204,"&lt;&gt;Falta",$H$5:$H$1204,"&lt;&gt;Cancelado",$H$5:$H$1204,"&lt;&gt;Remarcado")&gt;0,"Sim","Não"))</f>
        <v>Sim</v>
      </c>
      <c r="S508" s="32">
        <f>IF(R508&lt;&gt;"Não","",IF(Q508+Config!$B$9&lt;=Config!$B$8,Config!$B$8-Q508,""))</f>
        <v/>
      </c>
      <c r="T508" s="26">
        <f>IF(S508="","","Sim")</f>
        <v/>
      </c>
      <c r="U508" s="41">
        <f>IF(T508="Sim",S508+ROW()/100000,0)</f>
        <v>0</v>
      </c>
      <c r="V508" s="41">
        <f>IF(AND(H508="Falta",L508=Config!$B$7,M508=Config!$B$5,COUNTIFS($E$5:E508,E508,$H$5:H508,"Falta",$L$5:L508,Config!$B$7,$M$5:M508,Config!$B$5)=1),COUNTIFS($E$5:$E$1204,E508,$H$5:$H$1204,"Falta",$L$5:$L$1204,Config!$B$7,$M$5:$M$1204,Config!$B$5)*1000-ROW()/100000,0)</f>
        <v>0</v>
      </c>
    </row>
    <row r="509">
      <c r="A509" s="39" t="n">
        <v>46254</v>
      </c>
      <c r="B509" s="40" t="n">
        <v>0.6736111111111112</v>
      </c>
      <c r="C509" s="35" t="inlineStr">
        <is>
          <t>Dr. Paulo Andrade</t>
        </is>
      </c>
      <c r="D509" s="35" t="inlineStr">
        <is>
          <t>Sala 2</t>
        </is>
      </c>
      <c r="E509" s="34" t="inlineStr">
        <is>
          <t>Regina Teixeira</t>
        </is>
      </c>
      <c r="F509" s="35" t="inlineStr">
        <is>
          <t>Particular</t>
        </is>
      </c>
      <c r="G509" s="35" t="inlineStr">
        <is>
          <t>ECG</t>
        </is>
      </c>
      <c r="H509" s="35" t="inlineStr">
        <is>
          <t>Realizado</t>
        </is>
      </c>
      <c r="I509" s="35" t="inlineStr">
        <is>
          <t>Pix</t>
        </is>
      </c>
      <c r="J509" s="35" t="n"/>
      <c r="K509" s="34" t="inlineStr">
        <is>
          <t>Check-up cardiológico (consulta + ECG + teste ergométrico)</t>
        </is>
      </c>
      <c r="L509" s="26">
        <f>IF(A509="","",MONTH(A509))</f>
        <v>8</v>
      </c>
      <c r="M509" s="26">
        <f>IF(A509="","",YEAR(A509))</f>
        <v>2026</v>
      </c>
      <c r="N509" s="26" t="str">
        <f>IF(A509="","",CHOOSE(WEEKDAY(A509,2),"Segunda","Terça","Quarta","Quinta","Sexta","Sábado","Domingo"))</f>
        <v>Quinta</v>
      </c>
      <c r="O509" s="26" t="str">
        <f>IF(B509="","",IF(B509&lt;TIME(12,0,0),"Manhã",IF(B509&lt;TIME(18,0,0),"Tarde","Noite")))</f>
        <v>Tarde</v>
      </c>
      <c r="P509" s="32">
        <f>IF(G509="","",IFERROR(INDEX(Config!$I$5:$I$16,MATCH(G509,Config!$H$5:$H$16,0)),0))</f>
        <v>0</v>
      </c>
      <c r="Q509" s="30">
        <f>IF(OR(H509&lt;&gt;"Realizado",P509="",P509=0),"",A509+P509)</f>
        <v/>
      </c>
      <c r="R509" s="26">
        <f>IF(Q509="","",IF(COUNTIFS($E$5:$E$1204,E509,$A$5:$A$1204,"&gt;"&amp;A509,$H$5:$H$1204,"&lt;&gt;Falta",$H$5:$H$1204,"&lt;&gt;Cancelado",$H$5:$H$1204,"&lt;&gt;Remarcado")&gt;0,"Sim","Não"))</f>
        <v/>
      </c>
      <c r="S509" s="32">
        <f>IF(R509&lt;&gt;"Não","",IF(Q509+Config!$B$9&lt;=Config!$B$8,Config!$B$8-Q509,""))</f>
        <v/>
      </c>
      <c r="T509" s="26">
        <f>IF(S509="","","Sim")</f>
        <v/>
      </c>
      <c r="U509" s="41">
        <f>IF(T509="Sim",S509+ROW()/100000,0)</f>
        <v>0</v>
      </c>
      <c r="V509" s="41">
        <f>IF(AND(H509="Falta",L509=Config!$B$7,M509=Config!$B$5,COUNTIFS($E$5:E509,E509,$H$5:H509,"Falta",$L$5:L509,Config!$B$7,$M$5:M509,Config!$B$5)=1),COUNTIFS($E$5:$E$1204,E509,$H$5:$H$1204,"Falta",$L$5:$L$1204,Config!$B$7,$M$5:$M$1204,Config!$B$5)*1000-ROW()/100000,0)</f>
        <v>0</v>
      </c>
    </row>
    <row r="510">
      <c r="A510" s="39" t="n">
        <v>46254</v>
      </c>
      <c r="B510" s="40" t="n">
        <v>0.6875</v>
      </c>
      <c r="C510" s="35" t="inlineStr">
        <is>
          <t>Dra. Renata Sousa</t>
        </is>
      </c>
      <c r="D510" s="35" t="inlineStr">
        <is>
          <t>Sala 1</t>
        </is>
      </c>
      <c r="E510" s="34" t="inlineStr">
        <is>
          <t>Isabela Xavier</t>
        </is>
      </c>
      <c r="F510" s="35" t="inlineStr">
        <is>
          <t>Particular</t>
        </is>
      </c>
      <c r="G510" s="35" t="inlineStr">
        <is>
          <t>Avaliação endócrina</t>
        </is>
      </c>
      <c r="H510" s="35" t="inlineStr">
        <is>
          <t>Realizado</t>
        </is>
      </c>
      <c r="I510" s="35" t="inlineStr">
        <is>
          <t>Cartão de crédito</t>
        </is>
      </c>
      <c r="J510" s="35" t="n"/>
      <c r="K510" s="34" t="n"/>
      <c r="L510" s="26">
        <f>IF(A510="","",MONTH(A510))</f>
        <v>8</v>
      </c>
      <c r="M510" s="26">
        <f>IF(A510="","",YEAR(A510))</f>
        <v>2026</v>
      </c>
      <c r="N510" s="26" t="str">
        <f>IF(A510="","",CHOOSE(WEEKDAY(A510,2),"Segunda","Terça","Quarta","Quinta","Sexta","Sábado","Domingo"))</f>
        <v>Quinta</v>
      </c>
      <c r="O510" s="26" t="str">
        <f>IF(B510="","",IF(B510&lt;TIME(12,0,0),"Manhã",IF(B510&lt;TIME(18,0,0),"Tarde","Noite")))</f>
        <v>Tarde</v>
      </c>
      <c r="P510" s="32">
        <f>IF(G510="","",IFERROR(INDEX(Config!$I$5:$I$16,MATCH(G510,Config!$H$5:$H$16,0)),0))</f>
        <v>45</v>
      </c>
      <c r="Q510" s="30">
        <f>IF(OR(H510&lt;&gt;"Realizado",P510="",P510=0),"",A510+P510)</f>
        <v>46299.0</v>
      </c>
      <c r="R510" s="26" t="str">
        <f>IF(Q510="","",IF(COUNTIFS($E$5:$E$1204,E510,$A$5:$A$1204,"&gt;"&amp;A510,$H$5:$H$1204,"&lt;&gt;Falta",$H$5:$H$1204,"&lt;&gt;Cancelado",$H$5:$H$1204,"&lt;&gt;Remarcado")&gt;0,"Sim","Não"))</f>
        <v>Sim</v>
      </c>
      <c r="S510" s="32">
        <f>IF(R510&lt;&gt;"Não","",IF(Q510+Config!$B$9&lt;=Config!$B$8,Config!$B$8-Q510,""))</f>
        <v/>
      </c>
      <c r="T510" s="26">
        <f>IF(S510="","","Sim")</f>
        <v/>
      </c>
      <c r="U510" s="41">
        <f>IF(T510="Sim",S510+ROW()/100000,0)</f>
        <v>0</v>
      </c>
      <c r="V510" s="41">
        <f>IF(AND(H510="Falta",L510=Config!$B$7,M510=Config!$B$5,COUNTIFS($E$5:E510,E510,$H$5:H510,"Falta",$L$5:L510,Config!$B$7,$M$5:M510,Config!$B$5)=1),COUNTIFS($E$5:$E$1204,E510,$H$5:$H$1204,"Falta",$L$5:$L$1204,Config!$B$7,$M$5:$M$1204,Config!$B$5)*1000-ROW()/100000,0)</f>
        <v>0</v>
      </c>
    </row>
    <row r="511">
      <c r="A511" s="39" t="n">
        <v>46254</v>
      </c>
      <c r="B511" s="40" t="n">
        <v>0.6875</v>
      </c>
      <c r="C511" s="35" t="inlineStr">
        <is>
          <t>Dr. Paulo Andrade</t>
        </is>
      </c>
      <c r="D511" s="35" t="inlineStr">
        <is>
          <t>Sala 2</t>
        </is>
      </c>
      <c r="E511" s="34" t="inlineStr">
        <is>
          <t>Regina Teixeira</t>
        </is>
      </c>
      <c r="F511" s="35" t="inlineStr">
        <is>
          <t>Particular</t>
        </is>
      </c>
      <c r="G511" s="35" t="inlineStr">
        <is>
          <t>Teste ergométrico</t>
        </is>
      </c>
      <c r="H511" s="35" t="inlineStr">
        <is>
          <t>Realizado</t>
        </is>
      </c>
      <c r="I511" s="35" t="inlineStr">
        <is>
          <t>Pix</t>
        </is>
      </c>
      <c r="J511" s="35" t="n"/>
      <c r="K511" s="34" t="inlineStr">
        <is>
          <t>Check-up cardiológico (consulta + ECG + teste ergométrico)</t>
        </is>
      </c>
      <c r="L511" s="26">
        <f>IF(A511="","",MONTH(A511))</f>
        <v>8</v>
      </c>
      <c r="M511" s="26">
        <f>IF(A511="","",YEAR(A511))</f>
        <v>2026</v>
      </c>
      <c r="N511" s="26" t="str">
        <f>IF(A511="","",CHOOSE(WEEKDAY(A511,2),"Segunda","Terça","Quarta","Quinta","Sexta","Sábado","Domingo"))</f>
        <v>Quinta</v>
      </c>
      <c r="O511" s="26" t="str">
        <f>IF(B511="","",IF(B511&lt;TIME(12,0,0),"Manhã",IF(B511&lt;TIME(18,0,0),"Tarde","Noite")))</f>
        <v>Tarde</v>
      </c>
      <c r="P511" s="32">
        <f>IF(G511="","",IFERROR(INDEX(Config!$I$5:$I$16,MATCH(G511,Config!$H$5:$H$16,0)),0))</f>
        <v>0</v>
      </c>
      <c r="Q511" s="30">
        <f>IF(OR(H511&lt;&gt;"Realizado",P511="",P511=0),"",A511+P511)</f>
        <v/>
      </c>
      <c r="R511" s="26">
        <f>IF(Q511="","",IF(COUNTIFS($E$5:$E$1204,E511,$A$5:$A$1204,"&gt;"&amp;A511,$H$5:$H$1204,"&lt;&gt;Falta",$H$5:$H$1204,"&lt;&gt;Cancelado",$H$5:$H$1204,"&lt;&gt;Remarcado")&gt;0,"Sim","Não"))</f>
        <v/>
      </c>
      <c r="S511" s="32">
        <f>IF(R511&lt;&gt;"Não","",IF(Q511+Config!$B$9&lt;=Config!$B$8,Config!$B$8-Q511,""))</f>
        <v/>
      </c>
      <c r="T511" s="26">
        <f>IF(S511="","","Sim")</f>
        <v/>
      </c>
      <c r="U511" s="41">
        <f>IF(T511="Sim",S511+ROW()/100000,0)</f>
        <v>0</v>
      </c>
      <c r="V511" s="41">
        <f>IF(AND(H511="Falta",L511=Config!$B$7,M511=Config!$B$5,COUNTIFS($E$5:E511,E511,$H$5:H511,"Falta",$L$5:L511,Config!$B$7,$M$5:M511,Config!$B$5)=1),COUNTIFS($E$5:$E$1204,E511,$H$5:$H$1204,"Falta",$L$5:$L$1204,Config!$B$7,$M$5:$M$1204,Config!$B$5)*1000-ROW()/100000,0)</f>
        <v>0</v>
      </c>
    </row>
    <row r="512">
      <c r="A512" s="39" t="n">
        <v>46254</v>
      </c>
      <c r="B512" s="40" t="n">
        <v>0.7152777777777778</v>
      </c>
      <c r="C512" s="35" t="inlineStr">
        <is>
          <t>Dra. Renata Sousa</t>
        </is>
      </c>
      <c r="D512" s="35" t="inlineStr">
        <is>
          <t>Sala 1</t>
        </is>
      </c>
      <c r="E512" s="34" t="inlineStr">
        <is>
          <t>Carlos Gonçalves</t>
        </is>
      </c>
      <c r="F512" s="35" t="inlineStr">
        <is>
          <t>Saúde Total</t>
        </is>
      </c>
      <c r="G512" s="35" t="inlineStr">
        <is>
          <t>Avaliação endócrina</t>
        </is>
      </c>
      <c r="H512" s="35" t="inlineStr">
        <is>
          <t>Realizado</t>
        </is>
      </c>
      <c r="I512" s="35" t="inlineStr">
        <is>
          <t>Convênio</t>
        </is>
      </c>
      <c r="J512" s="35" t="n"/>
      <c r="K512" s="34" t="n"/>
      <c r="L512" s="26">
        <f>IF(A512="","",MONTH(A512))</f>
        <v>8</v>
      </c>
      <c r="M512" s="26">
        <f>IF(A512="","",YEAR(A512))</f>
        <v>2026</v>
      </c>
      <c r="N512" s="26" t="str">
        <f>IF(A512="","",CHOOSE(WEEKDAY(A512,2),"Segunda","Terça","Quarta","Quinta","Sexta","Sábado","Domingo"))</f>
        <v>Quinta</v>
      </c>
      <c r="O512" s="26" t="str">
        <f>IF(B512="","",IF(B512&lt;TIME(12,0,0),"Manhã",IF(B512&lt;TIME(18,0,0),"Tarde","Noite")))</f>
        <v>Tarde</v>
      </c>
      <c r="P512" s="32">
        <f>IF(G512="","",IFERROR(INDEX(Config!$I$5:$I$16,MATCH(G512,Config!$H$5:$H$16,0)),0))</f>
        <v>45</v>
      </c>
      <c r="Q512" s="30">
        <f>IF(OR(H512&lt;&gt;"Realizado",P512="",P512=0),"",A512+P512)</f>
        <v>46299.0</v>
      </c>
      <c r="R512" s="26" t="str">
        <f>IF(Q512="","",IF(COUNTIFS($E$5:$E$1204,E512,$A$5:$A$1204,"&gt;"&amp;A512,$H$5:$H$1204,"&lt;&gt;Falta",$H$5:$H$1204,"&lt;&gt;Cancelado",$H$5:$H$1204,"&lt;&gt;Remarcado")&gt;0,"Sim","Não"))</f>
        <v>Sim</v>
      </c>
      <c r="S512" s="32">
        <f>IF(R512&lt;&gt;"Não","",IF(Q512+Config!$B$9&lt;=Config!$B$8,Config!$B$8-Q512,""))</f>
        <v/>
      </c>
      <c r="T512" s="26">
        <f>IF(S512="","","Sim")</f>
        <v/>
      </c>
      <c r="U512" s="41">
        <f>IF(T512="Sim",S512+ROW()/100000,0)</f>
        <v>0</v>
      </c>
      <c r="V512" s="41">
        <f>IF(AND(H512="Falta",L512=Config!$B$7,M512=Config!$B$5,COUNTIFS($E$5:E512,E512,$H$5:H512,"Falta",$L$5:L512,Config!$B$7,$M$5:M512,Config!$B$5)=1),COUNTIFS($E$5:$E$1204,E512,$H$5:$H$1204,"Falta",$L$5:$L$1204,Config!$B$7,$M$5:$M$1204,Config!$B$5)*1000-ROW()/100000,0)</f>
        <v>0</v>
      </c>
    </row>
    <row r="513">
      <c r="A513" s="39" t="n">
        <v>46254</v>
      </c>
      <c r="B513" s="40" t="n">
        <v>0.7152777777777778</v>
      </c>
      <c r="C513" s="35" t="inlineStr">
        <is>
          <t>Dr. Paulo Andrade</t>
        </is>
      </c>
      <c r="D513" s="35" t="inlineStr">
        <is>
          <t>Sala 2</t>
        </is>
      </c>
      <c r="E513" s="34" t="inlineStr">
        <is>
          <t>Cláudia Santos</t>
        </is>
      </c>
      <c r="F513" s="35" t="inlineStr">
        <is>
          <t>Particular</t>
        </is>
      </c>
      <c r="G513" s="35" t="inlineStr">
        <is>
          <t>ECG</t>
        </is>
      </c>
      <c r="H513" s="35" t="inlineStr">
        <is>
          <t>Realizado</t>
        </is>
      </c>
      <c r="I513" s="35" t="inlineStr">
        <is>
          <t>Dinheiro</t>
        </is>
      </c>
      <c r="J513" s="35" t="n"/>
      <c r="K513" s="34" t="n"/>
      <c r="L513" s="26">
        <f>IF(A513="","",MONTH(A513))</f>
        <v>8</v>
      </c>
      <c r="M513" s="26">
        <f>IF(A513="","",YEAR(A513))</f>
        <v>2026</v>
      </c>
      <c r="N513" s="26" t="str">
        <f>IF(A513="","",CHOOSE(WEEKDAY(A513,2),"Segunda","Terça","Quarta","Quinta","Sexta","Sábado","Domingo"))</f>
        <v>Quinta</v>
      </c>
      <c r="O513" s="26" t="str">
        <f>IF(B513="","",IF(B513&lt;TIME(12,0,0),"Manhã",IF(B513&lt;TIME(18,0,0),"Tarde","Noite")))</f>
        <v>Tarde</v>
      </c>
      <c r="P513" s="32">
        <f>IF(G513="","",IFERROR(INDEX(Config!$I$5:$I$16,MATCH(G513,Config!$H$5:$H$16,0)),0))</f>
        <v>0</v>
      </c>
      <c r="Q513" s="30">
        <f>IF(OR(H513&lt;&gt;"Realizado",P513="",P513=0),"",A513+P513)</f>
        <v/>
      </c>
      <c r="R513" s="26">
        <f>IF(Q513="","",IF(COUNTIFS($E$5:$E$1204,E513,$A$5:$A$1204,"&gt;"&amp;A513,$H$5:$H$1204,"&lt;&gt;Falta",$H$5:$H$1204,"&lt;&gt;Cancelado",$H$5:$H$1204,"&lt;&gt;Remarcado")&gt;0,"Sim","Não"))</f>
        <v/>
      </c>
      <c r="S513" s="32">
        <f>IF(R513&lt;&gt;"Não","",IF(Q513+Config!$B$9&lt;=Config!$B$8,Config!$B$8-Q513,""))</f>
        <v/>
      </c>
      <c r="T513" s="26">
        <f>IF(S513="","","Sim")</f>
        <v/>
      </c>
      <c r="U513" s="41">
        <f>IF(T513="Sim",S513+ROW()/100000,0)</f>
        <v>0</v>
      </c>
      <c r="V513" s="41">
        <f>IF(AND(H513="Falta",L513=Config!$B$7,M513=Config!$B$5,COUNTIFS($E$5:E513,E513,$H$5:H513,"Falta",$L$5:L513,Config!$B$7,$M$5:M513,Config!$B$5)=1),COUNTIFS($E$5:$E$1204,E513,$H$5:$H$1204,"Falta",$L$5:$L$1204,Config!$B$7,$M$5:$M$1204,Config!$B$5)*1000-ROW()/100000,0)</f>
        <v>0</v>
      </c>
    </row>
    <row r="514">
      <c r="A514" s="39" t="n">
        <v>46254</v>
      </c>
      <c r="B514" s="40" t="n">
        <v>0.7291666666666666</v>
      </c>
      <c r="C514" s="35" t="inlineStr">
        <is>
          <t>Dr. Paulo Andrade</t>
        </is>
      </c>
      <c r="D514" s="35" t="inlineStr">
        <is>
          <t>Sala 2</t>
        </is>
      </c>
      <c r="E514" s="34" t="inlineStr">
        <is>
          <t>Gustavo Pinto</t>
        </is>
      </c>
      <c r="F514" s="35" t="inlineStr">
        <is>
          <t>Particular</t>
        </is>
      </c>
      <c r="G514" s="35" t="inlineStr">
        <is>
          <t>Retorno</t>
        </is>
      </c>
      <c r="H514" s="35" t="inlineStr">
        <is>
          <t>Realizado</t>
        </is>
      </c>
      <c r="I514" s="35" t="inlineStr">
        <is>
          <t>Sem cobrança</t>
        </is>
      </c>
      <c r="J514" s="35" t="n"/>
      <c r="K514" s="34" t="n"/>
      <c r="L514" s="26">
        <f>IF(A514="","",MONTH(A514))</f>
        <v>8</v>
      </c>
      <c r="M514" s="26">
        <f>IF(A514="","",YEAR(A514))</f>
        <v>2026</v>
      </c>
      <c r="N514" s="26" t="str">
        <f>IF(A514="","",CHOOSE(WEEKDAY(A514,2),"Segunda","Terça","Quarta","Quinta","Sexta","Sábado","Domingo"))</f>
        <v>Quinta</v>
      </c>
      <c r="O514" s="26" t="str">
        <f>IF(B514="","",IF(B514&lt;TIME(12,0,0),"Manhã",IF(B514&lt;TIME(18,0,0),"Tarde","Noite")))</f>
        <v>Tarde</v>
      </c>
      <c r="P514" s="32">
        <f>IF(G514="","",IFERROR(INDEX(Config!$I$5:$I$16,MATCH(G514,Config!$H$5:$H$16,0)),0))</f>
        <v>0</v>
      </c>
      <c r="Q514" s="30">
        <f>IF(OR(H514&lt;&gt;"Realizado",P514="",P514=0),"",A514+P514)</f>
        <v/>
      </c>
      <c r="R514" s="26">
        <f>IF(Q514="","",IF(COUNTIFS($E$5:$E$1204,E514,$A$5:$A$1204,"&gt;"&amp;A514,$H$5:$H$1204,"&lt;&gt;Falta",$H$5:$H$1204,"&lt;&gt;Cancelado",$H$5:$H$1204,"&lt;&gt;Remarcado")&gt;0,"Sim","Não"))</f>
        <v/>
      </c>
      <c r="S514" s="32">
        <f>IF(R514&lt;&gt;"Não","",IF(Q514+Config!$B$9&lt;=Config!$B$8,Config!$B$8-Q514,""))</f>
        <v/>
      </c>
      <c r="T514" s="26">
        <f>IF(S514="","","Sim")</f>
        <v/>
      </c>
      <c r="U514" s="41">
        <f>IF(T514="Sim",S514+ROW()/100000,0)</f>
        <v>0</v>
      </c>
      <c r="V514" s="41">
        <f>IF(AND(H514="Falta",L514=Config!$B$7,M514=Config!$B$5,COUNTIFS($E$5:E514,E514,$H$5:H514,"Falta",$L$5:L514,Config!$B$7,$M$5:M514,Config!$B$5)=1),COUNTIFS($E$5:$E$1204,E514,$H$5:$H$1204,"Falta",$L$5:$L$1204,Config!$B$7,$M$5:$M$1204,Config!$B$5)*1000-ROW()/100000,0)</f>
        <v>0</v>
      </c>
    </row>
    <row r="515">
      <c r="A515" s="39" t="n">
        <v>46255</v>
      </c>
      <c r="B515" s="40" t="n">
        <v>0.3541666666666667</v>
      </c>
      <c r="C515" s="35" t="inlineStr">
        <is>
          <t>Dr. Paulo Andrade</t>
        </is>
      </c>
      <c r="D515" s="35" t="inlineStr">
        <is>
          <t>Sala 2</t>
        </is>
      </c>
      <c r="E515" s="34" t="inlineStr">
        <is>
          <t>Mateus Dias</t>
        </is>
      </c>
      <c r="F515" s="35" t="inlineStr">
        <is>
          <t>Saúde Total</t>
        </is>
      </c>
      <c r="G515" s="35" t="inlineStr">
        <is>
          <t>Retorno</t>
        </is>
      </c>
      <c r="H515" s="35" t="inlineStr">
        <is>
          <t>Falta</t>
        </is>
      </c>
      <c r="I515" s="35" t="n"/>
      <c r="J515" s="35" t="n"/>
      <c r="K515" s="34" t="n"/>
      <c r="L515" s="26">
        <f>IF(A515="","",MONTH(A515))</f>
        <v>8</v>
      </c>
      <c r="M515" s="26">
        <f>IF(A515="","",YEAR(A515))</f>
        <v>2026</v>
      </c>
      <c r="N515" s="26" t="str">
        <f>IF(A515="","",CHOOSE(WEEKDAY(A515,2),"Segunda","Terça","Quarta","Quinta","Sexta","Sábado","Domingo"))</f>
        <v>Sexta</v>
      </c>
      <c r="O515" s="26" t="str">
        <f>IF(B515="","",IF(B515&lt;TIME(12,0,0),"Manhã",IF(B515&lt;TIME(18,0,0),"Tarde","Noite")))</f>
        <v>Manhã</v>
      </c>
      <c r="P515" s="32">
        <f>IF(G515="","",IFERROR(INDEX(Config!$I$5:$I$16,MATCH(G515,Config!$H$5:$H$16,0)),0))</f>
        <v>0</v>
      </c>
      <c r="Q515" s="30">
        <f>IF(OR(H515&lt;&gt;"Realizado",P515="",P515=0),"",A515+P515)</f>
        <v/>
      </c>
      <c r="R515" s="26">
        <f>IF(Q515="","",IF(COUNTIFS($E$5:$E$1204,E515,$A$5:$A$1204,"&gt;"&amp;A515,$H$5:$H$1204,"&lt;&gt;Falta",$H$5:$H$1204,"&lt;&gt;Cancelado",$H$5:$H$1204,"&lt;&gt;Remarcado")&gt;0,"Sim","Não"))</f>
        <v/>
      </c>
      <c r="S515" s="32">
        <f>IF(R515&lt;&gt;"Não","",IF(Q515+Config!$B$9&lt;=Config!$B$8,Config!$B$8-Q515,""))</f>
        <v/>
      </c>
      <c r="T515" s="26">
        <f>IF(S515="","","Sim")</f>
        <v/>
      </c>
      <c r="U515" s="41">
        <f>IF(T515="Sim",S515+ROW()/100000,0)</f>
        <v>0</v>
      </c>
      <c r="V515" s="41">
        <f>IF(AND(H515="Falta",L515=Config!$B$7,M515=Config!$B$5,COUNTIFS($E$5:E515,E515,$H$5:H515,"Falta",$L$5:L515,Config!$B$7,$M$5:M515,Config!$B$5)=1),COUNTIFS($E$5:$E$1204,E515,$H$5:$H$1204,"Falta",$L$5:$L$1204,Config!$B$7,$M$5:$M$1204,Config!$B$5)*1000-ROW()/100000,0)</f>
        <v>0</v>
      </c>
    </row>
    <row r="516">
      <c r="A516" s="39" t="n">
        <v>46255</v>
      </c>
      <c r="B516" s="40" t="n">
        <v>0.3680555555555556</v>
      </c>
      <c r="C516" s="35" t="inlineStr">
        <is>
          <t>Dr. Paulo Andrade</t>
        </is>
      </c>
      <c r="D516" s="35" t="inlineStr">
        <is>
          <t>Sala 2</t>
        </is>
      </c>
      <c r="E516" s="34" t="inlineStr">
        <is>
          <t>Paulo Ribeiro</t>
        </is>
      </c>
      <c r="F516" s="35" t="inlineStr">
        <is>
          <t>Saúde Total</t>
        </is>
      </c>
      <c r="G516" s="35" t="inlineStr">
        <is>
          <t>Consulta</t>
        </is>
      </c>
      <c r="H516" s="35" t="inlineStr">
        <is>
          <t>Realizado</t>
        </is>
      </c>
      <c r="I516" s="35" t="inlineStr">
        <is>
          <t>Convênio</t>
        </is>
      </c>
      <c r="J516" s="35" t="n"/>
      <c r="K516" s="34" t="n"/>
      <c r="L516" s="26">
        <f>IF(A516="","",MONTH(A516))</f>
        <v>8</v>
      </c>
      <c r="M516" s="26">
        <f>IF(A516="","",YEAR(A516))</f>
        <v>2026</v>
      </c>
      <c r="N516" s="26" t="str">
        <f>IF(A516="","",CHOOSE(WEEKDAY(A516,2),"Segunda","Terça","Quarta","Quinta","Sexta","Sábado","Domingo"))</f>
        <v>Sexta</v>
      </c>
      <c r="O516" s="26" t="str">
        <f>IF(B516="","",IF(B516&lt;TIME(12,0,0),"Manhã",IF(B516&lt;TIME(18,0,0),"Tarde","Noite")))</f>
        <v>Manhã</v>
      </c>
      <c r="P516" s="32">
        <f>IF(G516="","",IFERROR(INDEX(Config!$I$5:$I$16,MATCH(G516,Config!$H$5:$H$16,0)),0))</f>
        <v>30</v>
      </c>
      <c r="Q516" s="30">
        <f>IF(OR(H516&lt;&gt;"Realizado",P516="",P516=0),"",A516+P516)</f>
        <v>46285.0</v>
      </c>
      <c r="R516" s="26" t="str">
        <f>IF(Q516="","",IF(COUNTIFS($E$5:$E$1204,E516,$A$5:$A$1204,"&gt;"&amp;A516,$H$5:$H$1204,"&lt;&gt;Falta",$H$5:$H$1204,"&lt;&gt;Cancelado",$H$5:$H$1204,"&lt;&gt;Remarcado")&gt;0,"Sim","Não"))</f>
        <v>Sim</v>
      </c>
      <c r="S516" s="32">
        <f>IF(R516&lt;&gt;"Não","",IF(Q516+Config!$B$9&lt;=Config!$B$8,Config!$B$8-Q516,""))</f>
        <v/>
      </c>
      <c r="T516" s="26">
        <f>IF(S516="","","Sim")</f>
        <v/>
      </c>
      <c r="U516" s="41">
        <f>IF(T516="Sim",S516+ROW()/100000,0)</f>
        <v>0</v>
      </c>
      <c r="V516" s="41">
        <f>IF(AND(H516="Falta",L516=Config!$B$7,M516=Config!$B$5,COUNTIFS($E$5:E516,E516,$H$5:H516,"Falta",$L$5:L516,Config!$B$7,$M$5:M516,Config!$B$5)=1),COUNTIFS($E$5:$E$1204,E516,$H$5:$H$1204,"Falta",$L$5:$L$1204,Config!$B$7,$M$5:$M$1204,Config!$B$5)*1000-ROW()/100000,0)</f>
        <v>0</v>
      </c>
    </row>
    <row r="517">
      <c r="A517" s="39" t="n">
        <v>46255</v>
      </c>
      <c r="B517" s="40" t="n">
        <v>0.4097222222222222</v>
      </c>
      <c r="C517" s="35" t="inlineStr">
        <is>
          <t>Dr. Paulo Andrade</t>
        </is>
      </c>
      <c r="D517" s="35" t="inlineStr">
        <is>
          <t>Sala 2</t>
        </is>
      </c>
      <c r="E517" s="34" t="inlineStr">
        <is>
          <t>Elaine Xavier</t>
        </is>
      </c>
      <c r="F517" s="35" t="inlineStr">
        <is>
          <t>MediPlan</t>
        </is>
      </c>
      <c r="G517" s="35" t="inlineStr">
        <is>
          <t>Retorno</t>
        </is>
      </c>
      <c r="H517" s="35" t="inlineStr">
        <is>
          <t>Realizado</t>
        </is>
      </c>
      <c r="I517" s="35" t="inlineStr">
        <is>
          <t>Sem cobrança</t>
        </is>
      </c>
      <c r="J517" s="35" t="n"/>
      <c r="K517" s="34" t="n"/>
      <c r="L517" s="26">
        <f>IF(A517="","",MONTH(A517))</f>
        <v>8</v>
      </c>
      <c r="M517" s="26">
        <f>IF(A517="","",YEAR(A517))</f>
        <v>2026</v>
      </c>
      <c r="N517" s="26" t="str">
        <f>IF(A517="","",CHOOSE(WEEKDAY(A517,2),"Segunda","Terça","Quarta","Quinta","Sexta","Sábado","Domingo"))</f>
        <v>Sexta</v>
      </c>
      <c r="O517" s="26" t="str">
        <f>IF(B517="","",IF(B517&lt;TIME(12,0,0),"Manhã",IF(B517&lt;TIME(18,0,0),"Tarde","Noite")))</f>
        <v>Manhã</v>
      </c>
      <c r="P517" s="32">
        <f>IF(G517="","",IFERROR(INDEX(Config!$I$5:$I$16,MATCH(G517,Config!$H$5:$H$16,0)),0))</f>
        <v>0</v>
      </c>
      <c r="Q517" s="30">
        <f>IF(OR(H517&lt;&gt;"Realizado",P517="",P517=0),"",A517+P517)</f>
        <v/>
      </c>
      <c r="R517" s="26">
        <f>IF(Q517="","",IF(COUNTIFS($E$5:$E$1204,E517,$A$5:$A$1204,"&gt;"&amp;A517,$H$5:$H$1204,"&lt;&gt;Falta",$H$5:$H$1204,"&lt;&gt;Cancelado",$H$5:$H$1204,"&lt;&gt;Remarcado")&gt;0,"Sim","Não"))</f>
        <v/>
      </c>
      <c r="S517" s="32">
        <f>IF(R517&lt;&gt;"Não","",IF(Q517+Config!$B$9&lt;=Config!$B$8,Config!$B$8-Q517,""))</f>
        <v/>
      </c>
      <c r="T517" s="26">
        <f>IF(S517="","","Sim")</f>
        <v/>
      </c>
      <c r="U517" s="41">
        <f>IF(T517="Sim",S517+ROW()/100000,0)</f>
        <v>0</v>
      </c>
      <c r="V517" s="41">
        <f>IF(AND(H517="Falta",L517=Config!$B$7,M517=Config!$B$5,COUNTIFS($E$5:E517,E517,$H$5:H517,"Falta",$L$5:L517,Config!$B$7,$M$5:M517,Config!$B$5)=1),COUNTIFS($E$5:$E$1204,E517,$H$5:$H$1204,"Falta",$L$5:$L$1204,Config!$B$7,$M$5:$M$1204,Config!$B$5)*1000-ROW()/100000,0)</f>
        <v>0</v>
      </c>
    </row>
    <row r="518">
      <c r="A518" s="39" t="n">
        <v>46255</v>
      </c>
      <c r="B518" s="40" t="n">
        <v>0.4236111111111111</v>
      </c>
      <c r="C518" s="35" t="inlineStr">
        <is>
          <t>Dr. Paulo Andrade</t>
        </is>
      </c>
      <c r="D518" s="35" t="inlineStr">
        <is>
          <t>Sala 2</t>
        </is>
      </c>
      <c r="E518" s="34" t="inlineStr">
        <is>
          <t>Mônica Pinto</t>
        </is>
      </c>
      <c r="F518" s="35" t="inlineStr">
        <is>
          <t>Saúde Total</t>
        </is>
      </c>
      <c r="G518" s="35" t="inlineStr">
        <is>
          <t>MAPA</t>
        </is>
      </c>
      <c r="H518" s="35" t="inlineStr">
        <is>
          <t>Realizado</t>
        </is>
      </c>
      <c r="I518" s="35" t="inlineStr">
        <is>
          <t>Convênio</t>
        </is>
      </c>
      <c r="J518" s="35" t="n"/>
      <c r="K518" s="34" t="n"/>
      <c r="L518" s="26">
        <f>IF(A518="","",MONTH(A518))</f>
        <v>8</v>
      </c>
      <c r="M518" s="26">
        <f>IF(A518="","",YEAR(A518))</f>
        <v>2026</v>
      </c>
      <c r="N518" s="26" t="str">
        <f>IF(A518="","",CHOOSE(WEEKDAY(A518,2),"Segunda","Terça","Quarta","Quinta","Sexta","Sábado","Domingo"))</f>
        <v>Sexta</v>
      </c>
      <c r="O518" s="26" t="str">
        <f>IF(B518="","",IF(B518&lt;TIME(12,0,0),"Manhã",IF(B518&lt;TIME(18,0,0),"Tarde","Noite")))</f>
        <v>Manhã</v>
      </c>
      <c r="P518" s="32">
        <f>IF(G518="","",IFERROR(INDEX(Config!$I$5:$I$16,MATCH(G518,Config!$H$5:$H$16,0)),0))</f>
        <v>0</v>
      </c>
      <c r="Q518" s="30">
        <f>IF(OR(H518&lt;&gt;"Realizado",P518="",P518=0),"",A518+P518)</f>
        <v/>
      </c>
      <c r="R518" s="26">
        <f>IF(Q518="","",IF(COUNTIFS($E$5:$E$1204,E518,$A$5:$A$1204,"&gt;"&amp;A518,$H$5:$H$1204,"&lt;&gt;Falta",$H$5:$H$1204,"&lt;&gt;Cancelado",$H$5:$H$1204,"&lt;&gt;Remarcado")&gt;0,"Sim","Não"))</f>
        <v/>
      </c>
      <c r="S518" s="32">
        <f>IF(R518&lt;&gt;"Não","",IF(Q518+Config!$B$9&lt;=Config!$B$8,Config!$B$8-Q518,""))</f>
        <v/>
      </c>
      <c r="T518" s="26">
        <f>IF(S518="","","Sim")</f>
        <v/>
      </c>
      <c r="U518" s="41">
        <f>IF(T518="Sim",S518+ROW()/100000,0)</f>
        <v>0</v>
      </c>
      <c r="V518" s="41">
        <f>IF(AND(H518="Falta",L518=Config!$B$7,M518=Config!$B$5,COUNTIFS($E$5:E518,E518,$H$5:H518,"Falta",$L$5:L518,Config!$B$7,$M$5:M518,Config!$B$5)=1),COUNTIFS($E$5:$E$1204,E518,$H$5:$H$1204,"Falta",$L$5:$L$1204,Config!$B$7,$M$5:$M$1204,Config!$B$5)*1000-ROW()/100000,0)</f>
        <v>0</v>
      </c>
    </row>
    <row r="519">
      <c r="A519" s="39" t="n">
        <v>46258</v>
      </c>
      <c r="B519" s="40" t="n">
        <v>0.3333333333333333</v>
      </c>
      <c r="C519" s="35" t="inlineStr">
        <is>
          <t>Dra. Carolina Mendes</t>
        </is>
      </c>
      <c r="D519" s="35" t="inlineStr">
        <is>
          <t>Sala 1</t>
        </is>
      </c>
      <c r="E519" s="34" t="inlineStr">
        <is>
          <t>Wagner Lima</t>
        </is>
      </c>
      <c r="F519" s="35" t="inlineStr">
        <is>
          <t>Particular</t>
        </is>
      </c>
      <c r="G519" s="35" t="inlineStr">
        <is>
          <t>Consulta</t>
        </is>
      </c>
      <c r="H519" s="35" t="inlineStr">
        <is>
          <t>Realizado</t>
        </is>
      </c>
      <c r="I519" s="35" t="inlineStr">
        <is>
          <t>Cartão de débito</t>
        </is>
      </c>
      <c r="J519" s="35" t="n"/>
      <c r="K519" s="34" t="n"/>
      <c r="L519" s="26">
        <f>IF(A519="","",MONTH(A519))</f>
        <v>8</v>
      </c>
      <c r="M519" s="26">
        <f>IF(A519="","",YEAR(A519))</f>
        <v>2026</v>
      </c>
      <c r="N519" s="26" t="str">
        <f>IF(A519="","",CHOOSE(WEEKDAY(A519,2),"Segunda","Terça","Quarta","Quinta","Sexta","Sábado","Domingo"))</f>
        <v>Segunda</v>
      </c>
      <c r="O519" s="26" t="str">
        <f>IF(B519="","",IF(B519&lt;TIME(12,0,0),"Manhã",IF(B519&lt;TIME(18,0,0),"Tarde","Noite")))</f>
        <v>Manhã</v>
      </c>
      <c r="P519" s="32">
        <f>IF(G519="","",IFERROR(INDEX(Config!$I$5:$I$16,MATCH(G519,Config!$H$5:$H$16,0)),0))</f>
        <v>30</v>
      </c>
      <c r="Q519" s="30">
        <f>IF(OR(H519&lt;&gt;"Realizado",P519="",P519=0),"",A519+P519)</f>
        <v>46288.0</v>
      </c>
      <c r="R519" s="26" t="str">
        <f>IF(Q519="","",IF(COUNTIFS($E$5:$E$1204,E519,$A$5:$A$1204,"&gt;"&amp;A519,$H$5:$H$1204,"&lt;&gt;Falta",$H$5:$H$1204,"&lt;&gt;Cancelado",$H$5:$H$1204,"&lt;&gt;Remarcado")&gt;0,"Sim","Não"))</f>
        <v>Sim</v>
      </c>
      <c r="S519" s="32">
        <f>IF(R519&lt;&gt;"Não","",IF(Q519+Config!$B$9&lt;=Config!$B$8,Config!$B$8-Q519,""))</f>
        <v/>
      </c>
      <c r="T519" s="26">
        <f>IF(S519="","","Sim")</f>
        <v/>
      </c>
      <c r="U519" s="41">
        <f>IF(T519="Sim",S519+ROW()/100000,0)</f>
        <v>0</v>
      </c>
      <c r="V519" s="41">
        <f>IF(AND(H519="Falta",L519=Config!$B$7,M519=Config!$B$5,COUNTIFS($E$5:E519,E519,$H$5:H519,"Falta",$L$5:L519,Config!$B$7,$M$5:M519,Config!$B$5)=1),COUNTIFS($E$5:$E$1204,E519,$H$5:$H$1204,"Falta",$L$5:$L$1204,Config!$B$7,$M$5:$M$1204,Config!$B$5)*1000-ROW()/100000,0)</f>
        <v>0</v>
      </c>
    </row>
    <row r="520">
      <c r="A520" s="39" t="n">
        <v>46258</v>
      </c>
      <c r="B520" s="40" t="n">
        <v>0.3541666666666667</v>
      </c>
      <c r="C520" s="35" t="inlineStr">
        <is>
          <t>Dra. Carolina Mendes</t>
        </is>
      </c>
      <c r="D520" s="35" t="inlineStr">
        <is>
          <t>Sala 1</t>
        </is>
      </c>
      <c r="E520" s="34" t="inlineStr">
        <is>
          <t>Renato Dias</t>
        </is>
      </c>
      <c r="F520" s="35" t="inlineStr">
        <is>
          <t>Particular</t>
        </is>
      </c>
      <c r="G520" s="35" t="inlineStr">
        <is>
          <t>Consulta</t>
        </is>
      </c>
      <c r="H520" s="35" t="inlineStr">
        <is>
          <t>Realizado</t>
        </is>
      </c>
      <c r="I520" s="35" t="inlineStr">
        <is>
          <t>Pix</t>
        </is>
      </c>
      <c r="J520" s="35" t="n"/>
      <c r="K520" s="34" t="n"/>
      <c r="L520" s="26">
        <f>IF(A520="","",MONTH(A520))</f>
        <v>8</v>
      </c>
      <c r="M520" s="26">
        <f>IF(A520="","",YEAR(A520))</f>
        <v>2026</v>
      </c>
      <c r="N520" s="26" t="str">
        <f>IF(A520="","",CHOOSE(WEEKDAY(A520,2),"Segunda","Terça","Quarta","Quinta","Sexta","Sábado","Domingo"))</f>
        <v>Segunda</v>
      </c>
      <c r="O520" s="26" t="str">
        <f>IF(B520="","",IF(B520&lt;TIME(12,0,0),"Manhã",IF(B520&lt;TIME(18,0,0),"Tarde","Noite")))</f>
        <v>Manhã</v>
      </c>
      <c r="P520" s="32">
        <f>IF(G520="","",IFERROR(INDEX(Config!$I$5:$I$16,MATCH(G520,Config!$H$5:$H$16,0)),0))</f>
        <v>30</v>
      </c>
      <c r="Q520" s="30">
        <f>IF(OR(H520&lt;&gt;"Realizado",P520="",P520=0),"",A520+P520)</f>
        <v>46288.0</v>
      </c>
      <c r="R520" s="26" t="str">
        <f>IF(Q520="","",IF(COUNTIFS($E$5:$E$1204,E520,$A$5:$A$1204,"&gt;"&amp;A520,$H$5:$H$1204,"&lt;&gt;Falta",$H$5:$H$1204,"&lt;&gt;Cancelado",$H$5:$H$1204,"&lt;&gt;Remarcado")&gt;0,"Sim","Não"))</f>
        <v>Sim</v>
      </c>
      <c r="S520" s="32">
        <f>IF(R520&lt;&gt;"Não","",IF(Q520+Config!$B$9&lt;=Config!$B$8,Config!$B$8-Q520,""))</f>
        <v/>
      </c>
      <c r="T520" s="26">
        <f>IF(S520="","","Sim")</f>
        <v/>
      </c>
      <c r="U520" s="41">
        <f>IF(T520="Sim",S520+ROW()/100000,0)</f>
        <v>0</v>
      </c>
      <c r="V520" s="41">
        <f>IF(AND(H520="Falta",L520=Config!$B$7,M520=Config!$B$5,COUNTIFS($E$5:E520,E520,$H$5:H520,"Falta",$L$5:L520,Config!$B$7,$M$5:M520,Config!$B$5)=1),COUNTIFS($E$5:$E$1204,E520,$H$5:$H$1204,"Falta",$L$5:$L$1204,Config!$B$7,$M$5:$M$1204,Config!$B$5)*1000-ROW()/100000,0)</f>
        <v>0</v>
      </c>
    </row>
    <row r="521">
      <c r="A521" s="39" t="n">
        <v>46258</v>
      </c>
      <c r="B521" s="40" t="n">
        <v>0.375</v>
      </c>
      <c r="C521" s="35" t="inlineStr">
        <is>
          <t>Dra. Carolina Mendes</t>
        </is>
      </c>
      <c r="D521" s="35" t="inlineStr">
        <is>
          <t>Sala 1</t>
        </is>
      </c>
      <c r="E521" s="34" t="inlineStr">
        <is>
          <t>Cláudia Santos</t>
        </is>
      </c>
      <c r="F521" s="35" t="inlineStr">
        <is>
          <t>Particular</t>
        </is>
      </c>
      <c r="G521" s="35" t="inlineStr">
        <is>
          <t>Consulta</t>
        </is>
      </c>
      <c r="H521" s="35" t="inlineStr">
        <is>
          <t>Realizado</t>
        </is>
      </c>
      <c r="I521" s="35" t="inlineStr">
        <is>
          <t>A prazo</t>
        </is>
      </c>
      <c r="J521" s="35" t="n"/>
      <c r="K521" s="34" t="n"/>
      <c r="L521" s="26">
        <f>IF(A521="","",MONTH(A521))</f>
        <v>8</v>
      </c>
      <c r="M521" s="26">
        <f>IF(A521="","",YEAR(A521))</f>
        <v>2026</v>
      </c>
      <c r="N521" s="26" t="str">
        <f>IF(A521="","",CHOOSE(WEEKDAY(A521,2),"Segunda","Terça","Quarta","Quinta","Sexta","Sábado","Domingo"))</f>
        <v>Segunda</v>
      </c>
      <c r="O521" s="26" t="str">
        <f>IF(B521="","",IF(B521&lt;TIME(12,0,0),"Manhã",IF(B521&lt;TIME(18,0,0),"Tarde","Noite")))</f>
        <v>Manhã</v>
      </c>
      <c r="P521" s="32">
        <f>IF(G521="","",IFERROR(INDEX(Config!$I$5:$I$16,MATCH(G521,Config!$H$5:$H$16,0)),0))</f>
        <v>30</v>
      </c>
      <c r="Q521" s="30">
        <f>IF(OR(H521&lt;&gt;"Realizado",P521="",P521=0),"",A521+P521)</f>
        <v>46288.0</v>
      </c>
      <c r="R521" s="26" t="str">
        <f>IF(Q521="","",IF(COUNTIFS($E$5:$E$1204,E521,$A$5:$A$1204,"&gt;"&amp;A521,$H$5:$H$1204,"&lt;&gt;Falta",$H$5:$H$1204,"&lt;&gt;Cancelado",$H$5:$H$1204,"&lt;&gt;Remarcado")&gt;0,"Sim","Não"))</f>
        <v>Sim</v>
      </c>
      <c r="S521" s="32">
        <f>IF(R521&lt;&gt;"Não","",IF(Q521+Config!$B$9&lt;=Config!$B$8,Config!$B$8-Q521,""))</f>
        <v/>
      </c>
      <c r="T521" s="26">
        <f>IF(S521="","","Sim")</f>
        <v/>
      </c>
      <c r="U521" s="41">
        <f>IF(T521="Sim",S521+ROW()/100000,0)</f>
        <v>0</v>
      </c>
      <c r="V521" s="41">
        <f>IF(AND(H521="Falta",L521=Config!$B$7,M521=Config!$B$5,COUNTIFS($E$5:E521,E521,$H$5:H521,"Falta",$L$5:L521,Config!$B$7,$M$5:M521,Config!$B$5)=1),COUNTIFS($E$5:$E$1204,E521,$H$5:$H$1204,"Falta",$L$5:$L$1204,Config!$B$7,$M$5:$M$1204,Config!$B$5)*1000-ROW()/100000,0)</f>
        <v>0</v>
      </c>
    </row>
    <row r="522">
      <c r="A522" s="39" t="n">
        <v>46258</v>
      </c>
      <c r="B522" s="40" t="n">
        <v>0.3958333333333333</v>
      </c>
      <c r="C522" s="35" t="inlineStr">
        <is>
          <t>Dra. Carolina Mendes</t>
        </is>
      </c>
      <c r="D522" s="35" t="inlineStr">
        <is>
          <t>Sala 1</t>
        </is>
      </c>
      <c r="E522" s="34" t="inlineStr">
        <is>
          <t>Sérgio Batista</t>
        </is>
      </c>
      <c r="F522" s="35" t="inlineStr">
        <is>
          <t>MediPlan</t>
        </is>
      </c>
      <c r="G522" s="35" t="inlineStr">
        <is>
          <t>Consulta</t>
        </is>
      </c>
      <c r="H522" s="35" t="inlineStr">
        <is>
          <t>Realizado</t>
        </is>
      </c>
      <c r="I522" s="35" t="inlineStr">
        <is>
          <t>Convênio</t>
        </is>
      </c>
      <c r="J522" s="35" t="n"/>
      <c r="K522" s="34" t="n"/>
      <c r="L522" s="26">
        <f>IF(A522="","",MONTH(A522))</f>
        <v>8</v>
      </c>
      <c r="M522" s="26">
        <f>IF(A522="","",YEAR(A522))</f>
        <v>2026</v>
      </c>
      <c r="N522" s="26" t="str">
        <f>IF(A522="","",CHOOSE(WEEKDAY(A522,2),"Segunda","Terça","Quarta","Quinta","Sexta","Sábado","Domingo"))</f>
        <v>Segunda</v>
      </c>
      <c r="O522" s="26" t="str">
        <f>IF(B522="","",IF(B522&lt;TIME(12,0,0),"Manhã",IF(B522&lt;TIME(18,0,0),"Tarde","Noite")))</f>
        <v>Manhã</v>
      </c>
      <c r="P522" s="32">
        <f>IF(G522="","",IFERROR(INDEX(Config!$I$5:$I$16,MATCH(G522,Config!$H$5:$H$16,0)),0))</f>
        <v>30</v>
      </c>
      <c r="Q522" s="30">
        <f>IF(OR(H522&lt;&gt;"Realizado",P522="",P522=0),"",A522+P522)</f>
        <v>46288.0</v>
      </c>
      <c r="R522" s="26" t="str">
        <f>IF(Q522="","",IF(COUNTIFS($E$5:$E$1204,E522,$A$5:$A$1204,"&gt;"&amp;A522,$H$5:$H$1204,"&lt;&gt;Falta",$H$5:$H$1204,"&lt;&gt;Cancelado",$H$5:$H$1204,"&lt;&gt;Remarcado")&gt;0,"Sim","Não"))</f>
        <v>Sim</v>
      </c>
      <c r="S522" s="32">
        <f>IF(R522&lt;&gt;"Não","",IF(Q522+Config!$B$9&lt;=Config!$B$8,Config!$B$8-Q522,""))</f>
        <v/>
      </c>
      <c r="T522" s="26">
        <f>IF(S522="","","Sim")</f>
        <v/>
      </c>
      <c r="U522" s="41">
        <f>IF(T522="Sim",S522+ROW()/100000,0)</f>
        <v>0</v>
      </c>
      <c r="V522" s="41">
        <f>IF(AND(H522="Falta",L522=Config!$B$7,M522=Config!$B$5,COUNTIFS($E$5:E522,E522,$H$5:H522,"Falta",$L$5:L522,Config!$B$7,$M$5:M522,Config!$B$5)=1),COUNTIFS($E$5:$E$1204,E522,$H$5:$H$1204,"Falta",$L$5:$L$1204,Config!$B$7,$M$5:$M$1204,Config!$B$5)*1000-ROW()/100000,0)</f>
        <v>0</v>
      </c>
    </row>
    <row r="523">
      <c r="A523" s="39" t="n">
        <v>46258</v>
      </c>
      <c r="B523" s="40" t="n">
        <v>0.4166666666666667</v>
      </c>
      <c r="C523" s="35" t="inlineStr">
        <is>
          <t>Dra. Carolina Mendes</t>
        </is>
      </c>
      <c r="D523" s="35" t="inlineStr">
        <is>
          <t>Sala 1</t>
        </is>
      </c>
      <c r="E523" s="34" t="inlineStr">
        <is>
          <t>Camila Batista</t>
        </is>
      </c>
      <c r="F523" s="35" t="inlineStr">
        <is>
          <t>MediPlan</t>
        </is>
      </c>
      <c r="G523" s="35" t="inlineStr">
        <is>
          <t>Consulta</t>
        </is>
      </c>
      <c r="H523" s="35" t="inlineStr">
        <is>
          <t>Realizado</t>
        </is>
      </c>
      <c r="I523" s="35" t="inlineStr">
        <is>
          <t>Convênio</t>
        </is>
      </c>
      <c r="J523" s="35" t="n"/>
      <c r="K523" s="34" t="n"/>
      <c r="L523" s="26">
        <f>IF(A523="","",MONTH(A523))</f>
        <v>8</v>
      </c>
      <c r="M523" s="26">
        <f>IF(A523="","",YEAR(A523))</f>
        <v>2026</v>
      </c>
      <c r="N523" s="26" t="str">
        <f>IF(A523="","",CHOOSE(WEEKDAY(A523,2),"Segunda","Terça","Quarta","Quinta","Sexta","Sábado","Domingo"))</f>
        <v>Segunda</v>
      </c>
      <c r="O523" s="26" t="str">
        <f>IF(B523="","",IF(B523&lt;TIME(12,0,0),"Manhã",IF(B523&lt;TIME(18,0,0),"Tarde","Noite")))</f>
        <v>Manhã</v>
      </c>
      <c r="P523" s="32">
        <f>IF(G523="","",IFERROR(INDEX(Config!$I$5:$I$16,MATCH(G523,Config!$H$5:$H$16,0)),0))</f>
        <v>30</v>
      </c>
      <c r="Q523" s="30">
        <f>IF(OR(H523&lt;&gt;"Realizado",P523="",P523=0),"",A523+P523)</f>
        <v>46288.0</v>
      </c>
      <c r="R523" s="26" t="str">
        <f>IF(Q523="","",IF(COUNTIFS($E$5:$E$1204,E523,$A$5:$A$1204,"&gt;"&amp;A523,$H$5:$H$1204,"&lt;&gt;Falta",$H$5:$H$1204,"&lt;&gt;Cancelado",$H$5:$H$1204,"&lt;&gt;Remarcado")&gt;0,"Sim","Não"))</f>
        <v>Sim</v>
      </c>
      <c r="S523" s="32">
        <f>IF(R523&lt;&gt;"Não","",IF(Q523+Config!$B$9&lt;=Config!$B$8,Config!$B$8-Q523,""))</f>
        <v/>
      </c>
      <c r="T523" s="26">
        <f>IF(S523="","","Sim")</f>
        <v/>
      </c>
      <c r="U523" s="41">
        <f>IF(T523="Sim",S523+ROW()/100000,0)</f>
        <v>0</v>
      </c>
      <c r="V523" s="41">
        <f>IF(AND(H523="Falta",L523=Config!$B$7,M523=Config!$B$5,COUNTIFS($E$5:E523,E523,$H$5:H523,"Falta",$L$5:L523,Config!$B$7,$M$5:M523,Config!$B$5)=1),COUNTIFS($E$5:$E$1204,E523,$H$5:$H$1204,"Falta",$L$5:$L$1204,Config!$B$7,$M$5:$M$1204,Config!$B$5)*1000-ROW()/100000,0)</f>
        <v>0</v>
      </c>
    </row>
    <row r="524">
      <c r="A524" s="39" t="n">
        <v>46258</v>
      </c>
      <c r="B524" s="40" t="n">
        <v>0.4375</v>
      </c>
      <c r="C524" s="35" t="inlineStr">
        <is>
          <t>Dra. Carolina Mendes</t>
        </is>
      </c>
      <c r="D524" s="35" t="inlineStr">
        <is>
          <t>Sala 1</t>
        </is>
      </c>
      <c r="E524" s="34" t="inlineStr">
        <is>
          <t>Mariana Nascimento</t>
        </is>
      </c>
      <c r="F524" s="35" t="inlineStr">
        <is>
          <t>Particular</t>
        </is>
      </c>
      <c r="G524" s="35" t="inlineStr">
        <is>
          <t>Consulta</t>
        </is>
      </c>
      <c r="H524" s="35" t="inlineStr">
        <is>
          <t>Realizado</t>
        </is>
      </c>
      <c r="I524" s="35" t="inlineStr">
        <is>
          <t>Cartão de crédito</t>
        </is>
      </c>
      <c r="J524" s="35" t="n">
        <v>2</v>
      </c>
      <c r="K524" s="34" t="n"/>
      <c r="L524" s="26">
        <f>IF(A524="","",MONTH(A524))</f>
        <v>8</v>
      </c>
      <c r="M524" s="26">
        <f>IF(A524="","",YEAR(A524))</f>
        <v>2026</v>
      </c>
      <c r="N524" s="26" t="str">
        <f>IF(A524="","",CHOOSE(WEEKDAY(A524,2),"Segunda","Terça","Quarta","Quinta","Sexta","Sábado","Domingo"))</f>
        <v>Segunda</v>
      </c>
      <c r="O524" s="26" t="str">
        <f>IF(B524="","",IF(B524&lt;TIME(12,0,0),"Manhã",IF(B524&lt;TIME(18,0,0),"Tarde","Noite")))</f>
        <v>Manhã</v>
      </c>
      <c r="P524" s="32">
        <f>IF(G524="","",IFERROR(INDEX(Config!$I$5:$I$16,MATCH(G524,Config!$H$5:$H$16,0)),0))</f>
        <v>30</v>
      </c>
      <c r="Q524" s="30">
        <f>IF(OR(H524&lt;&gt;"Realizado",P524="",P524=0),"",A524+P524)</f>
        <v>46288.0</v>
      </c>
      <c r="R524" s="26" t="str">
        <f>IF(Q524="","",IF(COUNTIFS($E$5:$E$1204,E524,$A$5:$A$1204,"&gt;"&amp;A524,$H$5:$H$1204,"&lt;&gt;Falta",$H$5:$H$1204,"&lt;&gt;Cancelado",$H$5:$H$1204,"&lt;&gt;Remarcado")&gt;0,"Sim","Não"))</f>
        <v>Sim</v>
      </c>
      <c r="S524" s="32">
        <f>IF(R524&lt;&gt;"Não","",IF(Q524+Config!$B$9&lt;=Config!$B$8,Config!$B$8-Q524,""))</f>
        <v/>
      </c>
      <c r="T524" s="26">
        <f>IF(S524="","","Sim")</f>
        <v/>
      </c>
      <c r="U524" s="41">
        <f>IF(T524="Sim",S524+ROW()/100000,0)</f>
        <v>0</v>
      </c>
      <c r="V524" s="41">
        <f>IF(AND(H524="Falta",L524=Config!$B$7,M524=Config!$B$5,COUNTIFS($E$5:E524,E524,$H$5:H524,"Falta",$L$5:L524,Config!$B$7,$M$5:M524,Config!$B$5)=1),COUNTIFS($E$5:$E$1204,E524,$H$5:$H$1204,"Falta",$L$5:$L$1204,Config!$B$7,$M$5:$M$1204,Config!$B$5)*1000-ROW()/100000,0)</f>
        <v>0</v>
      </c>
    </row>
    <row r="525">
      <c r="A525" s="39" t="n">
        <v>46258</v>
      </c>
      <c r="B525" s="40" t="n">
        <v>0.4791666666666667</v>
      </c>
      <c r="C525" s="35" t="inlineStr">
        <is>
          <t>Dra. Carolina Mendes</t>
        </is>
      </c>
      <c r="D525" s="35" t="inlineStr">
        <is>
          <t>Sala 1</t>
        </is>
      </c>
      <c r="E525" s="34" t="inlineStr">
        <is>
          <t>Ana Costa</t>
        </is>
      </c>
      <c r="F525" s="35" t="inlineStr">
        <is>
          <t>Particular</t>
        </is>
      </c>
      <c r="G525" s="35" t="inlineStr">
        <is>
          <t>Consulta</t>
        </is>
      </c>
      <c r="H525" s="35" t="inlineStr">
        <is>
          <t>Realizado</t>
        </is>
      </c>
      <c r="I525" s="35" t="inlineStr">
        <is>
          <t>Cartão de crédito</t>
        </is>
      </c>
      <c r="J525" s="35" t="n"/>
      <c r="K525" s="34" t="n"/>
      <c r="L525" s="26">
        <f>IF(A525="","",MONTH(A525))</f>
        <v>8</v>
      </c>
      <c r="M525" s="26">
        <f>IF(A525="","",YEAR(A525))</f>
        <v>2026</v>
      </c>
      <c r="N525" s="26" t="str">
        <f>IF(A525="","",CHOOSE(WEEKDAY(A525,2),"Segunda","Terça","Quarta","Quinta","Sexta","Sábado","Domingo"))</f>
        <v>Segunda</v>
      </c>
      <c r="O525" s="26" t="str">
        <f>IF(B525="","",IF(B525&lt;TIME(12,0,0),"Manhã",IF(B525&lt;TIME(18,0,0),"Tarde","Noite")))</f>
        <v>Manhã</v>
      </c>
      <c r="P525" s="32">
        <f>IF(G525="","",IFERROR(INDEX(Config!$I$5:$I$16,MATCH(G525,Config!$H$5:$H$16,0)),0))</f>
        <v>30</v>
      </c>
      <c r="Q525" s="30">
        <f>IF(OR(H525&lt;&gt;"Realizado",P525="",P525=0),"",A525+P525)</f>
        <v>46288.0</v>
      </c>
      <c r="R525" s="26" t="str">
        <f>IF(Q525="","",IF(COUNTIFS($E$5:$E$1204,E525,$A$5:$A$1204,"&gt;"&amp;A525,$H$5:$H$1204,"&lt;&gt;Falta",$H$5:$H$1204,"&lt;&gt;Cancelado",$H$5:$H$1204,"&lt;&gt;Remarcado")&gt;0,"Sim","Não"))</f>
        <v>Sim</v>
      </c>
      <c r="S525" s="32">
        <f>IF(R525&lt;&gt;"Não","",IF(Q525+Config!$B$9&lt;=Config!$B$8,Config!$B$8-Q525,""))</f>
        <v/>
      </c>
      <c r="T525" s="26">
        <f>IF(S525="","","Sim")</f>
        <v/>
      </c>
      <c r="U525" s="41">
        <f>IF(T525="Sim",S525+ROW()/100000,0)</f>
        <v>0</v>
      </c>
      <c r="V525" s="41">
        <f>IF(AND(H525="Falta",L525=Config!$B$7,M525=Config!$B$5,COUNTIFS($E$5:E525,E525,$H$5:H525,"Falta",$L$5:L525,Config!$B$7,$M$5:M525,Config!$B$5)=1),COUNTIFS($E$5:$E$1204,E525,$H$5:$H$1204,"Falta",$L$5:$L$1204,Config!$B$7,$M$5:$M$1204,Config!$B$5)*1000-ROW()/100000,0)</f>
        <v>0</v>
      </c>
    </row>
    <row r="526">
      <c r="A526" s="39" t="n">
        <v>46258</v>
      </c>
      <c r="B526" s="40" t="n">
        <v>0.5833333333333334</v>
      </c>
      <c r="C526" s="35" t="inlineStr">
        <is>
          <t>Dr. Paulo Andrade</t>
        </is>
      </c>
      <c r="D526" s="35" t="inlineStr">
        <is>
          <t>Sala 2</t>
        </is>
      </c>
      <c r="E526" s="34" t="inlineStr">
        <is>
          <t>Carlos Fernandes</t>
        </is>
      </c>
      <c r="F526" s="35" t="inlineStr">
        <is>
          <t>Particular</t>
        </is>
      </c>
      <c r="G526" s="35" t="inlineStr">
        <is>
          <t>ECG</t>
        </is>
      </c>
      <c r="H526" s="35" t="inlineStr">
        <is>
          <t>Realizado</t>
        </is>
      </c>
      <c r="I526" s="35" t="inlineStr">
        <is>
          <t>Cartão de crédito</t>
        </is>
      </c>
      <c r="J526" s="35" t="n"/>
      <c r="K526" s="34" t="n"/>
      <c r="L526" s="26">
        <f>IF(A526="","",MONTH(A526))</f>
        <v>8</v>
      </c>
      <c r="M526" s="26">
        <f>IF(A526="","",YEAR(A526))</f>
        <v>2026</v>
      </c>
      <c r="N526" s="26" t="str">
        <f>IF(A526="","",CHOOSE(WEEKDAY(A526,2),"Segunda","Terça","Quarta","Quinta","Sexta","Sábado","Domingo"))</f>
        <v>Segunda</v>
      </c>
      <c r="O526" s="26" t="str">
        <f>IF(B526="","",IF(B526&lt;TIME(12,0,0),"Manhã",IF(B526&lt;TIME(18,0,0),"Tarde","Noite")))</f>
        <v>Tarde</v>
      </c>
      <c r="P526" s="32">
        <f>IF(G526="","",IFERROR(INDEX(Config!$I$5:$I$16,MATCH(G526,Config!$H$5:$H$16,0)),0))</f>
        <v>0</v>
      </c>
      <c r="Q526" s="30">
        <f>IF(OR(H526&lt;&gt;"Realizado",P526="",P526=0),"",A526+P526)</f>
        <v/>
      </c>
      <c r="R526" s="26">
        <f>IF(Q526="","",IF(COUNTIFS($E$5:$E$1204,E526,$A$5:$A$1204,"&gt;"&amp;A526,$H$5:$H$1204,"&lt;&gt;Falta",$H$5:$H$1204,"&lt;&gt;Cancelado",$H$5:$H$1204,"&lt;&gt;Remarcado")&gt;0,"Sim","Não"))</f>
        <v/>
      </c>
      <c r="S526" s="32">
        <f>IF(R526&lt;&gt;"Não","",IF(Q526+Config!$B$9&lt;=Config!$B$8,Config!$B$8-Q526,""))</f>
        <v/>
      </c>
      <c r="T526" s="26">
        <f>IF(S526="","","Sim")</f>
        <v/>
      </c>
      <c r="U526" s="41">
        <f>IF(T526="Sim",S526+ROW()/100000,0)</f>
        <v>0</v>
      </c>
      <c r="V526" s="41">
        <f>IF(AND(H526="Falta",L526=Config!$B$7,M526=Config!$B$5,COUNTIFS($E$5:E526,E526,$H$5:H526,"Falta",$L$5:L526,Config!$B$7,$M$5:M526,Config!$B$5)=1),COUNTIFS($E$5:$E$1204,E526,$H$5:$H$1204,"Falta",$L$5:$L$1204,Config!$B$7,$M$5:$M$1204,Config!$B$5)*1000-ROW()/100000,0)</f>
        <v>0</v>
      </c>
    </row>
    <row r="527">
      <c r="A527" s="39" t="n">
        <v>46258</v>
      </c>
      <c r="B527" s="40" t="n">
        <v>0.5972222222222222</v>
      </c>
      <c r="C527" s="35" t="inlineStr">
        <is>
          <t>Dr. Paulo Andrade</t>
        </is>
      </c>
      <c r="D527" s="35" t="inlineStr">
        <is>
          <t>Sala 2</t>
        </is>
      </c>
      <c r="E527" s="34" t="inlineStr">
        <is>
          <t>Vinícius Cardoso</t>
        </is>
      </c>
      <c r="F527" s="35" t="inlineStr">
        <is>
          <t>MediPlan</t>
        </is>
      </c>
      <c r="G527" s="35" t="inlineStr">
        <is>
          <t>Consulta</t>
        </is>
      </c>
      <c r="H527" s="35" t="inlineStr">
        <is>
          <t>Realizado</t>
        </is>
      </c>
      <c r="I527" s="35" t="inlineStr">
        <is>
          <t>Convênio</t>
        </is>
      </c>
      <c r="J527" s="35" t="n"/>
      <c r="K527" s="34" t="n"/>
      <c r="L527" s="26">
        <f>IF(A527="","",MONTH(A527))</f>
        <v>8</v>
      </c>
      <c r="M527" s="26">
        <f>IF(A527="","",YEAR(A527))</f>
        <v>2026</v>
      </c>
      <c r="N527" s="26" t="str">
        <f>IF(A527="","",CHOOSE(WEEKDAY(A527,2),"Segunda","Terça","Quarta","Quinta","Sexta","Sábado","Domingo"))</f>
        <v>Segunda</v>
      </c>
      <c r="O527" s="26" t="str">
        <f>IF(B527="","",IF(B527&lt;TIME(12,0,0),"Manhã",IF(B527&lt;TIME(18,0,0),"Tarde","Noite")))</f>
        <v>Tarde</v>
      </c>
      <c r="P527" s="32">
        <f>IF(G527="","",IFERROR(INDEX(Config!$I$5:$I$16,MATCH(G527,Config!$H$5:$H$16,0)),0))</f>
        <v>30</v>
      </c>
      <c r="Q527" s="30">
        <f>IF(OR(H527&lt;&gt;"Realizado",P527="",P527=0),"",A527+P527)</f>
        <v>46288.0</v>
      </c>
      <c r="R527" s="26" t="str">
        <f>IF(Q527="","",IF(COUNTIFS($E$5:$E$1204,E527,$A$5:$A$1204,"&gt;"&amp;A527,$H$5:$H$1204,"&lt;&gt;Falta",$H$5:$H$1204,"&lt;&gt;Cancelado",$H$5:$H$1204,"&lt;&gt;Remarcado")&gt;0,"Sim","Não"))</f>
        <v>Sim</v>
      </c>
      <c r="S527" s="32">
        <f>IF(R527&lt;&gt;"Não","",IF(Q527+Config!$B$9&lt;=Config!$B$8,Config!$B$8-Q527,""))</f>
        <v/>
      </c>
      <c r="T527" s="26">
        <f>IF(S527="","","Sim")</f>
        <v/>
      </c>
      <c r="U527" s="41">
        <f>IF(T527="Sim",S527+ROW()/100000,0)</f>
        <v>0</v>
      </c>
      <c r="V527" s="41">
        <f>IF(AND(H527="Falta",L527=Config!$B$7,M527=Config!$B$5,COUNTIFS($E$5:E527,E527,$H$5:H527,"Falta",$L$5:L527,Config!$B$7,$M$5:M527,Config!$B$5)=1),COUNTIFS($E$5:$E$1204,E527,$H$5:$H$1204,"Falta",$L$5:$L$1204,Config!$B$7,$M$5:$M$1204,Config!$B$5)*1000-ROW()/100000,0)</f>
        <v>0</v>
      </c>
    </row>
    <row r="528">
      <c r="A528" s="39" t="n">
        <v>46258</v>
      </c>
      <c r="B528" s="40" t="n">
        <v>0.6180555555555556</v>
      </c>
      <c r="C528" s="35" t="inlineStr">
        <is>
          <t>Dr. Paulo Andrade</t>
        </is>
      </c>
      <c r="D528" s="35" t="inlineStr">
        <is>
          <t>Sala 2</t>
        </is>
      </c>
      <c r="E528" s="34" t="inlineStr">
        <is>
          <t>Camila Freitas</t>
        </is>
      </c>
      <c r="F528" s="35" t="inlineStr">
        <is>
          <t>Particular</t>
        </is>
      </c>
      <c r="G528" s="35" t="inlineStr">
        <is>
          <t>Consulta</t>
        </is>
      </c>
      <c r="H528" s="35" t="inlineStr">
        <is>
          <t>Realizado</t>
        </is>
      </c>
      <c r="I528" s="35" t="inlineStr">
        <is>
          <t>Pix</t>
        </is>
      </c>
      <c r="J528" s="35" t="n"/>
      <c r="K528" s="34" t="n"/>
      <c r="L528" s="26">
        <f>IF(A528="","",MONTH(A528))</f>
        <v>8</v>
      </c>
      <c r="M528" s="26">
        <f>IF(A528="","",YEAR(A528))</f>
        <v>2026</v>
      </c>
      <c r="N528" s="26" t="str">
        <f>IF(A528="","",CHOOSE(WEEKDAY(A528,2),"Segunda","Terça","Quarta","Quinta","Sexta","Sábado","Domingo"))</f>
        <v>Segunda</v>
      </c>
      <c r="O528" s="26" t="str">
        <f>IF(B528="","",IF(B528&lt;TIME(12,0,0),"Manhã",IF(B528&lt;TIME(18,0,0),"Tarde","Noite")))</f>
        <v>Tarde</v>
      </c>
      <c r="P528" s="32">
        <f>IF(G528="","",IFERROR(INDEX(Config!$I$5:$I$16,MATCH(G528,Config!$H$5:$H$16,0)),0))</f>
        <v>30</v>
      </c>
      <c r="Q528" s="30">
        <f>IF(OR(H528&lt;&gt;"Realizado",P528="",P528=0),"",A528+P528)</f>
        <v>46288.0</v>
      </c>
      <c r="R528" s="26" t="str">
        <f>IF(Q528="","",IF(COUNTIFS($E$5:$E$1204,E528,$A$5:$A$1204,"&gt;"&amp;A528,$H$5:$H$1204,"&lt;&gt;Falta",$H$5:$H$1204,"&lt;&gt;Cancelado",$H$5:$H$1204,"&lt;&gt;Remarcado")&gt;0,"Sim","Não"))</f>
        <v>Sim</v>
      </c>
      <c r="S528" s="32">
        <f>IF(R528&lt;&gt;"Não","",IF(Q528+Config!$B$9&lt;=Config!$B$8,Config!$B$8-Q528,""))</f>
        <v/>
      </c>
      <c r="T528" s="26">
        <f>IF(S528="","","Sim")</f>
        <v/>
      </c>
      <c r="U528" s="41">
        <f>IF(T528="Sim",S528+ROW()/100000,0)</f>
        <v>0</v>
      </c>
      <c r="V528" s="41">
        <f>IF(AND(H528="Falta",L528=Config!$B$7,M528=Config!$B$5,COUNTIFS($E$5:E528,E528,$H$5:H528,"Falta",$L$5:L528,Config!$B$7,$M$5:M528,Config!$B$5)=1),COUNTIFS($E$5:$E$1204,E528,$H$5:$H$1204,"Falta",$L$5:$L$1204,Config!$B$7,$M$5:$M$1204,Config!$B$5)*1000-ROW()/100000,0)</f>
        <v>0</v>
      </c>
    </row>
    <row r="529">
      <c r="A529" s="39" t="n">
        <v>46258</v>
      </c>
      <c r="B529" s="40" t="n">
        <v>0.6388888888888888</v>
      </c>
      <c r="C529" s="35" t="inlineStr">
        <is>
          <t>Dr. Paulo Andrade</t>
        </is>
      </c>
      <c r="D529" s="35" t="inlineStr">
        <is>
          <t>Sala 2</t>
        </is>
      </c>
      <c r="E529" s="34" t="inlineStr">
        <is>
          <t>Otávio Martins</t>
        </is>
      </c>
      <c r="F529" s="35" t="inlineStr">
        <is>
          <t>MediPlan</t>
        </is>
      </c>
      <c r="G529" s="35" t="inlineStr">
        <is>
          <t>Retorno</t>
        </is>
      </c>
      <c r="H529" s="35" t="inlineStr">
        <is>
          <t>Realizado</t>
        </is>
      </c>
      <c r="I529" s="35" t="inlineStr">
        <is>
          <t>Sem cobrança</t>
        </is>
      </c>
      <c r="J529" s="35" t="n"/>
      <c r="K529" s="34" t="n"/>
      <c r="L529" s="26">
        <f>IF(A529="","",MONTH(A529))</f>
        <v>8</v>
      </c>
      <c r="M529" s="26">
        <f>IF(A529="","",YEAR(A529))</f>
        <v>2026</v>
      </c>
      <c r="N529" s="26" t="str">
        <f>IF(A529="","",CHOOSE(WEEKDAY(A529,2),"Segunda","Terça","Quarta","Quinta","Sexta","Sábado","Domingo"))</f>
        <v>Segunda</v>
      </c>
      <c r="O529" s="26" t="str">
        <f>IF(B529="","",IF(B529&lt;TIME(12,0,0),"Manhã",IF(B529&lt;TIME(18,0,0),"Tarde","Noite")))</f>
        <v>Tarde</v>
      </c>
      <c r="P529" s="32">
        <f>IF(G529="","",IFERROR(INDEX(Config!$I$5:$I$16,MATCH(G529,Config!$H$5:$H$16,0)),0))</f>
        <v>0</v>
      </c>
      <c r="Q529" s="30">
        <f>IF(OR(H529&lt;&gt;"Realizado",P529="",P529=0),"",A529+P529)</f>
        <v/>
      </c>
      <c r="R529" s="26">
        <f>IF(Q529="","",IF(COUNTIFS($E$5:$E$1204,E529,$A$5:$A$1204,"&gt;"&amp;A529,$H$5:$H$1204,"&lt;&gt;Falta",$H$5:$H$1204,"&lt;&gt;Cancelado",$H$5:$H$1204,"&lt;&gt;Remarcado")&gt;0,"Sim","Não"))</f>
        <v/>
      </c>
      <c r="S529" s="32">
        <f>IF(R529&lt;&gt;"Não","",IF(Q529+Config!$B$9&lt;=Config!$B$8,Config!$B$8-Q529,""))</f>
        <v/>
      </c>
      <c r="T529" s="26">
        <f>IF(S529="","","Sim")</f>
        <v/>
      </c>
      <c r="U529" s="41">
        <f>IF(T529="Sim",S529+ROW()/100000,0)</f>
        <v>0</v>
      </c>
      <c r="V529" s="41">
        <f>IF(AND(H529="Falta",L529=Config!$B$7,M529=Config!$B$5,COUNTIFS($E$5:E529,E529,$H$5:H529,"Falta",$L$5:L529,Config!$B$7,$M$5:M529,Config!$B$5)=1),COUNTIFS($E$5:$E$1204,E529,$H$5:$H$1204,"Falta",$L$5:$L$1204,Config!$B$7,$M$5:$M$1204,Config!$B$5)*1000-ROW()/100000,0)</f>
        <v>0</v>
      </c>
    </row>
    <row r="530">
      <c r="A530" s="39" t="n">
        <v>46258</v>
      </c>
      <c r="B530" s="40" t="n">
        <v>0.6527777777777778</v>
      </c>
      <c r="C530" s="35" t="inlineStr">
        <is>
          <t>Dr. Paulo Andrade</t>
        </is>
      </c>
      <c r="D530" s="35" t="inlineStr">
        <is>
          <t>Sala 2</t>
        </is>
      </c>
      <c r="E530" s="34" t="inlineStr">
        <is>
          <t>Gabriel Oliveira</t>
        </is>
      </c>
      <c r="F530" s="35" t="inlineStr">
        <is>
          <t>Particular</t>
        </is>
      </c>
      <c r="G530" s="35" t="inlineStr">
        <is>
          <t>Consulta</t>
        </is>
      </c>
      <c r="H530" s="35" t="inlineStr">
        <is>
          <t>Realizado</t>
        </is>
      </c>
      <c r="I530" s="35" t="inlineStr">
        <is>
          <t>Pix</t>
        </is>
      </c>
      <c r="J530" s="35" t="n"/>
      <c r="K530" s="34" t="n"/>
      <c r="L530" s="26">
        <f>IF(A530="","",MONTH(A530))</f>
        <v>8</v>
      </c>
      <c r="M530" s="26">
        <f>IF(A530="","",YEAR(A530))</f>
        <v>2026</v>
      </c>
      <c r="N530" s="26" t="str">
        <f>IF(A530="","",CHOOSE(WEEKDAY(A530,2),"Segunda","Terça","Quarta","Quinta","Sexta","Sábado","Domingo"))</f>
        <v>Segunda</v>
      </c>
      <c r="O530" s="26" t="str">
        <f>IF(B530="","",IF(B530&lt;TIME(12,0,0),"Manhã",IF(B530&lt;TIME(18,0,0),"Tarde","Noite")))</f>
        <v>Tarde</v>
      </c>
      <c r="P530" s="32">
        <f>IF(G530="","",IFERROR(INDEX(Config!$I$5:$I$16,MATCH(G530,Config!$H$5:$H$16,0)),0))</f>
        <v>30</v>
      </c>
      <c r="Q530" s="30">
        <f>IF(OR(H530&lt;&gt;"Realizado",P530="",P530=0),"",A530+P530)</f>
        <v>46288.0</v>
      </c>
      <c r="R530" s="26" t="str">
        <f>IF(Q530="","",IF(COUNTIFS($E$5:$E$1204,E530,$A$5:$A$1204,"&gt;"&amp;A530,$H$5:$H$1204,"&lt;&gt;Falta",$H$5:$H$1204,"&lt;&gt;Cancelado",$H$5:$H$1204,"&lt;&gt;Remarcado")&gt;0,"Sim","Não"))</f>
        <v>Sim</v>
      </c>
      <c r="S530" s="32">
        <f>IF(R530&lt;&gt;"Não","",IF(Q530+Config!$B$9&lt;=Config!$B$8,Config!$B$8-Q530,""))</f>
        <v/>
      </c>
      <c r="T530" s="26">
        <f>IF(S530="","","Sim")</f>
        <v/>
      </c>
      <c r="U530" s="41">
        <f>IF(T530="Sim",S530+ROW()/100000,0)</f>
        <v>0</v>
      </c>
      <c r="V530" s="41">
        <f>IF(AND(H530="Falta",L530=Config!$B$7,M530=Config!$B$5,COUNTIFS($E$5:E530,E530,$H$5:H530,"Falta",$L$5:L530,Config!$B$7,$M$5:M530,Config!$B$5)=1),COUNTIFS($E$5:$E$1204,E530,$H$5:$H$1204,"Falta",$L$5:$L$1204,Config!$B$7,$M$5:$M$1204,Config!$B$5)*1000-ROW()/100000,0)</f>
        <v>0</v>
      </c>
    </row>
    <row r="531">
      <c r="A531" s="39" t="n">
        <v>46258</v>
      </c>
      <c r="B531" s="40" t="n">
        <v>0.6736111111111112</v>
      </c>
      <c r="C531" s="35" t="inlineStr">
        <is>
          <t>Dr. Paulo Andrade</t>
        </is>
      </c>
      <c r="D531" s="35" t="inlineStr">
        <is>
          <t>Sala 2</t>
        </is>
      </c>
      <c r="E531" s="34" t="inlineStr">
        <is>
          <t>Gabriel Vieira</t>
        </is>
      </c>
      <c r="F531" s="35" t="inlineStr">
        <is>
          <t>Vida Care</t>
        </is>
      </c>
      <c r="G531" s="35" t="inlineStr">
        <is>
          <t>Consulta</t>
        </is>
      </c>
      <c r="H531" s="35" t="inlineStr">
        <is>
          <t>Realizado</t>
        </is>
      </c>
      <c r="I531" s="35" t="inlineStr">
        <is>
          <t>Convênio</t>
        </is>
      </c>
      <c r="J531" s="35" t="n"/>
      <c r="K531" s="34" t="n"/>
      <c r="L531" s="26">
        <f>IF(A531="","",MONTH(A531))</f>
        <v>8</v>
      </c>
      <c r="M531" s="26">
        <f>IF(A531="","",YEAR(A531))</f>
        <v>2026</v>
      </c>
      <c r="N531" s="26" t="str">
        <f>IF(A531="","",CHOOSE(WEEKDAY(A531,2),"Segunda","Terça","Quarta","Quinta","Sexta","Sábado","Domingo"))</f>
        <v>Segunda</v>
      </c>
      <c r="O531" s="26" t="str">
        <f>IF(B531="","",IF(B531&lt;TIME(12,0,0),"Manhã",IF(B531&lt;TIME(18,0,0),"Tarde","Noite")))</f>
        <v>Tarde</v>
      </c>
      <c r="P531" s="32">
        <f>IF(G531="","",IFERROR(INDEX(Config!$I$5:$I$16,MATCH(G531,Config!$H$5:$H$16,0)),0))</f>
        <v>30</v>
      </c>
      <c r="Q531" s="30">
        <f>IF(OR(H531&lt;&gt;"Realizado",P531="",P531=0),"",A531+P531)</f>
        <v>46288.0</v>
      </c>
      <c r="R531" s="26" t="str">
        <f>IF(Q531="","",IF(COUNTIFS($E$5:$E$1204,E531,$A$5:$A$1204,"&gt;"&amp;A531,$H$5:$H$1204,"&lt;&gt;Falta",$H$5:$H$1204,"&lt;&gt;Cancelado",$H$5:$H$1204,"&lt;&gt;Remarcado")&gt;0,"Sim","Não"))</f>
        <v>Sim</v>
      </c>
      <c r="S531" s="32">
        <f>IF(R531&lt;&gt;"Não","",IF(Q531+Config!$B$9&lt;=Config!$B$8,Config!$B$8-Q531,""))</f>
        <v/>
      </c>
      <c r="T531" s="26">
        <f>IF(S531="","","Sim")</f>
        <v/>
      </c>
      <c r="U531" s="41">
        <f>IF(T531="Sim",S531+ROW()/100000,0)</f>
        <v>0</v>
      </c>
      <c r="V531" s="41">
        <f>IF(AND(H531="Falta",L531=Config!$B$7,M531=Config!$B$5,COUNTIFS($E$5:E531,E531,$H$5:H531,"Falta",$L$5:L531,Config!$B$7,$M$5:M531,Config!$B$5)=1),COUNTIFS($E$5:$E$1204,E531,$H$5:$H$1204,"Falta",$L$5:$L$1204,Config!$B$7,$M$5:$M$1204,Config!$B$5)*1000-ROW()/100000,0)</f>
        <v>0</v>
      </c>
    </row>
    <row r="532">
      <c r="A532" s="39" t="n">
        <v>46258</v>
      </c>
      <c r="B532" s="40" t="n">
        <v>0.6944444444444444</v>
      </c>
      <c r="C532" s="35" t="inlineStr">
        <is>
          <t>Dr. Paulo Andrade</t>
        </is>
      </c>
      <c r="D532" s="35" t="inlineStr">
        <is>
          <t>Sala 2</t>
        </is>
      </c>
      <c r="E532" s="34" t="inlineStr">
        <is>
          <t>Daniel Melo</t>
        </is>
      </c>
      <c r="F532" s="35" t="inlineStr">
        <is>
          <t>Saúde Total</t>
        </is>
      </c>
      <c r="G532" s="35" t="inlineStr">
        <is>
          <t>MAPA</t>
        </is>
      </c>
      <c r="H532" s="35" t="inlineStr">
        <is>
          <t>Realizado</t>
        </is>
      </c>
      <c r="I532" s="35" t="inlineStr">
        <is>
          <t>Convênio</t>
        </is>
      </c>
      <c r="J532" s="35" t="n"/>
      <c r="K532" s="34" t="n"/>
      <c r="L532" s="26">
        <f>IF(A532="","",MONTH(A532))</f>
        <v>8</v>
      </c>
      <c r="M532" s="26">
        <f>IF(A532="","",YEAR(A532))</f>
        <v>2026</v>
      </c>
      <c r="N532" s="26" t="str">
        <f>IF(A532="","",CHOOSE(WEEKDAY(A532,2),"Segunda","Terça","Quarta","Quinta","Sexta","Sábado","Domingo"))</f>
        <v>Segunda</v>
      </c>
      <c r="O532" s="26" t="str">
        <f>IF(B532="","",IF(B532&lt;TIME(12,0,0),"Manhã",IF(B532&lt;TIME(18,0,0),"Tarde","Noite")))</f>
        <v>Tarde</v>
      </c>
      <c r="P532" s="32">
        <f>IF(G532="","",IFERROR(INDEX(Config!$I$5:$I$16,MATCH(G532,Config!$H$5:$H$16,0)),0))</f>
        <v>0</v>
      </c>
      <c r="Q532" s="30">
        <f>IF(OR(H532&lt;&gt;"Realizado",P532="",P532=0),"",A532+P532)</f>
        <v/>
      </c>
      <c r="R532" s="26">
        <f>IF(Q532="","",IF(COUNTIFS($E$5:$E$1204,E532,$A$5:$A$1204,"&gt;"&amp;A532,$H$5:$H$1204,"&lt;&gt;Falta",$H$5:$H$1204,"&lt;&gt;Cancelado",$H$5:$H$1204,"&lt;&gt;Remarcado")&gt;0,"Sim","Não"))</f>
        <v/>
      </c>
      <c r="S532" s="32">
        <f>IF(R532&lt;&gt;"Não","",IF(Q532+Config!$B$9&lt;=Config!$B$8,Config!$B$8-Q532,""))</f>
        <v/>
      </c>
      <c r="T532" s="26">
        <f>IF(S532="","","Sim")</f>
        <v/>
      </c>
      <c r="U532" s="41">
        <f>IF(T532="Sim",S532+ROW()/100000,0)</f>
        <v>0</v>
      </c>
      <c r="V532" s="41">
        <f>IF(AND(H532="Falta",L532=Config!$B$7,M532=Config!$B$5,COUNTIFS($E$5:E532,E532,$H$5:H532,"Falta",$L$5:L532,Config!$B$7,$M$5:M532,Config!$B$5)=1),COUNTIFS($E$5:$E$1204,E532,$H$5:$H$1204,"Falta",$L$5:$L$1204,Config!$B$7,$M$5:$M$1204,Config!$B$5)*1000-ROW()/100000,0)</f>
        <v>0</v>
      </c>
    </row>
    <row r="533">
      <c r="A533" s="39" t="n">
        <v>46258</v>
      </c>
      <c r="B533" s="40" t="n">
        <v>0.7083333333333334</v>
      </c>
      <c r="C533" s="35" t="inlineStr">
        <is>
          <t>Dr. Paulo Andrade</t>
        </is>
      </c>
      <c r="D533" s="35" t="inlineStr">
        <is>
          <t>Sala 2</t>
        </is>
      </c>
      <c r="E533" s="34" t="inlineStr">
        <is>
          <t>Sérgio Martins</t>
        </is>
      </c>
      <c r="F533" s="35" t="inlineStr">
        <is>
          <t>Particular</t>
        </is>
      </c>
      <c r="G533" s="35" t="inlineStr">
        <is>
          <t>Holter</t>
        </is>
      </c>
      <c r="H533" s="35" t="inlineStr">
        <is>
          <t>Realizado</t>
        </is>
      </c>
      <c r="I533" s="35" t="inlineStr">
        <is>
          <t>Dinheiro</t>
        </is>
      </c>
      <c r="J533" s="35" t="n"/>
      <c r="K533" s="34" t="n"/>
      <c r="L533" s="26">
        <f>IF(A533="","",MONTH(A533))</f>
        <v>8</v>
      </c>
      <c r="M533" s="26">
        <f>IF(A533="","",YEAR(A533))</f>
        <v>2026</v>
      </c>
      <c r="N533" s="26" t="str">
        <f>IF(A533="","",CHOOSE(WEEKDAY(A533,2),"Segunda","Terça","Quarta","Quinta","Sexta","Sábado","Domingo"))</f>
        <v>Segunda</v>
      </c>
      <c r="O533" s="26" t="str">
        <f>IF(B533="","",IF(B533&lt;TIME(12,0,0),"Manhã",IF(B533&lt;TIME(18,0,0),"Tarde","Noite")))</f>
        <v>Tarde</v>
      </c>
      <c r="P533" s="32">
        <f>IF(G533="","",IFERROR(INDEX(Config!$I$5:$I$16,MATCH(G533,Config!$H$5:$H$16,0)),0))</f>
        <v>0</v>
      </c>
      <c r="Q533" s="30">
        <f>IF(OR(H533&lt;&gt;"Realizado",P533="",P533=0),"",A533+P533)</f>
        <v/>
      </c>
      <c r="R533" s="26">
        <f>IF(Q533="","",IF(COUNTIFS($E$5:$E$1204,E533,$A$5:$A$1204,"&gt;"&amp;A533,$H$5:$H$1204,"&lt;&gt;Falta",$H$5:$H$1204,"&lt;&gt;Cancelado",$H$5:$H$1204,"&lt;&gt;Remarcado")&gt;0,"Sim","Não"))</f>
        <v/>
      </c>
      <c r="S533" s="32">
        <f>IF(R533&lt;&gt;"Não","",IF(Q533+Config!$B$9&lt;=Config!$B$8,Config!$B$8-Q533,""))</f>
        <v/>
      </c>
      <c r="T533" s="26">
        <f>IF(S533="","","Sim")</f>
        <v/>
      </c>
      <c r="U533" s="41">
        <f>IF(T533="Sim",S533+ROW()/100000,0)</f>
        <v>0</v>
      </c>
      <c r="V533" s="41">
        <f>IF(AND(H533="Falta",L533=Config!$B$7,M533=Config!$B$5,COUNTIFS($E$5:E533,E533,$H$5:H533,"Falta",$L$5:L533,Config!$B$7,$M$5:M533,Config!$B$5)=1),COUNTIFS($E$5:$E$1204,E533,$H$5:$H$1204,"Falta",$L$5:$L$1204,Config!$B$7,$M$5:$M$1204,Config!$B$5)*1000-ROW()/100000,0)</f>
        <v>0</v>
      </c>
    </row>
    <row r="534">
      <c r="A534" s="39" t="n">
        <v>46258</v>
      </c>
      <c r="B534" s="40" t="n">
        <v>0.7222222222222222</v>
      </c>
      <c r="C534" s="35" t="inlineStr">
        <is>
          <t>Dr. Paulo Andrade</t>
        </is>
      </c>
      <c r="D534" s="35" t="inlineStr">
        <is>
          <t>Sala 2</t>
        </is>
      </c>
      <c r="E534" s="34" t="inlineStr">
        <is>
          <t>Isabela Nascimento</t>
        </is>
      </c>
      <c r="F534" s="35" t="inlineStr">
        <is>
          <t>Vida Care</t>
        </is>
      </c>
      <c r="G534" s="35" t="inlineStr">
        <is>
          <t>Teste ergométrico</t>
        </is>
      </c>
      <c r="H534" s="35" t="inlineStr">
        <is>
          <t>Realizado</t>
        </is>
      </c>
      <c r="I534" s="35" t="inlineStr">
        <is>
          <t>Convênio</t>
        </is>
      </c>
      <c r="J534" s="35" t="n"/>
      <c r="K534" s="34" t="n"/>
      <c r="L534" s="26">
        <f>IF(A534="","",MONTH(A534))</f>
        <v>8</v>
      </c>
      <c r="M534" s="26">
        <f>IF(A534="","",YEAR(A534))</f>
        <v>2026</v>
      </c>
      <c r="N534" s="26" t="str">
        <f>IF(A534="","",CHOOSE(WEEKDAY(A534,2),"Segunda","Terça","Quarta","Quinta","Sexta","Sábado","Domingo"))</f>
        <v>Segunda</v>
      </c>
      <c r="O534" s="26" t="str">
        <f>IF(B534="","",IF(B534&lt;TIME(12,0,0),"Manhã",IF(B534&lt;TIME(18,0,0),"Tarde","Noite")))</f>
        <v>Tarde</v>
      </c>
      <c r="P534" s="32">
        <f>IF(G534="","",IFERROR(INDEX(Config!$I$5:$I$16,MATCH(G534,Config!$H$5:$H$16,0)),0))</f>
        <v>0</v>
      </c>
      <c r="Q534" s="30">
        <f>IF(OR(H534&lt;&gt;"Realizado",P534="",P534=0),"",A534+P534)</f>
        <v/>
      </c>
      <c r="R534" s="26">
        <f>IF(Q534="","",IF(COUNTIFS($E$5:$E$1204,E534,$A$5:$A$1204,"&gt;"&amp;A534,$H$5:$H$1204,"&lt;&gt;Falta",$H$5:$H$1204,"&lt;&gt;Cancelado",$H$5:$H$1204,"&lt;&gt;Remarcado")&gt;0,"Sim","Não"))</f>
        <v/>
      </c>
      <c r="S534" s="32">
        <f>IF(R534&lt;&gt;"Não","",IF(Q534+Config!$B$9&lt;=Config!$B$8,Config!$B$8-Q534,""))</f>
        <v/>
      </c>
      <c r="T534" s="26">
        <f>IF(S534="","","Sim")</f>
        <v/>
      </c>
      <c r="U534" s="41">
        <f>IF(T534="Sim",S534+ROW()/100000,0)</f>
        <v>0</v>
      </c>
      <c r="V534" s="41">
        <f>IF(AND(H534="Falta",L534=Config!$B$7,M534=Config!$B$5,COUNTIFS($E$5:E534,E534,$H$5:H534,"Falta",$L$5:L534,Config!$B$7,$M$5:M534,Config!$B$5)=1),COUNTIFS($E$5:$E$1204,E534,$H$5:$H$1204,"Falta",$L$5:$L$1204,Config!$B$7,$M$5:$M$1204,Config!$B$5)*1000-ROW()/100000,0)</f>
        <v>0</v>
      </c>
    </row>
    <row r="535">
      <c r="A535" s="39" t="n">
        <v>46259</v>
      </c>
      <c r="B535" s="40" t="n">
        <v>0.3333333333333333</v>
      </c>
      <c r="C535" s="35" t="inlineStr">
        <is>
          <t>Dra. Carolina Mendes</t>
        </is>
      </c>
      <c r="D535" s="35" t="inlineStr">
        <is>
          <t>Sala 1</t>
        </is>
      </c>
      <c r="E535" s="34" t="inlineStr">
        <is>
          <t>Gustavo Ferreira</t>
        </is>
      </c>
      <c r="F535" s="35" t="inlineStr">
        <is>
          <t>Particular</t>
        </is>
      </c>
      <c r="G535" s="35" t="inlineStr">
        <is>
          <t>Retorno</t>
        </is>
      </c>
      <c r="H535" s="35" t="inlineStr">
        <is>
          <t>Falta</t>
        </is>
      </c>
      <c r="I535" s="35" t="n"/>
      <c r="J535" s="35" t="n"/>
      <c r="K535" s="34" t="n"/>
      <c r="L535" s="26">
        <f>IF(A535="","",MONTH(A535))</f>
        <v>8</v>
      </c>
      <c r="M535" s="26">
        <f>IF(A535="","",YEAR(A535))</f>
        <v>2026</v>
      </c>
      <c r="N535" s="26" t="str">
        <f>IF(A535="","",CHOOSE(WEEKDAY(A535,2),"Segunda","Terça","Quarta","Quinta","Sexta","Sábado","Domingo"))</f>
        <v>Terça</v>
      </c>
      <c r="O535" s="26" t="str">
        <f>IF(B535="","",IF(B535&lt;TIME(12,0,0),"Manhã",IF(B535&lt;TIME(18,0,0),"Tarde","Noite")))</f>
        <v>Manhã</v>
      </c>
      <c r="P535" s="32">
        <f>IF(G535="","",IFERROR(INDEX(Config!$I$5:$I$16,MATCH(G535,Config!$H$5:$H$16,0)),0))</f>
        <v>0</v>
      </c>
      <c r="Q535" s="30">
        <f>IF(OR(H535&lt;&gt;"Realizado",P535="",P535=0),"",A535+P535)</f>
        <v/>
      </c>
      <c r="R535" s="26">
        <f>IF(Q535="","",IF(COUNTIFS($E$5:$E$1204,E535,$A$5:$A$1204,"&gt;"&amp;A535,$H$5:$H$1204,"&lt;&gt;Falta",$H$5:$H$1204,"&lt;&gt;Cancelado",$H$5:$H$1204,"&lt;&gt;Remarcado")&gt;0,"Sim","Não"))</f>
        <v/>
      </c>
      <c r="S535" s="32">
        <f>IF(R535&lt;&gt;"Não","",IF(Q535+Config!$B$9&lt;=Config!$B$8,Config!$B$8-Q535,""))</f>
        <v/>
      </c>
      <c r="T535" s="26">
        <f>IF(S535="","","Sim")</f>
        <v/>
      </c>
      <c r="U535" s="41">
        <f>IF(T535="Sim",S535+ROW()/100000,0)</f>
        <v>0</v>
      </c>
      <c r="V535" s="41">
        <f>IF(AND(H535="Falta",L535=Config!$B$7,M535=Config!$B$5,COUNTIFS($E$5:E535,E535,$H$5:H535,"Falta",$L$5:L535,Config!$B$7,$M$5:M535,Config!$B$5)=1),COUNTIFS($E$5:$E$1204,E535,$H$5:$H$1204,"Falta",$L$5:$L$1204,Config!$B$7,$M$5:$M$1204,Config!$B$5)*1000-ROW()/100000,0)</f>
        <v>0</v>
      </c>
    </row>
    <row r="536">
      <c r="A536" s="39" t="n">
        <v>46259</v>
      </c>
      <c r="B536" s="40" t="n">
        <v>0.3472222222222222</v>
      </c>
      <c r="C536" s="35" t="inlineStr">
        <is>
          <t>Dra. Carolina Mendes</t>
        </is>
      </c>
      <c r="D536" s="35" t="inlineStr">
        <is>
          <t>Sala 1</t>
        </is>
      </c>
      <c r="E536" s="34" t="inlineStr">
        <is>
          <t>Larissa Costa</t>
        </is>
      </c>
      <c r="F536" s="35" t="inlineStr">
        <is>
          <t>Particular</t>
        </is>
      </c>
      <c r="G536" s="35" t="inlineStr">
        <is>
          <t>Consulta</t>
        </is>
      </c>
      <c r="H536" s="35" t="inlineStr">
        <is>
          <t>Realizado</t>
        </is>
      </c>
      <c r="I536" s="35" t="inlineStr">
        <is>
          <t>Pix</t>
        </is>
      </c>
      <c r="J536" s="35" t="n"/>
      <c r="K536" s="34" t="n"/>
      <c r="L536" s="26">
        <f>IF(A536="","",MONTH(A536))</f>
        <v>8</v>
      </c>
      <c r="M536" s="26">
        <f>IF(A536="","",YEAR(A536))</f>
        <v>2026</v>
      </c>
      <c r="N536" s="26" t="str">
        <f>IF(A536="","",CHOOSE(WEEKDAY(A536,2),"Segunda","Terça","Quarta","Quinta","Sexta","Sábado","Domingo"))</f>
        <v>Terça</v>
      </c>
      <c r="O536" s="26" t="str">
        <f>IF(B536="","",IF(B536&lt;TIME(12,0,0),"Manhã",IF(B536&lt;TIME(18,0,0),"Tarde","Noite")))</f>
        <v>Manhã</v>
      </c>
      <c r="P536" s="32">
        <f>IF(G536="","",IFERROR(INDEX(Config!$I$5:$I$16,MATCH(G536,Config!$H$5:$H$16,0)),0))</f>
        <v>30</v>
      </c>
      <c r="Q536" s="30">
        <f>IF(OR(H536&lt;&gt;"Realizado",P536="",P536=0),"",A536+P536)</f>
        <v>46289.0</v>
      </c>
      <c r="R536" s="26" t="str">
        <f>IF(Q536="","",IF(COUNTIFS($E$5:$E$1204,E536,$A$5:$A$1204,"&gt;"&amp;A536,$H$5:$H$1204,"&lt;&gt;Falta",$H$5:$H$1204,"&lt;&gt;Cancelado",$H$5:$H$1204,"&lt;&gt;Remarcado")&gt;0,"Sim","Não"))</f>
        <v>Sim</v>
      </c>
      <c r="S536" s="32">
        <f>IF(R536&lt;&gt;"Não","",IF(Q536+Config!$B$9&lt;=Config!$B$8,Config!$B$8-Q536,""))</f>
        <v/>
      </c>
      <c r="T536" s="26">
        <f>IF(S536="","","Sim")</f>
        <v/>
      </c>
      <c r="U536" s="41">
        <f>IF(T536="Sim",S536+ROW()/100000,0)</f>
        <v>0</v>
      </c>
      <c r="V536" s="41">
        <f>IF(AND(H536="Falta",L536=Config!$B$7,M536=Config!$B$5,COUNTIFS($E$5:E536,E536,$H$5:H536,"Falta",$L$5:L536,Config!$B$7,$M$5:M536,Config!$B$5)=1),COUNTIFS($E$5:$E$1204,E536,$H$5:$H$1204,"Falta",$L$5:$L$1204,Config!$B$7,$M$5:$M$1204,Config!$B$5)*1000-ROW()/100000,0)</f>
        <v>0</v>
      </c>
    </row>
    <row r="537">
      <c r="A537" s="39" t="n">
        <v>46259</v>
      </c>
      <c r="B537" s="40" t="n">
        <v>0.3680555555555556</v>
      </c>
      <c r="C537" s="35" t="inlineStr">
        <is>
          <t>Dra. Carolina Mendes</t>
        </is>
      </c>
      <c r="D537" s="35" t="inlineStr">
        <is>
          <t>Sala 1</t>
        </is>
      </c>
      <c r="E537" s="34" t="inlineStr">
        <is>
          <t>Otávio Nascimento</t>
        </is>
      </c>
      <c r="F537" s="35" t="inlineStr">
        <is>
          <t>Particular</t>
        </is>
      </c>
      <c r="G537" s="35" t="inlineStr">
        <is>
          <t>Consulta</t>
        </is>
      </c>
      <c r="H537" s="35" t="inlineStr">
        <is>
          <t>Realizado</t>
        </is>
      </c>
      <c r="I537" s="35" t="inlineStr">
        <is>
          <t>Cartão de crédito</t>
        </is>
      </c>
      <c r="J537" s="35" t="n">
        <v>2</v>
      </c>
      <c r="K537" s="34" t="n"/>
      <c r="L537" s="26">
        <f>IF(A537="","",MONTH(A537))</f>
        <v>8</v>
      </c>
      <c r="M537" s="26">
        <f>IF(A537="","",YEAR(A537))</f>
        <v>2026</v>
      </c>
      <c r="N537" s="26" t="str">
        <f>IF(A537="","",CHOOSE(WEEKDAY(A537,2),"Segunda","Terça","Quarta","Quinta","Sexta","Sábado","Domingo"))</f>
        <v>Terça</v>
      </c>
      <c r="O537" s="26" t="str">
        <f>IF(B537="","",IF(B537&lt;TIME(12,0,0),"Manhã",IF(B537&lt;TIME(18,0,0),"Tarde","Noite")))</f>
        <v>Manhã</v>
      </c>
      <c r="P537" s="32">
        <f>IF(G537="","",IFERROR(INDEX(Config!$I$5:$I$16,MATCH(G537,Config!$H$5:$H$16,0)),0))</f>
        <v>30</v>
      </c>
      <c r="Q537" s="30">
        <f>IF(OR(H537&lt;&gt;"Realizado",P537="",P537=0),"",A537+P537)</f>
        <v>46289.0</v>
      </c>
      <c r="R537" s="26" t="str">
        <f>IF(Q537="","",IF(COUNTIFS($E$5:$E$1204,E537,$A$5:$A$1204,"&gt;"&amp;A537,$H$5:$H$1204,"&lt;&gt;Falta",$H$5:$H$1204,"&lt;&gt;Cancelado",$H$5:$H$1204,"&lt;&gt;Remarcado")&gt;0,"Sim","Não"))</f>
        <v>Sim</v>
      </c>
      <c r="S537" s="32">
        <f>IF(R537&lt;&gt;"Não","",IF(Q537+Config!$B$9&lt;=Config!$B$8,Config!$B$8-Q537,""))</f>
        <v/>
      </c>
      <c r="T537" s="26">
        <f>IF(S537="","","Sim")</f>
        <v/>
      </c>
      <c r="U537" s="41">
        <f>IF(T537="Sim",S537+ROW()/100000,0)</f>
        <v>0</v>
      </c>
      <c r="V537" s="41">
        <f>IF(AND(H537="Falta",L537=Config!$B$7,M537=Config!$B$5,COUNTIFS($E$5:E537,E537,$H$5:H537,"Falta",$L$5:L537,Config!$B$7,$M$5:M537,Config!$B$5)=1),COUNTIFS($E$5:$E$1204,E537,$H$5:$H$1204,"Falta",$L$5:$L$1204,Config!$B$7,$M$5:$M$1204,Config!$B$5)*1000-ROW()/100000,0)</f>
        <v>0</v>
      </c>
    </row>
    <row r="538">
      <c r="A538" s="39" t="n">
        <v>46259</v>
      </c>
      <c r="B538" s="40" t="n">
        <v>0.3888888888888889</v>
      </c>
      <c r="C538" s="35" t="inlineStr">
        <is>
          <t>Dra. Carolina Mendes</t>
        </is>
      </c>
      <c r="D538" s="35" t="inlineStr">
        <is>
          <t>Sala 1</t>
        </is>
      </c>
      <c r="E538" s="34" t="inlineStr">
        <is>
          <t>Daniel Melo</t>
        </is>
      </c>
      <c r="F538" s="35" t="inlineStr">
        <is>
          <t>Saúde Total</t>
        </is>
      </c>
      <c r="G538" s="35" t="inlineStr">
        <is>
          <t>Consulta</t>
        </is>
      </c>
      <c r="H538" s="35" t="inlineStr">
        <is>
          <t>Realizado</t>
        </is>
      </c>
      <c r="I538" s="35" t="inlineStr">
        <is>
          <t>Convênio</t>
        </is>
      </c>
      <c r="J538" s="35" t="n"/>
      <c r="K538" s="34" t="n"/>
      <c r="L538" s="26">
        <f>IF(A538="","",MONTH(A538))</f>
        <v>8</v>
      </c>
      <c r="M538" s="26">
        <f>IF(A538="","",YEAR(A538))</f>
        <v>2026</v>
      </c>
      <c r="N538" s="26" t="str">
        <f>IF(A538="","",CHOOSE(WEEKDAY(A538,2),"Segunda","Terça","Quarta","Quinta","Sexta","Sábado","Domingo"))</f>
        <v>Terça</v>
      </c>
      <c r="O538" s="26" t="str">
        <f>IF(B538="","",IF(B538&lt;TIME(12,0,0),"Manhã",IF(B538&lt;TIME(18,0,0),"Tarde","Noite")))</f>
        <v>Manhã</v>
      </c>
      <c r="P538" s="32">
        <f>IF(G538="","",IFERROR(INDEX(Config!$I$5:$I$16,MATCH(G538,Config!$H$5:$H$16,0)),0))</f>
        <v>30</v>
      </c>
      <c r="Q538" s="30">
        <f>IF(OR(H538&lt;&gt;"Realizado",P538="",P538=0),"",A538+P538)</f>
        <v>46289.0</v>
      </c>
      <c r="R538" s="26" t="str">
        <f>IF(Q538="","",IF(COUNTIFS($E$5:$E$1204,E538,$A$5:$A$1204,"&gt;"&amp;A538,$H$5:$H$1204,"&lt;&gt;Falta",$H$5:$H$1204,"&lt;&gt;Cancelado",$H$5:$H$1204,"&lt;&gt;Remarcado")&gt;0,"Sim","Não"))</f>
        <v>Sim</v>
      </c>
      <c r="S538" s="32">
        <f>IF(R538&lt;&gt;"Não","",IF(Q538+Config!$B$9&lt;=Config!$B$8,Config!$B$8-Q538,""))</f>
        <v/>
      </c>
      <c r="T538" s="26">
        <f>IF(S538="","","Sim")</f>
        <v/>
      </c>
      <c r="U538" s="41">
        <f>IF(T538="Sim",S538+ROW()/100000,0)</f>
        <v>0</v>
      </c>
      <c r="V538" s="41">
        <f>IF(AND(H538="Falta",L538=Config!$B$7,M538=Config!$B$5,COUNTIFS($E$5:E538,E538,$H$5:H538,"Falta",$L$5:L538,Config!$B$7,$M$5:M538,Config!$B$5)=1),COUNTIFS($E$5:$E$1204,E538,$H$5:$H$1204,"Falta",$L$5:$L$1204,Config!$B$7,$M$5:$M$1204,Config!$B$5)*1000-ROW()/100000,0)</f>
        <v>0</v>
      </c>
    </row>
    <row r="539">
      <c r="A539" s="39" t="n">
        <v>46259</v>
      </c>
      <c r="B539" s="40" t="n">
        <v>0.4097222222222222</v>
      </c>
      <c r="C539" s="35" t="inlineStr">
        <is>
          <t>Dra. Carolina Mendes</t>
        </is>
      </c>
      <c r="D539" s="35" t="inlineStr">
        <is>
          <t>Sala 1</t>
        </is>
      </c>
      <c r="E539" s="34" t="inlineStr">
        <is>
          <t>Priscila Castro</t>
        </is>
      </c>
      <c r="F539" s="35" t="inlineStr">
        <is>
          <t>Saúde Total</t>
        </is>
      </c>
      <c r="G539" s="35" t="inlineStr">
        <is>
          <t>Consulta</t>
        </is>
      </c>
      <c r="H539" s="35" t="inlineStr">
        <is>
          <t>Realizado</t>
        </is>
      </c>
      <c r="I539" s="35" t="inlineStr">
        <is>
          <t>Convênio</t>
        </is>
      </c>
      <c r="J539" s="35" t="n"/>
      <c r="K539" s="34" t="n"/>
      <c r="L539" s="26">
        <f>IF(A539="","",MONTH(A539))</f>
        <v>8</v>
      </c>
      <c r="M539" s="26">
        <f>IF(A539="","",YEAR(A539))</f>
        <v>2026</v>
      </c>
      <c r="N539" s="26" t="str">
        <f>IF(A539="","",CHOOSE(WEEKDAY(A539,2),"Segunda","Terça","Quarta","Quinta","Sexta","Sábado","Domingo"))</f>
        <v>Terça</v>
      </c>
      <c r="O539" s="26" t="str">
        <f>IF(B539="","",IF(B539&lt;TIME(12,0,0),"Manhã",IF(B539&lt;TIME(18,0,0),"Tarde","Noite")))</f>
        <v>Manhã</v>
      </c>
      <c r="P539" s="32">
        <f>IF(G539="","",IFERROR(INDEX(Config!$I$5:$I$16,MATCH(G539,Config!$H$5:$H$16,0)),0))</f>
        <v>30</v>
      </c>
      <c r="Q539" s="30">
        <f>IF(OR(H539&lt;&gt;"Realizado",P539="",P539=0),"",A539+P539)</f>
        <v>46289.0</v>
      </c>
      <c r="R539" s="26" t="str">
        <f>IF(Q539="","",IF(COUNTIFS($E$5:$E$1204,E539,$A$5:$A$1204,"&gt;"&amp;A539,$H$5:$H$1204,"&lt;&gt;Falta",$H$5:$H$1204,"&lt;&gt;Cancelado",$H$5:$H$1204,"&lt;&gt;Remarcado")&gt;0,"Sim","Não"))</f>
        <v>Sim</v>
      </c>
      <c r="S539" s="32">
        <f>IF(R539&lt;&gt;"Não","",IF(Q539+Config!$B$9&lt;=Config!$B$8,Config!$B$8-Q539,""))</f>
        <v/>
      </c>
      <c r="T539" s="26">
        <f>IF(S539="","","Sim")</f>
        <v/>
      </c>
      <c r="U539" s="41">
        <f>IF(T539="Sim",S539+ROW()/100000,0)</f>
        <v>0</v>
      </c>
      <c r="V539" s="41">
        <f>IF(AND(H539="Falta",L539=Config!$B$7,M539=Config!$B$5,COUNTIFS($E$5:E539,E539,$H$5:H539,"Falta",$L$5:L539,Config!$B$7,$M$5:M539,Config!$B$5)=1),COUNTIFS($E$5:$E$1204,E539,$H$5:$H$1204,"Falta",$L$5:$L$1204,Config!$B$7,$M$5:$M$1204,Config!$B$5)*1000-ROW()/100000,0)</f>
        <v>0</v>
      </c>
    </row>
    <row r="540">
      <c r="A540" s="39" t="n">
        <v>46259</v>
      </c>
      <c r="B540" s="40" t="n">
        <v>0.4513888888888889</v>
      </c>
      <c r="C540" s="35" t="inlineStr">
        <is>
          <t>Dra. Carolina Mendes</t>
        </is>
      </c>
      <c r="D540" s="35" t="inlineStr">
        <is>
          <t>Sala 1</t>
        </is>
      </c>
      <c r="E540" s="34" t="inlineStr">
        <is>
          <t>Gustavo Ferreira</t>
        </is>
      </c>
      <c r="F540" s="35" t="inlineStr">
        <is>
          <t>Particular</t>
        </is>
      </c>
      <c r="G540" s="35" t="inlineStr">
        <is>
          <t>Consulta</t>
        </is>
      </c>
      <c r="H540" s="35" t="inlineStr">
        <is>
          <t>Falta</t>
        </is>
      </c>
      <c r="I540" s="35" t="n"/>
      <c r="J540" s="35" t="n"/>
      <c r="K540" s="34" t="n"/>
      <c r="L540" s="26">
        <f>IF(A540="","",MONTH(A540))</f>
        <v>8</v>
      </c>
      <c r="M540" s="26">
        <f>IF(A540="","",YEAR(A540))</f>
        <v>2026</v>
      </c>
      <c r="N540" s="26" t="str">
        <f>IF(A540="","",CHOOSE(WEEKDAY(A540,2),"Segunda","Terça","Quarta","Quinta","Sexta","Sábado","Domingo"))</f>
        <v>Terça</v>
      </c>
      <c r="O540" s="26" t="str">
        <f>IF(B540="","",IF(B540&lt;TIME(12,0,0),"Manhã",IF(B540&lt;TIME(18,0,0),"Tarde","Noite")))</f>
        <v>Manhã</v>
      </c>
      <c r="P540" s="32">
        <f>IF(G540="","",IFERROR(INDEX(Config!$I$5:$I$16,MATCH(G540,Config!$H$5:$H$16,0)),0))</f>
        <v>30</v>
      </c>
      <c r="Q540" s="30">
        <f>IF(OR(H540&lt;&gt;"Realizado",P540="",P540=0),"",A540+P540)</f>
        <v/>
      </c>
      <c r="R540" s="26">
        <f>IF(Q540="","",IF(COUNTIFS($E$5:$E$1204,E540,$A$5:$A$1204,"&gt;"&amp;A540,$H$5:$H$1204,"&lt;&gt;Falta",$H$5:$H$1204,"&lt;&gt;Cancelado",$H$5:$H$1204,"&lt;&gt;Remarcado")&gt;0,"Sim","Não"))</f>
        <v/>
      </c>
      <c r="S540" s="32">
        <f>IF(R540&lt;&gt;"Não","",IF(Q540+Config!$B$9&lt;=Config!$B$8,Config!$B$8-Q540,""))</f>
        <v/>
      </c>
      <c r="T540" s="26">
        <f>IF(S540="","","Sim")</f>
        <v/>
      </c>
      <c r="U540" s="41">
        <f>IF(T540="Sim",S540+ROW()/100000,0)</f>
        <v>0</v>
      </c>
      <c r="V540" s="41">
        <f>IF(AND(H540="Falta",L540=Config!$B$7,M540=Config!$B$5,COUNTIFS($E$5:E540,E540,$H$5:H540,"Falta",$L$5:L540,Config!$B$7,$M$5:M540,Config!$B$5)=1),COUNTIFS($E$5:$E$1204,E540,$H$5:$H$1204,"Falta",$L$5:$L$1204,Config!$B$7,$M$5:$M$1204,Config!$B$5)*1000-ROW()/100000,0)</f>
        <v>0</v>
      </c>
    </row>
    <row r="541">
      <c r="A541" s="39" t="n">
        <v>46259</v>
      </c>
      <c r="B541" s="40" t="n">
        <v>0.4722222222222222</v>
      </c>
      <c r="C541" s="35" t="inlineStr">
        <is>
          <t>Dra. Carolina Mendes</t>
        </is>
      </c>
      <c r="D541" s="35" t="inlineStr">
        <is>
          <t>Sala 1</t>
        </is>
      </c>
      <c r="E541" s="34" t="inlineStr">
        <is>
          <t>Gustavo Barbosa</t>
        </is>
      </c>
      <c r="F541" s="35" t="inlineStr">
        <is>
          <t>Saúde Total</t>
        </is>
      </c>
      <c r="G541" s="35" t="inlineStr">
        <is>
          <t>Consulta</t>
        </is>
      </c>
      <c r="H541" s="35" t="inlineStr">
        <is>
          <t>Realizado</t>
        </is>
      </c>
      <c r="I541" s="35" t="inlineStr">
        <is>
          <t>Convênio</t>
        </is>
      </c>
      <c r="J541" s="35" t="n"/>
      <c r="K541" s="34" t="n"/>
      <c r="L541" s="26">
        <f>IF(A541="","",MONTH(A541))</f>
        <v>8</v>
      </c>
      <c r="M541" s="26">
        <f>IF(A541="","",YEAR(A541))</f>
        <v>2026</v>
      </c>
      <c r="N541" s="26" t="str">
        <f>IF(A541="","",CHOOSE(WEEKDAY(A541,2),"Segunda","Terça","Quarta","Quinta","Sexta","Sábado","Domingo"))</f>
        <v>Terça</v>
      </c>
      <c r="O541" s="26" t="str">
        <f>IF(B541="","",IF(B541&lt;TIME(12,0,0),"Manhã",IF(B541&lt;TIME(18,0,0),"Tarde","Noite")))</f>
        <v>Manhã</v>
      </c>
      <c r="P541" s="32">
        <f>IF(G541="","",IFERROR(INDEX(Config!$I$5:$I$16,MATCH(G541,Config!$H$5:$H$16,0)),0))</f>
        <v>30</v>
      </c>
      <c r="Q541" s="30">
        <f>IF(OR(H541&lt;&gt;"Realizado",P541="",P541=0),"",A541+P541)</f>
        <v>46289.0</v>
      </c>
      <c r="R541" s="26" t="str">
        <f>IF(Q541="","",IF(COUNTIFS($E$5:$E$1204,E541,$A$5:$A$1204,"&gt;"&amp;A541,$H$5:$H$1204,"&lt;&gt;Falta",$H$5:$H$1204,"&lt;&gt;Cancelado",$H$5:$H$1204,"&lt;&gt;Remarcado")&gt;0,"Sim","Não"))</f>
        <v>Sim</v>
      </c>
      <c r="S541" s="32">
        <f>IF(R541&lt;&gt;"Não","",IF(Q541+Config!$B$9&lt;=Config!$B$8,Config!$B$8-Q541,""))</f>
        <v/>
      </c>
      <c r="T541" s="26">
        <f>IF(S541="","","Sim")</f>
        <v/>
      </c>
      <c r="U541" s="41">
        <f>IF(T541="Sim",S541+ROW()/100000,0)</f>
        <v>0</v>
      </c>
      <c r="V541" s="41">
        <f>IF(AND(H541="Falta",L541=Config!$B$7,M541=Config!$B$5,COUNTIFS($E$5:E541,E541,$H$5:H541,"Falta",$L$5:L541,Config!$B$7,$M$5:M541,Config!$B$5)=1),COUNTIFS($E$5:$E$1204,E541,$H$5:$H$1204,"Falta",$L$5:$L$1204,Config!$B$7,$M$5:$M$1204,Config!$B$5)*1000-ROW()/100000,0)</f>
        <v>0</v>
      </c>
    </row>
    <row r="542">
      <c r="A542" s="39" t="n">
        <v>46259</v>
      </c>
      <c r="B542" s="40" t="n">
        <v>0.5833333333333334</v>
      </c>
      <c r="C542" s="35" t="inlineStr">
        <is>
          <t>Dra. Renata Sousa</t>
        </is>
      </c>
      <c r="D542" s="35" t="inlineStr">
        <is>
          <t>Sala 1</t>
        </is>
      </c>
      <c r="E542" s="34" t="inlineStr">
        <is>
          <t>Mônica Almeida</t>
        </is>
      </c>
      <c r="F542" s="35" t="inlineStr">
        <is>
          <t>Particular</t>
        </is>
      </c>
      <c r="G542" s="35" t="inlineStr">
        <is>
          <t>Avaliação endócrina</t>
        </is>
      </c>
      <c r="H542" s="35" t="inlineStr">
        <is>
          <t>Realizado</t>
        </is>
      </c>
      <c r="I542" s="35" t="inlineStr">
        <is>
          <t>Cartão de crédito</t>
        </is>
      </c>
      <c r="J542" s="35" t="n">
        <v>2</v>
      </c>
      <c r="K542" s="34" t="n"/>
      <c r="L542" s="26">
        <f>IF(A542="","",MONTH(A542))</f>
        <v>8</v>
      </c>
      <c r="M542" s="26">
        <f>IF(A542="","",YEAR(A542))</f>
        <v>2026</v>
      </c>
      <c r="N542" s="26" t="str">
        <f>IF(A542="","",CHOOSE(WEEKDAY(A542,2),"Segunda","Terça","Quarta","Quinta","Sexta","Sábado","Domingo"))</f>
        <v>Terça</v>
      </c>
      <c r="O542" s="26" t="str">
        <f>IF(B542="","",IF(B542&lt;TIME(12,0,0),"Manhã",IF(B542&lt;TIME(18,0,0),"Tarde","Noite")))</f>
        <v>Tarde</v>
      </c>
      <c r="P542" s="32">
        <f>IF(G542="","",IFERROR(INDEX(Config!$I$5:$I$16,MATCH(G542,Config!$H$5:$H$16,0)),0))</f>
        <v>45</v>
      </c>
      <c r="Q542" s="30">
        <f>IF(OR(H542&lt;&gt;"Realizado",P542="",P542=0),"",A542+P542)</f>
        <v>46304.0</v>
      </c>
      <c r="R542" s="26" t="str">
        <f>IF(Q542="","",IF(COUNTIFS($E$5:$E$1204,E542,$A$5:$A$1204,"&gt;"&amp;A542,$H$5:$H$1204,"&lt;&gt;Falta",$H$5:$H$1204,"&lt;&gt;Cancelado",$H$5:$H$1204,"&lt;&gt;Remarcado")&gt;0,"Sim","Não"))</f>
        <v>Sim</v>
      </c>
      <c r="S542" s="32">
        <f>IF(R542&lt;&gt;"Não","",IF(Q542+Config!$B$9&lt;=Config!$B$8,Config!$B$8-Q542,""))</f>
        <v/>
      </c>
      <c r="T542" s="26">
        <f>IF(S542="","","Sim")</f>
        <v/>
      </c>
      <c r="U542" s="41">
        <f>IF(T542="Sim",S542+ROW()/100000,0)</f>
        <v>0</v>
      </c>
      <c r="V542" s="41">
        <f>IF(AND(H542="Falta",L542=Config!$B$7,M542=Config!$B$5,COUNTIFS($E$5:E542,E542,$H$5:H542,"Falta",$L$5:L542,Config!$B$7,$M$5:M542,Config!$B$5)=1),COUNTIFS($E$5:$E$1204,E542,$H$5:$H$1204,"Falta",$L$5:$L$1204,Config!$B$7,$M$5:$M$1204,Config!$B$5)*1000-ROW()/100000,0)</f>
        <v>0</v>
      </c>
    </row>
    <row r="543">
      <c r="A543" s="39" t="n">
        <v>46259</v>
      </c>
      <c r="B543" s="40" t="n">
        <v>0.5833333333333334</v>
      </c>
      <c r="C543" s="35" t="inlineStr">
        <is>
          <t>Dr. Paulo Andrade</t>
        </is>
      </c>
      <c r="D543" s="35" t="inlineStr">
        <is>
          <t>Sala 2</t>
        </is>
      </c>
      <c r="E543" s="34" t="inlineStr">
        <is>
          <t>Lucas Cardoso</t>
        </is>
      </c>
      <c r="F543" s="35" t="inlineStr">
        <is>
          <t>Particular</t>
        </is>
      </c>
      <c r="G543" s="35" t="inlineStr">
        <is>
          <t>Consulta</t>
        </is>
      </c>
      <c r="H543" s="35" t="inlineStr">
        <is>
          <t>Realizado</t>
        </is>
      </c>
      <c r="I543" s="35" t="inlineStr">
        <is>
          <t>Pix</t>
        </is>
      </c>
      <c r="J543" s="35" t="n"/>
      <c r="K543" s="34" t="n"/>
      <c r="L543" s="26">
        <f>IF(A543="","",MONTH(A543))</f>
        <v>8</v>
      </c>
      <c r="M543" s="26">
        <f>IF(A543="","",YEAR(A543))</f>
        <v>2026</v>
      </c>
      <c r="N543" s="26" t="str">
        <f>IF(A543="","",CHOOSE(WEEKDAY(A543,2),"Segunda","Terça","Quarta","Quinta","Sexta","Sábado","Domingo"))</f>
        <v>Terça</v>
      </c>
      <c r="O543" s="26" t="str">
        <f>IF(B543="","",IF(B543&lt;TIME(12,0,0),"Manhã",IF(B543&lt;TIME(18,0,0),"Tarde","Noite")))</f>
        <v>Tarde</v>
      </c>
      <c r="P543" s="32">
        <f>IF(G543="","",IFERROR(INDEX(Config!$I$5:$I$16,MATCH(G543,Config!$H$5:$H$16,0)),0))</f>
        <v>30</v>
      </c>
      <c r="Q543" s="30">
        <f>IF(OR(H543&lt;&gt;"Realizado",P543="",P543=0),"",A543+P543)</f>
        <v>46289.0</v>
      </c>
      <c r="R543" s="26" t="str">
        <f>IF(Q543="","",IF(COUNTIFS($E$5:$E$1204,E543,$A$5:$A$1204,"&gt;"&amp;A543,$H$5:$H$1204,"&lt;&gt;Falta",$H$5:$H$1204,"&lt;&gt;Cancelado",$H$5:$H$1204,"&lt;&gt;Remarcado")&gt;0,"Sim","Não"))</f>
        <v>Sim</v>
      </c>
      <c r="S543" s="32">
        <f>IF(R543&lt;&gt;"Não","",IF(Q543+Config!$B$9&lt;=Config!$B$8,Config!$B$8-Q543,""))</f>
        <v/>
      </c>
      <c r="T543" s="26">
        <f>IF(S543="","","Sim")</f>
        <v/>
      </c>
      <c r="U543" s="41">
        <f>IF(T543="Sim",S543+ROW()/100000,0)</f>
        <v>0</v>
      </c>
      <c r="V543" s="41">
        <f>IF(AND(H543="Falta",L543=Config!$B$7,M543=Config!$B$5,COUNTIFS($E$5:E543,E543,$H$5:H543,"Falta",$L$5:L543,Config!$B$7,$M$5:M543,Config!$B$5)=1),COUNTIFS($E$5:$E$1204,E543,$H$5:$H$1204,"Falta",$L$5:$L$1204,Config!$B$7,$M$5:$M$1204,Config!$B$5)*1000-ROW()/100000,0)</f>
        <v>0</v>
      </c>
    </row>
    <row r="544">
      <c r="A544" s="39" t="n">
        <v>46259</v>
      </c>
      <c r="B544" s="40" t="n">
        <v>0.6041666666666666</v>
      </c>
      <c r="C544" s="35" t="inlineStr">
        <is>
          <t>Dr. Paulo Andrade</t>
        </is>
      </c>
      <c r="D544" s="35" t="inlineStr">
        <is>
          <t>Sala 2</t>
        </is>
      </c>
      <c r="E544" s="34" t="inlineStr">
        <is>
          <t>Roberta Araújo</t>
        </is>
      </c>
      <c r="F544" s="35" t="inlineStr">
        <is>
          <t>Particular</t>
        </is>
      </c>
      <c r="G544" s="35" t="inlineStr">
        <is>
          <t>Holter</t>
        </is>
      </c>
      <c r="H544" s="35" t="inlineStr">
        <is>
          <t>Realizado</t>
        </is>
      </c>
      <c r="I544" s="35" t="inlineStr">
        <is>
          <t>Cartão de crédito</t>
        </is>
      </c>
      <c r="J544" s="35" t="n"/>
      <c r="K544" s="34" t="n"/>
      <c r="L544" s="26">
        <f>IF(A544="","",MONTH(A544))</f>
        <v>8</v>
      </c>
      <c r="M544" s="26">
        <f>IF(A544="","",YEAR(A544))</f>
        <v>2026</v>
      </c>
      <c r="N544" s="26" t="str">
        <f>IF(A544="","",CHOOSE(WEEKDAY(A544,2),"Segunda","Terça","Quarta","Quinta","Sexta","Sábado","Domingo"))</f>
        <v>Terça</v>
      </c>
      <c r="O544" s="26" t="str">
        <f>IF(B544="","",IF(B544&lt;TIME(12,0,0),"Manhã",IF(B544&lt;TIME(18,0,0),"Tarde","Noite")))</f>
        <v>Tarde</v>
      </c>
      <c r="P544" s="32">
        <f>IF(G544="","",IFERROR(INDEX(Config!$I$5:$I$16,MATCH(G544,Config!$H$5:$H$16,0)),0))</f>
        <v>0</v>
      </c>
      <c r="Q544" s="30">
        <f>IF(OR(H544&lt;&gt;"Realizado",P544="",P544=0),"",A544+P544)</f>
        <v/>
      </c>
      <c r="R544" s="26">
        <f>IF(Q544="","",IF(COUNTIFS($E$5:$E$1204,E544,$A$5:$A$1204,"&gt;"&amp;A544,$H$5:$H$1204,"&lt;&gt;Falta",$H$5:$H$1204,"&lt;&gt;Cancelado",$H$5:$H$1204,"&lt;&gt;Remarcado")&gt;0,"Sim","Não"))</f>
        <v/>
      </c>
      <c r="S544" s="32">
        <f>IF(R544&lt;&gt;"Não","",IF(Q544+Config!$B$9&lt;=Config!$B$8,Config!$B$8-Q544,""))</f>
        <v/>
      </c>
      <c r="T544" s="26">
        <f>IF(S544="","","Sim")</f>
        <v/>
      </c>
      <c r="U544" s="41">
        <f>IF(T544="Sim",S544+ROW()/100000,0)</f>
        <v>0</v>
      </c>
      <c r="V544" s="41">
        <f>IF(AND(H544="Falta",L544=Config!$B$7,M544=Config!$B$5,COUNTIFS($E$5:E544,E544,$H$5:H544,"Falta",$L$5:L544,Config!$B$7,$M$5:M544,Config!$B$5)=1),COUNTIFS($E$5:$E$1204,E544,$H$5:$H$1204,"Falta",$L$5:$L$1204,Config!$B$7,$M$5:$M$1204,Config!$B$5)*1000-ROW()/100000,0)</f>
        <v>0</v>
      </c>
    </row>
    <row r="545">
      <c r="A545" s="39" t="n">
        <v>46259</v>
      </c>
      <c r="B545" s="40" t="n">
        <v>0.6111111111111112</v>
      </c>
      <c r="C545" s="35" t="inlineStr">
        <is>
          <t>Dra. Renata Sousa</t>
        </is>
      </c>
      <c r="D545" s="35" t="inlineStr">
        <is>
          <t>Sala 1</t>
        </is>
      </c>
      <c r="E545" s="34" t="inlineStr">
        <is>
          <t>Beatriz Monteiro</t>
        </is>
      </c>
      <c r="F545" s="35" t="inlineStr">
        <is>
          <t>Particular</t>
        </is>
      </c>
      <c r="G545" s="35" t="inlineStr">
        <is>
          <t>Retorno</t>
        </is>
      </c>
      <c r="H545" s="35" t="inlineStr">
        <is>
          <t>Realizado</t>
        </is>
      </c>
      <c r="I545" s="35" t="inlineStr">
        <is>
          <t>Sem cobrança</t>
        </is>
      </c>
      <c r="J545" s="35" t="n"/>
      <c r="K545" s="34" t="n"/>
      <c r="L545" s="26">
        <f>IF(A545="","",MONTH(A545))</f>
        <v>8</v>
      </c>
      <c r="M545" s="26">
        <f>IF(A545="","",YEAR(A545))</f>
        <v>2026</v>
      </c>
      <c r="N545" s="26" t="str">
        <f>IF(A545="","",CHOOSE(WEEKDAY(A545,2),"Segunda","Terça","Quarta","Quinta","Sexta","Sábado","Domingo"))</f>
        <v>Terça</v>
      </c>
      <c r="O545" s="26" t="str">
        <f>IF(B545="","",IF(B545&lt;TIME(12,0,0),"Manhã",IF(B545&lt;TIME(18,0,0),"Tarde","Noite")))</f>
        <v>Tarde</v>
      </c>
      <c r="P545" s="32">
        <f>IF(G545="","",IFERROR(INDEX(Config!$I$5:$I$16,MATCH(G545,Config!$H$5:$H$16,0)),0))</f>
        <v>0</v>
      </c>
      <c r="Q545" s="30">
        <f>IF(OR(H545&lt;&gt;"Realizado",P545="",P545=0),"",A545+P545)</f>
        <v/>
      </c>
      <c r="R545" s="26">
        <f>IF(Q545="","",IF(COUNTIFS($E$5:$E$1204,E545,$A$5:$A$1204,"&gt;"&amp;A545,$H$5:$H$1204,"&lt;&gt;Falta",$H$5:$H$1204,"&lt;&gt;Cancelado",$H$5:$H$1204,"&lt;&gt;Remarcado")&gt;0,"Sim","Não"))</f>
        <v/>
      </c>
      <c r="S545" s="32">
        <f>IF(R545&lt;&gt;"Não","",IF(Q545+Config!$B$9&lt;=Config!$B$8,Config!$B$8-Q545,""))</f>
        <v/>
      </c>
      <c r="T545" s="26">
        <f>IF(S545="","","Sim")</f>
        <v/>
      </c>
      <c r="U545" s="41">
        <f>IF(T545="Sim",S545+ROW()/100000,0)</f>
        <v>0</v>
      </c>
      <c r="V545" s="41">
        <f>IF(AND(H545="Falta",L545=Config!$B$7,M545=Config!$B$5,COUNTIFS($E$5:E545,E545,$H$5:H545,"Falta",$L$5:L545,Config!$B$7,$M$5:M545,Config!$B$5)=1),COUNTIFS($E$5:$E$1204,E545,$H$5:$H$1204,"Falta",$L$5:$L$1204,Config!$B$7,$M$5:$M$1204,Config!$B$5)*1000-ROW()/100000,0)</f>
        <v>0</v>
      </c>
    </row>
    <row r="546">
      <c r="A546" s="39" t="n">
        <v>46259</v>
      </c>
      <c r="B546" s="40" t="n">
        <v>0.625</v>
      </c>
      <c r="C546" s="35" t="inlineStr">
        <is>
          <t>Dra. Renata Sousa</t>
        </is>
      </c>
      <c r="D546" s="35" t="inlineStr">
        <is>
          <t>Sala 1</t>
        </is>
      </c>
      <c r="E546" s="34" t="inlineStr">
        <is>
          <t>Rafael Pereira</t>
        </is>
      </c>
      <c r="F546" s="35" t="inlineStr">
        <is>
          <t>Particular</t>
        </is>
      </c>
      <c r="G546" s="35" t="inlineStr">
        <is>
          <t>Avaliação endócrina</t>
        </is>
      </c>
      <c r="H546" s="35" t="inlineStr">
        <is>
          <t>Realizado</t>
        </is>
      </c>
      <c r="I546" s="35" t="inlineStr">
        <is>
          <t>Dinheiro</t>
        </is>
      </c>
      <c r="J546" s="35" t="n"/>
      <c r="K546" s="34" t="n"/>
      <c r="L546" s="26">
        <f>IF(A546="","",MONTH(A546))</f>
        <v>8</v>
      </c>
      <c r="M546" s="26">
        <f>IF(A546="","",YEAR(A546))</f>
        <v>2026</v>
      </c>
      <c r="N546" s="26" t="str">
        <f>IF(A546="","",CHOOSE(WEEKDAY(A546,2),"Segunda","Terça","Quarta","Quinta","Sexta","Sábado","Domingo"))</f>
        <v>Terça</v>
      </c>
      <c r="O546" s="26" t="str">
        <f>IF(B546="","",IF(B546&lt;TIME(12,0,0),"Manhã",IF(B546&lt;TIME(18,0,0),"Tarde","Noite")))</f>
        <v>Tarde</v>
      </c>
      <c r="P546" s="32">
        <f>IF(G546="","",IFERROR(INDEX(Config!$I$5:$I$16,MATCH(G546,Config!$H$5:$H$16,0)),0))</f>
        <v>45</v>
      </c>
      <c r="Q546" s="30">
        <f>IF(OR(H546&lt;&gt;"Realizado",P546="",P546=0),"",A546+P546)</f>
        <v>46304.0</v>
      </c>
      <c r="R546" s="26" t="str">
        <f>IF(Q546="","",IF(COUNTIFS($E$5:$E$1204,E546,$A$5:$A$1204,"&gt;"&amp;A546,$H$5:$H$1204,"&lt;&gt;Falta",$H$5:$H$1204,"&lt;&gt;Cancelado",$H$5:$H$1204,"&lt;&gt;Remarcado")&gt;0,"Sim","Não"))</f>
        <v>Sim</v>
      </c>
      <c r="S546" s="32">
        <f>IF(R546&lt;&gt;"Não","",IF(Q546+Config!$B$9&lt;=Config!$B$8,Config!$B$8-Q546,""))</f>
        <v/>
      </c>
      <c r="T546" s="26">
        <f>IF(S546="","","Sim")</f>
        <v/>
      </c>
      <c r="U546" s="41">
        <f>IF(T546="Sim",S546+ROW()/100000,0)</f>
        <v>0</v>
      </c>
      <c r="V546" s="41">
        <f>IF(AND(H546="Falta",L546=Config!$B$7,M546=Config!$B$5,COUNTIFS($E$5:E546,E546,$H$5:H546,"Falta",$L$5:L546,Config!$B$7,$M$5:M546,Config!$B$5)=1),COUNTIFS($E$5:$E$1204,E546,$H$5:$H$1204,"Falta",$L$5:$L$1204,Config!$B$7,$M$5:$M$1204,Config!$B$5)*1000-ROW()/100000,0)</f>
        <v>0</v>
      </c>
    </row>
    <row r="547">
      <c r="A547" s="39" t="n">
        <v>46259</v>
      </c>
      <c r="B547" s="40" t="n">
        <v>0.6388888888888888</v>
      </c>
      <c r="C547" s="35" t="inlineStr">
        <is>
          <t>Dr. Paulo Andrade</t>
        </is>
      </c>
      <c r="D547" s="35" t="inlineStr">
        <is>
          <t>Sala 2</t>
        </is>
      </c>
      <c r="E547" s="34" t="inlineStr">
        <is>
          <t>Rafael Barros</t>
        </is>
      </c>
      <c r="F547" s="35" t="inlineStr">
        <is>
          <t>Particular</t>
        </is>
      </c>
      <c r="G547" s="35" t="inlineStr">
        <is>
          <t>Consulta</t>
        </is>
      </c>
      <c r="H547" s="35" t="inlineStr">
        <is>
          <t>Realizado</t>
        </is>
      </c>
      <c r="I547" s="35" t="inlineStr">
        <is>
          <t>Cartão de crédito</t>
        </is>
      </c>
      <c r="J547" s="35" t="n">
        <v>2</v>
      </c>
      <c r="K547" s="34" t="n"/>
      <c r="L547" s="26">
        <f>IF(A547="","",MONTH(A547))</f>
        <v>8</v>
      </c>
      <c r="M547" s="26">
        <f>IF(A547="","",YEAR(A547))</f>
        <v>2026</v>
      </c>
      <c r="N547" s="26" t="str">
        <f>IF(A547="","",CHOOSE(WEEKDAY(A547,2),"Segunda","Terça","Quarta","Quinta","Sexta","Sábado","Domingo"))</f>
        <v>Terça</v>
      </c>
      <c r="O547" s="26" t="str">
        <f>IF(B547="","",IF(B547&lt;TIME(12,0,0),"Manhã",IF(B547&lt;TIME(18,0,0),"Tarde","Noite")))</f>
        <v>Tarde</v>
      </c>
      <c r="P547" s="32">
        <f>IF(G547="","",IFERROR(INDEX(Config!$I$5:$I$16,MATCH(G547,Config!$H$5:$H$16,0)),0))</f>
        <v>30</v>
      </c>
      <c r="Q547" s="30">
        <f>IF(OR(H547&lt;&gt;"Realizado",P547="",P547=0),"",A547+P547)</f>
        <v>46289.0</v>
      </c>
      <c r="R547" s="26" t="str">
        <f>IF(Q547="","",IF(COUNTIFS($E$5:$E$1204,E547,$A$5:$A$1204,"&gt;"&amp;A547,$H$5:$H$1204,"&lt;&gt;Falta",$H$5:$H$1204,"&lt;&gt;Cancelado",$H$5:$H$1204,"&lt;&gt;Remarcado")&gt;0,"Sim","Não"))</f>
        <v>Sim</v>
      </c>
      <c r="S547" s="32">
        <f>IF(R547&lt;&gt;"Não","",IF(Q547+Config!$B$9&lt;=Config!$B$8,Config!$B$8-Q547,""))</f>
        <v/>
      </c>
      <c r="T547" s="26">
        <f>IF(S547="","","Sim")</f>
        <v/>
      </c>
      <c r="U547" s="41">
        <f>IF(T547="Sim",S547+ROW()/100000,0)</f>
        <v>0</v>
      </c>
      <c r="V547" s="41">
        <f>IF(AND(H547="Falta",L547=Config!$B$7,M547=Config!$B$5,COUNTIFS($E$5:E547,E547,$H$5:H547,"Falta",$L$5:L547,Config!$B$7,$M$5:M547,Config!$B$5)=1),COUNTIFS($E$5:$E$1204,E547,$H$5:$H$1204,"Falta",$L$5:$L$1204,Config!$B$7,$M$5:$M$1204,Config!$B$5)*1000-ROW()/100000,0)</f>
        <v>0</v>
      </c>
    </row>
    <row r="548">
      <c r="A548" s="39" t="n">
        <v>46259</v>
      </c>
      <c r="B548" s="40" t="n">
        <v>0.6527777777777778</v>
      </c>
      <c r="C548" s="35" t="inlineStr">
        <is>
          <t>Dra. Renata Sousa</t>
        </is>
      </c>
      <c r="D548" s="35" t="inlineStr">
        <is>
          <t>Sala 1</t>
        </is>
      </c>
      <c r="E548" s="34" t="inlineStr">
        <is>
          <t>Carlos Gomes</t>
        </is>
      </c>
      <c r="F548" s="35" t="inlineStr">
        <is>
          <t>Saúde Total</t>
        </is>
      </c>
      <c r="G548" s="35" t="inlineStr">
        <is>
          <t>Avaliação endócrina</t>
        </is>
      </c>
      <c r="H548" s="35" t="inlineStr">
        <is>
          <t>Realizado</t>
        </is>
      </c>
      <c r="I548" s="35" t="inlineStr">
        <is>
          <t>Convênio</t>
        </is>
      </c>
      <c r="J548" s="35" t="n"/>
      <c r="K548" s="34" t="n"/>
      <c r="L548" s="26">
        <f>IF(A548="","",MONTH(A548))</f>
        <v>8</v>
      </c>
      <c r="M548" s="26">
        <f>IF(A548="","",YEAR(A548))</f>
        <v>2026</v>
      </c>
      <c r="N548" s="26" t="str">
        <f>IF(A548="","",CHOOSE(WEEKDAY(A548,2),"Segunda","Terça","Quarta","Quinta","Sexta","Sábado","Domingo"))</f>
        <v>Terça</v>
      </c>
      <c r="O548" s="26" t="str">
        <f>IF(B548="","",IF(B548&lt;TIME(12,0,0),"Manhã",IF(B548&lt;TIME(18,0,0),"Tarde","Noite")))</f>
        <v>Tarde</v>
      </c>
      <c r="P548" s="32">
        <f>IF(G548="","",IFERROR(INDEX(Config!$I$5:$I$16,MATCH(G548,Config!$H$5:$H$16,0)),0))</f>
        <v>45</v>
      </c>
      <c r="Q548" s="30">
        <f>IF(OR(H548&lt;&gt;"Realizado",P548="",P548=0),"",A548+P548)</f>
        <v>46304.0</v>
      </c>
      <c r="R548" s="26" t="str">
        <f>IF(Q548="","",IF(COUNTIFS($E$5:$E$1204,E548,$A$5:$A$1204,"&gt;"&amp;A548,$H$5:$H$1204,"&lt;&gt;Falta",$H$5:$H$1204,"&lt;&gt;Cancelado",$H$5:$H$1204,"&lt;&gt;Remarcado")&gt;0,"Sim","Não"))</f>
        <v>Sim</v>
      </c>
      <c r="S548" s="32">
        <f>IF(R548&lt;&gt;"Não","",IF(Q548+Config!$B$9&lt;=Config!$B$8,Config!$B$8-Q548,""))</f>
        <v/>
      </c>
      <c r="T548" s="26">
        <f>IF(S548="","","Sim")</f>
        <v/>
      </c>
      <c r="U548" s="41">
        <f>IF(T548="Sim",S548+ROW()/100000,0)</f>
        <v>0</v>
      </c>
      <c r="V548" s="41">
        <f>IF(AND(H548="Falta",L548=Config!$B$7,M548=Config!$B$5,COUNTIFS($E$5:E548,E548,$H$5:H548,"Falta",$L$5:L548,Config!$B$7,$M$5:M548,Config!$B$5)=1),COUNTIFS($E$5:$E$1204,E548,$H$5:$H$1204,"Falta",$L$5:$L$1204,Config!$B$7,$M$5:$M$1204,Config!$B$5)*1000-ROW()/100000,0)</f>
        <v>0</v>
      </c>
    </row>
    <row r="549">
      <c r="A549" s="39" t="n">
        <v>46259</v>
      </c>
      <c r="B549" s="40" t="n">
        <v>0.6597222222222222</v>
      </c>
      <c r="C549" s="35" t="inlineStr">
        <is>
          <t>Dr. Paulo Andrade</t>
        </is>
      </c>
      <c r="D549" s="35" t="inlineStr">
        <is>
          <t>Sala 2</t>
        </is>
      </c>
      <c r="E549" s="34" t="inlineStr">
        <is>
          <t>Natália Xavier</t>
        </is>
      </c>
      <c r="F549" s="35" t="inlineStr">
        <is>
          <t>MediPlan</t>
        </is>
      </c>
      <c r="G549" s="35" t="inlineStr">
        <is>
          <t>Consulta</t>
        </is>
      </c>
      <c r="H549" s="35" t="inlineStr">
        <is>
          <t>Realizado</t>
        </is>
      </c>
      <c r="I549" s="35" t="inlineStr">
        <is>
          <t>Convênio</t>
        </is>
      </c>
      <c r="J549" s="35" t="n"/>
      <c r="K549" s="34" t="n"/>
      <c r="L549" s="26">
        <f>IF(A549="","",MONTH(A549))</f>
        <v>8</v>
      </c>
      <c r="M549" s="26">
        <f>IF(A549="","",YEAR(A549))</f>
        <v>2026</v>
      </c>
      <c r="N549" s="26" t="str">
        <f>IF(A549="","",CHOOSE(WEEKDAY(A549,2),"Segunda","Terça","Quarta","Quinta","Sexta","Sábado","Domingo"))</f>
        <v>Terça</v>
      </c>
      <c r="O549" s="26" t="str">
        <f>IF(B549="","",IF(B549&lt;TIME(12,0,0),"Manhã",IF(B549&lt;TIME(18,0,0),"Tarde","Noite")))</f>
        <v>Tarde</v>
      </c>
      <c r="P549" s="32">
        <f>IF(G549="","",IFERROR(INDEX(Config!$I$5:$I$16,MATCH(G549,Config!$H$5:$H$16,0)),0))</f>
        <v>30</v>
      </c>
      <c r="Q549" s="30">
        <f>IF(OR(H549&lt;&gt;"Realizado",P549="",P549=0),"",A549+P549)</f>
        <v>46289.0</v>
      </c>
      <c r="R549" s="26" t="str">
        <f>IF(Q549="","",IF(COUNTIFS($E$5:$E$1204,E549,$A$5:$A$1204,"&gt;"&amp;A549,$H$5:$H$1204,"&lt;&gt;Falta",$H$5:$H$1204,"&lt;&gt;Cancelado",$H$5:$H$1204,"&lt;&gt;Remarcado")&gt;0,"Sim","Não"))</f>
        <v>Sim</v>
      </c>
      <c r="S549" s="32">
        <f>IF(R549&lt;&gt;"Não","",IF(Q549+Config!$B$9&lt;=Config!$B$8,Config!$B$8-Q549,""))</f>
        <v/>
      </c>
      <c r="T549" s="26">
        <f>IF(S549="","","Sim")</f>
        <v/>
      </c>
      <c r="U549" s="41">
        <f>IF(T549="Sim",S549+ROW()/100000,0)</f>
        <v>0</v>
      </c>
      <c r="V549" s="41">
        <f>IF(AND(H549="Falta",L549=Config!$B$7,M549=Config!$B$5,COUNTIFS($E$5:E549,E549,$H$5:H549,"Falta",$L$5:L549,Config!$B$7,$M$5:M549,Config!$B$5)=1),COUNTIFS($E$5:$E$1204,E549,$H$5:$H$1204,"Falta",$L$5:$L$1204,Config!$B$7,$M$5:$M$1204,Config!$B$5)*1000-ROW()/100000,0)</f>
        <v>0</v>
      </c>
    </row>
    <row r="550">
      <c r="A550" s="39" t="n">
        <v>46259</v>
      </c>
      <c r="B550" s="40" t="n">
        <v>0.6805555555555556</v>
      </c>
      <c r="C550" s="35" t="inlineStr">
        <is>
          <t>Dra. Renata Sousa</t>
        </is>
      </c>
      <c r="D550" s="35" t="inlineStr">
        <is>
          <t>Sala 1</t>
        </is>
      </c>
      <c r="E550" s="34" t="inlineStr">
        <is>
          <t>Gabriel Lopes</t>
        </is>
      </c>
      <c r="F550" s="35" t="inlineStr">
        <is>
          <t>Saúde Total</t>
        </is>
      </c>
      <c r="G550" s="35" t="inlineStr">
        <is>
          <t>Avaliação endócrina</t>
        </is>
      </c>
      <c r="H550" s="35" t="inlineStr">
        <is>
          <t>Realizado</t>
        </is>
      </c>
      <c r="I550" s="35" t="inlineStr">
        <is>
          <t>Convênio</t>
        </is>
      </c>
      <c r="J550" s="35" t="n"/>
      <c r="K550" s="34" t="n"/>
      <c r="L550" s="26">
        <f>IF(A550="","",MONTH(A550))</f>
        <v>8</v>
      </c>
      <c r="M550" s="26">
        <f>IF(A550="","",YEAR(A550))</f>
        <v>2026</v>
      </c>
      <c r="N550" s="26" t="str">
        <f>IF(A550="","",CHOOSE(WEEKDAY(A550,2),"Segunda","Terça","Quarta","Quinta","Sexta","Sábado","Domingo"))</f>
        <v>Terça</v>
      </c>
      <c r="O550" s="26" t="str">
        <f>IF(B550="","",IF(B550&lt;TIME(12,0,0),"Manhã",IF(B550&lt;TIME(18,0,0),"Tarde","Noite")))</f>
        <v>Tarde</v>
      </c>
      <c r="P550" s="32">
        <f>IF(G550="","",IFERROR(INDEX(Config!$I$5:$I$16,MATCH(G550,Config!$H$5:$H$16,0)),0))</f>
        <v>45</v>
      </c>
      <c r="Q550" s="30">
        <f>IF(OR(H550&lt;&gt;"Realizado",P550="",P550=0),"",A550+P550)</f>
        <v>46304.0</v>
      </c>
      <c r="R550" s="26" t="str">
        <f>IF(Q550="","",IF(COUNTIFS($E$5:$E$1204,E550,$A$5:$A$1204,"&gt;"&amp;A550,$H$5:$H$1204,"&lt;&gt;Falta",$H$5:$H$1204,"&lt;&gt;Cancelado",$H$5:$H$1204,"&lt;&gt;Remarcado")&gt;0,"Sim","Não"))</f>
        <v>Sim</v>
      </c>
      <c r="S550" s="32">
        <f>IF(R550&lt;&gt;"Não","",IF(Q550+Config!$B$9&lt;=Config!$B$8,Config!$B$8-Q550,""))</f>
        <v/>
      </c>
      <c r="T550" s="26">
        <f>IF(S550="","","Sim")</f>
        <v/>
      </c>
      <c r="U550" s="41">
        <f>IF(T550="Sim",S550+ROW()/100000,0)</f>
        <v>0</v>
      </c>
      <c r="V550" s="41">
        <f>IF(AND(H550="Falta",L550=Config!$B$7,M550=Config!$B$5,COUNTIFS($E$5:E550,E550,$H$5:H550,"Falta",$L$5:L550,Config!$B$7,$M$5:M550,Config!$B$5)=1),COUNTIFS($E$5:$E$1204,E550,$H$5:$H$1204,"Falta",$L$5:$L$1204,Config!$B$7,$M$5:$M$1204,Config!$B$5)*1000-ROW()/100000,0)</f>
        <v>0</v>
      </c>
    </row>
    <row r="551">
      <c r="A551" s="39" t="n">
        <v>46259</v>
      </c>
      <c r="B551" s="40" t="n">
        <v>0.6805555555555556</v>
      </c>
      <c r="C551" s="35" t="inlineStr">
        <is>
          <t>Dr. Paulo Andrade</t>
        </is>
      </c>
      <c r="D551" s="35" t="inlineStr">
        <is>
          <t>Sala 2</t>
        </is>
      </c>
      <c r="E551" s="34" t="inlineStr">
        <is>
          <t>Camila Martins</t>
        </is>
      </c>
      <c r="F551" s="35" t="inlineStr">
        <is>
          <t>Vida Care</t>
        </is>
      </c>
      <c r="G551" s="35" t="inlineStr">
        <is>
          <t>Consulta</t>
        </is>
      </c>
      <c r="H551" s="35" t="inlineStr">
        <is>
          <t>Realizado</t>
        </is>
      </c>
      <c r="I551" s="35" t="inlineStr">
        <is>
          <t>Convênio</t>
        </is>
      </c>
      <c r="J551" s="35" t="n"/>
      <c r="K551" s="34" t="n"/>
      <c r="L551" s="26">
        <f>IF(A551="","",MONTH(A551))</f>
        <v>8</v>
      </c>
      <c r="M551" s="26">
        <f>IF(A551="","",YEAR(A551))</f>
        <v>2026</v>
      </c>
      <c r="N551" s="26" t="str">
        <f>IF(A551="","",CHOOSE(WEEKDAY(A551,2),"Segunda","Terça","Quarta","Quinta","Sexta","Sábado","Domingo"))</f>
        <v>Terça</v>
      </c>
      <c r="O551" s="26" t="str">
        <f>IF(B551="","",IF(B551&lt;TIME(12,0,0),"Manhã",IF(B551&lt;TIME(18,0,0),"Tarde","Noite")))</f>
        <v>Tarde</v>
      </c>
      <c r="P551" s="32">
        <f>IF(G551="","",IFERROR(INDEX(Config!$I$5:$I$16,MATCH(G551,Config!$H$5:$H$16,0)),0))</f>
        <v>30</v>
      </c>
      <c r="Q551" s="30">
        <f>IF(OR(H551&lt;&gt;"Realizado",P551="",P551=0),"",A551+P551)</f>
        <v>46289.0</v>
      </c>
      <c r="R551" s="26" t="str">
        <f>IF(Q551="","",IF(COUNTIFS($E$5:$E$1204,E551,$A$5:$A$1204,"&gt;"&amp;A551,$H$5:$H$1204,"&lt;&gt;Falta",$H$5:$H$1204,"&lt;&gt;Cancelado",$H$5:$H$1204,"&lt;&gt;Remarcado")&gt;0,"Sim","Não"))</f>
        <v>Sim</v>
      </c>
      <c r="S551" s="32">
        <f>IF(R551&lt;&gt;"Não","",IF(Q551+Config!$B$9&lt;=Config!$B$8,Config!$B$8-Q551,""))</f>
        <v/>
      </c>
      <c r="T551" s="26">
        <f>IF(S551="","","Sim")</f>
        <v/>
      </c>
      <c r="U551" s="41">
        <f>IF(T551="Sim",S551+ROW()/100000,0)</f>
        <v>0</v>
      </c>
      <c r="V551" s="41">
        <f>IF(AND(H551="Falta",L551=Config!$B$7,M551=Config!$B$5,COUNTIFS($E$5:E551,E551,$H$5:H551,"Falta",$L$5:L551,Config!$B$7,$M$5:M551,Config!$B$5)=1),COUNTIFS($E$5:$E$1204,E551,$H$5:$H$1204,"Falta",$L$5:$L$1204,Config!$B$7,$M$5:$M$1204,Config!$B$5)*1000-ROW()/100000,0)</f>
        <v>0</v>
      </c>
    </row>
    <row r="552">
      <c r="A552" s="39" t="n">
        <v>46259</v>
      </c>
      <c r="B552" s="40" t="n">
        <v>0.7013888888888888</v>
      </c>
      <c r="C552" s="35" t="inlineStr">
        <is>
          <t>Dr. Paulo Andrade</t>
        </is>
      </c>
      <c r="D552" s="35" t="inlineStr">
        <is>
          <t>Sala 2</t>
        </is>
      </c>
      <c r="E552" s="34" t="inlineStr">
        <is>
          <t>Simone Monteiro</t>
        </is>
      </c>
      <c r="F552" s="35" t="inlineStr">
        <is>
          <t>Vida Care</t>
        </is>
      </c>
      <c r="G552" s="35" t="inlineStr">
        <is>
          <t>ECG</t>
        </is>
      </c>
      <c r="H552" s="35" t="inlineStr">
        <is>
          <t>Realizado</t>
        </is>
      </c>
      <c r="I552" s="35" t="inlineStr">
        <is>
          <t>Convênio</t>
        </is>
      </c>
      <c r="J552" s="35" t="n"/>
      <c r="K552" s="34" t="n"/>
      <c r="L552" s="26">
        <f>IF(A552="","",MONTH(A552))</f>
        <v>8</v>
      </c>
      <c r="M552" s="26">
        <f>IF(A552="","",YEAR(A552))</f>
        <v>2026</v>
      </c>
      <c r="N552" s="26" t="str">
        <f>IF(A552="","",CHOOSE(WEEKDAY(A552,2),"Segunda","Terça","Quarta","Quinta","Sexta","Sábado","Domingo"))</f>
        <v>Terça</v>
      </c>
      <c r="O552" s="26" t="str">
        <f>IF(B552="","",IF(B552&lt;TIME(12,0,0),"Manhã",IF(B552&lt;TIME(18,0,0),"Tarde","Noite")))</f>
        <v>Tarde</v>
      </c>
      <c r="P552" s="32">
        <f>IF(G552="","",IFERROR(INDEX(Config!$I$5:$I$16,MATCH(G552,Config!$H$5:$H$16,0)),0))</f>
        <v>0</v>
      </c>
      <c r="Q552" s="30">
        <f>IF(OR(H552&lt;&gt;"Realizado",P552="",P552=0),"",A552+P552)</f>
        <v/>
      </c>
      <c r="R552" s="26">
        <f>IF(Q552="","",IF(COUNTIFS($E$5:$E$1204,E552,$A$5:$A$1204,"&gt;"&amp;A552,$H$5:$H$1204,"&lt;&gt;Falta",$H$5:$H$1204,"&lt;&gt;Cancelado",$H$5:$H$1204,"&lt;&gt;Remarcado")&gt;0,"Sim","Não"))</f>
        <v/>
      </c>
      <c r="S552" s="32">
        <f>IF(R552&lt;&gt;"Não","",IF(Q552+Config!$B$9&lt;=Config!$B$8,Config!$B$8-Q552,""))</f>
        <v/>
      </c>
      <c r="T552" s="26">
        <f>IF(S552="","","Sim")</f>
        <v/>
      </c>
      <c r="U552" s="41">
        <f>IF(T552="Sim",S552+ROW()/100000,0)</f>
        <v>0</v>
      </c>
      <c r="V552" s="41">
        <f>IF(AND(H552="Falta",L552=Config!$B$7,M552=Config!$B$5,COUNTIFS($E$5:E552,E552,$H$5:H552,"Falta",$L$5:L552,Config!$B$7,$M$5:M552,Config!$B$5)=1),COUNTIFS($E$5:$E$1204,E552,$H$5:$H$1204,"Falta",$L$5:$L$1204,Config!$B$7,$M$5:$M$1204,Config!$B$5)*1000-ROW()/100000,0)</f>
        <v>0</v>
      </c>
    </row>
    <row r="553">
      <c r="A553" s="39" t="n">
        <v>46259</v>
      </c>
      <c r="B553" s="40" t="n">
        <v>0.7083333333333334</v>
      </c>
      <c r="C553" s="35" t="inlineStr">
        <is>
          <t>Dra. Renata Sousa</t>
        </is>
      </c>
      <c r="D553" s="35" t="inlineStr">
        <is>
          <t>Sala 1</t>
        </is>
      </c>
      <c r="E553" s="34" t="inlineStr">
        <is>
          <t>Cláudia Melo</t>
        </is>
      </c>
      <c r="F553" s="35" t="inlineStr">
        <is>
          <t>Particular</t>
        </is>
      </c>
      <c r="G553" s="35" t="inlineStr">
        <is>
          <t>Avaliação endócrina</t>
        </is>
      </c>
      <c r="H553" s="35" t="inlineStr">
        <is>
          <t>Realizado</t>
        </is>
      </c>
      <c r="I553" s="35" t="inlineStr">
        <is>
          <t>Cartão de débito</t>
        </is>
      </c>
      <c r="J553" s="35" t="n"/>
      <c r="K553" s="34" t="n"/>
      <c r="L553" s="26">
        <f>IF(A553="","",MONTH(A553))</f>
        <v>8</v>
      </c>
      <c r="M553" s="26">
        <f>IF(A553="","",YEAR(A553))</f>
        <v>2026</v>
      </c>
      <c r="N553" s="26" t="str">
        <f>IF(A553="","",CHOOSE(WEEKDAY(A553,2),"Segunda","Terça","Quarta","Quinta","Sexta","Sábado","Domingo"))</f>
        <v>Terça</v>
      </c>
      <c r="O553" s="26" t="str">
        <f>IF(B553="","",IF(B553&lt;TIME(12,0,0),"Manhã",IF(B553&lt;TIME(18,0,0),"Tarde","Noite")))</f>
        <v>Tarde</v>
      </c>
      <c r="P553" s="32">
        <f>IF(G553="","",IFERROR(INDEX(Config!$I$5:$I$16,MATCH(G553,Config!$H$5:$H$16,0)),0))</f>
        <v>45</v>
      </c>
      <c r="Q553" s="30">
        <f>IF(OR(H553&lt;&gt;"Realizado",P553="",P553=0),"",A553+P553)</f>
        <v>46304.0</v>
      </c>
      <c r="R553" s="26" t="str">
        <f>IF(Q553="","",IF(COUNTIFS($E$5:$E$1204,E553,$A$5:$A$1204,"&gt;"&amp;A553,$H$5:$H$1204,"&lt;&gt;Falta",$H$5:$H$1204,"&lt;&gt;Cancelado",$H$5:$H$1204,"&lt;&gt;Remarcado")&gt;0,"Sim","Não"))</f>
        <v>Sim</v>
      </c>
      <c r="S553" s="32">
        <f>IF(R553&lt;&gt;"Não","",IF(Q553+Config!$B$9&lt;=Config!$B$8,Config!$B$8-Q553,""))</f>
        <v/>
      </c>
      <c r="T553" s="26">
        <f>IF(S553="","","Sim")</f>
        <v/>
      </c>
      <c r="U553" s="41">
        <f>IF(T553="Sim",S553+ROW()/100000,0)</f>
        <v>0</v>
      </c>
      <c r="V553" s="41">
        <f>IF(AND(H553="Falta",L553=Config!$B$7,M553=Config!$B$5,COUNTIFS($E$5:E553,E553,$H$5:H553,"Falta",$L$5:L553,Config!$B$7,$M$5:M553,Config!$B$5)=1),COUNTIFS($E$5:$E$1204,E553,$H$5:$H$1204,"Falta",$L$5:$L$1204,Config!$B$7,$M$5:$M$1204,Config!$B$5)*1000-ROW()/100000,0)</f>
        <v>0</v>
      </c>
    </row>
    <row r="554">
      <c r="A554" s="39" t="n">
        <v>46259</v>
      </c>
      <c r="B554" s="40" t="n">
        <v>0.7152777777777778</v>
      </c>
      <c r="C554" s="35" t="inlineStr">
        <is>
          <t>Dr. Paulo Andrade</t>
        </is>
      </c>
      <c r="D554" s="35" t="inlineStr">
        <is>
          <t>Sala 2</t>
        </is>
      </c>
      <c r="E554" s="34" t="inlineStr">
        <is>
          <t>Paulo Reis</t>
        </is>
      </c>
      <c r="F554" s="35" t="inlineStr">
        <is>
          <t>Particular</t>
        </is>
      </c>
      <c r="G554" s="35" t="inlineStr">
        <is>
          <t>Holter</t>
        </is>
      </c>
      <c r="H554" s="35" t="inlineStr">
        <is>
          <t>Realizado</t>
        </is>
      </c>
      <c r="I554" s="35" t="inlineStr">
        <is>
          <t>Cartão de crédito</t>
        </is>
      </c>
      <c r="J554" s="35" t="n">
        <v>2</v>
      </c>
      <c r="K554" s="34" t="n"/>
      <c r="L554" s="26">
        <f>IF(A554="","",MONTH(A554))</f>
        <v>8</v>
      </c>
      <c r="M554" s="26">
        <f>IF(A554="","",YEAR(A554))</f>
        <v>2026</v>
      </c>
      <c r="N554" s="26" t="str">
        <f>IF(A554="","",CHOOSE(WEEKDAY(A554,2),"Segunda","Terça","Quarta","Quinta","Sexta","Sábado","Domingo"))</f>
        <v>Terça</v>
      </c>
      <c r="O554" s="26" t="str">
        <f>IF(B554="","",IF(B554&lt;TIME(12,0,0),"Manhã",IF(B554&lt;TIME(18,0,0),"Tarde","Noite")))</f>
        <v>Tarde</v>
      </c>
      <c r="P554" s="32">
        <f>IF(G554="","",IFERROR(INDEX(Config!$I$5:$I$16,MATCH(G554,Config!$H$5:$H$16,0)),0))</f>
        <v>0</v>
      </c>
      <c r="Q554" s="30">
        <f>IF(OR(H554&lt;&gt;"Realizado",P554="",P554=0),"",A554+P554)</f>
        <v/>
      </c>
      <c r="R554" s="26">
        <f>IF(Q554="","",IF(COUNTIFS($E$5:$E$1204,E554,$A$5:$A$1204,"&gt;"&amp;A554,$H$5:$H$1204,"&lt;&gt;Falta",$H$5:$H$1204,"&lt;&gt;Cancelado",$H$5:$H$1204,"&lt;&gt;Remarcado")&gt;0,"Sim","Não"))</f>
        <v/>
      </c>
      <c r="S554" s="32">
        <f>IF(R554&lt;&gt;"Não","",IF(Q554+Config!$B$9&lt;=Config!$B$8,Config!$B$8-Q554,""))</f>
        <v/>
      </c>
      <c r="T554" s="26">
        <f>IF(S554="","","Sim")</f>
        <v/>
      </c>
      <c r="U554" s="41">
        <f>IF(T554="Sim",S554+ROW()/100000,0)</f>
        <v>0</v>
      </c>
      <c r="V554" s="41">
        <f>IF(AND(H554="Falta",L554=Config!$B$7,M554=Config!$B$5,COUNTIFS($E$5:E554,E554,$H$5:H554,"Falta",$L$5:L554,Config!$B$7,$M$5:M554,Config!$B$5)=1),COUNTIFS($E$5:$E$1204,E554,$H$5:$H$1204,"Falta",$L$5:$L$1204,Config!$B$7,$M$5:$M$1204,Config!$B$5)*1000-ROW()/100000,0)</f>
        <v>0</v>
      </c>
    </row>
    <row r="555">
      <c r="A555" s="39" t="n">
        <v>46260</v>
      </c>
      <c r="B555" s="40" t="n">
        <v>0.5833333333333334</v>
      </c>
      <c r="C555" s="35" t="inlineStr">
        <is>
          <t>Dra. Carolina Mendes</t>
        </is>
      </c>
      <c r="D555" s="35" t="inlineStr">
        <is>
          <t>Sala 1</t>
        </is>
      </c>
      <c r="E555" s="34" t="inlineStr">
        <is>
          <t>Helena Moreira</t>
        </is>
      </c>
      <c r="F555" s="35" t="inlineStr">
        <is>
          <t>Particular</t>
        </is>
      </c>
      <c r="G555" s="35" t="inlineStr">
        <is>
          <t>Consulta</t>
        </is>
      </c>
      <c r="H555" s="35" t="inlineStr">
        <is>
          <t>Realizado</t>
        </is>
      </c>
      <c r="I555" s="35" t="inlineStr">
        <is>
          <t>Cartão de débito</t>
        </is>
      </c>
      <c r="J555" s="35" t="n"/>
      <c r="K555" s="34" t="n"/>
      <c r="L555" s="26">
        <f>IF(A555="","",MONTH(A555))</f>
        <v>8</v>
      </c>
      <c r="M555" s="26">
        <f>IF(A555="","",YEAR(A555))</f>
        <v>2026</v>
      </c>
      <c r="N555" s="26" t="str">
        <f>IF(A555="","",CHOOSE(WEEKDAY(A555,2),"Segunda","Terça","Quarta","Quinta","Sexta","Sábado","Domingo"))</f>
        <v>Quarta</v>
      </c>
      <c r="O555" s="26" t="str">
        <f>IF(B555="","",IF(B555&lt;TIME(12,0,0),"Manhã",IF(B555&lt;TIME(18,0,0),"Tarde","Noite")))</f>
        <v>Tarde</v>
      </c>
      <c r="P555" s="32">
        <f>IF(G555="","",IFERROR(INDEX(Config!$I$5:$I$16,MATCH(G555,Config!$H$5:$H$16,0)),0))</f>
        <v>30</v>
      </c>
      <c r="Q555" s="30">
        <f>IF(OR(H555&lt;&gt;"Realizado",P555="",P555=0),"",A555+P555)</f>
        <v>46290.0</v>
      </c>
      <c r="R555" s="26" t="str">
        <f>IF(Q555="","",IF(COUNTIFS($E$5:$E$1204,E555,$A$5:$A$1204,"&gt;"&amp;A555,$H$5:$H$1204,"&lt;&gt;Falta",$H$5:$H$1204,"&lt;&gt;Cancelado",$H$5:$H$1204,"&lt;&gt;Remarcado")&gt;0,"Sim","Não"))</f>
        <v>Sim</v>
      </c>
      <c r="S555" s="32">
        <f>IF(R555&lt;&gt;"Não","",IF(Q555+Config!$B$9&lt;=Config!$B$8,Config!$B$8-Q555,""))</f>
        <v/>
      </c>
      <c r="T555" s="26">
        <f>IF(S555="","","Sim")</f>
        <v/>
      </c>
      <c r="U555" s="41">
        <f>IF(T555="Sim",S555+ROW()/100000,0)</f>
        <v>0</v>
      </c>
      <c r="V555" s="41">
        <f>IF(AND(H555="Falta",L555=Config!$B$7,M555=Config!$B$5,COUNTIFS($E$5:E555,E555,$H$5:H555,"Falta",$L$5:L555,Config!$B$7,$M$5:M555,Config!$B$5)=1),COUNTIFS($E$5:$E$1204,E555,$H$5:$H$1204,"Falta",$L$5:$L$1204,Config!$B$7,$M$5:$M$1204,Config!$B$5)*1000-ROW()/100000,0)</f>
        <v>0</v>
      </c>
    </row>
    <row r="556">
      <c r="A556" s="39" t="n">
        <v>46260</v>
      </c>
      <c r="B556" s="40" t="n">
        <v>0.6041666666666666</v>
      </c>
      <c r="C556" s="35" t="inlineStr">
        <is>
          <t>Dra. Carolina Mendes</t>
        </is>
      </c>
      <c r="D556" s="35" t="inlineStr">
        <is>
          <t>Sala 1</t>
        </is>
      </c>
      <c r="E556" s="34" t="inlineStr">
        <is>
          <t>Priscila Nunes</t>
        </is>
      </c>
      <c r="F556" s="35" t="inlineStr">
        <is>
          <t>MediPlan</t>
        </is>
      </c>
      <c r="G556" s="35" t="inlineStr">
        <is>
          <t>Consulta</t>
        </is>
      </c>
      <c r="H556" s="35" t="inlineStr">
        <is>
          <t>Realizado</t>
        </is>
      </c>
      <c r="I556" s="35" t="inlineStr">
        <is>
          <t>Convênio</t>
        </is>
      </c>
      <c r="J556" s="35" t="n"/>
      <c r="K556" s="34" t="n"/>
      <c r="L556" s="26">
        <f>IF(A556="","",MONTH(A556))</f>
        <v>8</v>
      </c>
      <c r="M556" s="26">
        <f>IF(A556="","",YEAR(A556))</f>
        <v>2026</v>
      </c>
      <c r="N556" s="26" t="str">
        <f>IF(A556="","",CHOOSE(WEEKDAY(A556,2),"Segunda","Terça","Quarta","Quinta","Sexta","Sábado","Domingo"))</f>
        <v>Quarta</v>
      </c>
      <c r="O556" s="26" t="str">
        <f>IF(B556="","",IF(B556&lt;TIME(12,0,0),"Manhã",IF(B556&lt;TIME(18,0,0),"Tarde","Noite")))</f>
        <v>Tarde</v>
      </c>
      <c r="P556" s="32">
        <f>IF(G556="","",IFERROR(INDEX(Config!$I$5:$I$16,MATCH(G556,Config!$H$5:$H$16,0)),0))</f>
        <v>30</v>
      </c>
      <c r="Q556" s="30">
        <f>IF(OR(H556&lt;&gt;"Realizado",P556="",P556=0),"",A556+P556)</f>
        <v>46290.0</v>
      </c>
      <c r="R556" s="26" t="str">
        <f>IF(Q556="","",IF(COUNTIFS($E$5:$E$1204,E556,$A$5:$A$1204,"&gt;"&amp;A556,$H$5:$H$1204,"&lt;&gt;Falta",$H$5:$H$1204,"&lt;&gt;Cancelado",$H$5:$H$1204,"&lt;&gt;Remarcado")&gt;0,"Sim","Não"))</f>
        <v>Sim</v>
      </c>
      <c r="S556" s="32">
        <f>IF(R556&lt;&gt;"Não","",IF(Q556+Config!$B$9&lt;=Config!$B$8,Config!$B$8-Q556,""))</f>
        <v/>
      </c>
      <c r="T556" s="26">
        <f>IF(S556="","","Sim")</f>
        <v/>
      </c>
      <c r="U556" s="41">
        <f>IF(T556="Sim",S556+ROW()/100000,0)</f>
        <v>0</v>
      </c>
      <c r="V556" s="41">
        <f>IF(AND(H556="Falta",L556=Config!$B$7,M556=Config!$B$5,COUNTIFS($E$5:E556,E556,$H$5:H556,"Falta",$L$5:L556,Config!$B$7,$M$5:M556,Config!$B$5)=1),COUNTIFS($E$5:$E$1204,E556,$H$5:$H$1204,"Falta",$L$5:$L$1204,Config!$B$7,$M$5:$M$1204,Config!$B$5)*1000-ROW()/100000,0)</f>
        <v>0</v>
      </c>
    </row>
    <row r="557">
      <c r="A557" s="39" t="n">
        <v>46260</v>
      </c>
      <c r="B557" s="40" t="n">
        <v>0.625</v>
      </c>
      <c r="C557" s="35" t="inlineStr">
        <is>
          <t>Dra. Carolina Mendes</t>
        </is>
      </c>
      <c r="D557" s="35" t="inlineStr">
        <is>
          <t>Sala 1</t>
        </is>
      </c>
      <c r="E557" s="34" t="inlineStr">
        <is>
          <t>Sérgio Martins</t>
        </is>
      </c>
      <c r="F557" s="35" t="inlineStr">
        <is>
          <t>Particular</t>
        </is>
      </c>
      <c r="G557" s="35" t="inlineStr">
        <is>
          <t>Consulta</t>
        </is>
      </c>
      <c r="H557" s="35" t="inlineStr">
        <is>
          <t>Realizado</t>
        </is>
      </c>
      <c r="I557" s="35" t="inlineStr">
        <is>
          <t>A prazo</t>
        </is>
      </c>
      <c r="J557" s="35" t="n"/>
      <c r="K557" s="34" t="n"/>
      <c r="L557" s="26">
        <f>IF(A557="","",MONTH(A557))</f>
        <v>8</v>
      </c>
      <c r="M557" s="26">
        <f>IF(A557="","",YEAR(A557))</f>
        <v>2026</v>
      </c>
      <c r="N557" s="26" t="str">
        <f>IF(A557="","",CHOOSE(WEEKDAY(A557,2),"Segunda","Terça","Quarta","Quinta","Sexta","Sábado","Domingo"))</f>
        <v>Quarta</v>
      </c>
      <c r="O557" s="26" t="str">
        <f>IF(B557="","",IF(B557&lt;TIME(12,0,0),"Manhã",IF(B557&lt;TIME(18,0,0),"Tarde","Noite")))</f>
        <v>Tarde</v>
      </c>
      <c r="P557" s="32">
        <f>IF(G557="","",IFERROR(INDEX(Config!$I$5:$I$16,MATCH(G557,Config!$H$5:$H$16,0)),0))</f>
        <v>30</v>
      </c>
      <c r="Q557" s="30">
        <f>IF(OR(H557&lt;&gt;"Realizado",P557="",P557=0),"",A557+P557)</f>
        <v>46290.0</v>
      </c>
      <c r="R557" s="26" t="str">
        <f>IF(Q557="","",IF(COUNTIFS($E$5:$E$1204,E557,$A$5:$A$1204,"&gt;"&amp;A557,$H$5:$H$1204,"&lt;&gt;Falta",$H$5:$H$1204,"&lt;&gt;Cancelado",$H$5:$H$1204,"&lt;&gt;Remarcado")&gt;0,"Sim","Não"))</f>
        <v>Sim</v>
      </c>
      <c r="S557" s="32">
        <f>IF(R557&lt;&gt;"Não","",IF(Q557+Config!$B$9&lt;=Config!$B$8,Config!$B$8-Q557,""))</f>
        <v/>
      </c>
      <c r="T557" s="26">
        <f>IF(S557="","","Sim")</f>
        <v/>
      </c>
      <c r="U557" s="41">
        <f>IF(T557="Sim",S557+ROW()/100000,0)</f>
        <v>0</v>
      </c>
      <c r="V557" s="41">
        <f>IF(AND(H557="Falta",L557=Config!$B$7,M557=Config!$B$5,COUNTIFS($E$5:E557,E557,$H$5:H557,"Falta",$L$5:L557,Config!$B$7,$M$5:M557,Config!$B$5)=1),COUNTIFS($E$5:$E$1204,E557,$H$5:$H$1204,"Falta",$L$5:$L$1204,Config!$B$7,$M$5:$M$1204,Config!$B$5)*1000-ROW()/100000,0)</f>
        <v>0</v>
      </c>
    </row>
    <row r="558">
      <c r="A558" s="39" t="n">
        <v>46260</v>
      </c>
      <c r="B558" s="40" t="n">
        <v>0.6458333333333334</v>
      </c>
      <c r="C558" s="35" t="inlineStr">
        <is>
          <t>Dra. Carolina Mendes</t>
        </is>
      </c>
      <c r="D558" s="35" t="inlineStr">
        <is>
          <t>Sala 1</t>
        </is>
      </c>
      <c r="E558" s="34" t="inlineStr">
        <is>
          <t>Carlos Castro</t>
        </is>
      </c>
      <c r="F558" s="35" t="inlineStr">
        <is>
          <t>Saúde Total</t>
        </is>
      </c>
      <c r="G558" s="35" t="inlineStr">
        <is>
          <t>Consulta</t>
        </is>
      </c>
      <c r="H558" s="35" t="inlineStr">
        <is>
          <t>Falta</t>
        </is>
      </c>
      <c r="I558" s="35" t="n"/>
      <c r="J558" s="35" t="n"/>
      <c r="K558" s="34" t="n"/>
      <c r="L558" s="26">
        <f>IF(A558="","",MONTH(A558))</f>
        <v>8</v>
      </c>
      <c r="M558" s="26">
        <f>IF(A558="","",YEAR(A558))</f>
        <v>2026</v>
      </c>
      <c r="N558" s="26" t="str">
        <f>IF(A558="","",CHOOSE(WEEKDAY(A558,2),"Segunda","Terça","Quarta","Quinta","Sexta","Sábado","Domingo"))</f>
        <v>Quarta</v>
      </c>
      <c r="O558" s="26" t="str">
        <f>IF(B558="","",IF(B558&lt;TIME(12,0,0),"Manhã",IF(B558&lt;TIME(18,0,0),"Tarde","Noite")))</f>
        <v>Tarde</v>
      </c>
      <c r="P558" s="32">
        <f>IF(G558="","",IFERROR(INDEX(Config!$I$5:$I$16,MATCH(G558,Config!$H$5:$H$16,0)),0))</f>
        <v>30</v>
      </c>
      <c r="Q558" s="30">
        <f>IF(OR(H558&lt;&gt;"Realizado",P558="",P558=0),"",A558+P558)</f>
        <v/>
      </c>
      <c r="R558" s="26">
        <f>IF(Q558="","",IF(COUNTIFS($E$5:$E$1204,E558,$A$5:$A$1204,"&gt;"&amp;A558,$H$5:$H$1204,"&lt;&gt;Falta",$H$5:$H$1204,"&lt;&gt;Cancelado",$H$5:$H$1204,"&lt;&gt;Remarcado")&gt;0,"Sim","Não"))</f>
        <v/>
      </c>
      <c r="S558" s="32">
        <f>IF(R558&lt;&gt;"Não","",IF(Q558+Config!$B$9&lt;=Config!$B$8,Config!$B$8-Q558,""))</f>
        <v/>
      </c>
      <c r="T558" s="26">
        <f>IF(S558="","","Sim")</f>
        <v/>
      </c>
      <c r="U558" s="41">
        <f>IF(T558="Sim",S558+ROW()/100000,0)</f>
        <v>0</v>
      </c>
      <c r="V558" s="41">
        <f>IF(AND(H558="Falta",L558=Config!$B$7,M558=Config!$B$5,COUNTIFS($E$5:E558,E558,$H$5:H558,"Falta",$L$5:L558,Config!$B$7,$M$5:M558,Config!$B$5)=1),COUNTIFS($E$5:$E$1204,E558,$H$5:$H$1204,"Falta",$L$5:$L$1204,Config!$B$7,$M$5:$M$1204,Config!$B$5)*1000-ROW()/100000,0)</f>
        <v>0</v>
      </c>
    </row>
    <row r="559">
      <c r="A559" s="39" t="n">
        <v>46260</v>
      </c>
      <c r="B559" s="40" t="n">
        <v>0.6875</v>
      </c>
      <c r="C559" s="35" t="inlineStr">
        <is>
          <t>Dra. Carolina Mendes</t>
        </is>
      </c>
      <c r="D559" s="35" t="inlineStr">
        <is>
          <t>Sala 1</t>
        </is>
      </c>
      <c r="E559" s="34" t="inlineStr">
        <is>
          <t>Carlos Castro</t>
        </is>
      </c>
      <c r="F559" s="35" t="inlineStr">
        <is>
          <t>Saúde Total</t>
        </is>
      </c>
      <c r="G559" s="35" t="inlineStr">
        <is>
          <t>Consulta</t>
        </is>
      </c>
      <c r="H559" s="35" t="inlineStr">
        <is>
          <t>Realizado</t>
        </is>
      </c>
      <c r="I559" s="35" t="inlineStr">
        <is>
          <t>Convênio</t>
        </is>
      </c>
      <c r="J559" s="35" t="n"/>
      <c r="K559" s="34" t="n"/>
      <c r="L559" s="26">
        <f>IF(A559="","",MONTH(A559))</f>
        <v>8</v>
      </c>
      <c r="M559" s="26">
        <f>IF(A559="","",YEAR(A559))</f>
        <v>2026</v>
      </c>
      <c r="N559" s="26" t="str">
        <f>IF(A559="","",CHOOSE(WEEKDAY(A559,2),"Segunda","Terça","Quarta","Quinta","Sexta","Sábado","Domingo"))</f>
        <v>Quarta</v>
      </c>
      <c r="O559" s="26" t="str">
        <f>IF(B559="","",IF(B559&lt;TIME(12,0,0),"Manhã",IF(B559&lt;TIME(18,0,0),"Tarde","Noite")))</f>
        <v>Tarde</v>
      </c>
      <c r="P559" s="32">
        <f>IF(G559="","",IFERROR(INDEX(Config!$I$5:$I$16,MATCH(G559,Config!$H$5:$H$16,0)),0))</f>
        <v>30</v>
      </c>
      <c r="Q559" s="30">
        <f>IF(OR(H559&lt;&gt;"Realizado",P559="",P559=0),"",A559+P559)</f>
        <v>46290.0</v>
      </c>
      <c r="R559" s="26" t="str">
        <f>IF(Q559="","",IF(COUNTIFS($E$5:$E$1204,E559,$A$5:$A$1204,"&gt;"&amp;A559,$H$5:$H$1204,"&lt;&gt;Falta",$H$5:$H$1204,"&lt;&gt;Cancelado",$H$5:$H$1204,"&lt;&gt;Remarcado")&gt;0,"Sim","Não"))</f>
        <v>Sim</v>
      </c>
      <c r="S559" s="32">
        <f>IF(R559&lt;&gt;"Não","",IF(Q559+Config!$B$9&lt;=Config!$B$8,Config!$B$8-Q559,""))</f>
        <v/>
      </c>
      <c r="T559" s="26">
        <f>IF(S559="","","Sim")</f>
        <v/>
      </c>
      <c r="U559" s="41">
        <f>IF(T559="Sim",S559+ROW()/100000,0)</f>
        <v>0</v>
      </c>
      <c r="V559" s="41">
        <f>IF(AND(H559="Falta",L559=Config!$B$7,M559=Config!$B$5,COUNTIFS($E$5:E559,E559,$H$5:H559,"Falta",$L$5:L559,Config!$B$7,$M$5:M559,Config!$B$5)=1),COUNTIFS($E$5:$E$1204,E559,$H$5:$H$1204,"Falta",$L$5:$L$1204,Config!$B$7,$M$5:$M$1204,Config!$B$5)*1000-ROW()/100000,0)</f>
        <v>0</v>
      </c>
    </row>
    <row r="560">
      <c r="A560" s="39" t="n">
        <v>46260</v>
      </c>
      <c r="B560" s="40" t="n">
        <v>0.7083333333333334</v>
      </c>
      <c r="C560" s="35" t="inlineStr">
        <is>
          <t>Dra. Carolina Mendes</t>
        </is>
      </c>
      <c r="D560" s="35" t="inlineStr">
        <is>
          <t>Sala 1</t>
        </is>
      </c>
      <c r="E560" s="34" t="inlineStr">
        <is>
          <t>Rodrigo Moreira</t>
        </is>
      </c>
      <c r="F560" s="35" t="inlineStr">
        <is>
          <t>Particular</t>
        </is>
      </c>
      <c r="G560" s="35" t="inlineStr">
        <is>
          <t>Consulta</t>
        </is>
      </c>
      <c r="H560" s="35" t="inlineStr">
        <is>
          <t>Realizado</t>
        </is>
      </c>
      <c r="I560" s="35" t="inlineStr">
        <is>
          <t>Pix</t>
        </is>
      </c>
      <c r="J560" s="35" t="n"/>
      <c r="K560" s="34" t="n"/>
      <c r="L560" s="26">
        <f>IF(A560="","",MONTH(A560))</f>
        <v>8</v>
      </c>
      <c r="M560" s="26">
        <f>IF(A560="","",YEAR(A560))</f>
        <v>2026</v>
      </c>
      <c r="N560" s="26" t="str">
        <f>IF(A560="","",CHOOSE(WEEKDAY(A560,2),"Segunda","Terça","Quarta","Quinta","Sexta","Sábado","Domingo"))</f>
        <v>Quarta</v>
      </c>
      <c r="O560" s="26" t="str">
        <f>IF(B560="","",IF(B560&lt;TIME(12,0,0),"Manhã",IF(B560&lt;TIME(18,0,0),"Tarde","Noite")))</f>
        <v>Tarde</v>
      </c>
      <c r="P560" s="32">
        <f>IF(G560="","",IFERROR(INDEX(Config!$I$5:$I$16,MATCH(G560,Config!$H$5:$H$16,0)),0))</f>
        <v>30</v>
      </c>
      <c r="Q560" s="30">
        <f>IF(OR(H560&lt;&gt;"Realizado",P560="",P560=0),"",A560+P560)</f>
        <v>46290.0</v>
      </c>
      <c r="R560" s="26" t="str">
        <f>IF(Q560="","",IF(COUNTIFS($E$5:$E$1204,E560,$A$5:$A$1204,"&gt;"&amp;A560,$H$5:$H$1204,"&lt;&gt;Falta",$H$5:$H$1204,"&lt;&gt;Cancelado",$H$5:$H$1204,"&lt;&gt;Remarcado")&gt;0,"Sim","Não"))</f>
        <v>Sim</v>
      </c>
      <c r="S560" s="32">
        <f>IF(R560&lt;&gt;"Não","",IF(Q560+Config!$B$9&lt;=Config!$B$8,Config!$B$8-Q560,""))</f>
        <v/>
      </c>
      <c r="T560" s="26">
        <f>IF(S560="","","Sim")</f>
        <v/>
      </c>
      <c r="U560" s="41">
        <f>IF(T560="Sim",S560+ROW()/100000,0)</f>
        <v>0</v>
      </c>
      <c r="V560" s="41">
        <f>IF(AND(H560="Falta",L560=Config!$B$7,M560=Config!$B$5,COUNTIFS($E$5:E560,E560,$H$5:H560,"Falta",$L$5:L560,Config!$B$7,$M$5:M560,Config!$B$5)=1),COUNTIFS($E$5:$E$1204,E560,$H$5:$H$1204,"Falta",$L$5:$L$1204,Config!$B$7,$M$5:$M$1204,Config!$B$5)*1000-ROW()/100000,0)</f>
        <v>0</v>
      </c>
    </row>
    <row r="561">
      <c r="A561" s="39" t="n">
        <v>46260</v>
      </c>
      <c r="B561" s="40" t="n">
        <v>0.7291666666666666</v>
      </c>
      <c r="C561" s="35" t="inlineStr">
        <is>
          <t>Dra. Carolina Mendes</t>
        </is>
      </c>
      <c r="D561" s="35" t="inlineStr">
        <is>
          <t>Sala 1</t>
        </is>
      </c>
      <c r="E561" s="34" t="inlineStr">
        <is>
          <t>Rafael Dias</t>
        </is>
      </c>
      <c r="F561" s="35" t="inlineStr">
        <is>
          <t>Particular</t>
        </is>
      </c>
      <c r="G561" s="35" t="inlineStr">
        <is>
          <t>Consulta</t>
        </is>
      </c>
      <c r="H561" s="35" t="inlineStr">
        <is>
          <t>Realizado</t>
        </is>
      </c>
      <c r="I561" s="35" t="inlineStr">
        <is>
          <t>Pix</t>
        </is>
      </c>
      <c r="J561" s="35" t="n"/>
      <c r="K561" s="34" t="n"/>
      <c r="L561" s="26">
        <f>IF(A561="","",MONTH(A561))</f>
        <v>8</v>
      </c>
      <c r="M561" s="26">
        <f>IF(A561="","",YEAR(A561))</f>
        <v>2026</v>
      </c>
      <c r="N561" s="26" t="str">
        <f>IF(A561="","",CHOOSE(WEEKDAY(A561,2),"Segunda","Terça","Quarta","Quinta","Sexta","Sábado","Domingo"))</f>
        <v>Quarta</v>
      </c>
      <c r="O561" s="26" t="str">
        <f>IF(B561="","",IF(B561&lt;TIME(12,0,0),"Manhã",IF(B561&lt;TIME(18,0,0),"Tarde","Noite")))</f>
        <v>Tarde</v>
      </c>
      <c r="P561" s="32">
        <f>IF(G561="","",IFERROR(INDEX(Config!$I$5:$I$16,MATCH(G561,Config!$H$5:$H$16,0)),0))</f>
        <v>30</v>
      </c>
      <c r="Q561" s="30">
        <f>IF(OR(H561&lt;&gt;"Realizado",P561="",P561=0),"",A561+P561)</f>
        <v>46290.0</v>
      </c>
      <c r="R561" s="26" t="str">
        <f>IF(Q561="","",IF(COUNTIFS($E$5:$E$1204,E561,$A$5:$A$1204,"&gt;"&amp;A561,$H$5:$H$1204,"&lt;&gt;Falta",$H$5:$H$1204,"&lt;&gt;Cancelado",$H$5:$H$1204,"&lt;&gt;Remarcado")&gt;0,"Sim","Não"))</f>
        <v>Sim</v>
      </c>
      <c r="S561" s="32">
        <f>IF(R561&lt;&gt;"Não","",IF(Q561+Config!$B$9&lt;=Config!$B$8,Config!$B$8-Q561,""))</f>
        <v/>
      </c>
      <c r="T561" s="26">
        <f>IF(S561="","","Sim")</f>
        <v/>
      </c>
      <c r="U561" s="41">
        <f>IF(T561="Sim",S561+ROW()/100000,0)</f>
        <v>0</v>
      </c>
      <c r="V561" s="41">
        <f>IF(AND(H561="Falta",L561=Config!$B$7,M561=Config!$B$5,COUNTIFS($E$5:E561,E561,$H$5:H561,"Falta",$L$5:L561,Config!$B$7,$M$5:M561,Config!$B$5)=1),COUNTIFS($E$5:$E$1204,E561,$H$5:$H$1204,"Falta",$L$5:$L$1204,Config!$B$7,$M$5:$M$1204,Config!$B$5)*1000-ROW()/100000,0)</f>
        <v>0</v>
      </c>
    </row>
    <row r="562">
      <c r="A562" s="39" t="n">
        <v>46261</v>
      </c>
      <c r="B562" s="40" t="n">
        <v>0.3333333333333333</v>
      </c>
      <c r="C562" s="35" t="inlineStr">
        <is>
          <t>Dra. Carolina Mendes</t>
        </is>
      </c>
      <c r="D562" s="35" t="inlineStr">
        <is>
          <t>Sala 1</t>
        </is>
      </c>
      <c r="E562" s="34" t="inlineStr">
        <is>
          <t>Mateus Lima</t>
        </is>
      </c>
      <c r="F562" s="35" t="inlineStr">
        <is>
          <t>MediPlan</t>
        </is>
      </c>
      <c r="G562" s="35" t="inlineStr">
        <is>
          <t>Retorno</t>
        </is>
      </c>
      <c r="H562" s="35" t="inlineStr">
        <is>
          <t>Realizado</t>
        </is>
      </c>
      <c r="I562" s="35" t="inlineStr">
        <is>
          <t>Sem cobrança</t>
        </is>
      </c>
      <c r="J562" s="35" t="n"/>
      <c r="K562" s="34" t="n"/>
      <c r="L562" s="26">
        <f>IF(A562="","",MONTH(A562))</f>
        <v>8</v>
      </c>
      <c r="M562" s="26">
        <f>IF(A562="","",YEAR(A562))</f>
        <v>2026</v>
      </c>
      <c r="N562" s="26" t="str">
        <f>IF(A562="","",CHOOSE(WEEKDAY(A562,2),"Segunda","Terça","Quarta","Quinta","Sexta","Sábado","Domingo"))</f>
        <v>Quinta</v>
      </c>
      <c r="O562" s="26" t="str">
        <f>IF(B562="","",IF(B562&lt;TIME(12,0,0),"Manhã",IF(B562&lt;TIME(18,0,0),"Tarde","Noite")))</f>
        <v>Manhã</v>
      </c>
      <c r="P562" s="32">
        <f>IF(G562="","",IFERROR(INDEX(Config!$I$5:$I$16,MATCH(G562,Config!$H$5:$H$16,0)),0))</f>
        <v>0</v>
      </c>
      <c r="Q562" s="30">
        <f>IF(OR(H562&lt;&gt;"Realizado",P562="",P562=0),"",A562+P562)</f>
        <v/>
      </c>
      <c r="R562" s="26">
        <f>IF(Q562="","",IF(COUNTIFS($E$5:$E$1204,E562,$A$5:$A$1204,"&gt;"&amp;A562,$H$5:$H$1204,"&lt;&gt;Falta",$H$5:$H$1204,"&lt;&gt;Cancelado",$H$5:$H$1204,"&lt;&gt;Remarcado")&gt;0,"Sim","Não"))</f>
        <v/>
      </c>
      <c r="S562" s="32">
        <f>IF(R562&lt;&gt;"Não","",IF(Q562+Config!$B$9&lt;=Config!$B$8,Config!$B$8-Q562,""))</f>
        <v/>
      </c>
      <c r="T562" s="26">
        <f>IF(S562="","","Sim")</f>
        <v/>
      </c>
      <c r="U562" s="41">
        <f>IF(T562="Sim",S562+ROW()/100000,0)</f>
        <v>0</v>
      </c>
      <c r="V562" s="41">
        <f>IF(AND(H562="Falta",L562=Config!$B$7,M562=Config!$B$5,COUNTIFS($E$5:E562,E562,$H$5:H562,"Falta",$L$5:L562,Config!$B$7,$M$5:M562,Config!$B$5)=1),COUNTIFS($E$5:$E$1204,E562,$H$5:$H$1204,"Falta",$L$5:$L$1204,Config!$B$7,$M$5:$M$1204,Config!$B$5)*1000-ROW()/100000,0)</f>
        <v>0</v>
      </c>
    </row>
    <row r="563">
      <c r="A563" s="39" t="n">
        <v>46261</v>
      </c>
      <c r="B563" s="40" t="n">
        <v>0.3472222222222222</v>
      </c>
      <c r="C563" s="35" t="inlineStr">
        <is>
          <t>Dra. Carolina Mendes</t>
        </is>
      </c>
      <c r="D563" s="35" t="inlineStr">
        <is>
          <t>Sala 1</t>
        </is>
      </c>
      <c r="E563" s="34" t="inlineStr">
        <is>
          <t>Regina Duarte</t>
        </is>
      </c>
      <c r="F563" s="35" t="inlineStr">
        <is>
          <t>Particular</t>
        </is>
      </c>
      <c r="G563" s="35" t="inlineStr">
        <is>
          <t>Consulta</t>
        </is>
      </c>
      <c r="H563" s="35" t="inlineStr">
        <is>
          <t>Realizado</t>
        </is>
      </c>
      <c r="I563" s="35" t="inlineStr">
        <is>
          <t>Cartão de débito</t>
        </is>
      </c>
      <c r="J563" s="35" t="n"/>
      <c r="K563" s="34" t="n"/>
      <c r="L563" s="26">
        <f>IF(A563="","",MONTH(A563))</f>
        <v>8</v>
      </c>
      <c r="M563" s="26">
        <f>IF(A563="","",YEAR(A563))</f>
        <v>2026</v>
      </c>
      <c r="N563" s="26" t="str">
        <f>IF(A563="","",CHOOSE(WEEKDAY(A563,2),"Segunda","Terça","Quarta","Quinta","Sexta","Sábado","Domingo"))</f>
        <v>Quinta</v>
      </c>
      <c r="O563" s="26" t="str">
        <f>IF(B563="","",IF(B563&lt;TIME(12,0,0),"Manhã",IF(B563&lt;TIME(18,0,0),"Tarde","Noite")))</f>
        <v>Manhã</v>
      </c>
      <c r="P563" s="32">
        <f>IF(G563="","",IFERROR(INDEX(Config!$I$5:$I$16,MATCH(G563,Config!$H$5:$H$16,0)),0))</f>
        <v>30</v>
      </c>
      <c r="Q563" s="30">
        <f>IF(OR(H563&lt;&gt;"Realizado",P563="",P563=0),"",A563+P563)</f>
        <v>46291.0</v>
      </c>
      <c r="R563" s="26" t="str">
        <f>IF(Q563="","",IF(COUNTIFS($E$5:$E$1204,E563,$A$5:$A$1204,"&gt;"&amp;A563,$H$5:$H$1204,"&lt;&gt;Falta",$H$5:$H$1204,"&lt;&gt;Cancelado",$H$5:$H$1204,"&lt;&gt;Remarcado")&gt;0,"Sim","Não"))</f>
        <v>Sim</v>
      </c>
      <c r="S563" s="32">
        <f>IF(R563&lt;&gt;"Não","",IF(Q563+Config!$B$9&lt;=Config!$B$8,Config!$B$8-Q563,""))</f>
        <v/>
      </c>
      <c r="T563" s="26">
        <f>IF(S563="","","Sim")</f>
        <v/>
      </c>
      <c r="U563" s="41">
        <f>IF(T563="Sim",S563+ROW()/100000,0)</f>
        <v>0</v>
      </c>
      <c r="V563" s="41">
        <f>IF(AND(H563="Falta",L563=Config!$B$7,M563=Config!$B$5,COUNTIFS($E$5:E563,E563,$H$5:H563,"Falta",$L$5:L563,Config!$B$7,$M$5:M563,Config!$B$5)=1),COUNTIFS($E$5:$E$1204,E563,$H$5:$H$1204,"Falta",$L$5:$L$1204,Config!$B$7,$M$5:$M$1204,Config!$B$5)*1000-ROW()/100000,0)</f>
        <v>0</v>
      </c>
    </row>
    <row r="564">
      <c r="A564" s="39" t="n">
        <v>46261</v>
      </c>
      <c r="B564" s="40" t="n">
        <v>0.3680555555555556</v>
      </c>
      <c r="C564" s="35" t="inlineStr">
        <is>
          <t>Dra. Carolina Mendes</t>
        </is>
      </c>
      <c r="D564" s="35" t="inlineStr">
        <is>
          <t>Sala 1</t>
        </is>
      </c>
      <c r="E564" s="34" t="inlineStr">
        <is>
          <t>Gisele Xavier</t>
        </is>
      </c>
      <c r="F564" s="35" t="inlineStr">
        <is>
          <t>Particular</t>
        </is>
      </c>
      <c r="G564" s="35" t="inlineStr">
        <is>
          <t>Consulta</t>
        </is>
      </c>
      <c r="H564" s="35" t="inlineStr">
        <is>
          <t>Realizado</t>
        </is>
      </c>
      <c r="I564" s="35" t="inlineStr">
        <is>
          <t>Cartão de crédito</t>
        </is>
      </c>
      <c r="J564" s="35" t="n"/>
      <c r="K564" s="34" t="n"/>
      <c r="L564" s="26">
        <f>IF(A564="","",MONTH(A564))</f>
        <v>8</v>
      </c>
      <c r="M564" s="26">
        <f>IF(A564="","",YEAR(A564))</f>
        <v>2026</v>
      </c>
      <c r="N564" s="26" t="str">
        <f>IF(A564="","",CHOOSE(WEEKDAY(A564,2),"Segunda","Terça","Quarta","Quinta","Sexta","Sábado","Domingo"))</f>
        <v>Quinta</v>
      </c>
      <c r="O564" s="26" t="str">
        <f>IF(B564="","",IF(B564&lt;TIME(12,0,0),"Manhã",IF(B564&lt;TIME(18,0,0),"Tarde","Noite")))</f>
        <v>Manhã</v>
      </c>
      <c r="P564" s="32">
        <f>IF(G564="","",IFERROR(INDEX(Config!$I$5:$I$16,MATCH(G564,Config!$H$5:$H$16,0)),0))</f>
        <v>30</v>
      </c>
      <c r="Q564" s="30">
        <f>IF(OR(H564&lt;&gt;"Realizado",P564="",P564=0),"",A564+P564)</f>
        <v>46291.0</v>
      </c>
      <c r="R564" s="26" t="str">
        <f>IF(Q564="","",IF(COUNTIFS($E$5:$E$1204,E564,$A$5:$A$1204,"&gt;"&amp;A564,$H$5:$H$1204,"&lt;&gt;Falta",$H$5:$H$1204,"&lt;&gt;Cancelado",$H$5:$H$1204,"&lt;&gt;Remarcado")&gt;0,"Sim","Não"))</f>
        <v>Sim</v>
      </c>
      <c r="S564" s="32">
        <f>IF(R564&lt;&gt;"Não","",IF(Q564+Config!$B$9&lt;=Config!$B$8,Config!$B$8-Q564,""))</f>
        <v/>
      </c>
      <c r="T564" s="26">
        <f>IF(S564="","","Sim")</f>
        <v/>
      </c>
      <c r="U564" s="41">
        <f>IF(T564="Sim",S564+ROW()/100000,0)</f>
        <v>0</v>
      </c>
      <c r="V564" s="41">
        <f>IF(AND(H564="Falta",L564=Config!$B$7,M564=Config!$B$5,COUNTIFS($E$5:E564,E564,$H$5:H564,"Falta",$L$5:L564,Config!$B$7,$M$5:M564,Config!$B$5)=1),COUNTIFS($E$5:$E$1204,E564,$H$5:$H$1204,"Falta",$L$5:$L$1204,Config!$B$7,$M$5:$M$1204,Config!$B$5)*1000-ROW()/100000,0)</f>
        <v>0</v>
      </c>
    </row>
    <row r="565">
      <c r="A565" s="39" t="n">
        <v>46261</v>
      </c>
      <c r="B565" s="40" t="n">
        <v>0.3888888888888889</v>
      </c>
      <c r="C565" s="35" t="inlineStr">
        <is>
          <t>Dra. Carolina Mendes</t>
        </is>
      </c>
      <c r="D565" s="35" t="inlineStr">
        <is>
          <t>Sala 1</t>
        </is>
      </c>
      <c r="E565" s="34" t="inlineStr">
        <is>
          <t>Marcelo Santos</t>
        </is>
      </c>
      <c r="F565" s="35" t="inlineStr">
        <is>
          <t>Particular</t>
        </is>
      </c>
      <c r="G565" s="35" t="inlineStr">
        <is>
          <t>Consulta</t>
        </is>
      </c>
      <c r="H565" s="35" t="inlineStr">
        <is>
          <t>Realizado</t>
        </is>
      </c>
      <c r="I565" s="35" t="inlineStr">
        <is>
          <t>Cartão de crédito</t>
        </is>
      </c>
      <c r="J565" s="35" t="n"/>
      <c r="K565" s="34" t="n"/>
      <c r="L565" s="26">
        <f>IF(A565="","",MONTH(A565))</f>
        <v>8</v>
      </c>
      <c r="M565" s="26">
        <f>IF(A565="","",YEAR(A565))</f>
        <v>2026</v>
      </c>
      <c r="N565" s="26" t="str">
        <f>IF(A565="","",CHOOSE(WEEKDAY(A565,2),"Segunda","Terça","Quarta","Quinta","Sexta","Sábado","Domingo"))</f>
        <v>Quinta</v>
      </c>
      <c r="O565" s="26" t="str">
        <f>IF(B565="","",IF(B565&lt;TIME(12,0,0),"Manhã",IF(B565&lt;TIME(18,0,0),"Tarde","Noite")))</f>
        <v>Manhã</v>
      </c>
      <c r="P565" s="32">
        <f>IF(G565="","",IFERROR(INDEX(Config!$I$5:$I$16,MATCH(G565,Config!$H$5:$H$16,0)),0))</f>
        <v>30</v>
      </c>
      <c r="Q565" s="30">
        <f>IF(OR(H565&lt;&gt;"Realizado",P565="",P565=0),"",A565+P565)</f>
        <v>46291.0</v>
      </c>
      <c r="R565" s="26" t="str">
        <f>IF(Q565="","",IF(COUNTIFS($E$5:$E$1204,E565,$A$5:$A$1204,"&gt;"&amp;A565,$H$5:$H$1204,"&lt;&gt;Falta",$H$5:$H$1204,"&lt;&gt;Cancelado",$H$5:$H$1204,"&lt;&gt;Remarcado")&gt;0,"Sim","Não"))</f>
        <v>Sim</v>
      </c>
      <c r="S565" s="32">
        <f>IF(R565&lt;&gt;"Não","",IF(Q565+Config!$B$9&lt;=Config!$B$8,Config!$B$8-Q565,""))</f>
        <v/>
      </c>
      <c r="T565" s="26">
        <f>IF(S565="","","Sim")</f>
        <v/>
      </c>
      <c r="U565" s="41">
        <f>IF(T565="Sim",S565+ROW()/100000,0)</f>
        <v>0</v>
      </c>
      <c r="V565" s="41">
        <f>IF(AND(H565="Falta",L565=Config!$B$7,M565=Config!$B$5,COUNTIFS($E$5:E565,E565,$H$5:H565,"Falta",$L$5:L565,Config!$B$7,$M$5:M565,Config!$B$5)=1),COUNTIFS($E$5:$E$1204,E565,$H$5:$H$1204,"Falta",$L$5:$L$1204,Config!$B$7,$M$5:$M$1204,Config!$B$5)*1000-ROW()/100000,0)</f>
        <v>0</v>
      </c>
    </row>
    <row r="566">
      <c r="A566" s="39" t="n">
        <v>46261</v>
      </c>
      <c r="B566" s="40" t="n">
        <v>0.4097222222222222</v>
      </c>
      <c r="C566" s="35" t="inlineStr">
        <is>
          <t>Dra. Carolina Mendes</t>
        </is>
      </c>
      <c r="D566" s="35" t="inlineStr">
        <is>
          <t>Sala 1</t>
        </is>
      </c>
      <c r="E566" s="34" t="inlineStr">
        <is>
          <t>Roberta Fernandes</t>
        </is>
      </c>
      <c r="F566" s="35" t="inlineStr">
        <is>
          <t>Saúde Total</t>
        </is>
      </c>
      <c r="G566" s="35" t="inlineStr">
        <is>
          <t>Consulta</t>
        </is>
      </c>
      <c r="H566" s="35" t="inlineStr">
        <is>
          <t>Realizado</t>
        </is>
      </c>
      <c r="I566" s="35" t="inlineStr">
        <is>
          <t>Convênio</t>
        </is>
      </c>
      <c r="J566" s="35" t="n"/>
      <c r="K566" s="34" t="n"/>
      <c r="L566" s="26">
        <f>IF(A566="","",MONTH(A566))</f>
        <v>8</v>
      </c>
      <c r="M566" s="26">
        <f>IF(A566="","",YEAR(A566))</f>
        <v>2026</v>
      </c>
      <c r="N566" s="26" t="str">
        <f>IF(A566="","",CHOOSE(WEEKDAY(A566,2),"Segunda","Terça","Quarta","Quinta","Sexta","Sábado","Domingo"))</f>
        <v>Quinta</v>
      </c>
      <c r="O566" s="26" t="str">
        <f>IF(B566="","",IF(B566&lt;TIME(12,0,0),"Manhã",IF(B566&lt;TIME(18,0,0),"Tarde","Noite")))</f>
        <v>Manhã</v>
      </c>
      <c r="P566" s="32">
        <f>IF(G566="","",IFERROR(INDEX(Config!$I$5:$I$16,MATCH(G566,Config!$H$5:$H$16,0)),0))</f>
        <v>30</v>
      </c>
      <c r="Q566" s="30">
        <f>IF(OR(H566&lt;&gt;"Realizado",P566="",P566=0),"",A566+P566)</f>
        <v>46291.0</v>
      </c>
      <c r="R566" s="26" t="str">
        <f>IF(Q566="","",IF(COUNTIFS($E$5:$E$1204,E566,$A$5:$A$1204,"&gt;"&amp;A566,$H$5:$H$1204,"&lt;&gt;Falta",$H$5:$H$1204,"&lt;&gt;Cancelado",$H$5:$H$1204,"&lt;&gt;Remarcado")&gt;0,"Sim","Não"))</f>
        <v>Sim</v>
      </c>
      <c r="S566" s="32">
        <f>IF(R566&lt;&gt;"Não","",IF(Q566+Config!$B$9&lt;=Config!$B$8,Config!$B$8-Q566,""))</f>
        <v/>
      </c>
      <c r="T566" s="26">
        <f>IF(S566="","","Sim")</f>
        <v/>
      </c>
      <c r="U566" s="41">
        <f>IF(T566="Sim",S566+ROW()/100000,0)</f>
        <v>0</v>
      </c>
      <c r="V566" s="41">
        <f>IF(AND(H566="Falta",L566=Config!$B$7,M566=Config!$B$5,COUNTIFS($E$5:E566,E566,$H$5:H566,"Falta",$L$5:L566,Config!$B$7,$M$5:M566,Config!$B$5)=1),COUNTIFS($E$5:$E$1204,E566,$H$5:$H$1204,"Falta",$L$5:$L$1204,Config!$B$7,$M$5:$M$1204,Config!$B$5)*1000-ROW()/100000,0)</f>
        <v>0</v>
      </c>
    </row>
    <row r="567">
      <c r="A567" s="39" t="n">
        <v>46261</v>
      </c>
      <c r="B567" s="40" t="n">
        <v>0.4305555555555556</v>
      </c>
      <c r="C567" s="35" t="inlineStr">
        <is>
          <t>Dra. Carolina Mendes</t>
        </is>
      </c>
      <c r="D567" s="35" t="inlineStr">
        <is>
          <t>Sala 1</t>
        </is>
      </c>
      <c r="E567" s="34" t="inlineStr">
        <is>
          <t>Elaine Cardoso</t>
        </is>
      </c>
      <c r="F567" s="35" t="inlineStr">
        <is>
          <t>Particular</t>
        </is>
      </c>
      <c r="G567" s="35" t="inlineStr">
        <is>
          <t>Consulta</t>
        </is>
      </c>
      <c r="H567" s="35" t="inlineStr">
        <is>
          <t>Remarcado</t>
        </is>
      </c>
      <c r="I567" s="35" t="n"/>
      <c r="J567" s="35" t="n"/>
      <c r="K567" s="34" t="inlineStr">
        <is>
          <t>Paciente pediu outra data</t>
        </is>
      </c>
      <c r="L567" s="26">
        <f>IF(A567="","",MONTH(A567))</f>
        <v>8</v>
      </c>
      <c r="M567" s="26">
        <f>IF(A567="","",YEAR(A567))</f>
        <v>2026</v>
      </c>
      <c r="N567" s="26" t="str">
        <f>IF(A567="","",CHOOSE(WEEKDAY(A567,2),"Segunda","Terça","Quarta","Quinta","Sexta","Sábado","Domingo"))</f>
        <v>Quinta</v>
      </c>
      <c r="O567" s="26" t="str">
        <f>IF(B567="","",IF(B567&lt;TIME(12,0,0),"Manhã",IF(B567&lt;TIME(18,0,0),"Tarde","Noite")))</f>
        <v>Manhã</v>
      </c>
      <c r="P567" s="32">
        <f>IF(G567="","",IFERROR(INDEX(Config!$I$5:$I$16,MATCH(G567,Config!$H$5:$H$16,0)),0))</f>
        <v>30</v>
      </c>
      <c r="Q567" s="30">
        <f>IF(OR(H567&lt;&gt;"Realizado",P567="",P567=0),"",A567+P567)</f>
        <v/>
      </c>
      <c r="R567" s="26">
        <f>IF(Q567="","",IF(COUNTIFS($E$5:$E$1204,E567,$A$5:$A$1204,"&gt;"&amp;A567,$H$5:$H$1204,"&lt;&gt;Falta",$H$5:$H$1204,"&lt;&gt;Cancelado",$H$5:$H$1204,"&lt;&gt;Remarcado")&gt;0,"Sim","Não"))</f>
        <v/>
      </c>
      <c r="S567" s="32">
        <f>IF(R567&lt;&gt;"Não","",IF(Q567+Config!$B$9&lt;=Config!$B$8,Config!$B$8-Q567,""))</f>
        <v/>
      </c>
      <c r="T567" s="26">
        <f>IF(S567="","","Sim")</f>
        <v/>
      </c>
      <c r="U567" s="41">
        <f>IF(T567="Sim",S567+ROW()/100000,0)</f>
        <v>0</v>
      </c>
      <c r="V567" s="41">
        <f>IF(AND(H567="Falta",L567=Config!$B$7,M567=Config!$B$5,COUNTIFS($E$5:E567,E567,$H$5:H567,"Falta",$L$5:L567,Config!$B$7,$M$5:M567,Config!$B$5)=1),COUNTIFS($E$5:$E$1204,E567,$H$5:$H$1204,"Falta",$L$5:$L$1204,Config!$B$7,$M$5:$M$1204,Config!$B$5)*1000-ROW()/100000,0)</f>
        <v>0</v>
      </c>
    </row>
    <row r="568">
      <c r="A568" s="39" t="n">
        <v>46261</v>
      </c>
      <c r="B568" s="40" t="n">
        <v>0.4513888888888889</v>
      </c>
      <c r="C568" s="35" t="inlineStr">
        <is>
          <t>Dra. Carolina Mendes</t>
        </is>
      </c>
      <c r="D568" s="35" t="inlineStr">
        <is>
          <t>Sala 1</t>
        </is>
      </c>
      <c r="E568" s="34" t="inlineStr">
        <is>
          <t>Otávio Cardoso</t>
        </is>
      </c>
      <c r="F568" s="35" t="inlineStr">
        <is>
          <t>Particular</t>
        </is>
      </c>
      <c r="G568" s="35" t="inlineStr">
        <is>
          <t>Retorno</t>
        </is>
      </c>
      <c r="H568" s="35" t="inlineStr">
        <is>
          <t>Realizado</t>
        </is>
      </c>
      <c r="I568" s="35" t="inlineStr">
        <is>
          <t>Sem cobrança</t>
        </is>
      </c>
      <c r="J568" s="35" t="n"/>
      <c r="K568" s="34" t="n"/>
      <c r="L568" s="26">
        <f>IF(A568="","",MONTH(A568))</f>
        <v>8</v>
      </c>
      <c r="M568" s="26">
        <f>IF(A568="","",YEAR(A568))</f>
        <v>2026</v>
      </c>
      <c r="N568" s="26" t="str">
        <f>IF(A568="","",CHOOSE(WEEKDAY(A568,2),"Segunda","Terça","Quarta","Quinta","Sexta","Sábado","Domingo"))</f>
        <v>Quinta</v>
      </c>
      <c r="O568" s="26" t="str">
        <f>IF(B568="","",IF(B568&lt;TIME(12,0,0),"Manhã",IF(B568&lt;TIME(18,0,0),"Tarde","Noite")))</f>
        <v>Manhã</v>
      </c>
      <c r="P568" s="32">
        <f>IF(G568="","",IFERROR(INDEX(Config!$I$5:$I$16,MATCH(G568,Config!$H$5:$H$16,0)),0))</f>
        <v>0</v>
      </c>
      <c r="Q568" s="30">
        <f>IF(OR(H568&lt;&gt;"Realizado",P568="",P568=0),"",A568+P568)</f>
        <v/>
      </c>
      <c r="R568" s="26">
        <f>IF(Q568="","",IF(COUNTIFS($E$5:$E$1204,E568,$A$5:$A$1204,"&gt;"&amp;A568,$H$5:$H$1204,"&lt;&gt;Falta",$H$5:$H$1204,"&lt;&gt;Cancelado",$H$5:$H$1204,"&lt;&gt;Remarcado")&gt;0,"Sim","Não"))</f>
        <v/>
      </c>
      <c r="S568" s="32">
        <f>IF(R568&lt;&gt;"Não","",IF(Q568+Config!$B$9&lt;=Config!$B$8,Config!$B$8-Q568,""))</f>
        <v/>
      </c>
      <c r="T568" s="26">
        <f>IF(S568="","","Sim")</f>
        <v/>
      </c>
      <c r="U568" s="41">
        <f>IF(T568="Sim",S568+ROW()/100000,0)</f>
        <v>0</v>
      </c>
      <c r="V568" s="41">
        <f>IF(AND(H568="Falta",L568=Config!$B$7,M568=Config!$B$5,COUNTIFS($E$5:E568,E568,$H$5:H568,"Falta",$L$5:L568,Config!$B$7,$M$5:M568,Config!$B$5)=1),COUNTIFS($E$5:$E$1204,E568,$H$5:$H$1204,"Falta",$L$5:$L$1204,Config!$B$7,$M$5:$M$1204,Config!$B$5)*1000-ROW()/100000,0)</f>
        <v>0</v>
      </c>
    </row>
    <row r="569">
      <c r="A569" s="39" t="n">
        <v>46261</v>
      </c>
      <c r="B569" s="40" t="n">
        <v>0.4652777777777778</v>
      </c>
      <c r="C569" s="35" t="inlineStr">
        <is>
          <t>Dra. Carolina Mendes</t>
        </is>
      </c>
      <c r="D569" s="35" t="inlineStr">
        <is>
          <t>Sala 1</t>
        </is>
      </c>
      <c r="E569" s="34" t="inlineStr">
        <is>
          <t>Gisele Ribeiro</t>
        </is>
      </c>
      <c r="F569" s="35" t="inlineStr">
        <is>
          <t>Particular</t>
        </is>
      </c>
      <c r="G569" s="35" t="inlineStr">
        <is>
          <t>Consulta</t>
        </is>
      </c>
      <c r="H569" s="35" t="inlineStr">
        <is>
          <t>Realizado</t>
        </is>
      </c>
      <c r="I569" s="35" t="inlineStr">
        <is>
          <t>A prazo</t>
        </is>
      </c>
      <c r="J569" s="35" t="n"/>
      <c r="K569" s="34" t="n"/>
      <c r="L569" s="26">
        <f>IF(A569="","",MONTH(A569))</f>
        <v>8</v>
      </c>
      <c r="M569" s="26">
        <f>IF(A569="","",YEAR(A569))</f>
        <v>2026</v>
      </c>
      <c r="N569" s="26" t="str">
        <f>IF(A569="","",CHOOSE(WEEKDAY(A569,2),"Segunda","Terça","Quarta","Quinta","Sexta","Sábado","Domingo"))</f>
        <v>Quinta</v>
      </c>
      <c r="O569" s="26" t="str">
        <f>IF(B569="","",IF(B569&lt;TIME(12,0,0),"Manhã",IF(B569&lt;TIME(18,0,0),"Tarde","Noite")))</f>
        <v>Manhã</v>
      </c>
      <c r="P569" s="32">
        <f>IF(G569="","",IFERROR(INDEX(Config!$I$5:$I$16,MATCH(G569,Config!$H$5:$H$16,0)),0))</f>
        <v>30</v>
      </c>
      <c r="Q569" s="30">
        <f>IF(OR(H569&lt;&gt;"Realizado",P569="",P569=0),"",A569+P569)</f>
        <v>46291.0</v>
      </c>
      <c r="R569" s="26" t="str">
        <f>IF(Q569="","",IF(COUNTIFS($E$5:$E$1204,E569,$A$5:$A$1204,"&gt;"&amp;A569,$H$5:$H$1204,"&lt;&gt;Falta",$H$5:$H$1204,"&lt;&gt;Cancelado",$H$5:$H$1204,"&lt;&gt;Remarcado")&gt;0,"Sim","Não"))</f>
        <v>Sim</v>
      </c>
      <c r="S569" s="32">
        <f>IF(R569&lt;&gt;"Não","",IF(Q569+Config!$B$9&lt;=Config!$B$8,Config!$B$8-Q569,""))</f>
        <v/>
      </c>
      <c r="T569" s="26">
        <f>IF(S569="","","Sim")</f>
        <v/>
      </c>
      <c r="U569" s="41">
        <f>IF(T569="Sim",S569+ROW()/100000,0)</f>
        <v>0</v>
      </c>
      <c r="V569" s="41">
        <f>IF(AND(H569="Falta",L569=Config!$B$7,M569=Config!$B$5,COUNTIFS($E$5:E569,E569,$H$5:H569,"Falta",$L$5:L569,Config!$B$7,$M$5:M569,Config!$B$5)=1),COUNTIFS($E$5:$E$1204,E569,$H$5:$H$1204,"Falta",$L$5:$L$1204,Config!$B$7,$M$5:$M$1204,Config!$B$5)*1000-ROW()/100000,0)</f>
        <v>0</v>
      </c>
    </row>
    <row r="570">
      <c r="A570" s="39" t="n">
        <v>46261</v>
      </c>
      <c r="B570" s="40" t="n">
        <v>0.4861111111111111</v>
      </c>
      <c r="C570" s="35" t="inlineStr">
        <is>
          <t>Dra. Carolina Mendes</t>
        </is>
      </c>
      <c r="D570" s="35" t="inlineStr">
        <is>
          <t>Sala 1</t>
        </is>
      </c>
      <c r="E570" s="34" t="inlineStr">
        <is>
          <t>Eduardo Lima</t>
        </is>
      </c>
      <c r="F570" s="35" t="inlineStr">
        <is>
          <t>Particular</t>
        </is>
      </c>
      <c r="G570" s="35" t="inlineStr">
        <is>
          <t>Retorno</t>
        </is>
      </c>
      <c r="H570" s="35" t="inlineStr">
        <is>
          <t>Falta</t>
        </is>
      </c>
      <c r="I570" s="35" t="n"/>
      <c r="J570" s="35" t="n"/>
      <c r="K570" s="34" t="n"/>
      <c r="L570" s="26">
        <f>IF(A570="","",MONTH(A570))</f>
        <v>8</v>
      </c>
      <c r="M570" s="26">
        <f>IF(A570="","",YEAR(A570))</f>
        <v>2026</v>
      </c>
      <c r="N570" s="26" t="str">
        <f>IF(A570="","",CHOOSE(WEEKDAY(A570,2),"Segunda","Terça","Quarta","Quinta","Sexta","Sábado","Domingo"))</f>
        <v>Quinta</v>
      </c>
      <c r="O570" s="26" t="str">
        <f>IF(B570="","",IF(B570&lt;TIME(12,0,0),"Manhã",IF(B570&lt;TIME(18,0,0),"Tarde","Noite")))</f>
        <v>Manhã</v>
      </c>
      <c r="P570" s="32">
        <f>IF(G570="","",IFERROR(INDEX(Config!$I$5:$I$16,MATCH(G570,Config!$H$5:$H$16,0)),0))</f>
        <v>0</v>
      </c>
      <c r="Q570" s="30">
        <f>IF(OR(H570&lt;&gt;"Realizado",P570="",P570=0),"",A570+P570)</f>
        <v/>
      </c>
      <c r="R570" s="26">
        <f>IF(Q570="","",IF(COUNTIFS($E$5:$E$1204,E570,$A$5:$A$1204,"&gt;"&amp;A570,$H$5:$H$1204,"&lt;&gt;Falta",$H$5:$H$1204,"&lt;&gt;Cancelado",$H$5:$H$1204,"&lt;&gt;Remarcado")&gt;0,"Sim","Não"))</f>
        <v/>
      </c>
      <c r="S570" s="32">
        <f>IF(R570&lt;&gt;"Não","",IF(Q570+Config!$B$9&lt;=Config!$B$8,Config!$B$8-Q570,""))</f>
        <v/>
      </c>
      <c r="T570" s="26">
        <f>IF(S570="","","Sim")</f>
        <v/>
      </c>
      <c r="U570" s="41">
        <f>IF(T570="Sim",S570+ROW()/100000,0)</f>
        <v>0</v>
      </c>
      <c r="V570" s="41">
        <f>IF(AND(H570="Falta",L570=Config!$B$7,M570=Config!$B$5,COUNTIFS($E$5:E570,E570,$H$5:H570,"Falta",$L$5:L570,Config!$B$7,$M$5:M570,Config!$B$5)=1),COUNTIFS($E$5:$E$1204,E570,$H$5:$H$1204,"Falta",$L$5:$L$1204,Config!$B$7,$M$5:$M$1204,Config!$B$5)*1000-ROW()/100000,0)</f>
        <v>0</v>
      </c>
    </row>
    <row r="571">
      <c r="A571" s="39" t="n">
        <v>46261</v>
      </c>
      <c r="B571" s="40" t="n">
        <v>0.5833333333333334</v>
      </c>
      <c r="C571" s="35" t="inlineStr">
        <is>
          <t>Dra. Renata Sousa</t>
        </is>
      </c>
      <c r="D571" s="35" t="inlineStr">
        <is>
          <t>Sala 1</t>
        </is>
      </c>
      <c r="E571" s="34" t="inlineStr">
        <is>
          <t>Priscila Reis</t>
        </is>
      </c>
      <c r="F571" s="35" t="inlineStr">
        <is>
          <t>Particular</t>
        </is>
      </c>
      <c r="G571" s="35" t="inlineStr">
        <is>
          <t>Retorno</t>
        </is>
      </c>
      <c r="H571" s="35" t="inlineStr">
        <is>
          <t>Cancelado</t>
        </is>
      </c>
      <c r="I571" s="35" t="n"/>
      <c r="J571" s="35" t="n"/>
      <c r="K571" s="34" t="n"/>
      <c r="L571" s="26">
        <f>IF(A571="","",MONTH(A571))</f>
        <v>8</v>
      </c>
      <c r="M571" s="26">
        <f>IF(A571="","",YEAR(A571))</f>
        <v>2026</v>
      </c>
      <c r="N571" s="26" t="str">
        <f>IF(A571="","",CHOOSE(WEEKDAY(A571,2),"Segunda","Terça","Quarta","Quinta","Sexta","Sábado","Domingo"))</f>
        <v>Quinta</v>
      </c>
      <c r="O571" s="26" t="str">
        <f>IF(B571="","",IF(B571&lt;TIME(12,0,0),"Manhã",IF(B571&lt;TIME(18,0,0),"Tarde","Noite")))</f>
        <v>Tarde</v>
      </c>
      <c r="P571" s="32">
        <f>IF(G571="","",IFERROR(INDEX(Config!$I$5:$I$16,MATCH(G571,Config!$H$5:$H$16,0)),0))</f>
        <v>0</v>
      </c>
      <c r="Q571" s="30">
        <f>IF(OR(H571&lt;&gt;"Realizado",P571="",P571=0),"",A571+P571)</f>
        <v/>
      </c>
      <c r="R571" s="26">
        <f>IF(Q571="","",IF(COUNTIFS($E$5:$E$1204,E571,$A$5:$A$1204,"&gt;"&amp;A571,$H$5:$H$1204,"&lt;&gt;Falta",$H$5:$H$1204,"&lt;&gt;Cancelado",$H$5:$H$1204,"&lt;&gt;Remarcado")&gt;0,"Sim","Não"))</f>
        <v/>
      </c>
      <c r="S571" s="32">
        <f>IF(R571&lt;&gt;"Não","",IF(Q571+Config!$B$9&lt;=Config!$B$8,Config!$B$8-Q571,""))</f>
        <v/>
      </c>
      <c r="T571" s="26">
        <f>IF(S571="","","Sim")</f>
        <v/>
      </c>
      <c r="U571" s="41">
        <f>IF(T571="Sim",S571+ROW()/100000,0)</f>
        <v>0</v>
      </c>
      <c r="V571" s="41">
        <f>IF(AND(H571="Falta",L571=Config!$B$7,M571=Config!$B$5,COUNTIFS($E$5:E571,E571,$H$5:H571,"Falta",$L$5:L571,Config!$B$7,$M$5:M571,Config!$B$5)=1),COUNTIFS($E$5:$E$1204,E571,$H$5:$H$1204,"Falta",$L$5:$L$1204,Config!$B$7,$M$5:$M$1204,Config!$B$5)*1000-ROW()/100000,0)</f>
        <v>0</v>
      </c>
    </row>
    <row r="572">
      <c r="A572" s="39" t="n">
        <v>46261</v>
      </c>
      <c r="B572" s="40" t="n">
        <v>0.5833333333333334</v>
      </c>
      <c r="C572" s="35" t="inlineStr">
        <is>
          <t>Dr. Paulo Andrade</t>
        </is>
      </c>
      <c r="D572" s="35" t="inlineStr">
        <is>
          <t>Sala 2</t>
        </is>
      </c>
      <c r="E572" s="34" t="inlineStr">
        <is>
          <t>Regina Castro</t>
        </is>
      </c>
      <c r="F572" s="35" t="inlineStr">
        <is>
          <t>Vida Care</t>
        </is>
      </c>
      <c r="G572" s="35" t="inlineStr">
        <is>
          <t>MAPA</t>
        </is>
      </c>
      <c r="H572" s="35" t="inlineStr">
        <is>
          <t>Realizado</t>
        </is>
      </c>
      <c r="I572" s="35" t="inlineStr">
        <is>
          <t>Convênio</t>
        </is>
      </c>
      <c r="J572" s="35" t="n"/>
      <c r="K572" s="34" t="n"/>
      <c r="L572" s="26">
        <f>IF(A572="","",MONTH(A572))</f>
        <v>8</v>
      </c>
      <c r="M572" s="26">
        <f>IF(A572="","",YEAR(A572))</f>
        <v>2026</v>
      </c>
      <c r="N572" s="26" t="str">
        <f>IF(A572="","",CHOOSE(WEEKDAY(A572,2),"Segunda","Terça","Quarta","Quinta","Sexta","Sábado","Domingo"))</f>
        <v>Quinta</v>
      </c>
      <c r="O572" s="26" t="str">
        <f>IF(B572="","",IF(B572&lt;TIME(12,0,0),"Manhã",IF(B572&lt;TIME(18,0,0),"Tarde","Noite")))</f>
        <v>Tarde</v>
      </c>
      <c r="P572" s="32">
        <f>IF(G572="","",IFERROR(INDEX(Config!$I$5:$I$16,MATCH(G572,Config!$H$5:$H$16,0)),0))</f>
        <v>0</v>
      </c>
      <c r="Q572" s="30">
        <f>IF(OR(H572&lt;&gt;"Realizado",P572="",P572=0),"",A572+P572)</f>
        <v/>
      </c>
      <c r="R572" s="26">
        <f>IF(Q572="","",IF(COUNTIFS($E$5:$E$1204,E572,$A$5:$A$1204,"&gt;"&amp;A572,$H$5:$H$1204,"&lt;&gt;Falta",$H$5:$H$1204,"&lt;&gt;Cancelado",$H$5:$H$1204,"&lt;&gt;Remarcado")&gt;0,"Sim","Não"))</f>
        <v/>
      </c>
      <c r="S572" s="32">
        <f>IF(R572&lt;&gt;"Não","",IF(Q572+Config!$B$9&lt;=Config!$B$8,Config!$B$8-Q572,""))</f>
        <v/>
      </c>
      <c r="T572" s="26">
        <f>IF(S572="","","Sim")</f>
        <v/>
      </c>
      <c r="U572" s="41">
        <f>IF(T572="Sim",S572+ROW()/100000,0)</f>
        <v>0</v>
      </c>
      <c r="V572" s="41">
        <f>IF(AND(H572="Falta",L572=Config!$B$7,M572=Config!$B$5,COUNTIFS($E$5:E572,E572,$H$5:H572,"Falta",$L$5:L572,Config!$B$7,$M$5:M572,Config!$B$5)=1),COUNTIFS($E$5:$E$1204,E572,$H$5:$H$1204,"Falta",$L$5:$L$1204,Config!$B$7,$M$5:$M$1204,Config!$B$5)*1000-ROW()/100000,0)</f>
        <v>0</v>
      </c>
    </row>
    <row r="573">
      <c r="A573" s="39" t="n">
        <v>46261</v>
      </c>
      <c r="B573" s="40" t="n">
        <v>0.5972222222222222</v>
      </c>
      <c r="C573" s="35" t="inlineStr">
        <is>
          <t>Dra. Renata Sousa</t>
        </is>
      </c>
      <c r="D573" s="35" t="inlineStr">
        <is>
          <t>Sala 1</t>
        </is>
      </c>
      <c r="E573" s="34" t="inlineStr">
        <is>
          <t>Priscila Reis</t>
        </is>
      </c>
      <c r="F573" s="35" t="inlineStr">
        <is>
          <t>Particular</t>
        </is>
      </c>
      <c r="G573" s="35" t="inlineStr">
        <is>
          <t>Avaliação endócrina</t>
        </is>
      </c>
      <c r="H573" s="35" t="inlineStr">
        <is>
          <t>Realizado</t>
        </is>
      </c>
      <c r="I573" s="35" t="inlineStr">
        <is>
          <t>Cartão de débito</t>
        </is>
      </c>
      <c r="J573" s="35" t="n"/>
      <c r="K573" s="34" t="n"/>
      <c r="L573" s="26">
        <f>IF(A573="","",MONTH(A573))</f>
        <v>8</v>
      </c>
      <c r="M573" s="26">
        <f>IF(A573="","",YEAR(A573))</f>
        <v>2026</v>
      </c>
      <c r="N573" s="26" t="str">
        <f>IF(A573="","",CHOOSE(WEEKDAY(A573,2),"Segunda","Terça","Quarta","Quinta","Sexta","Sábado","Domingo"))</f>
        <v>Quinta</v>
      </c>
      <c r="O573" s="26" t="str">
        <f>IF(B573="","",IF(B573&lt;TIME(12,0,0),"Manhã",IF(B573&lt;TIME(18,0,0),"Tarde","Noite")))</f>
        <v>Tarde</v>
      </c>
      <c r="P573" s="32">
        <f>IF(G573="","",IFERROR(INDEX(Config!$I$5:$I$16,MATCH(G573,Config!$H$5:$H$16,0)),0))</f>
        <v>45</v>
      </c>
      <c r="Q573" s="30">
        <f>IF(OR(H573&lt;&gt;"Realizado",P573="",P573=0),"",A573+P573)</f>
        <v>46306.0</v>
      </c>
      <c r="R573" s="26" t="str">
        <f>IF(Q573="","",IF(COUNTIFS($E$5:$E$1204,E573,$A$5:$A$1204,"&gt;"&amp;A573,$H$5:$H$1204,"&lt;&gt;Falta",$H$5:$H$1204,"&lt;&gt;Cancelado",$H$5:$H$1204,"&lt;&gt;Remarcado")&gt;0,"Sim","Não"))</f>
        <v>Sim</v>
      </c>
      <c r="S573" s="32">
        <f>IF(R573&lt;&gt;"Não","",IF(Q573+Config!$B$9&lt;=Config!$B$8,Config!$B$8-Q573,""))</f>
        <v/>
      </c>
      <c r="T573" s="26">
        <f>IF(S573="","","Sim")</f>
        <v/>
      </c>
      <c r="U573" s="41">
        <f>IF(T573="Sim",S573+ROW()/100000,0)</f>
        <v>0</v>
      </c>
      <c r="V573" s="41">
        <f>IF(AND(H573="Falta",L573=Config!$B$7,M573=Config!$B$5,COUNTIFS($E$5:E573,E573,$H$5:H573,"Falta",$L$5:L573,Config!$B$7,$M$5:M573,Config!$B$5)=1),COUNTIFS($E$5:$E$1204,E573,$H$5:$H$1204,"Falta",$L$5:$L$1204,Config!$B$7,$M$5:$M$1204,Config!$B$5)*1000-ROW()/100000,0)</f>
        <v>0</v>
      </c>
    </row>
    <row r="574">
      <c r="A574" s="39" t="n">
        <v>46261</v>
      </c>
      <c r="B574" s="40" t="n">
        <v>0.5972222222222222</v>
      </c>
      <c r="C574" s="35" t="inlineStr">
        <is>
          <t>Dr. Paulo Andrade</t>
        </is>
      </c>
      <c r="D574" s="35" t="inlineStr">
        <is>
          <t>Sala 2</t>
        </is>
      </c>
      <c r="E574" s="34" t="inlineStr">
        <is>
          <t>Thiago Duarte</t>
        </is>
      </c>
      <c r="F574" s="35" t="inlineStr">
        <is>
          <t>Saúde Total</t>
        </is>
      </c>
      <c r="G574" s="35" t="inlineStr">
        <is>
          <t>ECG</t>
        </is>
      </c>
      <c r="H574" s="35" t="inlineStr">
        <is>
          <t>Realizado</t>
        </is>
      </c>
      <c r="I574" s="35" t="inlineStr">
        <is>
          <t>Convênio</t>
        </is>
      </c>
      <c r="J574" s="35" t="n"/>
      <c r="K574" s="34" t="n"/>
      <c r="L574" s="26">
        <f>IF(A574="","",MONTH(A574))</f>
        <v>8</v>
      </c>
      <c r="M574" s="26">
        <f>IF(A574="","",YEAR(A574))</f>
        <v>2026</v>
      </c>
      <c r="N574" s="26" t="str">
        <f>IF(A574="","",CHOOSE(WEEKDAY(A574,2),"Segunda","Terça","Quarta","Quinta","Sexta","Sábado","Domingo"))</f>
        <v>Quinta</v>
      </c>
      <c r="O574" s="26" t="str">
        <f>IF(B574="","",IF(B574&lt;TIME(12,0,0),"Manhã",IF(B574&lt;TIME(18,0,0),"Tarde","Noite")))</f>
        <v>Tarde</v>
      </c>
      <c r="P574" s="32">
        <f>IF(G574="","",IFERROR(INDEX(Config!$I$5:$I$16,MATCH(G574,Config!$H$5:$H$16,0)),0))</f>
        <v>0</v>
      </c>
      <c r="Q574" s="30">
        <f>IF(OR(H574&lt;&gt;"Realizado",P574="",P574=0),"",A574+P574)</f>
        <v/>
      </c>
      <c r="R574" s="26">
        <f>IF(Q574="","",IF(COUNTIFS($E$5:$E$1204,E574,$A$5:$A$1204,"&gt;"&amp;A574,$H$5:$H$1204,"&lt;&gt;Falta",$H$5:$H$1204,"&lt;&gt;Cancelado",$H$5:$H$1204,"&lt;&gt;Remarcado")&gt;0,"Sim","Não"))</f>
        <v/>
      </c>
      <c r="S574" s="32">
        <f>IF(R574&lt;&gt;"Não","",IF(Q574+Config!$B$9&lt;=Config!$B$8,Config!$B$8-Q574,""))</f>
        <v/>
      </c>
      <c r="T574" s="26">
        <f>IF(S574="","","Sim")</f>
        <v/>
      </c>
      <c r="U574" s="41">
        <f>IF(T574="Sim",S574+ROW()/100000,0)</f>
        <v>0</v>
      </c>
      <c r="V574" s="41">
        <f>IF(AND(H574="Falta",L574=Config!$B$7,M574=Config!$B$5,COUNTIFS($E$5:E574,E574,$H$5:H574,"Falta",$L$5:L574,Config!$B$7,$M$5:M574,Config!$B$5)=1),COUNTIFS($E$5:$E$1204,E574,$H$5:$H$1204,"Falta",$L$5:$L$1204,Config!$B$7,$M$5:$M$1204,Config!$B$5)*1000-ROW()/100000,0)</f>
        <v>0</v>
      </c>
    </row>
    <row r="575">
      <c r="A575" s="39" t="n">
        <v>46261</v>
      </c>
      <c r="B575" s="40" t="n">
        <v>0.6111111111111112</v>
      </c>
      <c r="C575" s="35" t="inlineStr">
        <is>
          <t>Dr. Paulo Andrade</t>
        </is>
      </c>
      <c r="D575" s="35" t="inlineStr">
        <is>
          <t>Sala 2</t>
        </is>
      </c>
      <c r="E575" s="34" t="inlineStr">
        <is>
          <t>Wagner Costa</t>
        </is>
      </c>
      <c r="F575" s="35" t="inlineStr">
        <is>
          <t>Particular</t>
        </is>
      </c>
      <c r="G575" s="35" t="inlineStr">
        <is>
          <t>MAPA</t>
        </is>
      </c>
      <c r="H575" s="35" t="inlineStr">
        <is>
          <t>Realizado</t>
        </is>
      </c>
      <c r="I575" s="35" t="inlineStr">
        <is>
          <t>Pix</t>
        </is>
      </c>
      <c r="J575" s="35" t="n"/>
      <c r="K575" s="34" t="n"/>
      <c r="L575" s="26">
        <f>IF(A575="","",MONTH(A575))</f>
        <v>8</v>
      </c>
      <c r="M575" s="26">
        <f>IF(A575="","",YEAR(A575))</f>
        <v>2026</v>
      </c>
      <c r="N575" s="26" t="str">
        <f>IF(A575="","",CHOOSE(WEEKDAY(A575,2),"Segunda","Terça","Quarta","Quinta","Sexta","Sábado","Domingo"))</f>
        <v>Quinta</v>
      </c>
      <c r="O575" s="26" t="str">
        <f>IF(B575="","",IF(B575&lt;TIME(12,0,0),"Manhã",IF(B575&lt;TIME(18,0,0),"Tarde","Noite")))</f>
        <v>Tarde</v>
      </c>
      <c r="P575" s="32">
        <f>IF(G575="","",IFERROR(INDEX(Config!$I$5:$I$16,MATCH(G575,Config!$H$5:$H$16,0)),0))</f>
        <v>0</v>
      </c>
      <c r="Q575" s="30">
        <f>IF(OR(H575&lt;&gt;"Realizado",P575="",P575=0),"",A575+P575)</f>
        <v/>
      </c>
      <c r="R575" s="26">
        <f>IF(Q575="","",IF(COUNTIFS($E$5:$E$1204,E575,$A$5:$A$1204,"&gt;"&amp;A575,$H$5:$H$1204,"&lt;&gt;Falta",$H$5:$H$1204,"&lt;&gt;Cancelado",$H$5:$H$1204,"&lt;&gt;Remarcado")&gt;0,"Sim","Não"))</f>
        <v/>
      </c>
      <c r="S575" s="32">
        <f>IF(R575&lt;&gt;"Não","",IF(Q575+Config!$B$9&lt;=Config!$B$8,Config!$B$8-Q575,""))</f>
        <v/>
      </c>
      <c r="T575" s="26">
        <f>IF(S575="","","Sim")</f>
        <v/>
      </c>
      <c r="U575" s="41">
        <f>IF(T575="Sim",S575+ROW()/100000,0)</f>
        <v>0</v>
      </c>
      <c r="V575" s="41">
        <f>IF(AND(H575="Falta",L575=Config!$B$7,M575=Config!$B$5,COUNTIFS($E$5:E575,E575,$H$5:H575,"Falta",$L$5:L575,Config!$B$7,$M$5:M575,Config!$B$5)=1),COUNTIFS($E$5:$E$1204,E575,$H$5:$H$1204,"Falta",$L$5:$L$1204,Config!$B$7,$M$5:$M$1204,Config!$B$5)*1000-ROW()/100000,0)</f>
        <v>0</v>
      </c>
    </row>
    <row r="576">
      <c r="A576" s="39" t="n">
        <v>46261</v>
      </c>
      <c r="B576" s="40" t="n">
        <v>0.625</v>
      </c>
      <c r="C576" s="35" t="inlineStr">
        <is>
          <t>Dr. Paulo Andrade</t>
        </is>
      </c>
      <c r="D576" s="35" t="inlineStr">
        <is>
          <t>Sala 2</t>
        </is>
      </c>
      <c r="E576" s="34" t="inlineStr">
        <is>
          <t>Renato Dias</t>
        </is>
      </c>
      <c r="F576" s="35" t="inlineStr">
        <is>
          <t>Particular</t>
        </is>
      </c>
      <c r="G576" s="35" t="inlineStr">
        <is>
          <t>Holter</t>
        </is>
      </c>
      <c r="H576" s="35" t="inlineStr">
        <is>
          <t>Realizado</t>
        </is>
      </c>
      <c r="I576" s="35" t="inlineStr">
        <is>
          <t>A prazo</t>
        </is>
      </c>
      <c r="J576" s="35" t="n"/>
      <c r="K576" s="34" t="n"/>
      <c r="L576" s="26">
        <f>IF(A576="","",MONTH(A576))</f>
        <v>8</v>
      </c>
      <c r="M576" s="26">
        <f>IF(A576="","",YEAR(A576))</f>
        <v>2026</v>
      </c>
      <c r="N576" s="26" t="str">
        <f>IF(A576="","",CHOOSE(WEEKDAY(A576,2),"Segunda","Terça","Quarta","Quinta","Sexta","Sábado","Domingo"))</f>
        <v>Quinta</v>
      </c>
      <c r="O576" s="26" t="str">
        <f>IF(B576="","",IF(B576&lt;TIME(12,0,0),"Manhã",IF(B576&lt;TIME(18,0,0),"Tarde","Noite")))</f>
        <v>Tarde</v>
      </c>
      <c r="P576" s="32">
        <f>IF(G576="","",IFERROR(INDEX(Config!$I$5:$I$16,MATCH(G576,Config!$H$5:$H$16,0)),0))</f>
        <v>0</v>
      </c>
      <c r="Q576" s="30">
        <f>IF(OR(H576&lt;&gt;"Realizado",P576="",P576=0),"",A576+P576)</f>
        <v/>
      </c>
      <c r="R576" s="26">
        <f>IF(Q576="","",IF(COUNTIFS($E$5:$E$1204,E576,$A$5:$A$1204,"&gt;"&amp;A576,$H$5:$H$1204,"&lt;&gt;Falta",$H$5:$H$1204,"&lt;&gt;Cancelado",$H$5:$H$1204,"&lt;&gt;Remarcado")&gt;0,"Sim","Não"))</f>
        <v/>
      </c>
      <c r="S576" s="32">
        <f>IF(R576&lt;&gt;"Não","",IF(Q576+Config!$B$9&lt;=Config!$B$8,Config!$B$8-Q576,""))</f>
        <v/>
      </c>
      <c r="T576" s="26">
        <f>IF(S576="","","Sim")</f>
        <v/>
      </c>
      <c r="U576" s="41">
        <f>IF(T576="Sim",S576+ROW()/100000,0)</f>
        <v>0</v>
      </c>
      <c r="V576" s="41">
        <f>IF(AND(H576="Falta",L576=Config!$B$7,M576=Config!$B$5,COUNTIFS($E$5:E576,E576,$H$5:H576,"Falta",$L$5:L576,Config!$B$7,$M$5:M576,Config!$B$5)=1),COUNTIFS($E$5:$E$1204,E576,$H$5:$H$1204,"Falta",$L$5:$L$1204,Config!$B$7,$M$5:$M$1204,Config!$B$5)*1000-ROW()/100000,0)</f>
        <v>0</v>
      </c>
    </row>
    <row r="577">
      <c r="A577" s="39" t="n">
        <v>46261</v>
      </c>
      <c r="B577" s="40" t="n">
        <v>0.6458333333333334</v>
      </c>
      <c r="C577" s="35" t="inlineStr">
        <is>
          <t>Dra. Renata Sousa</t>
        </is>
      </c>
      <c r="D577" s="35" t="inlineStr">
        <is>
          <t>Sala 1</t>
        </is>
      </c>
      <c r="E577" s="34" t="inlineStr">
        <is>
          <t>Tatiana Macedo</t>
        </is>
      </c>
      <c r="F577" s="35" t="inlineStr">
        <is>
          <t>Particular</t>
        </is>
      </c>
      <c r="G577" s="35" t="inlineStr">
        <is>
          <t>Avaliação endócrina</t>
        </is>
      </c>
      <c r="H577" s="35" t="inlineStr">
        <is>
          <t>Realizado</t>
        </is>
      </c>
      <c r="I577" s="35" t="inlineStr">
        <is>
          <t>Pix</t>
        </is>
      </c>
      <c r="J577" s="35" t="n"/>
      <c r="K577" s="34" t="n"/>
      <c r="L577" s="26">
        <f>IF(A577="","",MONTH(A577))</f>
        <v>8</v>
      </c>
      <c r="M577" s="26">
        <f>IF(A577="","",YEAR(A577))</f>
        <v>2026</v>
      </c>
      <c r="N577" s="26" t="str">
        <f>IF(A577="","",CHOOSE(WEEKDAY(A577,2),"Segunda","Terça","Quarta","Quinta","Sexta","Sábado","Domingo"))</f>
        <v>Quinta</v>
      </c>
      <c r="O577" s="26" t="str">
        <f>IF(B577="","",IF(B577&lt;TIME(12,0,0),"Manhã",IF(B577&lt;TIME(18,0,0),"Tarde","Noite")))</f>
        <v>Tarde</v>
      </c>
      <c r="P577" s="32">
        <f>IF(G577="","",IFERROR(INDEX(Config!$I$5:$I$16,MATCH(G577,Config!$H$5:$H$16,0)),0))</f>
        <v>45</v>
      </c>
      <c r="Q577" s="30">
        <f>IF(OR(H577&lt;&gt;"Realizado",P577="",P577=0),"",A577+P577)</f>
        <v>46306.0</v>
      </c>
      <c r="R577" s="26" t="str">
        <f>IF(Q577="","",IF(COUNTIFS($E$5:$E$1204,E577,$A$5:$A$1204,"&gt;"&amp;A577,$H$5:$H$1204,"&lt;&gt;Falta",$H$5:$H$1204,"&lt;&gt;Cancelado",$H$5:$H$1204,"&lt;&gt;Remarcado")&gt;0,"Sim","Não"))</f>
        <v>Sim</v>
      </c>
      <c r="S577" s="32">
        <f>IF(R577&lt;&gt;"Não","",IF(Q577+Config!$B$9&lt;=Config!$B$8,Config!$B$8-Q577,""))</f>
        <v/>
      </c>
      <c r="T577" s="26">
        <f>IF(S577="","","Sim")</f>
        <v/>
      </c>
      <c r="U577" s="41">
        <f>IF(T577="Sim",S577+ROW()/100000,0)</f>
        <v>0</v>
      </c>
      <c r="V577" s="41">
        <f>IF(AND(H577="Falta",L577=Config!$B$7,M577=Config!$B$5,COUNTIFS($E$5:E577,E577,$H$5:H577,"Falta",$L$5:L577,Config!$B$7,$M$5:M577,Config!$B$5)=1),COUNTIFS($E$5:$E$1204,E577,$H$5:$H$1204,"Falta",$L$5:$L$1204,Config!$B$7,$M$5:$M$1204,Config!$B$5)*1000-ROW()/100000,0)</f>
        <v>0</v>
      </c>
    </row>
    <row r="578">
      <c r="A578" s="39" t="n">
        <v>46261</v>
      </c>
      <c r="B578" s="40" t="n">
        <v>0.6597222222222222</v>
      </c>
      <c r="C578" s="35" t="inlineStr">
        <is>
          <t>Dr. Paulo Andrade</t>
        </is>
      </c>
      <c r="D578" s="35" t="inlineStr">
        <is>
          <t>Sala 2</t>
        </is>
      </c>
      <c r="E578" s="34" t="inlineStr">
        <is>
          <t>Bruno Carvalho</t>
        </is>
      </c>
      <c r="F578" s="35" t="inlineStr">
        <is>
          <t>Saúde Total</t>
        </is>
      </c>
      <c r="G578" s="35" t="inlineStr">
        <is>
          <t>Consulta</t>
        </is>
      </c>
      <c r="H578" s="35" t="inlineStr">
        <is>
          <t>Realizado</t>
        </is>
      </c>
      <c r="I578" s="35" t="inlineStr">
        <is>
          <t>Convênio</t>
        </is>
      </c>
      <c r="J578" s="35" t="n"/>
      <c r="K578" s="34" t="n"/>
      <c r="L578" s="26">
        <f>IF(A578="","",MONTH(A578))</f>
        <v>8</v>
      </c>
      <c r="M578" s="26">
        <f>IF(A578="","",YEAR(A578))</f>
        <v>2026</v>
      </c>
      <c r="N578" s="26" t="str">
        <f>IF(A578="","",CHOOSE(WEEKDAY(A578,2),"Segunda","Terça","Quarta","Quinta","Sexta","Sábado","Domingo"))</f>
        <v>Quinta</v>
      </c>
      <c r="O578" s="26" t="str">
        <f>IF(B578="","",IF(B578&lt;TIME(12,0,0),"Manhã",IF(B578&lt;TIME(18,0,0),"Tarde","Noite")))</f>
        <v>Tarde</v>
      </c>
      <c r="P578" s="32">
        <f>IF(G578="","",IFERROR(INDEX(Config!$I$5:$I$16,MATCH(G578,Config!$H$5:$H$16,0)),0))</f>
        <v>30</v>
      </c>
      <c r="Q578" s="30">
        <f>IF(OR(H578&lt;&gt;"Realizado",P578="",P578=0),"",A578+P578)</f>
        <v>46291.0</v>
      </c>
      <c r="R578" s="26" t="str">
        <f>IF(Q578="","",IF(COUNTIFS($E$5:$E$1204,E578,$A$5:$A$1204,"&gt;"&amp;A578,$H$5:$H$1204,"&lt;&gt;Falta",$H$5:$H$1204,"&lt;&gt;Cancelado",$H$5:$H$1204,"&lt;&gt;Remarcado")&gt;0,"Sim","Não"))</f>
        <v>Sim</v>
      </c>
      <c r="S578" s="32">
        <f>IF(R578&lt;&gt;"Não","",IF(Q578+Config!$B$9&lt;=Config!$B$8,Config!$B$8-Q578,""))</f>
        <v/>
      </c>
      <c r="T578" s="26">
        <f>IF(S578="","","Sim")</f>
        <v/>
      </c>
      <c r="U578" s="41">
        <f>IF(T578="Sim",S578+ROW()/100000,0)</f>
        <v>0</v>
      </c>
      <c r="V578" s="41">
        <f>IF(AND(H578="Falta",L578=Config!$B$7,M578=Config!$B$5,COUNTIFS($E$5:E578,E578,$H$5:H578,"Falta",$L$5:L578,Config!$B$7,$M$5:M578,Config!$B$5)=1),COUNTIFS($E$5:$E$1204,E578,$H$5:$H$1204,"Falta",$L$5:$L$1204,Config!$B$7,$M$5:$M$1204,Config!$B$5)*1000-ROW()/100000,0)</f>
        <v>0</v>
      </c>
    </row>
    <row r="579">
      <c r="A579" s="39" t="n">
        <v>46261</v>
      </c>
      <c r="B579" s="40" t="n">
        <v>0.6736111111111112</v>
      </c>
      <c r="C579" s="35" t="inlineStr">
        <is>
          <t>Dra. Renata Sousa</t>
        </is>
      </c>
      <c r="D579" s="35" t="inlineStr">
        <is>
          <t>Sala 1</t>
        </is>
      </c>
      <c r="E579" s="34" t="inlineStr">
        <is>
          <t>Mariana Reis</t>
        </is>
      </c>
      <c r="F579" s="35" t="inlineStr">
        <is>
          <t>Particular</t>
        </is>
      </c>
      <c r="G579" s="35" t="inlineStr">
        <is>
          <t>Avaliação endócrina</t>
        </is>
      </c>
      <c r="H579" s="35" t="inlineStr">
        <is>
          <t>Realizado</t>
        </is>
      </c>
      <c r="I579" s="35" t="inlineStr">
        <is>
          <t>A prazo</t>
        </is>
      </c>
      <c r="J579" s="35" t="n"/>
      <c r="K579" s="34" t="n"/>
      <c r="L579" s="26">
        <f>IF(A579="","",MONTH(A579))</f>
        <v>8</v>
      </c>
      <c r="M579" s="26">
        <f>IF(A579="","",YEAR(A579))</f>
        <v>2026</v>
      </c>
      <c r="N579" s="26" t="str">
        <f>IF(A579="","",CHOOSE(WEEKDAY(A579,2),"Segunda","Terça","Quarta","Quinta","Sexta","Sábado","Domingo"))</f>
        <v>Quinta</v>
      </c>
      <c r="O579" s="26" t="str">
        <f>IF(B579="","",IF(B579&lt;TIME(12,0,0),"Manhã",IF(B579&lt;TIME(18,0,0),"Tarde","Noite")))</f>
        <v>Tarde</v>
      </c>
      <c r="P579" s="32">
        <f>IF(G579="","",IFERROR(INDEX(Config!$I$5:$I$16,MATCH(G579,Config!$H$5:$H$16,0)),0))</f>
        <v>45</v>
      </c>
      <c r="Q579" s="30">
        <f>IF(OR(H579&lt;&gt;"Realizado",P579="",P579=0),"",A579+P579)</f>
        <v>46306.0</v>
      </c>
      <c r="R579" s="26" t="str">
        <f>IF(Q579="","",IF(COUNTIFS($E$5:$E$1204,E579,$A$5:$A$1204,"&gt;"&amp;A579,$H$5:$H$1204,"&lt;&gt;Falta",$H$5:$H$1204,"&lt;&gt;Cancelado",$H$5:$H$1204,"&lt;&gt;Remarcado")&gt;0,"Sim","Não"))</f>
        <v>Sim</v>
      </c>
      <c r="S579" s="32">
        <f>IF(R579&lt;&gt;"Não","",IF(Q579+Config!$B$9&lt;=Config!$B$8,Config!$B$8-Q579,""))</f>
        <v/>
      </c>
      <c r="T579" s="26">
        <f>IF(S579="","","Sim")</f>
        <v/>
      </c>
      <c r="U579" s="41">
        <f>IF(T579="Sim",S579+ROW()/100000,0)</f>
        <v>0</v>
      </c>
      <c r="V579" s="41">
        <f>IF(AND(H579="Falta",L579=Config!$B$7,M579=Config!$B$5,COUNTIFS($E$5:E579,E579,$H$5:H579,"Falta",$L$5:L579,Config!$B$7,$M$5:M579,Config!$B$5)=1),COUNTIFS($E$5:$E$1204,E579,$H$5:$H$1204,"Falta",$L$5:$L$1204,Config!$B$7,$M$5:$M$1204,Config!$B$5)*1000-ROW()/100000,0)</f>
        <v>0</v>
      </c>
    </row>
    <row r="580">
      <c r="A580" s="39" t="n">
        <v>46261</v>
      </c>
      <c r="B580" s="40" t="n">
        <v>0.6805555555555556</v>
      </c>
      <c r="C580" s="35" t="inlineStr">
        <is>
          <t>Dr. Paulo Andrade</t>
        </is>
      </c>
      <c r="D580" s="35" t="inlineStr">
        <is>
          <t>Sala 2</t>
        </is>
      </c>
      <c r="E580" s="34" t="inlineStr">
        <is>
          <t>Fernanda Nunes</t>
        </is>
      </c>
      <c r="F580" s="35" t="inlineStr">
        <is>
          <t>MediPlan</t>
        </is>
      </c>
      <c r="G580" s="35" t="inlineStr">
        <is>
          <t>Consulta</t>
        </is>
      </c>
      <c r="H580" s="35" t="inlineStr">
        <is>
          <t>Realizado</t>
        </is>
      </c>
      <c r="I580" s="35" t="inlineStr">
        <is>
          <t>Convênio</t>
        </is>
      </c>
      <c r="J580" s="35" t="n"/>
      <c r="K580" s="34" t="n"/>
      <c r="L580" s="26">
        <f>IF(A580="","",MONTH(A580))</f>
        <v>8</v>
      </c>
      <c r="M580" s="26">
        <f>IF(A580="","",YEAR(A580))</f>
        <v>2026</v>
      </c>
      <c r="N580" s="26" t="str">
        <f>IF(A580="","",CHOOSE(WEEKDAY(A580,2),"Segunda","Terça","Quarta","Quinta","Sexta","Sábado","Domingo"))</f>
        <v>Quinta</v>
      </c>
      <c r="O580" s="26" t="str">
        <f>IF(B580="","",IF(B580&lt;TIME(12,0,0),"Manhã",IF(B580&lt;TIME(18,0,0),"Tarde","Noite")))</f>
        <v>Tarde</v>
      </c>
      <c r="P580" s="32">
        <f>IF(G580="","",IFERROR(INDEX(Config!$I$5:$I$16,MATCH(G580,Config!$H$5:$H$16,0)),0))</f>
        <v>30</v>
      </c>
      <c r="Q580" s="30">
        <f>IF(OR(H580&lt;&gt;"Realizado",P580="",P580=0),"",A580+P580)</f>
        <v>46291.0</v>
      </c>
      <c r="R580" s="26" t="str">
        <f>IF(Q580="","",IF(COUNTIFS($E$5:$E$1204,E580,$A$5:$A$1204,"&gt;"&amp;A580,$H$5:$H$1204,"&lt;&gt;Falta",$H$5:$H$1204,"&lt;&gt;Cancelado",$H$5:$H$1204,"&lt;&gt;Remarcado")&gt;0,"Sim","Não"))</f>
        <v>Sim</v>
      </c>
      <c r="S580" s="32">
        <f>IF(R580&lt;&gt;"Não","",IF(Q580+Config!$B$9&lt;=Config!$B$8,Config!$B$8-Q580,""))</f>
        <v/>
      </c>
      <c r="T580" s="26">
        <f>IF(S580="","","Sim")</f>
        <v/>
      </c>
      <c r="U580" s="41">
        <f>IF(T580="Sim",S580+ROW()/100000,0)</f>
        <v>0</v>
      </c>
      <c r="V580" s="41">
        <f>IF(AND(H580="Falta",L580=Config!$B$7,M580=Config!$B$5,COUNTIFS($E$5:E580,E580,$H$5:H580,"Falta",$L$5:L580,Config!$B$7,$M$5:M580,Config!$B$5)=1),COUNTIFS($E$5:$E$1204,E580,$H$5:$H$1204,"Falta",$L$5:$L$1204,Config!$B$7,$M$5:$M$1204,Config!$B$5)*1000-ROW()/100000,0)</f>
        <v>0</v>
      </c>
    </row>
    <row r="581">
      <c r="A581" s="39" t="n">
        <v>46261</v>
      </c>
      <c r="B581" s="40" t="n">
        <v>0.7013888888888888</v>
      </c>
      <c r="C581" s="35" t="inlineStr">
        <is>
          <t>Dr. Paulo Andrade</t>
        </is>
      </c>
      <c r="D581" s="35" t="inlineStr">
        <is>
          <t>Sala 2</t>
        </is>
      </c>
      <c r="E581" s="34" t="inlineStr">
        <is>
          <t>Débora Moreira</t>
        </is>
      </c>
      <c r="F581" s="35" t="inlineStr">
        <is>
          <t>Particular</t>
        </is>
      </c>
      <c r="G581" s="35" t="inlineStr">
        <is>
          <t>Retorno</t>
        </is>
      </c>
      <c r="H581" s="35" t="inlineStr">
        <is>
          <t>Realizado</t>
        </is>
      </c>
      <c r="I581" s="35" t="inlineStr">
        <is>
          <t>Sem cobrança</t>
        </is>
      </c>
      <c r="J581" s="35" t="n"/>
      <c r="K581" s="34" t="n"/>
      <c r="L581" s="26">
        <f>IF(A581="","",MONTH(A581))</f>
        <v>8</v>
      </c>
      <c r="M581" s="26">
        <f>IF(A581="","",YEAR(A581))</f>
        <v>2026</v>
      </c>
      <c r="N581" s="26" t="str">
        <f>IF(A581="","",CHOOSE(WEEKDAY(A581,2),"Segunda","Terça","Quarta","Quinta","Sexta","Sábado","Domingo"))</f>
        <v>Quinta</v>
      </c>
      <c r="O581" s="26" t="str">
        <f>IF(B581="","",IF(B581&lt;TIME(12,0,0),"Manhã",IF(B581&lt;TIME(18,0,0),"Tarde","Noite")))</f>
        <v>Tarde</v>
      </c>
      <c r="P581" s="32">
        <f>IF(G581="","",IFERROR(INDEX(Config!$I$5:$I$16,MATCH(G581,Config!$H$5:$H$16,0)),0))</f>
        <v>0</v>
      </c>
      <c r="Q581" s="30">
        <f>IF(OR(H581&lt;&gt;"Realizado",P581="",P581=0),"",A581+P581)</f>
        <v/>
      </c>
      <c r="R581" s="26">
        <f>IF(Q581="","",IF(COUNTIFS($E$5:$E$1204,E581,$A$5:$A$1204,"&gt;"&amp;A581,$H$5:$H$1204,"&lt;&gt;Falta",$H$5:$H$1204,"&lt;&gt;Cancelado",$H$5:$H$1204,"&lt;&gt;Remarcado")&gt;0,"Sim","Não"))</f>
        <v/>
      </c>
      <c r="S581" s="32">
        <f>IF(R581&lt;&gt;"Não","",IF(Q581+Config!$B$9&lt;=Config!$B$8,Config!$B$8-Q581,""))</f>
        <v/>
      </c>
      <c r="T581" s="26">
        <f>IF(S581="","","Sim")</f>
        <v/>
      </c>
      <c r="U581" s="41">
        <f>IF(T581="Sim",S581+ROW()/100000,0)</f>
        <v>0</v>
      </c>
      <c r="V581" s="41">
        <f>IF(AND(H581="Falta",L581=Config!$B$7,M581=Config!$B$5,COUNTIFS($E$5:E581,E581,$H$5:H581,"Falta",$L$5:L581,Config!$B$7,$M$5:M581,Config!$B$5)=1),COUNTIFS($E$5:$E$1204,E581,$H$5:$H$1204,"Falta",$L$5:$L$1204,Config!$B$7,$M$5:$M$1204,Config!$B$5)*1000-ROW()/100000,0)</f>
        <v>0</v>
      </c>
    </row>
    <row r="582">
      <c r="A582" s="39" t="n">
        <v>46261</v>
      </c>
      <c r="B582" s="40" t="n">
        <v>0.7222222222222222</v>
      </c>
      <c r="C582" s="35" t="inlineStr">
        <is>
          <t>Dra. Renata Sousa</t>
        </is>
      </c>
      <c r="D582" s="35" t="inlineStr">
        <is>
          <t>Sala 1</t>
        </is>
      </c>
      <c r="E582" s="34" t="inlineStr">
        <is>
          <t>Patrícia Dias</t>
        </is>
      </c>
      <c r="F582" s="35" t="inlineStr">
        <is>
          <t>Particular</t>
        </is>
      </c>
      <c r="G582" s="35" t="inlineStr">
        <is>
          <t>Avaliação endócrina</t>
        </is>
      </c>
      <c r="H582" s="35" t="inlineStr">
        <is>
          <t>Falta</t>
        </is>
      </c>
      <c r="I582" s="35" t="n"/>
      <c r="J582" s="35" t="n"/>
      <c r="K582" s="34" t="n"/>
      <c r="L582" s="26">
        <f>IF(A582="","",MONTH(A582))</f>
        <v>8</v>
      </c>
      <c r="M582" s="26">
        <f>IF(A582="","",YEAR(A582))</f>
        <v>2026</v>
      </c>
      <c r="N582" s="26" t="str">
        <f>IF(A582="","",CHOOSE(WEEKDAY(A582,2),"Segunda","Terça","Quarta","Quinta","Sexta","Sábado","Domingo"))</f>
        <v>Quinta</v>
      </c>
      <c r="O582" s="26" t="str">
        <f>IF(B582="","",IF(B582&lt;TIME(12,0,0),"Manhã",IF(B582&lt;TIME(18,0,0),"Tarde","Noite")))</f>
        <v>Tarde</v>
      </c>
      <c r="P582" s="32">
        <f>IF(G582="","",IFERROR(INDEX(Config!$I$5:$I$16,MATCH(G582,Config!$H$5:$H$16,0)),0))</f>
        <v>45</v>
      </c>
      <c r="Q582" s="30">
        <f>IF(OR(H582&lt;&gt;"Realizado",P582="",P582=0),"",A582+P582)</f>
        <v/>
      </c>
      <c r="R582" s="26">
        <f>IF(Q582="","",IF(COUNTIFS($E$5:$E$1204,E582,$A$5:$A$1204,"&gt;"&amp;A582,$H$5:$H$1204,"&lt;&gt;Falta",$H$5:$H$1204,"&lt;&gt;Cancelado",$H$5:$H$1204,"&lt;&gt;Remarcado")&gt;0,"Sim","Não"))</f>
        <v/>
      </c>
      <c r="S582" s="32">
        <f>IF(R582&lt;&gt;"Não","",IF(Q582+Config!$B$9&lt;=Config!$B$8,Config!$B$8-Q582,""))</f>
        <v/>
      </c>
      <c r="T582" s="26">
        <f>IF(S582="","","Sim")</f>
        <v/>
      </c>
      <c r="U582" s="41">
        <f>IF(T582="Sim",S582+ROW()/100000,0)</f>
        <v>0</v>
      </c>
      <c r="V582" s="41">
        <f>IF(AND(H582="Falta",L582=Config!$B$7,M582=Config!$B$5,COUNTIFS($E$5:E582,E582,$H$5:H582,"Falta",$L$5:L582,Config!$B$7,$M$5:M582,Config!$B$5)=1),COUNTIFS($E$5:$E$1204,E582,$H$5:$H$1204,"Falta",$L$5:$L$1204,Config!$B$7,$M$5:$M$1204,Config!$B$5)*1000-ROW()/100000,0)</f>
        <v>0</v>
      </c>
    </row>
    <row r="583">
      <c r="A583" s="39" t="n">
        <v>46261</v>
      </c>
      <c r="B583" s="40" t="n">
        <v>0.7361111111111112</v>
      </c>
      <c r="C583" s="35" t="inlineStr">
        <is>
          <t>Dr. Paulo Andrade</t>
        </is>
      </c>
      <c r="D583" s="35" t="inlineStr">
        <is>
          <t>Sala 2</t>
        </is>
      </c>
      <c r="E583" s="34" t="inlineStr">
        <is>
          <t>Wagner Carvalho</t>
        </is>
      </c>
      <c r="F583" s="35" t="inlineStr">
        <is>
          <t>Vida Care</t>
        </is>
      </c>
      <c r="G583" s="35" t="inlineStr">
        <is>
          <t>Retorno</t>
        </is>
      </c>
      <c r="H583" s="35" t="inlineStr">
        <is>
          <t>Realizado</t>
        </is>
      </c>
      <c r="I583" s="35" t="inlineStr">
        <is>
          <t>Sem cobrança</t>
        </is>
      </c>
      <c r="J583" s="35" t="n"/>
      <c r="K583" s="34" t="n"/>
      <c r="L583" s="26">
        <f>IF(A583="","",MONTH(A583))</f>
        <v>8</v>
      </c>
      <c r="M583" s="26">
        <f>IF(A583="","",YEAR(A583))</f>
        <v>2026</v>
      </c>
      <c r="N583" s="26" t="str">
        <f>IF(A583="","",CHOOSE(WEEKDAY(A583,2),"Segunda","Terça","Quarta","Quinta","Sexta","Sábado","Domingo"))</f>
        <v>Quinta</v>
      </c>
      <c r="O583" s="26" t="str">
        <f>IF(B583="","",IF(B583&lt;TIME(12,0,0),"Manhã",IF(B583&lt;TIME(18,0,0),"Tarde","Noite")))</f>
        <v>Tarde</v>
      </c>
      <c r="P583" s="32">
        <f>IF(G583="","",IFERROR(INDEX(Config!$I$5:$I$16,MATCH(G583,Config!$H$5:$H$16,0)),0))</f>
        <v>0</v>
      </c>
      <c r="Q583" s="30">
        <f>IF(OR(H583&lt;&gt;"Realizado",P583="",P583=0),"",A583+P583)</f>
        <v/>
      </c>
      <c r="R583" s="26">
        <f>IF(Q583="","",IF(COUNTIFS($E$5:$E$1204,E583,$A$5:$A$1204,"&gt;"&amp;A583,$H$5:$H$1204,"&lt;&gt;Falta",$H$5:$H$1204,"&lt;&gt;Cancelado",$H$5:$H$1204,"&lt;&gt;Remarcado")&gt;0,"Sim","Não"))</f>
        <v/>
      </c>
      <c r="S583" s="32">
        <f>IF(R583&lt;&gt;"Não","",IF(Q583+Config!$B$9&lt;=Config!$B$8,Config!$B$8-Q583,""))</f>
        <v/>
      </c>
      <c r="T583" s="26">
        <f>IF(S583="","","Sim")</f>
        <v/>
      </c>
      <c r="U583" s="41">
        <f>IF(T583="Sim",S583+ROW()/100000,0)</f>
        <v>0</v>
      </c>
      <c r="V583" s="41">
        <f>IF(AND(H583="Falta",L583=Config!$B$7,M583=Config!$B$5,COUNTIFS($E$5:E583,E583,$H$5:H583,"Falta",$L$5:L583,Config!$B$7,$M$5:M583,Config!$B$5)=1),COUNTIFS($E$5:$E$1204,E583,$H$5:$H$1204,"Falta",$L$5:$L$1204,Config!$B$7,$M$5:$M$1204,Config!$B$5)*1000-ROW()/100000,0)</f>
        <v>0</v>
      </c>
    </row>
    <row r="584">
      <c r="A584" s="39" t="n">
        <v>46262</v>
      </c>
      <c r="B584" s="40" t="n">
        <v>0.3333333333333333</v>
      </c>
      <c r="C584" s="35" t="inlineStr">
        <is>
          <t>Dr. Paulo Andrade</t>
        </is>
      </c>
      <c r="D584" s="35" t="inlineStr">
        <is>
          <t>Sala 2</t>
        </is>
      </c>
      <c r="E584" s="34" t="inlineStr">
        <is>
          <t>Vanessa Carvalho</t>
        </is>
      </c>
      <c r="F584" s="35" t="inlineStr">
        <is>
          <t>Saúde Total</t>
        </is>
      </c>
      <c r="G584" s="35" t="inlineStr">
        <is>
          <t>Consulta</t>
        </is>
      </c>
      <c r="H584" s="35" t="inlineStr">
        <is>
          <t>Realizado</t>
        </is>
      </c>
      <c r="I584" s="35" t="inlineStr">
        <is>
          <t>Convênio</t>
        </is>
      </c>
      <c r="J584" s="35" t="n"/>
      <c r="K584" s="34" t="n"/>
      <c r="L584" s="26">
        <f>IF(A584="","",MONTH(A584))</f>
        <v>8</v>
      </c>
      <c r="M584" s="26">
        <f>IF(A584="","",YEAR(A584))</f>
        <v>2026</v>
      </c>
      <c r="N584" s="26" t="str">
        <f>IF(A584="","",CHOOSE(WEEKDAY(A584,2),"Segunda","Terça","Quarta","Quinta","Sexta","Sábado","Domingo"))</f>
        <v>Sexta</v>
      </c>
      <c r="O584" s="26" t="str">
        <f>IF(B584="","",IF(B584&lt;TIME(12,0,0),"Manhã",IF(B584&lt;TIME(18,0,0),"Tarde","Noite")))</f>
        <v>Manhã</v>
      </c>
      <c r="P584" s="32">
        <f>IF(G584="","",IFERROR(INDEX(Config!$I$5:$I$16,MATCH(G584,Config!$H$5:$H$16,0)),0))</f>
        <v>30</v>
      </c>
      <c r="Q584" s="30">
        <f>IF(OR(H584&lt;&gt;"Realizado",P584="",P584=0),"",A584+P584)</f>
        <v>46292.0</v>
      </c>
      <c r="R584" s="26" t="str">
        <f>IF(Q584="","",IF(COUNTIFS($E$5:$E$1204,E584,$A$5:$A$1204,"&gt;"&amp;A584,$H$5:$H$1204,"&lt;&gt;Falta",$H$5:$H$1204,"&lt;&gt;Cancelado",$H$5:$H$1204,"&lt;&gt;Remarcado")&gt;0,"Sim","Não"))</f>
        <v>Sim</v>
      </c>
      <c r="S584" s="32">
        <f>IF(R584&lt;&gt;"Não","",IF(Q584+Config!$B$9&lt;=Config!$B$8,Config!$B$8-Q584,""))</f>
        <v/>
      </c>
      <c r="T584" s="26">
        <f>IF(S584="","","Sim")</f>
        <v/>
      </c>
      <c r="U584" s="41">
        <f>IF(T584="Sim",S584+ROW()/100000,0)</f>
        <v>0</v>
      </c>
      <c r="V584" s="41">
        <f>IF(AND(H584="Falta",L584=Config!$B$7,M584=Config!$B$5,COUNTIFS($E$5:E584,E584,$H$5:H584,"Falta",$L$5:L584,Config!$B$7,$M$5:M584,Config!$B$5)=1),COUNTIFS($E$5:$E$1204,E584,$H$5:$H$1204,"Falta",$L$5:$L$1204,Config!$B$7,$M$5:$M$1204,Config!$B$5)*1000-ROW()/100000,0)</f>
        <v>0</v>
      </c>
    </row>
    <row r="585">
      <c r="A585" s="39" t="n">
        <v>46262</v>
      </c>
      <c r="B585" s="40" t="n">
        <v>0.3541666666666667</v>
      </c>
      <c r="C585" s="35" t="inlineStr">
        <is>
          <t>Dr. Paulo Andrade</t>
        </is>
      </c>
      <c r="D585" s="35" t="inlineStr">
        <is>
          <t>Sala 2</t>
        </is>
      </c>
      <c r="E585" s="34" t="inlineStr">
        <is>
          <t>Mateus Martins</t>
        </is>
      </c>
      <c r="F585" s="35" t="inlineStr">
        <is>
          <t>Vida Care</t>
        </is>
      </c>
      <c r="G585" s="35" t="inlineStr">
        <is>
          <t>Consulta</t>
        </is>
      </c>
      <c r="H585" s="35" t="inlineStr">
        <is>
          <t>Realizado</t>
        </is>
      </c>
      <c r="I585" s="35" t="inlineStr">
        <is>
          <t>Convênio</t>
        </is>
      </c>
      <c r="J585" s="35" t="n"/>
      <c r="K585" s="34" t="n"/>
      <c r="L585" s="26">
        <f>IF(A585="","",MONTH(A585))</f>
        <v>8</v>
      </c>
      <c r="M585" s="26">
        <f>IF(A585="","",YEAR(A585))</f>
        <v>2026</v>
      </c>
      <c r="N585" s="26" t="str">
        <f>IF(A585="","",CHOOSE(WEEKDAY(A585,2),"Segunda","Terça","Quarta","Quinta","Sexta","Sábado","Domingo"))</f>
        <v>Sexta</v>
      </c>
      <c r="O585" s="26" t="str">
        <f>IF(B585="","",IF(B585&lt;TIME(12,0,0),"Manhã",IF(B585&lt;TIME(18,0,0),"Tarde","Noite")))</f>
        <v>Manhã</v>
      </c>
      <c r="P585" s="32">
        <f>IF(G585="","",IFERROR(INDEX(Config!$I$5:$I$16,MATCH(G585,Config!$H$5:$H$16,0)),0))</f>
        <v>30</v>
      </c>
      <c r="Q585" s="30">
        <f>IF(OR(H585&lt;&gt;"Realizado",P585="",P585=0),"",A585+P585)</f>
        <v>46292.0</v>
      </c>
      <c r="R585" s="26" t="str">
        <f>IF(Q585="","",IF(COUNTIFS($E$5:$E$1204,E585,$A$5:$A$1204,"&gt;"&amp;A585,$H$5:$H$1204,"&lt;&gt;Falta",$H$5:$H$1204,"&lt;&gt;Cancelado",$H$5:$H$1204,"&lt;&gt;Remarcado")&gt;0,"Sim","Não"))</f>
        <v>Sim</v>
      </c>
      <c r="S585" s="32">
        <f>IF(R585&lt;&gt;"Não","",IF(Q585+Config!$B$9&lt;=Config!$B$8,Config!$B$8-Q585,""))</f>
        <v/>
      </c>
      <c r="T585" s="26">
        <f>IF(S585="","","Sim")</f>
        <v/>
      </c>
      <c r="U585" s="41">
        <f>IF(T585="Sim",S585+ROW()/100000,0)</f>
        <v>0</v>
      </c>
      <c r="V585" s="41">
        <f>IF(AND(H585="Falta",L585=Config!$B$7,M585=Config!$B$5,COUNTIFS($E$5:E585,E585,$H$5:H585,"Falta",$L$5:L585,Config!$B$7,$M$5:M585,Config!$B$5)=1),COUNTIFS($E$5:$E$1204,E585,$H$5:$H$1204,"Falta",$L$5:$L$1204,Config!$B$7,$M$5:$M$1204,Config!$B$5)*1000-ROW()/100000,0)</f>
        <v>0</v>
      </c>
    </row>
    <row r="586">
      <c r="A586" s="39" t="n">
        <v>46262</v>
      </c>
      <c r="B586" s="40" t="n">
        <v>0.3958333333333333</v>
      </c>
      <c r="C586" s="35" t="inlineStr">
        <is>
          <t>Dr. Paulo Andrade</t>
        </is>
      </c>
      <c r="D586" s="35" t="inlineStr">
        <is>
          <t>Sala 2</t>
        </is>
      </c>
      <c r="E586" s="34" t="inlineStr">
        <is>
          <t>Henrique Santos</t>
        </is>
      </c>
      <c r="F586" s="35" t="inlineStr">
        <is>
          <t>Vida Care</t>
        </is>
      </c>
      <c r="G586" s="35" t="inlineStr">
        <is>
          <t>Consulta</t>
        </is>
      </c>
      <c r="H586" s="35" t="inlineStr">
        <is>
          <t>Realizado</t>
        </is>
      </c>
      <c r="I586" s="35" t="inlineStr">
        <is>
          <t>Convênio</t>
        </is>
      </c>
      <c r="J586" s="35" t="n"/>
      <c r="K586" s="34" t="n"/>
      <c r="L586" s="26">
        <f>IF(A586="","",MONTH(A586))</f>
        <v>8</v>
      </c>
      <c r="M586" s="26">
        <f>IF(A586="","",YEAR(A586))</f>
        <v>2026</v>
      </c>
      <c r="N586" s="26" t="str">
        <f>IF(A586="","",CHOOSE(WEEKDAY(A586,2),"Segunda","Terça","Quarta","Quinta","Sexta","Sábado","Domingo"))</f>
        <v>Sexta</v>
      </c>
      <c r="O586" s="26" t="str">
        <f>IF(B586="","",IF(B586&lt;TIME(12,0,0),"Manhã",IF(B586&lt;TIME(18,0,0),"Tarde","Noite")))</f>
        <v>Manhã</v>
      </c>
      <c r="P586" s="32">
        <f>IF(G586="","",IFERROR(INDEX(Config!$I$5:$I$16,MATCH(G586,Config!$H$5:$H$16,0)),0))</f>
        <v>30</v>
      </c>
      <c r="Q586" s="30">
        <f>IF(OR(H586&lt;&gt;"Realizado",P586="",P586=0),"",A586+P586)</f>
        <v>46292.0</v>
      </c>
      <c r="R586" s="26" t="str">
        <f>IF(Q586="","",IF(COUNTIFS($E$5:$E$1204,E586,$A$5:$A$1204,"&gt;"&amp;A586,$H$5:$H$1204,"&lt;&gt;Falta",$H$5:$H$1204,"&lt;&gt;Cancelado",$H$5:$H$1204,"&lt;&gt;Remarcado")&gt;0,"Sim","Não"))</f>
        <v>Não</v>
      </c>
      <c r="S586" s="32">
        <f>IF(R586&lt;&gt;"Não","",IF(Q586+Config!$B$9&lt;=Config!$B$8,Config!$B$8-Q586,""))</f>
        <v/>
      </c>
      <c r="T586" s="26">
        <f>IF(S586="","","Sim")</f>
        <v/>
      </c>
      <c r="U586" s="41">
        <f>IF(T586="Sim",S586+ROW()/100000,0)</f>
        <v>0</v>
      </c>
      <c r="V586" s="41">
        <f>IF(AND(H586="Falta",L586=Config!$B$7,M586=Config!$B$5,COUNTIFS($E$5:E586,E586,$H$5:H586,"Falta",$L$5:L586,Config!$B$7,$M$5:M586,Config!$B$5)=1),COUNTIFS($E$5:$E$1204,E586,$H$5:$H$1204,"Falta",$L$5:$L$1204,Config!$B$7,$M$5:$M$1204,Config!$B$5)*1000-ROW()/100000,0)</f>
        <v>0</v>
      </c>
    </row>
    <row r="587">
      <c r="A587" s="39" t="n">
        <v>46262</v>
      </c>
      <c r="B587" s="40" t="n">
        <v>0.4375</v>
      </c>
      <c r="C587" s="35" t="inlineStr">
        <is>
          <t>Dr. Paulo Andrade</t>
        </is>
      </c>
      <c r="D587" s="35" t="inlineStr">
        <is>
          <t>Sala 2</t>
        </is>
      </c>
      <c r="E587" s="34" t="inlineStr">
        <is>
          <t>Paulo Nascimento</t>
        </is>
      </c>
      <c r="F587" s="35" t="inlineStr">
        <is>
          <t>MediPlan</t>
        </is>
      </c>
      <c r="G587" s="35" t="inlineStr">
        <is>
          <t>Consulta</t>
        </is>
      </c>
      <c r="H587" s="35" t="inlineStr">
        <is>
          <t>Realizado</t>
        </is>
      </c>
      <c r="I587" s="35" t="inlineStr">
        <is>
          <t>Convênio</t>
        </is>
      </c>
      <c r="J587" s="35" t="n"/>
      <c r="K587" s="34" t="n"/>
      <c r="L587" s="26">
        <f>IF(A587="","",MONTH(A587))</f>
        <v>8</v>
      </c>
      <c r="M587" s="26">
        <f>IF(A587="","",YEAR(A587))</f>
        <v>2026</v>
      </c>
      <c r="N587" s="26" t="str">
        <f>IF(A587="","",CHOOSE(WEEKDAY(A587,2),"Segunda","Terça","Quarta","Quinta","Sexta","Sábado","Domingo"))</f>
        <v>Sexta</v>
      </c>
      <c r="O587" s="26" t="str">
        <f>IF(B587="","",IF(B587&lt;TIME(12,0,0),"Manhã",IF(B587&lt;TIME(18,0,0),"Tarde","Noite")))</f>
        <v>Manhã</v>
      </c>
      <c r="P587" s="32">
        <f>IF(G587="","",IFERROR(INDEX(Config!$I$5:$I$16,MATCH(G587,Config!$H$5:$H$16,0)),0))</f>
        <v>30</v>
      </c>
      <c r="Q587" s="30">
        <f>IF(OR(H587&lt;&gt;"Realizado",P587="",P587=0),"",A587+P587)</f>
        <v>46292.0</v>
      </c>
      <c r="R587" s="26" t="str">
        <f>IF(Q587="","",IF(COUNTIFS($E$5:$E$1204,E587,$A$5:$A$1204,"&gt;"&amp;A587,$H$5:$H$1204,"&lt;&gt;Falta",$H$5:$H$1204,"&lt;&gt;Cancelado",$H$5:$H$1204,"&lt;&gt;Remarcado")&gt;0,"Sim","Não"))</f>
        <v>Sim</v>
      </c>
      <c r="S587" s="32">
        <f>IF(R587&lt;&gt;"Não","",IF(Q587+Config!$B$9&lt;=Config!$B$8,Config!$B$8-Q587,""))</f>
        <v/>
      </c>
      <c r="T587" s="26">
        <f>IF(S587="","","Sim")</f>
        <v/>
      </c>
      <c r="U587" s="41">
        <f>IF(T587="Sim",S587+ROW()/100000,0)</f>
        <v>0</v>
      </c>
      <c r="V587" s="41">
        <f>IF(AND(H587="Falta",L587=Config!$B$7,M587=Config!$B$5,COUNTIFS($E$5:E587,E587,$H$5:H587,"Falta",$L$5:L587,Config!$B$7,$M$5:M587,Config!$B$5)=1),COUNTIFS($E$5:$E$1204,E587,$H$5:$H$1204,"Falta",$L$5:$L$1204,Config!$B$7,$M$5:$M$1204,Config!$B$5)*1000-ROW()/100000,0)</f>
        <v>0</v>
      </c>
    </row>
    <row r="588">
      <c r="A588" s="39" t="n">
        <v>46262</v>
      </c>
      <c r="B588" s="40" t="n">
        <v>0.4583333333333333</v>
      </c>
      <c r="C588" s="35" t="inlineStr">
        <is>
          <t>Dr. Paulo Andrade</t>
        </is>
      </c>
      <c r="D588" s="35" t="inlineStr">
        <is>
          <t>Sala 2</t>
        </is>
      </c>
      <c r="E588" s="34" t="inlineStr">
        <is>
          <t>Eduardo Reis</t>
        </is>
      </c>
      <c r="F588" s="35" t="inlineStr">
        <is>
          <t>Vida Care</t>
        </is>
      </c>
      <c r="G588" s="35" t="inlineStr">
        <is>
          <t>ECG</t>
        </is>
      </c>
      <c r="H588" s="35" t="inlineStr">
        <is>
          <t>Realizado</t>
        </is>
      </c>
      <c r="I588" s="35" t="inlineStr">
        <is>
          <t>Convênio</t>
        </is>
      </c>
      <c r="J588" s="35" t="n"/>
      <c r="K588" s="34" t="n"/>
      <c r="L588" s="26">
        <f>IF(A588="","",MONTH(A588))</f>
        <v>8</v>
      </c>
      <c r="M588" s="26">
        <f>IF(A588="","",YEAR(A588))</f>
        <v>2026</v>
      </c>
      <c r="N588" s="26" t="str">
        <f>IF(A588="","",CHOOSE(WEEKDAY(A588,2),"Segunda","Terça","Quarta","Quinta","Sexta","Sábado","Domingo"))</f>
        <v>Sexta</v>
      </c>
      <c r="O588" s="26" t="str">
        <f>IF(B588="","",IF(B588&lt;TIME(12,0,0),"Manhã",IF(B588&lt;TIME(18,0,0),"Tarde","Noite")))</f>
        <v>Manhã</v>
      </c>
      <c r="P588" s="32">
        <f>IF(G588="","",IFERROR(INDEX(Config!$I$5:$I$16,MATCH(G588,Config!$H$5:$H$16,0)),0))</f>
        <v>0</v>
      </c>
      <c r="Q588" s="30">
        <f>IF(OR(H588&lt;&gt;"Realizado",P588="",P588=0),"",A588+P588)</f>
        <v/>
      </c>
      <c r="R588" s="26">
        <f>IF(Q588="","",IF(COUNTIFS($E$5:$E$1204,E588,$A$5:$A$1204,"&gt;"&amp;A588,$H$5:$H$1204,"&lt;&gt;Falta",$H$5:$H$1204,"&lt;&gt;Cancelado",$H$5:$H$1204,"&lt;&gt;Remarcado")&gt;0,"Sim","Não"))</f>
        <v/>
      </c>
      <c r="S588" s="32">
        <f>IF(R588&lt;&gt;"Não","",IF(Q588+Config!$B$9&lt;=Config!$B$8,Config!$B$8-Q588,""))</f>
        <v/>
      </c>
      <c r="T588" s="26">
        <f>IF(S588="","","Sim")</f>
        <v/>
      </c>
      <c r="U588" s="41">
        <f>IF(T588="Sim",S588+ROW()/100000,0)</f>
        <v>0</v>
      </c>
      <c r="V588" s="41">
        <f>IF(AND(H588="Falta",L588=Config!$B$7,M588=Config!$B$5,COUNTIFS($E$5:E588,E588,$H$5:H588,"Falta",$L$5:L588,Config!$B$7,$M$5:M588,Config!$B$5)=1),COUNTIFS($E$5:$E$1204,E588,$H$5:$H$1204,"Falta",$L$5:$L$1204,Config!$B$7,$M$5:$M$1204,Config!$B$5)*1000-ROW()/100000,0)</f>
        <v>0</v>
      </c>
    </row>
    <row r="589">
      <c r="A589" s="39" t="n">
        <v>46262</v>
      </c>
      <c r="B589" s="40" t="n">
        <v>0.4722222222222222</v>
      </c>
      <c r="C589" s="35" t="inlineStr">
        <is>
          <t>Dr. Paulo Andrade</t>
        </is>
      </c>
      <c r="D589" s="35" t="inlineStr">
        <is>
          <t>Sala 2</t>
        </is>
      </c>
      <c r="E589" s="34" t="inlineStr">
        <is>
          <t>Sandra Cardoso</t>
        </is>
      </c>
      <c r="F589" s="35" t="inlineStr">
        <is>
          <t>Saúde Total</t>
        </is>
      </c>
      <c r="G589" s="35" t="inlineStr">
        <is>
          <t>Retorno</t>
        </is>
      </c>
      <c r="H589" s="35" t="inlineStr">
        <is>
          <t>Falta</t>
        </is>
      </c>
      <c r="I589" s="35" t="n"/>
      <c r="J589" s="35" t="n"/>
      <c r="K589" s="34" t="n"/>
      <c r="L589" s="26">
        <f>IF(A589="","",MONTH(A589))</f>
        <v>8</v>
      </c>
      <c r="M589" s="26">
        <f>IF(A589="","",YEAR(A589))</f>
        <v>2026</v>
      </c>
      <c r="N589" s="26" t="str">
        <f>IF(A589="","",CHOOSE(WEEKDAY(A589,2),"Segunda","Terça","Quarta","Quinta","Sexta","Sábado","Domingo"))</f>
        <v>Sexta</v>
      </c>
      <c r="O589" s="26" t="str">
        <f>IF(B589="","",IF(B589&lt;TIME(12,0,0),"Manhã",IF(B589&lt;TIME(18,0,0),"Tarde","Noite")))</f>
        <v>Manhã</v>
      </c>
      <c r="P589" s="32">
        <f>IF(G589="","",IFERROR(INDEX(Config!$I$5:$I$16,MATCH(G589,Config!$H$5:$H$16,0)),0))</f>
        <v>0</v>
      </c>
      <c r="Q589" s="30">
        <f>IF(OR(H589&lt;&gt;"Realizado",P589="",P589=0),"",A589+P589)</f>
        <v/>
      </c>
      <c r="R589" s="26">
        <f>IF(Q589="","",IF(COUNTIFS($E$5:$E$1204,E589,$A$5:$A$1204,"&gt;"&amp;A589,$H$5:$H$1204,"&lt;&gt;Falta",$H$5:$H$1204,"&lt;&gt;Cancelado",$H$5:$H$1204,"&lt;&gt;Remarcado")&gt;0,"Sim","Não"))</f>
        <v/>
      </c>
      <c r="S589" s="32">
        <f>IF(R589&lt;&gt;"Não","",IF(Q589+Config!$B$9&lt;=Config!$B$8,Config!$B$8-Q589,""))</f>
        <v/>
      </c>
      <c r="T589" s="26">
        <f>IF(S589="","","Sim")</f>
        <v/>
      </c>
      <c r="U589" s="41">
        <f>IF(T589="Sim",S589+ROW()/100000,0)</f>
        <v>0</v>
      </c>
      <c r="V589" s="41">
        <f>IF(AND(H589="Falta",L589=Config!$B$7,M589=Config!$B$5,COUNTIFS($E$5:E589,E589,$H$5:H589,"Falta",$L$5:L589,Config!$B$7,$M$5:M589,Config!$B$5)=1),COUNTIFS($E$5:$E$1204,E589,$H$5:$H$1204,"Falta",$L$5:$L$1204,Config!$B$7,$M$5:$M$1204,Config!$B$5)*1000-ROW()/100000,0)</f>
        <v>0</v>
      </c>
    </row>
    <row r="590">
      <c r="A590" s="39" t="n">
        <v>46262</v>
      </c>
      <c r="B590" s="40" t="n">
        <v>0.4861111111111111</v>
      </c>
      <c r="C590" s="35" t="inlineStr">
        <is>
          <t>Dr. Paulo Andrade</t>
        </is>
      </c>
      <c r="D590" s="35" t="inlineStr">
        <is>
          <t>Sala 2</t>
        </is>
      </c>
      <c r="E590" s="34" t="inlineStr">
        <is>
          <t>Gisele Pinto</t>
        </is>
      </c>
      <c r="F590" s="35" t="inlineStr">
        <is>
          <t>Saúde Total</t>
        </is>
      </c>
      <c r="G590" s="35" t="inlineStr">
        <is>
          <t>Retorno</t>
        </is>
      </c>
      <c r="H590" s="35" t="inlineStr">
        <is>
          <t>Realizado</t>
        </is>
      </c>
      <c r="I590" s="35" t="inlineStr">
        <is>
          <t>Sem cobrança</t>
        </is>
      </c>
      <c r="J590" s="35" t="n"/>
      <c r="K590" s="34" t="n"/>
      <c r="L590" s="26">
        <f>IF(A590="","",MONTH(A590))</f>
        <v>8</v>
      </c>
      <c r="M590" s="26">
        <f>IF(A590="","",YEAR(A590))</f>
        <v>2026</v>
      </c>
      <c r="N590" s="26" t="str">
        <f>IF(A590="","",CHOOSE(WEEKDAY(A590,2),"Segunda","Terça","Quarta","Quinta","Sexta","Sábado","Domingo"))</f>
        <v>Sexta</v>
      </c>
      <c r="O590" s="26" t="str">
        <f>IF(B590="","",IF(B590&lt;TIME(12,0,0),"Manhã",IF(B590&lt;TIME(18,0,0),"Tarde","Noite")))</f>
        <v>Manhã</v>
      </c>
      <c r="P590" s="32">
        <f>IF(G590="","",IFERROR(INDEX(Config!$I$5:$I$16,MATCH(G590,Config!$H$5:$H$16,0)),0))</f>
        <v>0</v>
      </c>
      <c r="Q590" s="30">
        <f>IF(OR(H590&lt;&gt;"Realizado",P590="",P590=0),"",A590+P590)</f>
        <v/>
      </c>
      <c r="R590" s="26">
        <f>IF(Q590="","",IF(COUNTIFS($E$5:$E$1204,E590,$A$5:$A$1204,"&gt;"&amp;A590,$H$5:$H$1204,"&lt;&gt;Falta",$H$5:$H$1204,"&lt;&gt;Cancelado",$H$5:$H$1204,"&lt;&gt;Remarcado")&gt;0,"Sim","Não"))</f>
        <v/>
      </c>
      <c r="S590" s="32">
        <f>IF(R590&lt;&gt;"Não","",IF(Q590+Config!$B$9&lt;=Config!$B$8,Config!$B$8-Q590,""))</f>
        <v/>
      </c>
      <c r="T590" s="26">
        <f>IF(S590="","","Sim")</f>
        <v/>
      </c>
      <c r="U590" s="41">
        <f>IF(T590="Sim",S590+ROW()/100000,0)</f>
        <v>0</v>
      </c>
      <c r="V590" s="41">
        <f>IF(AND(H590="Falta",L590=Config!$B$7,M590=Config!$B$5,COUNTIFS($E$5:E590,E590,$H$5:H590,"Falta",$L$5:L590,Config!$B$7,$M$5:M590,Config!$B$5)=1),COUNTIFS($E$5:$E$1204,E590,$H$5:$H$1204,"Falta",$L$5:$L$1204,Config!$B$7,$M$5:$M$1204,Config!$B$5)*1000-ROW()/100000,0)</f>
        <v>0</v>
      </c>
    </row>
    <row r="591">
      <c r="A591" s="39" t="n">
        <v>46265</v>
      </c>
      <c r="B591" s="40" t="n">
        <v>0.3333333333333333</v>
      </c>
      <c r="C591" s="35" t="inlineStr">
        <is>
          <t>Dra. Carolina Mendes</t>
        </is>
      </c>
      <c r="D591" s="35" t="inlineStr">
        <is>
          <t>Sala 1</t>
        </is>
      </c>
      <c r="E591" s="34" t="inlineStr">
        <is>
          <t>Elaine Cardoso</t>
        </is>
      </c>
      <c r="F591" s="35" t="inlineStr">
        <is>
          <t>Particular</t>
        </is>
      </c>
      <c r="G591" s="35" t="inlineStr">
        <is>
          <t>Retorno</t>
        </is>
      </c>
      <c r="H591" s="35" t="inlineStr">
        <is>
          <t>Realizado</t>
        </is>
      </c>
      <c r="I591" s="35" t="inlineStr">
        <is>
          <t>Sem cobrança</t>
        </is>
      </c>
      <c r="J591" s="35" t="n"/>
      <c r="K591" s="34" t="n"/>
      <c r="L591" s="26">
        <f>IF(A591="","",MONTH(A591))</f>
        <v>8</v>
      </c>
      <c r="M591" s="26">
        <f>IF(A591="","",YEAR(A591))</f>
        <v>2026</v>
      </c>
      <c r="N591" s="26" t="str">
        <f>IF(A591="","",CHOOSE(WEEKDAY(A591,2),"Segunda","Terça","Quarta","Quinta","Sexta","Sábado","Domingo"))</f>
        <v>Segunda</v>
      </c>
      <c r="O591" s="26" t="str">
        <f>IF(B591="","",IF(B591&lt;TIME(12,0,0),"Manhã",IF(B591&lt;TIME(18,0,0),"Tarde","Noite")))</f>
        <v>Manhã</v>
      </c>
      <c r="P591" s="32">
        <f>IF(G591="","",IFERROR(INDEX(Config!$I$5:$I$16,MATCH(G591,Config!$H$5:$H$16,0)),0))</f>
        <v>0</v>
      </c>
      <c r="Q591" s="30">
        <f>IF(OR(H591&lt;&gt;"Realizado",P591="",P591=0),"",A591+P591)</f>
        <v/>
      </c>
      <c r="R591" s="26">
        <f>IF(Q591="","",IF(COUNTIFS($E$5:$E$1204,E591,$A$5:$A$1204,"&gt;"&amp;A591,$H$5:$H$1204,"&lt;&gt;Falta",$H$5:$H$1204,"&lt;&gt;Cancelado",$H$5:$H$1204,"&lt;&gt;Remarcado")&gt;0,"Sim","Não"))</f>
        <v/>
      </c>
      <c r="S591" s="32">
        <f>IF(R591&lt;&gt;"Não","",IF(Q591+Config!$B$9&lt;=Config!$B$8,Config!$B$8-Q591,""))</f>
        <v/>
      </c>
      <c r="T591" s="26">
        <f>IF(S591="","","Sim")</f>
        <v/>
      </c>
      <c r="U591" s="41">
        <f>IF(T591="Sim",S591+ROW()/100000,0)</f>
        <v>0</v>
      </c>
      <c r="V591" s="41">
        <f>IF(AND(H591="Falta",L591=Config!$B$7,M591=Config!$B$5,COUNTIFS($E$5:E591,E591,$H$5:H591,"Falta",$L$5:L591,Config!$B$7,$M$5:M591,Config!$B$5)=1),COUNTIFS($E$5:$E$1204,E591,$H$5:$H$1204,"Falta",$L$5:$L$1204,Config!$B$7,$M$5:$M$1204,Config!$B$5)*1000-ROW()/100000,0)</f>
        <v>0</v>
      </c>
    </row>
    <row r="592">
      <c r="A592" s="39" t="n">
        <v>46265</v>
      </c>
      <c r="B592" s="40" t="n">
        <v>0.3472222222222222</v>
      </c>
      <c r="C592" s="35" t="inlineStr">
        <is>
          <t>Dra. Carolina Mendes</t>
        </is>
      </c>
      <c r="D592" s="35" t="inlineStr">
        <is>
          <t>Sala 1</t>
        </is>
      </c>
      <c r="E592" s="34" t="inlineStr">
        <is>
          <t>Lucas Xavier</t>
        </is>
      </c>
      <c r="F592" s="35" t="inlineStr">
        <is>
          <t>Saúde Total</t>
        </is>
      </c>
      <c r="G592" s="35" t="inlineStr">
        <is>
          <t>Consulta</t>
        </is>
      </c>
      <c r="H592" s="35" t="inlineStr">
        <is>
          <t>Realizado</t>
        </is>
      </c>
      <c r="I592" s="35" t="inlineStr">
        <is>
          <t>Convênio</t>
        </is>
      </c>
      <c r="J592" s="35" t="n"/>
      <c r="K592" s="34" t="n"/>
      <c r="L592" s="26">
        <f>IF(A592="","",MONTH(A592))</f>
        <v>8</v>
      </c>
      <c r="M592" s="26">
        <f>IF(A592="","",YEAR(A592))</f>
        <v>2026</v>
      </c>
      <c r="N592" s="26" t="str">
        <f>IF(A592="","",CHOOSE(WEEKDAY(A592,2),"Segunda","Terça","Quarta","Quinta","Sexta","Sábado","Domingo"))</f>
        <v>Segunda</v>
      </c>
      <c r="O592" s="26" t="str">
        <f>IF(B592="","",IF(B592&lt;TIME(12,0,0),"Manhã",IF(B592&lt;TIME(18,0,0),"Tarde","Noite")))</f>
        <v>Manhã</v>
      </c>
      <c r="P592" s="32">
        <f>IF(G592="","",IFERROR(INDEX(Config!$I$5:$I$16,MATCH(G592,Config!$H$5:$H$16,0)),0))</f>
        <v>30</v>
      </c>
      <c r="Q592" s="30">
        <f>IF(OR(H592&lt;&gt;"Realizado",P592="",P592=0),"",A592+P592)</f>
        <v>46295.0</v>
      </c>
      <c r="R592" s="26" t="str">
        <f>IF(Q592="","",IF(COUNTIFS($E$5:$E$1204,E592,$A$5:$A$1204,"&gt;"&amp;A592,$H$5:$H$1204,"&lt;&gt;Falta",$H$5:$H$1204,"&lt;&gt;Cancelado",$H$5:$H$1204,"&lt;&gt;Remarcado")&gt;0,"Sim","Não"))</f>
        <v>Não</v>
      </c>
      <c r="S592" s="32">
        <f>IF(R592&lt;&gt;"Não","",IF(Q592+Config!$B$9&lt;=Config!$B$8,Config!$B$8-Q592,""))</f>
        <v/>
      </c>
      <c r="T592" s="26">
        <f>IF(S592="","","Sim")</f>
        <v/>
      </c>
      <c r="U592" s="41">
        <f>IF(T592="Sim",S592+ROW()/100000,0)</f>
        <v>0</v>
      </c>
      <c r="V592" s="41">
        <f>IF(AND(H592="Falta",L592=Config!$B$7,M592=Config!$B$5,COUNTIFS($E$5:E592,E592,$H$5:H592,"Falta",$L$5:L592,Config!$B$7,$M$5:M592,Config!$B$5)=1),COUNTIFS($E$5:$E$1204,E592,$H$5:$H$1204,"Falta",$L$5:$L$1204,Config!$B$7,$M$5:$M$1204,Config!$B$5)*1000-ROW()/100000,0)</f>
        <v>0</v>
      </c>
    </row>
    <row r="593">
      <c r="A593" s="39" t="n">
        <v>46265</v>
      </c>
      <c r="B593" s="40" t="n">
        <v>0.3680555555555556</v>
      </c>
      <c r="C593" s="35" t="inlineStr">
        <is>
          <t>Dra. Carolina Mendes</t>
        </is>
      </c>
      <c r="D593" s="35" t="inlineStr">
        <is>
          <t>Sala 1</t>
        </is>
      </c>
      <c r="E593" s="34" t="inlineStr">
        <is>
          <t>Eduardo Nunes</t>
        </is>
      </c>
      <c r="F593" s="35" t="inlineStr">
        <is>
          <t>MediPlan</t>
        </is>
      </c>
      <c r="G593" s="35" t="inlineStr">
        <is>
          <t>Consulta</t>
        </is>
      </c>
      <c r="H593" s="35" t="inlineStr">
        <is>
          <t>Realizado</t>
        </is>
      </c>
      <c r="I593" s="35" t="inlineStr">
        <is>
          <t>Convênio</t>
        </is>
      </c>
      <c r="J593" s="35" t="n"/>
      <c r="K593" s="34" t="n"/>
      <c r="L593" s="26">
        <f>IF(A593="","",MONTH(A593))</f>
        <v>8</v>
      </c>
      <c r="M593" s="26">
        <f>IF(A593="","",YEAR(A593))</f>
        <v>2026</v>
      </c>
      <c r="N593" s="26" t="str">
        <f>IF(A593="","",CHOOSE(WEEKDAY(A593,2),"Segunda","Terça","Quarta","Quinta","Sexta","Sábado","Domingo"))</f>
        <v>Segunda</v>
      </c>
      <c r="O593" s="26" t="str">
        <f>IF(B593="","",IF(B593&lt;TIME(12,0,0),"Manhã",IF(B593&lt;TIME(18,0,0),"Tarde","Noite")))</f>
        <v>Manhã</v>
      </c>
      <c r="P593" s="32">
        <f>IF(G593="","",IFERROR(INDEX(Config!$I$5:$I$16,MATCH(G593,Config!$H$5:$H$16,0)),0))</f>
        <v>30</v>
      </c>
      <c r="Q593" s="30">
        <f>IF(OR(H593&lt;&gt;"Realizado",P593="",P593=0),"",A593+P593)</f>
        <v>46295.0</v>
      </c>
      <c r="R593" s="26" t="str">
        <f>IF(Q593="","",IF(COUNTIFS($E$5:$E$1204,E593,$A$5:$A$1204,"&gt;"&amp;A593,$H$5:$H$1204,"&lt;&gt;Falta",$H$5:$H$1204,"&lt;&gt;Cancelado",$H$5:$H$1204,"&lt;&gt;Remarcado")&gt;0,"Sim","Não"))</f>
        <v>Sim</v>
      </c>
      <c r="S593" s="32">
        <f>IF(R593&lt;&gt;"Não","",IF(Q593+Config!$B$9&lt;=Config!$B$8,Config!$B$8-Q593,""))</f>
        <v/>
      </c>
      <c r="T593" s="26">
        <f>IF(S593="","","Sim")</f>
        <v/>
      </c>
      <c r="U593" s="41">
        <f>IF(T593="Sim",S593+ROW()/100000,0)</f>
        <v>0</v>
      </c>
      <c r="V593" s="41">
        <f>IF(AND(H593="Falta",L593=Config!$B$7,M593=Config!$B$5,COUNTIFS($E$5:E593,E593,$H$5:H593,"Falta",$L$5:L593,Config!$B$7,$M$5:M593,Config!$B$5)=1),COUNTIFS($E$5:$E$1204,E593,$H$5:$H$1204,"Falta",$L$5:$L$1204,Config!$B$7,$M$5:$M$1204,Config!$B$5)*1000-ROW()/100000,0)</f>
        <v>0</v>
      </c>
    </row>
    <row r="594">
      <c r="A594" s="39" t="n">
        <v>46265</v>
      </c>
      <c r="B594" s="40" t="n">
        <v>0.4097222222222222</v>
      </c>
      <c r="C594" s="35" t="inlineStr">
        <is>
          <t>Dra. Carolina Mendes</t>
        </is>
      </c>
      <c r="D594" s="35" t="inlineStr">
        <is>
          <t>Sala 1</t>
        </is>
      </c>
      <c r="E594" s="34" t="inlineStr">
        <is>
          <t>Simone Monteiro</t>
        </is>
      </c>
      <c r="F594" s="35" t="inlineStr">
        <is>
          <t>Vida Care</t>
        </is>
      </c>
      <c r="G594" s="35" t="inlineStr">
        <is>
          <t>Consulta</t>
        </is>
      </c>
      <c r="H594" s="35" t="inlineStr">
        <is>
          <t>Realizado</t>
        </is>
      </c>
      <c r="I594" s="35" t="inlineStr">
        <is>
          <t>Convênio</t>
        </is>
      </c>
      <c r="J594" s="35" t="n"/>
      <c r="K594" s="34" t="n"/>
      <c r="L594" s="26">
        <f>IF(A594="","",MONTH(A594))</f>
        <v>8</v>
      </c>
      <c r="M594" s="26">
        <f>IF(A594="","",YEAR(A594))</f>
        <v>2026</v>
      </c>
      <c r="N594" s="26" t="str">
        <f>IF(A594="","",CHOOSE(WEEKDAY(A594,2),"Segunda","Terça","Quarta","Quinta","Sexta","Sábado","Domingo"))</f>
        <v>Segunda</v>
      </c>
      <c r="O594" s="26" t="str">
        <f>IF(B594="","",IF(B594&lt;TIME(12,0,0),"Manhã",IF(B594&lt;TIME(18,0,0),"Tarde","Noite")))</f>
        <v>Manhã</v>
      </c>
      <c r="P594" s="32">
        <f>IF(G594="","",IFERROR(INDEX(Config!$I$5:$I$16,MATCH(G594,Config!$H$5:$H$16,0)),0))</f>
        <v>30</v>
      </c>
      <c r="Q594" s="30">
        <f>IF(OR(H594&lt;&gt;"Realizado",P594="",P594=0),"",A594+P594)</f>
        <v>46295.0</v>
      </c>
      <c r="R594" s="26" t="str">
        <f>IF(Q594="","",IF(COUNTIFS($E$5:$E$1204,E594,$A$5:$A$1204,"&gt;"&amp;A594,$H$5:$H$1204,"&lt;&gt;Falta",$H$5:$H$1204,"&lt;&gt;Cancelado",$H$5:$H$1204,"&lt;&gt;Remarcado")&gt;0,"Sim","Não"))</f>
        <v>Sim</v>
      </c>
      <c r="S594" s="32">
        <f>IF(R594&lt;&gt;"Não","",IF(Q594+Config!$B$9&lt;=Config!$B$8,Config!$B$8-Q594,""))</f>
        <v/>
      </c>
      <c r="T594" s="26">
        <f>IF(S594="","","Sim")</f>
        <v/>
      </c>
      <c r="U594" s="41">
        <f>IF(T594="Sim",S594+ROW()/100000,0)</f>
        <v>0</v>
      </c>
      <c r="V594" s="41">
        <f>IF(AND(H594="Falta",L594=Config!$B$7,M594=Config!$B$5,COUNTIFS($E$5:E594,E594,$H$5:H594,"Falta",$L$5:L594,Config!$B$7,$M$5:M594,Config!$B$5)=1),COUNTIFS($E$5:$E$1204,E594,$H$5:$H$1204,"Falta",$L$5:$L$1204,Config!$B$7,$M$5:$M$1204,Config!$B$5)*1000-ROW()/100000,0)</f>
        <v>0</v>
      </c>
    </row>
    <row r="595">
      <c r="A595" s="39" t="n">
        <v>46265</v>
      </c>
      <c r="B595" s="40" t="n">
        <v>0.4305555555555556</v>
      </c>
      <c r="C595" s="35" t="inlineStr">
        <is>
          <t>Dra. Carolina Mendes</t>
        </is>
      </c>
      <c r="D595" s="35" t="inlineStr">
        <is>
          <t>Sala 1</t>
        </is>
      </c>
      <c r="E595" s="34" t="inlineStr">
        <is>
          <t>Isabela Nascimento</t>
        </is>
      </c>
      <c r="F595" s="35" t="inlineStr">
        <is>
          <t>Vida Care</t>
        </is>
      </c>
      <c r="G595" s="35" t="inlineStr">
        <is>
          <t>Consulta</t>
        </is>
      </c>
      <c r="H595" s="35" t="inlineStr">
        <is>
          <t>Realizado</t>
        </is>
      </c>
      <c r="I595" s="35" t="inlineStr">
        <is>
          <t>Convênio</t>
        </is>
      </c>
      <c r="J595" s="35" t="n"/>
      <c r="K595" s="34" t="n"/>
      <c r="L595" s="26">
        <f>IF(A595="","",MONTH(A595))</f>
        <v>8</v>
      </c>
      <c r="M595" s="26">
        <f>IF(A595="","",YEAR(A595))</f>
        <v>2026</v>
      </c>
      <c r="N595" s="26" t="str">
        <f>IF(A595="","",CHOOSE(WEEKDAY(A595,2),"Segunda","Terça","Quarta","Quinta","Sexta","Sábado","Domingo"))</f>
        <v>Segunda</v>
      </c>
      <c r="O595" s="26" t="str">
        <f>IF(B595="","",IF(B595&lt;TIME(12,0,0),"Manhã",IF(B595&lt;TIME(18,0,0),"Tarde","Noite")))</f>
        <v>Manhã</v>
      </c>
      <c r="P595" s="32">
        <f>IF(G595="","",IFERROR(INDEX(Config!$I$5:$I$16,MATCH(G595,Config!$H$5:$H$16,0)),0))</f>
        <v>30</v>
      </c>
      <c r="Q595" s="30">
        <f>IF(OR(H595&lt;&gt;"Realizado",P595="",P595=0),"",A595+P595)</f>
        <v>46295.0</v>
      </c>
      <c r="R595" s="26" t="str">
        <f>IF(Q595="","",IF(COUNTIFS($E$5:$E$1204,E595,$A$5:$A$1204,"&gt;"&amp;A595,$H$5:$H$1204,"&lt;&gt;Falta",$H$5:$H$1204,"&lt;&gt;Cancelado",$H$5:$H$1204,"&lt;&gt;Remarcado")&gt;0,"Sim","Não"))</f>
        <v>Sim</v>
      </c>
      <c r="S595" s="32">
        <f>IF(R595&lt;&gt;"Não","",IF(Q595+Config!$B$9&lt;=Config!$B$8,Config!$B$8-Q595,""))</f>
        <v/>
      </c>
      <c r="T595" s="26">
        <f>IF(S595="","","Sim")</f>
        <v/>
      </c>
      <c r="U595" s="41">
        <f>IF(T595="Sim",S595+ROW()/100000,0)</f>
        <v>0</v>
      </c>
      <c r="V595" s="41">
        <f>IF(AND(H595="Falta",L595=Config!$B$7,M595=Config!$B$5,COUNTIFS($E$5:E595,E595,$H$5:H595,"Falta",$L$5:L595,Config!$B$7,$M$5:M595,Config!$B$5)=1),COUNTIFS($E$5:$E$1204,E595,$H$5:$H$1204,"Falta",$L$5:$L$1204,Config!$B$7,$M$5:$M$1204,Config!$B$5)*1000-ROW()/100000,0)</f>
        <v>0</v>
      </c>
    </row>
    <row r="596">
      <c r="A596" s="39" t="n">
        <v>46265</v>
      </c>
      <c r="B596" s="40" t="n">
        <v>0.4513888888888889</v>
      </c>
      <c r="C596" s="35" t="inlineStr">
        <is>
          <t>Dra. Carolina Mendes</t>
        </is>
      </c>
      <c r="D596" s="35" t="inlineStr">
        <is>
          <t>Sala 1</t>
        </is>
      </c>
      <c r="E596" s="34" t="inlineStr">
        <is>
          <t>Renato Dias</t>
        </is>
      </c>
      <c r="F596" s="35" t="inlineStr">
        <is>
          <t>Particular</t>
        </is>
      </c>
      <c r="G596" s="35" t="inlineStr">
        <is>
          <t>Consulta</t>
        </is>
      </c>
      <c r="H596" s="35" t="inlineStr">
        <is>
          <t>Realizado</t>
        </is>
      </c>
      <c r="I596" s="35" t="inlineStr">
        <is>
          <t>Cartão de débito</t>
        </is>
      </c>
      <c r="J596" s="35" t="n"/>
      <c r="K596" s="34" t="n"/>
      <c r="L596" s="26">
        <f>IF(A596="","",MONTH(A596))</f>
        <v>8</v>
      </c>
      <c r="M596" s="26">
        <f>IF(A596="","",YEAR(A596))</f>
        <v>2026</v>
      </c>
      <c r="N596" s="26" t="str">
        <f>IF(A596="","",CHOOSE(WEEKDAY(A596,2),"Segunda","Terça","Quarta","Quinta","Sexta","Sábado","Domingo"))</f>
        <v>Segunda</v>
      </c>
      <c r="O596" s="26" t="str">
        <f>IF(B596="","",IF(B596&lt;TIME(12,0,0),"Manhã",IF(B596&lt;TIME(18,0,0),"Tarde","Noite")))</f>
        <v>Manhã</v>
      </c>
      <c r="P596" s="32">
        <f>IF(G596="","",IFERROR(INDEX(Config!$I$5:$I$16,MATCH(G596,Config!$H$5:$H$16,0)),0))</f>
        <v>30</v>
      </c>
      <c r="Q596" s="30">
        <f>IF(OR(H596&lt;&gt;"Realizado",P596="",P596=0),"",A596+P596)</f>
        <v>46295.0</v>
      </c>
      <c r="R596" s="26" t="str">
        <f>IF(Q596="","",IF(COUNTIFS($E$5:$E$1204,E596,$A$5:$A$1204,"&gt;"&amp;A596,$H$5:$H$1204,"&lt;&gt;Falta",$H$5:$H$1204,"&lt;&gt;Cancelado",$H$5:$H$1204,"&lt;&gt;Remarcado")&gt;0,"Sim","Não"))</f>
        <v>Sim</v>
      </c>
      <c r="S596" s="32">
        <f>IF(R596&lt;&gt;"Não","",IF(Q596+Config!$B$9&lt;=Config!$B$8,Config!$B$8-Q596,""))</f>
        <v/>
      </c>
      <c r="T596" s="26">
        <f>IF(S596="","","Sim")</f>
        <v/>
      </c>
      <c r="U596" s="41">
        <f>IF(T596="Sim",S596+ROW()/100000,0)</f>
        <v>0</v>
      </c>
      <c r="V596" s="41">
        <f>IF(AND(H596="Falta",L596=Config!$B$7,M596=Config!$B$5,COUNTIFS($E$5:E596,E596,$H$5:H596,"Falta",$L$5:L596,Config!$B$7,$M$5:M596,Config!$B$5)=1),COUNTIFS($E$5:$E$1204,E596,$H$5:$H$1204,"Falta",$L$5:$L$1204,Config!$B$7,$M$5:$M$1204,Config!$B$5)*1000-ROW()/100000,0)</f>
        <v>0</v>
      </c>
    </row>
    <row r="597">
      <c r="A597" s="39" t="n">
        <v>46265</v>
      </c>
      <c r="B597" s="40" t="n">
        <v>0.4722222222222222</v>
      </c>
      <c r="C597" s="35" t="inlineStr">
        <is>
          <t>Dra. Carolina Mendes</t>
        </is>
      </c>
      <c r="D597" s="35" t="inlineStr">
        <is>
          <t>Sala 1</t>
        </is>
      </c>
      <c r="E597" s="34" t="inlineStr">
        <is>
          <t>Mônica Teixeira</t>
        </is>
      </c>
      <c r="F597" s="35" t="inlineStr">
        <is>
          <t>Vida Care</t>
        </is>
      </c>
      <c r="G597" s="35" t="inlineStr">
        <is>
          <t>Consulta</t>
        </is>
      </c>
      <c r="H597" s="35" t="inlineStr">
        <is>
          <t>Cancelado</t>
        </is>
      </c>
      <c r="I597" s="35" t="n"/>
      <c r="J597" s="35" t="n"/>
      <c r="K597" s="34" t="n"/>
      <c r="L597" s="26">
        <f>IF(A597="","",MONTH(A597))</f>
        <v>8</v>
      </c>
      <c r="M597" s="26">
        <f>IF(A597="","",YEAR(A597))</f>
        <v>2026</v>
      </c>
      <c r="N597" s="26" t="str">
        <f>IF(A597="","",CHOOSE(WEEKDAY(A597,2),"Segunda","Terça","Quarta","Quinta","Sexta","Sábado","Domingo"))</f>
        <v>Segunda</v>
      </c>
      <c r="O597" s="26" t="str">
        <f>IF(B597="","",IF(B597&lt;TIME(12,0,0),"Manhã",IF(B597&lt;TIME(18,0,0),"Tarde","Noite")))</f>
        <v>Manhã</v>
      </c>
      <c r="P597" s="32">
        <f>IF(G597="","",IFERROR(INDEX(Config!$I$5:$I$16,MATCH(G597,Config!$H$5:$H$16,0)),0))</f>
        <v>30</v>
      </c>
      <c r="Q597" s="30">
        <f>IF(OR(H597&lt;&gt;"Realizado",P597="",P597=0),"",A597+P597)</f>
        <v/>
      </c>
      <c r="R597" s="26">
        <f>IF(Q597="","",IF(COUNTIFS($E$5:$E$1204,E597,$A$5:$A$1204,"&gt;"&amp;A597,$H$5:$H$1204,"&lt;&gt;Falta",$H$5:$H$1204,"&lt;&gt;Cancelado",$H$5:$H$1204,"&lt;&gt;Remarcado")&gt;0,"Sim","Não"))</f>
        <v/>
      </c>
      <c r="S597" s="32">
        <f>IF(R597&lt;&gt;"Não","",IF(Q597+Config!$B$9&lt;=Config!$B$8,Config!$B$8-Q597,""))</f>
        <v/>
      </c>
      <c r="T597" s="26">
        <f>IF(S597="","","Sim")</f>
        <v/>
      </c>
      <c r="U597" s="41">
        <f>IF(T597="Sim",S597+ROW()/100000,0)</f>
        <v>0</v>
      </c>
      <c r="V597" s="41">
        <f>IF(AND(H597="Falta",L597=Config!$B$7,M597=Config!$B$5,COUNTIFS($E$5:E597,E597,$H$5:H597,"Falta",$L$5:L597,Config!$B$7,$M$5:M597,Config!$B$5)=1),COUNTIFS($E$5:$E$1204,E597,$H$5:$H$1204,"Falta",$L$5:$L$1204,Config!$B$7,$M$5:$M$1204,Config!$B$5)*1000-ROW()/100000,0)</f>
        <v>0</v>
      </c>
    </row>
    <row r="598">
      <c r="A598" s="39" t="n">
        <v>46265</v>
      </c>
      <c r="B598" s="40" t="n">
        <v>0.5833333333333334</v>
      </c>
      <c r="C598" s="35" t="inlineStr">
        <is>
          <t>Dr. Paulo Andrade</t>
        </is>
      </c>
      <c r="D598" s="35" t="inlineStr">
        <is>
          <t>Sala 2</t>
        </is>
      </c>
      <c r="E598" s="34" t="inlineStr">
        <is>
          <t>Henrique Ribeiro</t>
        </is>
      </c>
      <c r="F598" s="35" t="inlineStr">
        <is>
          <t>Particular</t>
        </is>
      </c>
      <c r="G598" s="35" t="inlineStr">
        <is>
          <t>Consulta</t>
        </is>
      </c>
      <c r="H598" s="35" t="inlineStr">
        <is>
          <t>Realizado</t>
        </is>
      </c>
      <c r="I598" s="35" t="inlineStr">
        <is>
          <t>Pix</t>
        </is>
      </c>
      <c r="J598" s="35" t="n"/>
      <c r="K598" s="34" t="n"/>
      <c r="L598" s="26">
        <f>IF(A598="","",MONTH(A598))</f>
        <v>8</v>
      </c>
      <c r="M598" s="26">
        <f>IF(A598="","",YEAR(A598))</f>
        <v>2026</v>
      </c>
      <c r="N598" s="26" t="str">
        <f>IF(A598="","",CHOOSE(WEEKDAY(A598,2),"Segunda","Terça","Quarta","Quinta","Sexta","Sábado","Domingo"))</f>
        <v>Segunda</v>
      </c>
      <c r="O598" s="26" t="str">
        <f>IF(B598="","",IF(B598&lt;TIME(12,0,0),"Manhã",IF(B598&lt;TIME(18,0,0),"Tarde","Noite")))</f>
        <v>Tarde</v>
      </c>
      <c r="P598" s="32">
        <f>IF(G598="","",IFERROR(INDEX(Config!$I$5:$I$16,MATCH(G598,Config!$H$5:$H$16,0)),0))</f>
        <v>30</v>
      </c>
      <c r="Q598" s="30">
        <f>IF(OR(H598&lt;&gt;"Realizado",P598="",P598=0),"",A598+P598)</f>
        <v>46295.0</v>
      </c>
      <c r="R598" s="26" t="str">
        <f>IF(Q598="","",IF(COUNTIFS($E$5:$E$1204,E598,$A$5:$A$1204,"&gt;"&amp;A598,$H$5:$H$1204,"&lt;&gt;Falta",$H$5:$H$1204,"&lt;&gt;Cancelado",$H$5:$H$1204,"&lt;&gt;Remarcado")&gt;0,"Sim","Não"))</f>
        <v>Sim</v>
      </c>
      <c r="S598" s="32">
        <f>IF(R598&lt;&gt;"Não","",IF(Q598+Config!$B$9&lt;=Config!$B$8,Config!$B$8-Q598,""))</f>
        <v/>
      </c>
      <c r="T598" s="26">
        <f>IF(S598="","","Sim")</f>
        <v/>
      </c>
      <c r="U598" s="41">
        <f>IF(T598="Sim",S598+ROW()/100000,0)</f>
        <v>0</v>
      </c>
      <c r="V598" s="41">
        <f>IF(AND(H598="Falta",L598=Config!$B$7,M598=Config!$B$5,COUNTIFS($E$5:E598,E598,$H$5:H598,"Falta",$L$5:L598,Config!$B$7,$M$5:M598,Config!$B$5)=1),COUNTIFS($E$5:$E$1204,E598,$H$5:$H$1204,"Falta",$L$5:$L$1204,Config!$B$7,$M$5:$M$1204,Config!$B$5)*1000-ROW()/100000,0)</f>
        <v>0</v>
      </c>
    </row>
    <row r="599">
      <c r="A599" s="39" t="n">
        <v>46265</v>
      </c>
      <c r="B599" s="40" t="n">
        <v>0.625</v>
      </c>
      <c r="C599" s="35" t="inlineStr">
        <is>
          <t>Dr. Paulo Andrade</t>
        </is>
      </c>
      <c r="D599" s="35" t="inlineStr">
        <is>
          <t>Sala 2</t>
        </is>
      </c>
      <c r="E599" s="34" t="inlineStr">
        <is>
          <t>Rafael Correia</t>
        </is>
      </c>
      <c r="F599" s="35" t="inlineStr">
        <is>
          <t>Particular</t>
        </is>
      </c>
      <c r="G599" s="35" t="inlineStr">
        <is>
          <t>Retorno</t>
        </is>
      </c>
      <c r="H599" s="35" t="inlineStr">
        <is>
          <t>Realizado</t>
        </is>
      </c>
      <c r="I599" s="35" t="inlineStr">
        <is>
          <t>Sem cobrança</t>
        </is>
      </c>
      <c r="J599" s="35" t="n"/>
      <c r="K599" s="34" t="n"/>
      <c r="L599" s="26">
        <f>IF(A599="","",MONTH(A599))</f>
        <v>8</v>
      </c>
      <c r="M599" s="26">
        <f>IF(A599="","",YEAR(A599))</f>
        <v>2026</v>
      </c>
      <c r="N599" s="26" t="str">
        <f>IF(A599="","",CHOOSE(WEEKDAY(A599,2),"Segunda","Terça","Quarta","Quinta","Sexta","Sábado","Domingo"))</f>
        <v>Segunda</v>
      </c>
      <c r="O599" s="26" t="str">
        <f>IF(B599="","",IF(B599&lt;TIME(12,0,0),"Manhã",IF(B599&lt;TIME(18,0,0),"Tarde","Noite")))</f>
        <v>Tarde</v>
      </c>
      <c r="P599" s="32">
        <f>IF(G599="","",IFERROR(INDEX(Config!$I$5:$I$16,MATCH(G599,Config!$H$5:$H$16,0)),0))</f>
        <v>0</v>
      </c>
      <c r="Q599" s="30">
        <f>IF(OR(H599&lt;&gt;"Realizado",P599="",P599=0),"",A599+P599)</f>
        <v/>
      </c>
      <c r="R599" s="26">
        <f>IF(Q599="","",IF(COUNTIFS($E$5:$E$1204,E599,$A$5:$A$1204,"&gt;"&amp;A599,$H$5:$H$1204,"&lt;&gt;Falta",$H$5:$H$1204,"&lt;&gt;Cancelado",$H$5:$H$1204,"&lt;&gt;Remarcado")&gt;0,"Sim","Não"))</f>
        <v/>
      </c>
      <c r="S599" s="32">
        <f>IF(R599&lt;&gt;"Não","",IF(Q599+Config!$B$9&lt;=Config!$B$8,Config!$B$8-Q599,""))</f>
        <v/>
      </c>
      <c r="T599" s="26">
        <f>IF(S599="","","Sim")</f>
        <v/>
      </c>
      <c r="U599" s="41">
        <f>IF(T599="Sim",S599+ROW()/100000,0)</f>
        <v>0</v>
      </c>
      <c r="V599" s="41">
        <f>IF(AND(H599="Falta",L599=Config!$B$7,M599=Config!$B$5,COUNTIFS($E$5:E599,E599,$H$5:H599,"Falta",$L$5:L599,Config!$B$7,$M$5:M599,Config!$B$5)=1),COUNTIFS($E$5:$E$1204,E599,$H$5:$H$1204,"Falta",$L$5:$L$1204,Config!$B$7,$M$5:$M$1204,Config!$B$5)*1000-ROW()/100000,0)</f>
        <v>0</v>
      </c>
    </row>
    <row r="600">
      <c r="A600" s="39" t="n">
        <v>46265</v>
      </c>
      <c r="B600" s="40" t="n">
        <v>0.6597222222222222</v>
      </c>
      <c r="C600" s="35" t="inlineStr">
        <is>
          <t>Dr. Paulo Andrade</t>
        </is>
      </c>
      <c r="D600" s="35" t="inlineStr">
        <is>
          <t>Sala 2</t>
        </is>
      </c>
      <c r="E600" s="34" t="inlineStr">
        <is>
          <t>Sandra Martins</t>
        </is>
      </c>
      <c r="F600" s="35" t="inlineStr">
        <is>
          <t>MediPlan</t>
        </is>
      </c>
      <c r="G600" s="35" t="inlineStr">
        <is>
          <t>Retorno</t>
        </is>
      </c>
      <c r="H600" s="35" t="inlineStr">
        <is>
          <t>Realizado</t>
        </is>
      </c>
      <c r="I600" s="35" t="inlineStr">
        <is>
          <t>Sem cobrança</t>
        </is>
      </c>
      <c r="J600" s="35" t="n"/>
      <c r="K600" s="34" t="n"/>
      <c r="L600" s="26">
        <f>IF(A600="","",MONTH(A600))</f>
        <v>8</v>
      </c>
      <c r="M600" s="26">
        <f>IF(A600="","",YEAR(A600))</f>
        <v>2026</v>
      </c>
      <c r="N600" s="26" t="str">
        <f>IF(A600="","",CHOOSE(WEEKDAY(A600,2),"Segunda","Terça","Quarta","Quinta","Sexta","Sábado","Domingo"))</f>
        <v>Segunda</v>
      </c>
      <c r="O600" s="26" t="str">
        <f>IF(B600="","",IF(B600&lt;TIME(12,0,0),"Manhã",IF(B600&lt;TIME(18,0,0),"Tarde","Noite")))</f>
        <v>Tarde</v>
      </c>
      <c r="P600" s="32">
        <f>IF(G600="","",IFERROR(INDEX(Config!$I$5:$I$16,MATCH(G600,Config!$H$5:$H$16,0)),0))</f>
        <v>0</v>
      </c>
      <c r="Q600" s="30">
        <f>IF(OR(H600&lt;&gt;"Realizado",P600="",P600=0),"",A600+P600)</f>
        <v/>
      </c>
      <c r="R600" s="26">
        <f>IF(Q600="","",IF(COUNTIFS($E$5:$E$1204,E600,$A$5:$A$1204,"&gt;"&amp;A600,$H$5:$H$1204,"&lt;&gt;Falta",$H$5:$H$1204,"&lt;&gt;Cancelado",$H$5:$H$1204,"&lt;&gt;Remarcado")&gt;0,"Sim","Não"))</f>
        <v/>
      </c>
      <c r="S600" s="32">
        <f>IF(R600&lt;&gt;"Não","",IF(Q600+Config!$B$9&lt;=Config!$B$8,Config!$B$8-Q600,""))</f>
        <v/>
      </c>
      <c r="T600" s="26">
        <f>IF(S600="","","Sim")</f>
        <v/>
      </c>
      <c r="U600" s="41">
        <f>IF(T600="Sim",S600+ROW()/100000,0)</f>
        <v>0</v>
      </c>
      <c r="V600" s="41">
        <f>IF(AND(H600="Falta",L600=Config!$B$7,M600=Config!$B$5,COUNTIFS($E$5:E600,E600,$H$5:H600,"Falta",$L$5:L600,Config!$B$7,$M$5:M600,Config!$B$5)=1),COUNTIFS($E$5:$E$1204,E600,$H$5:$H$1204,"Falta",$L$5:$L$1204,Config!$B$7,$M$5:$M$1204,Config!$B$5)*1000-ROW()/100000,0)</f>
        <v>0</v>
      </c>
    </row>
    <row r="601">
      <c r="A601" s="39" t="n">
        <v>46265</v>
      </c>
      <c r="B601" s="40" t="n">
        <v>0.6736111111111112</v>
      </c>
      <c r="C601" s="35" t="inlineStr">
        <is>
          <t>Dr. Paulo Andrade</t>
        </is>
      </c>
      <c r="D601" s="35" t="inlineStr">
        <is>
          <t>Sala 2</t>
        </is>
      </c>
      <c r="E601" s="34" t="inlineStr">
        <is>
          <t>Leandro Cardoso</t>
        </is>
      </c>
      <c r="F601" s="35" t="inlineStr">
        <is>
          <t>MediPlan</t>
        </is>
      </c>
      <c r="G601" s="35" t="inlineStr">
        <is>
          <t>Consulta</t>
        </is>
      </c>
      <c r="H601" s="35" t="inlineStr">
        <is>
          <t>Realizado</t>
        </is>
      </c>
      <c r="I601" s="35" t="inlineStr">
        <is>
          <t>Convênio</t>
        </is>
      </c>
      <c r="J601" s="35" t="n"/>
      <c r="K601" s="34" t="n"/>
      <c r="L601" s="26">
        <f>IF(A601="","",MONTH(A601))</f>
        <v>8</v>
      </c>
      <c r="M601" s="26">
        <f>IF(A601="","",YEAR(A601))</f>
        <v>2026</v>
      </c>
      <c r="N601" s="26" t="str">
        <f>IF(A601="","",CHOOSE(WEEKDAY(A601,2),"Segunda","Terça","Quarta","Quinta","Sexta","Sábado","Domingo"))</f>
        <v>Segunda</v>
      </c>
      <c r="O601" s="26" t="str">
        <f>IF(B601="","",IF(B601&lt;TIME(12,0,0),"Manhã",IF(B601&lt;TIME(18,0,0),"Tarde","Noite")))</f>
        <v>Tarde</v>
      </c>
      <c r="P601" s="32">
        <f>IF(G601="","",IFERROR(INDEX(Config!$I$5:$I$16,MATCH(G601,Config!$H$5:$H$16,0)),0))</f>
        <v>30</v>
      </c>
      <c r="Q601" s="30">
        <f>IF(OR(H601&lt;&gt;"Realizado",P601="",P601=0),"",A601+P601)</f>
        <v>46295.0</v>
      </c>
      <c r="R601" s="26" t="str">
        <f>IF(Q601="","",IF(COUNTIFS($E$5:$E$1204,E601,$A$5:$A$1204,"&gt;"&amp;A601,$H$5:$H$1204,"&lt;&gt;Falta",$H$5:$H$1204,"&lt;&gt;Cancelado",$H$5:$H$1204,"&lt;&gt;Remarcado")&gt;0,"Sim","Não"))</f>
        <v>Sim</v>
      </c>
      <c r="S601" s="32">
        <f>IF(R601&lt;&gt;"Não","",IF(Q601+Config!$B$9&lt;=Config!$B$8,Config!$B$8-Q601,""))</f>
        <v/>
      </c>
      <c r="T601" s="26">
        <f>IF(S601="","","Sim")</f>
        <v/>
      </c>
      <c r="U601" s="41">
        <f>IF(T601="Sim",S601+ROW()/100000,0)</f>
        <v>0</v>
      </c>
      <c r="V601" s="41">
        <f>IF(AND(H601="Falta",L601=Config!$B$7,M601=Config!$B$5,COUNTIFS($E$5:E601,E601,$H$5:H601,"Falta",$L$5:L601,Config!$B$7,$M$5:M601,Config!$B$5)=1),COUNTIFS($E$5:$E$1204,E601,$H$5:$H$1204,"Falta",$L$5:$L$1204,Config!$B$7,$M$5:$M$1204,Config!$B$5)*1000-ROW()/100000,0)</f>
        <v>0</v>
      </c>
    </row>
    <row r="602">
      <c r="A602" s="39" t="n">
        <v>46265</v>
      </c>
      <c r="B602" s="40" t="n">
        <v>0.6944444444444444</v>
      </c>
      <c r="C602" s="35" t="inlineStr">
        <is>
          <t>Dr. Paulo Andrade</t>
        </is>
      </c>
      <c r="D602" s="35" t="inlineStr">
        <is>
          <t>Sala 2</t>
        </is>
      </c>
      <c r="E602" s="34" t="inlineStr">
        <is>
          <t>Marcelo Ferreira</t>
        </is>
      </c>
      <c r="F602" s="35" t="inlineStr">
        <is>
          <t>Particular</t>
        </is>
      </c>
      <c r="G602" s="35" t="inlineStr">
        <is>
          <t>Retorno</t>
        </is>
      </c>
      <c r="H602" s="35" t="inlineStr">
        <is>
          <t>Realizado</t>
        </is>
      </c>
      <c r="I602" s="35" t="inlineStr">
        <is>
          <t>Sem cobrança</t>
        </is>
      </c>
      <c r="J602" s="35" t="n"/>
      <c r="K602" s="34" t="n"/>
      <c r="L602" s="26">
        <f>IF(A602="","",MONTH(A602))</f>
        <v>8</v>
      </c>
      <c r="M602" s="26">
        <f>IF(A602="","",YEAR(A602))</f>
        <v>2026</v>
      </c>
      <c r="N602" s="26" t="str">
        <f>IF(A602="","",CHOOSE(WEEKDAY(A602,2),"Segunda","Terça","Quarta","Quinta","Sexta","Sábado","Domingo"))</f>
        <v>Segunda</v>
      </c>
      <c r="O602" s="26" t="str">
        <f>IF(B602="","",IF(B602&lt;TIME(12,0,0),"Manhã",IF(B602&lt;TIME(18,0,0),"Tarde","Noite")))</f>
        <v>Tarde</v>
      </c>
      <c r="P602" s="32">
        <f>IF(G602="","",IFERROR(INDEX(Config!$I$5:$I$16,MATCH(G602,Config!$H$5:$H$16,0)),0))</f>
        <v>0</v>
      </c>
      <c r="Q602" s="30">
        <f>IF(OR(H602&lt;&gt;"Realizado",P602="",P602=0),"",A602+P602)</f>
        <v/>
      </c>
      <c r="R602" s="26">
        <f>IF(Q602="","",IF(COUNTIFS($E$5:$E$1204,E602,$A$5:$A$1204,"&gt;"&amp;A602,$H$5:$H$1204,"&lt;&gt;Falta",$H$5:$H$1204,"&lt;&gt;Cancelado",$H$5:$H$1204,"&lt;&gt;Remarcado")&gt;0,"Sim","Não"))</f>
        <v/>
      </c>
      <c r="S602" s="32">
        <f>IF(R602&lt;&gt;"Não","",IF(Q602+Config!$B$9&lt;=Config!$B$8,Config!$B$8-Q602,""))</f>
        <v/>
      </c>
      <c r="T602" s="26">
        <f>IF(S602="","","Sim")</f>
        <v/>
      </c>
      <c r="U602" s="41">
        <f>IF(T602="Sim",S602+ROW()/100000,0)</f>
        <v>0</v>
      </c>
      <c r="V602" s="41">
        <f>IF(AND(H602="Falta",L602=Config!$B$7,M602=Config!$B$5,COUNTIFS($E$5:E602,E602,$H$5:H602,"Falta",$L$5:L602,Config!$B$7,$M$5:M602,Config!$B$5)=1),COUNTIFS($E$5:$E$1204,E602,$H$5:$H$1204,"Falta",$L$5:$L$1204,Config!$B$7,$M$5:$M$1204,Config!$B$5)*1000-ROW()/100000,0)</f>
        <v>0</v>
      </c>
    </row>
    <row r="603">
      <c r="A603" s="39" t="n">
        <v>46265</v>
      </c>
      <c r="B603" s="40" t="n">
        <v>0.7083333333333334</v>
      </c>
      <c r="C603" s="35" t="inlineStr">
        <is>
          <t>Dr. Paulo Andrade</t>
        </is>
      </c>
      <c r="D603" s="35" t="inlineStr">
        <is>
          <t>Sala 2</t>
        </is>
      </c>
      <c r="E603" s="34" t="inlineStr">
        <is>
          <t>Sandra Cardoso</t>
        </is>
      </c>
      <c r="F603" s="35" t="inlineStr">
        <is>
          <t>Saúde Total</t>
        </is>
      </c>
      <c r="G603" s="35" t="inlineStr">
        <is>
          <t>ECG</t>
        </is>
      </c>
      <c r="H603" s="35" t="inlineStr">
        <is>
          <t>Realizado</t>
        </is>
      </c>
      <c r="I603" s="35" t="inlineStr">
        <is>
          <t>Convênio</t>
        </is>
      </c>
      <c r="J603" s="35" t="n"/>
      <c r="K603" s="34" t="n"/>
      <c r="L603" s="26">
        <f>IF(A603="","",MONTH(A603))</f>
        <v>8</v>
      </c>
      <c r="M603" s="26">
        <f>IF(A603="","",YEAR(A603))</f>
        <v>2026</v>
      </c>
      <c r="N603" s="26" t="str">
        <f>IF(A603="","",CHOOSE(WEEKDAY(A603,2),"Segunda","Terça","Quarta","Quinta","Sexta","Sábado","Domingo"))</f>
        <v>Segunda</v>
      </c>
      <c r="O603" s="26" t="str">
        <f>IF(B603="","",IF(B603&lt;TIME(12,0,0),"Manhã",IF(B603&lt;TIME(18,0,0),"Tarde","Noite")))</f>
        <v>Tarde</v>
      </c>
      <c r="P603" s="32">
        <f>IF(G603="","",IFERROR(INDEX(Config!$I$5:$I$16,MATCH(G603,Config!$H$5:$H$16,0)),0))</f>
        <v>0</v>
      </c>
      <c r="Q603" s="30">
        <f>IF(OR(H603&lt;&gt;"Realizado",P603="",P603=0),"",A603+P603)</f>
        <v/>
      </c>
      <c r="R603" s="26">
        <f>IF(Q603="","",IF(COUNTIFS($E$5:$E$1204,E603,$A$5:$A$1204,"&gt;"&amp;A603,$H$5:$H$1204,"&lt;&gt;Falta",$H$5:$H$1204,"&lt;&gt;Cancelado",$H$5:$H$1204,"&lt;&gt;Remarcado")&gt;0,"Sim","Não"))</f>
        <v/>
      </c>
      <c r="S603" s="32">
        <f>IF(R603&lt;&gt;"Não","",IF(Q603+Config!$B$9&lt;=Config!$B$8,Config!$B$8-Q603,""))</f>
        <v/>
      </c>
      <c r="T603" s="26">
        <f>IF(S603="","","Sim")</f>
        <v/>
      </c>
      <c r="U603" s="41">
        <f>IF(T603="Sim",S603+ROW()/100000,0)</f>
        <v>0</v>
      </c>
      <c r="V603" s="41">
        <f>IF(AND(H603="Falta",L603=Config!$B$7,M603=Config!$B$5,COUNTIFS($E$5:E603,E603,$H$5:H603,"Falta",$L$5:L603,Config!$B$7,$M$5:M603,Config!$B$5)=1),COUNTIFS($E$5:$E$1204,E603,$H$5:$H$1204,"Falta",$L$5:$L$1204,Config!$B$7,$M$5:$M$1204,Config!$B$5)*1000-ROW()/100000,0)</f>
        <v>0</v>
      </c>
    </row>
    <row r="604">
      <c r="A604" s="39" t="n">
        <v>46265</v>
      </c>
      <c r="B604" s="40" t="n">
        <v>0.7222222222222222</v>
      </c>
      <c r="C604" s="35" t="inlineStr">
        <is>
          <t>Dr. Paulo Andrade</t>
        </is>
      </c>
      <c r="D604" s="35" t="inlineStr">
        <is>
          <t>Sala 2</t>
        </is>
      </c>
      <c r="E604" s="34" t="inlineStr">
        <is>
          <t>Débora Ramos</t>
        </is>
      </c>
      <c r="F604" s="35" t="inlineStr">
        <is>
          <t>Particular</t>
        </is>
      </c>
      <c r="G604" s="35" t="inlineStr">
        <is>
          <t>ECG</t>
        </is>
      </c>
      <c r="H604" s="35" t="inlineStr">
        <is>
          <t>Realizado</t>
        </is>
      </c>
      <c r="I604" s="35" t="inlineStr">
        <is>
          <t>Cartão de débito</t>
        </is>
      </c>
      <c r="J604" s="35" t="n"/>
      <c r="K604" s="34" t="n"/>
      <c r="L604" s="26">
        <f>IF(A604="","",MONTH(A604))</f>
        <v>8</v>
      </c>
      <c r="M604" s="26">
        <f>IF(A604="","",YEAR(A604))</f>
        <v>2026</v>
      </c>
      <c r="N604" s="26" t="str">
        <f>IF(A604="","",CHOOSE(WEEKDAY(A604,2),"Segunda","Terça","Quarta","Quinta","Sexta","Sábado","Domingo"))</f>
        <v>Segunda</v>
      </c>
      <c r="O604" s="26" t="str">
        <f>IF(B604="","",IF(B604&lt;TIME(12,0,0),"Manhã",IF(B604&lt;TIME(18,0,0),"Tarde","Noite")))</f>
        <v>Tarde</v>
      </c>
      <c r="P604" s="32">
        <f>IF(G604="","",IFERROR(INDEX(Config!$I$5:$I$16,MATCH(G604,Config!$H$5:$H$16,0)),0))</f>
        <v>0</v>
      </c>
      <c r="Q604" s="30">
        <f>IF(OR(H604&lt;&gt;"Realizado",P604="",P604=0),"",A604+P604)</f>
        <v/>
      </c>
      <c r="R604" s="26">
        <f>IF(Q604="","",IF(COUNTIFS($E$5:$E$1204,E604,$A$5:$A$1204,"&gt;"&amp;A604,$H$5:$H$1204,"&lt;&gt;Falta",$H$5:$H$1204,"&lt;&gt;Cancelado",$H$5:$H$1204,"&lt;&gt;Remarcado")&gt;0,"Sim","Não"))</f>
        <v/>
      </c>
      <c r="S604" s="32">
        <f>IF(R604&lt;&gt;"Não","",IF(Q604+Config!$B$9&lt;=Config!$B$8,Config!$B$8-Q604,""))</f>
        <v/>
      </c>
      <c r="T604" s="26">
        <f>IF(S604="","","Sim")</f>
        <v/>
      </c>
      <c r="U604" s="41">
        <f>IF(T604="Sim",S604+ROW()/100000,0)</f>
        <v>0</v>
      </c>
      <c r="V604" s="41">
        <f>IF(AND(H604="Falta",L604=Config!$B$7,M604=Config!$B$5,COUNTIFS($E$5:E604,E604,$H$5:H604,"Falta",$L$5:L604,Config!$B$7,$M$5:M604,Config!$B$5)=1),COUNTIFS($E$5:$E$1204,E604,$H$5:$H$1204,"Falta",$L$5:$L$1204,Config!$B$7,$M$5:$M$1204,Config!$B$5)*1000-ROW()/100000,0)</f>
        <v>0</v>
      </c>
    </row>
    <row r="605">
      <c r="A605" s="39" t="n">
        <v>46265</v>
      </c>
      <c r="B605" s="40" t="n">
        <v>0.7361111111111112</v>
      </c>
      <c r="C605" s="35" t="inlineStr">
        <is>
          <t>Dr. Paulo Andrade</t>
        </is>
      </c>
      <c r="D605" s="35" t="inlineStr">
        <is>
          <t>Sala 2</t>
        </is>
      </c>
      <c r="E605" s="34" t="inlineStr">
        <is>
          <t>Priscila Nunes</t>
        </is>
      </c>
      <c r="F605" s="35" t="inlineStr">
        <is>
          <t>MediPlan</t>
        </is>
      </c>
      <c r="G605" s="35" t="inlineStr">
        <is>
          <t>Holter</t>
        </is>
      </c>
      <c r="H605" s="35" t="inlineStr">
        <is>
          <t>Realizado</t>
        </is>
      </c>
      <c r="I605" s="35" t="inlineStr">
        <is>
          <t>Convênio</t>
        </is>
      </c>
      <c r="J605" s="35" t="n"/>
      <c r="K605" s="34" t="n"/>
      <c r="L605" s="26">
        <f>IF(A605="","",MONTH(A605))</f>
        <v>8</v>
      </c>
      <c r="M605" s="26">
        <f>IF(A605="","",YEAR(A605))</f>
        <v>2026</v>
      </c>
      <c r="N605" s="26" t="str">
        <f>IF(A605="","",CHOOSE(WEEKDAY(A605,2),"Segunda","Terça","Quarta","Quinta","Sexta","Sábado","Domingo"))</f>
        <v>Segunda</v>
      </c>
      <c r="O605" s="26" t="str">
        <f>IF(B605="","",IF(B605&lt;TIME(12,0,0),"Manhã",IF(B605&lt;TIME(18,0,0),"Tarde","Noite")))</f>
        <v>Tarde</v>
      </c>
      <c r="P605" s="32">
        <f>IF(G605="","",IFERROR(INDEX(Config!$I$5:$I$16,MATCH(G605,Config!$H$5:$H$16,0)),0))</f>
        <v>0</v>
      </c>
      <c r="Q605" s="30">
        <f>IF(OR(H605&lt;&gt;"Realizado",P605="",P605=0),"",A605+P605)</f>
        <v/>
      </c>
      <c r="R605" s="26">
        <f>IF(Q605="","",IF(COUNTIFS($E$5:$E$1204,E605,$A$5:$A$1204,"&gt;"&amp;A605,$H$5:$H$1204,"&lt;&gt;Falta",$H$5:$H$1204,"&lt;&gt;Cancelado",$H$5:$H$1204,"&lt;&gt;Remarcado")&gt;0,"Sim","Não"))</f>
        <v/>
      </c>
      <c r="S605" s="32">
        <f>IF(R605&lt;&gt;"Não","",IF(Q605+Config!$B$9&lt;=Config!$B$8,Config!$B$8-Q605,""))</f>
        <v/>
      </c>
      <c r="T605" s="26">
        <f>IF(S605="","","Sim")</f>
        <v/>
      </c>
      <c r="U605" s="41">
        <f>IF(T605="Sim",S605+ROW()/100000,0)</f>
        <v>0</v>
      </c>
      <c r="V605" s="41">
        <f>IF(AND(H605="Falta",L605=Config!$B$7,M605=Config!$B$5,COUNTIFS($E$5:E605,E605,$H$5:H605,"Falta",$L$5:L605,Config!$B$7,$M$5:M605,Config!$B$5)=1),COUNTIFS($E$5:$E$1204,E605,$H$5:$H$1204,"Falta",$L$5:$L$1204,Config!$B$7,$M$5:$M$1204,Config!$B$5)*1000-ROW()/100000,0)</f>
        <v>0</v>
      </c>
    </row>
    <row r="606">
      <c r="A606" s="39" t="n">
        <v>46266</v>
      </c>
      <c r="B606" s="40" t="n">
        <v>0.3333333333333333</v>
      </c>
      <c r="C606" s="35" t="inlineStr">
        <is>
          <t>Dra. Carolina Mendes</t>
        </is>
      </c>
      <c r="D606" s="35" t="inlineStr">
        <is>
          <t>Sala 1</t>
        </is>
      </c>
      <c r="E606" s="34" t="inlineStr">
        <is>
          <t>Ana Costa</t>
        </is>
      </c>
      <c r="F606" s="35" t="inlineStr">
        <is>
          <t>Particular</t>
        </is>
      </c>
      <c r="G606" s="35" t="inlineStr">
        <is>
          <t>Consulta</t>
        </is>
      </c>
      <c r="H606" s="35" t="inlineStr">
        <is>
          <t>Realizado</t>
        </is>
      </c>
      <c r="I606" s="35" t="inlineStr">
        <is>
          <t>Cartão de crédito</t>
        </is>
      </c>
      <c r="J606" s="35" t="n"/>
      <c r="K606" s="34" t="n"/>
      <c r="L606" s="26">
        <f>IF(A606="","",MONTH(A606))</f>
        <v>9</v>
      </c>
      <c r="M606" s="26">
        <f>IF(A606="","",YEAR(A606))</f>
        <v>2026</v>
      </c>
      <c r="N606" s="26" t="str">
        <f>IF(A606="","",CHOOSE(WEEKDAY(A606,2),"Segunda","Terça","Quarta","Quinta","Sexta","Sábado","Domingo"))</f>
        <v>Terça</v>
      </c>
      <c r="O606" s="26" t="str">
        <f>IF(B606="","",IF(B606&lt;TIME(12,0,0),"Manhã",IF(B606&lt;TIME(18,0,0),"Tarde","Noite")))</f>
        <v>Manhã</v>
      </c>
      <c r="P606" s="32">
        <f>IF(G606="","",IFERROR(INDEX(Config!$I$5:$I$16,MATCH(G606,Config!$H$5:$H$16,0)),0))</f>
        <v>30</v>
      </c>
      <c r="Q606" s="30">
        <f>IF(OR(H606&lt;&gt;"Realizado",P606="",P606=0),"",A606+P606)</f>
        <v>46296.0</v>
      </c>
      <c r="R606" s="26" t="str">
        <f>IF(Q606="","",IF(COUNTIFS($E$5:$E$1204,E606,$A$5:$A$1204,"&gt;"&amp;A606,$H$5:$H$1204,"&lt;&gt;Falta",$H$5:$H$1204,"&lt;&gt;Cancelado",$H$5:$H$1204,"&lt;&gt;Remarcado")&gt;0,"Sim","Não"))</f>
        <v>Sim</v>
      </c>
      <c r="S606" s="32">
        <f>IF(R606&lt;&gt;"Não","",IF(Q606+Config!$B$9&lt;=Config!$B$8,Config!$B$8-Q606,""))</f>
        <v/>
      </c>
      <c r="T606" s="26">
        <f>IF(S606="","","Sim")</f>
        <v/>
      </c>
      <c r="U606" s="41">
        <f>IF(T606="Sim",S606+ROW()/100000,0)</f>
        <v>0</v>
      </c>
      <c r="V606" s="41">
        <f>IF(AND(H606="Falta",L606=Config!$B$7,M606=Config!$B$5,COUNTIFS($E$5:E606,E606,$H$5:H606,"Falta",$L$5:L606,Config!$B$7,$M$5:M606,Config!$B$5)=1),COUNTIFS($E$5:$E$1204,E606,$H$5:$H$1204,"Falta",$L$5:$L$1204,Config!$B$7,$M$5:$M$1204,Config!$B$5)*1000-ROW()/100000,0)</f>
        <v>0</v>
      </c>
    </row>
    <row r="607">
      <c r="A607" s="39" t="n">
        <v>46266</v>
      </c>
      <c r="B607" s="40" t="n">
        <v>0.3541666666666667</v>
      </c>
      <c r="C607" s="35" t="inlineStr">
        <is>
          <t>Dra. Carolina Mendes</t>
        </is>
      </c>
      <c r="D607" s="35" t="inlineStr">
        <is>
          <t>Sala 1</t>
        </is>
      </c>
      <c r="E607" s="34" t="inlineStr">
        <is>
          <t>Gustavo Ferreira</t>
        </is>
      </c>
      <c r="F607" s="35" t="inlineStr">
        <is>
          <t>Particular</t>
        </is>
      </c>
      <c r="G607" s="35" t="inlineStr">
        <is>
          <t>Consulta</t>
        </is>
      </c>
      <c r="H607" s="35" t="inlineStr">
        <is>
          <t>Realizado</t>
        </is>
      </c>
      <c r="I607" s="35" t="inlineStr">
        <is>
          <t>Cartão de crédito</t>
        </is>
      </c>
      <c r="J607" s="35" t="n"/>
      <c r="K607" s="34" t="n"/>
      <c r="L607" s="26">
        <f>IF(A607="","",MONTH(A607))</f>
        <v>9</v>
      </c>
      <c r="M607" s="26">
        <f>IF(A607="","",YEAR(A607))</f>
        <v>2026</v>
      </c>
      <c r="N607" s="26" t="str">
        <f>IF(A607="","",CHOOSE(WEEKDAY(A607,2),"Segunda","Terça","Quarta","Quinta","Sexta","Sábado","Domingo"))</f>
        <v>Terça</v>
      </c>
      <c r="O607" s="26" t="str">
        <f>IF(B607="","",IF(B607&lt;TIME(12,0,0),"Manhã",IF(B607&lt;TIME(18,0,0),"Tarde","Noite")))</f>
        <v>Manhã</v>
      </c>
      <c r="P607" s="32">
        <f>IF(G607="","",IFERROR(INDEX(Config!$I$5:$I$16,MATCH(G607,Config!$H$5:$H$16,0)),0))</f>
        <v>30</v>
      </c>
      <c r="Q607" s="30">
        <f>IF(OR(H607&lt;&gt;"Realizado",P607="",P607=0),"",A607+P607)</f>
        <v>46296.0</v>
      </c>
      <c r="R607" s="26" t="str">
        <f>IF(Q607="","",IF(COUNTIFS($E$5:$E$1204,E607,$A$5:$A$1204,"&gt;"&amp;A607,$H$5:$H$1204,"&lt;&gt;Falta",$H$5:$H$1204,"&lt;&gt;Cancelado",$H$5:$H$1204,"&lt;&gt;Remarcado")&gt;0,"Sim","Não"))</f>
        <v>Sim</v>
      </c>
      <c r="S607" s="32">
        <f>IF(R607&lt;&gt;"Não","",IF(Q607+Config!$B$9&lt;=Config!$B$8,Config!$B$8-Q607,""))</f>
        <v/>
      </c>
      <c r="T607" s="26">
        <f>IF(S607="","","Sim")</f>
        <v/>
      </c>
      <c r="U607" s="41">
        <f>IF(T607="Sim",S607+ROW()/100000,0)</f>
        <v>0</v>
      </c>
      <c r="V607" s="41">
        <f>IF(AND(H607="Falta",L607=Config!$B$7,M607=Config!$B$5,COUNTIFS($E$5:E607,E607,$H$5:H607,"Falta",$L$5:L607,Config!$B$7,$M$5:M607,Config!$B$5)=1),COUNTIFS($E$5:$E$1204,E607,$H$5:$H$1204,"Falta",$L$5:$L$1204,Config!$B$7,$M$5:$M$1204,Config!$B$5)*1000-ROW()/100000,0)</f>
        <v>0</v>
      </c>
    </row>
    <row r="608">
      <c r="A608" s="39" t="n">
        <v>46266</v>
      </c>
      <c r="B608" s="40" t="n">
        <v>0.375</v>
      </c>
      <c r="C608" s="35" t="inlineStr">
        <is>
          <t>Dra. Carolina Mendes</t>
        </is>
      </c>
      <c r="D608" s="35" t="inlineStr">
        <is>
          <t>Sala 1</t>
        </is>
      </c>
      <c r="E608" s="34" t="inlineStr">
        <is>
          <t>Rodrigo Moreira</t>
        </is>
      </c>
      <c r="F608" s="35" t="inlineStr">
        <is>
          <t>Particular</t>
        </is>
      </c>
      <c r="G608" s="35" t="inlineStr">
        <is>
          <t>Retorno</t>
        </is>
      </c>
      <c r="H608" s="35" t="inlineStr">
        <is>
          <t>Realizado</t>
        </is>
      </c>
      <c r="I608" s="35" t="inlineStr">
        <is>
          <t>Sem cobrança</t>
        </is>
      </c>
      <c r="J608" s="35" t="n"/>
      <c r="K608" s="34" t="n"/>
      <c r="L608" s="26">
        <f>IF(A608="","",MONTH(A608))</f>
        <v>9</v>
      </c>
      <c r="M608" s="26">
        <f>IF(A608="","",YEAR(A608))</f>
        <v>2026</v>
      </c>
      <c r="N608" s="26" t="str">
        <f>IF(A608="","",CHOOSE(WEEKDAY(A608,2),"Segunda","Terça","Quarta","Quinta","Sexta","Sábado","Domingo"))</f>
        <v>Terça</v>
      </c>
      <c r="O608" s="26" t="str">
        <f>IF(B608="","",IF(B608&lt;TIME(12,0,0),"Manhã",IF(B608&lt;TIME(18,0,0),"Tarde","Noite")))</f>
        <v>Manhã</v>
      </c>
      <c r="P608" s="32">
        <f>IF(G608="","",IFERROR(INDEX(Config!$I$5:$I$16,MATCH(G608,Config!$H$5:$H$16,0)),0))</f>
        <v>0</v>
      </c>
      <c r="Q608" s="30">
        <f>IF(OR(H608&lt;&gt;"Realizado",P608="",P608=0),"",A608+P608)</f>
        <v/>
      </c>
      <c r="R608" s="26">
        <f>IF(Q608="","",IF(COUNTIFS($E$5:$E$1204,E608,$A$5:$A$1204,"&gt;"&amp;A608,$H$5:$H$1204,"&lt;&gt;Falta",$H$5:$H$1204,"&lt;&gt;Cancelado",$H$5:$H$1204,"&lt;&gt;Remarcado")&gt;0,"Sim","Não"))</f>
        <v/>
      </c>
      <c r="S608" s="32">
        <f>IF(R608&lt;&gt;"Não","",IF(Q608+Config!$B$9&lt;=Config!$B$8,Config!$B$8-Q608,""))</f>
        <v/>
      </c>
      <c r="T608" s="26">
        <f>IF(S608="","","Sim")</f>
        <v/>
      </c>
      <c r="U608" s="41">
        <f>IF(T608="Sim",S608+ROW()/100000,0)</f>
        <v>0</v>
      </c>
      <c r="V608" s="41">
        <f>IF(AND(H608="Falta",L608=Config!$B$7,M608=Config!$B$5,COUNTIFS($E$5:E608,E608,$H$5:H608,"Falta",$L$5:L608,Config!$B$7,$M$5:M608,Config!$B$5)=1),COUNTIFS($E$5:$E$1204,E608,$H$5:$H$1204,"Falta",$L$5:$L$1204,Config!$B$7,$M$5:$M$1204,Config!$B$5)*1000-ROW()/100000,0)</f>
        <v>0</v>
      </c>
    </row>
    <row r="609">
      <c r="A609" s="39" t="n">
        <v>46266</v>
      </c>
      <c r="B609" s="40" t="n">
        <v>0.4097222222222222</v>
      </c>
      <c r="C609" s="35" t="inlineStr">
        <is>
          <t>Dra. Carolina Mendes</t>
        </is>
      </c>
      <c r="D609" s="35" t="inlineStr">
        <is>
          <t>Sala 1</t>
        </is>
      </c>
      <c r="E609" s="34" t="inlineStr">
        <is>
          <t>Daniel Melo</t>
        </is>
      </c>
      <c r="F609" s="35" t="inlineStr">
        <is>
          <t>Saúde Total</t>
        </is>
      </c>
      <c r="G609" s="35" t="inlineStr">
        <is>
          <t>Consulta</t>
        </is>
      </c>
      <c r="H609" s="35" t="inlineStr">
        <is>
          <t>Realizado</t>
        </is>
      </c>
      <c r="I609" s="35" t="inlineStr">
        <is>
          <t>Convênio</t>
        </is>
      </c>
      <c r="J609" s="35" t="n"/>
      <c r="K609" s="34" t="n"/>
      <c r="L609" s="26">
        <f>IF(A609="","",MONTH(A609))</f>
        <v>9</v>
      </c>
      <c r="M609" s="26">
        <f>IF(A609="","",YEAR(A609))</f>
        <v>2026</v>
      </c>
      <c r="N609" s="26" t="str">
        <f>IF(A609="","",CHOOSE(WEEKDAY(A609,2),"Segunda","Terça","Quarta","Quinta","Sexta","Sábado","Domingo"))</f>
        <v>Terça</v>
      </c>
      <c r="O609" s="26" t="str">
        <f>IF(B609="","",IF(B609&lt;TIME(12,0,0),"Manhã",IF(B609&lt;TIME(18,0,0),"Tarde","Noite")))</f>
        <v>Manhã</v>
      </c>
      <c r="P609" s="32">
        <f>IF(G609="","",IFERROR(INDEX(Config!$I$5:$I$16,MATCH(G609,Config!$H$5:$H$16,0)),0))</f>
        <v>30</v>
      </c>
      <c r="Q609" s="30">
        <f>IF(OR(H609&lt;&gt;"Realizado",P609="",P609=0),"",A609+P609)</f>
        <v>46296.0</v>
      </c>
      <c r="R609" s="26" t="str">
        <f>IF(Q609="","",IF(COUNTIFS($E$5:$E$1204,E609,$A$5:$A$1204,"&gt;"&amp;A609,$H$5:$H$1204,"&lt;&gt;Falta",$H$5:$H$1204,"&lt;&gt;Cancelado",$H$5:$H$1204,"&lt;&gt;Remarcado")&gt;0,"Sim","Não"))</f>
        <v>Não</v>
      </c>
      <c r="S609" s="32">
        <f>IF(R609&lt;&gt;"Não","",IF(Q609+Config!$B$9&lt;=Config!$B$8,Config!$B$8-Q609,""))</f>
        <v/>
      </c>
      <c r="T609" s="26">
        <f>IF(S609="","","Sim")</f>
        <v/>
      </c>
      <c r="U609" s="41">
        <f>IF(T609="Sim",S609+ROW()/100000,0)</f>
        <v>0</v>
      </c>
      <c r="V609" s="41">
        <f>IF(AND(H609="Falta",L609=Config!$B$7,M609=Config!$B$5,COUNTIFS($E$5:E609,E609,$H$5:H609,"Falta",$L$5:L609,Config!$B$7,$M$5:M609,Config!$B$5)=1),COUNTIFS($E$5:$E$1204,E609,$H$5:$H$1204,"Falta",$L$5:$L$1204,Config!$B$7,$M$5:$M$1204,Config!$B$5)*1000-ROW()/100000,0)</f>
        <v>0</v>
      </c>
    </row>
    <row r="610">
      <c r="A610" s="39" t="n">
        <v>46266</v>
      </c>
      <c r="B610" s="40" t="n">
        <v>0.4305555555555556</v>
      </c>
      <c r="C610" s="35" t="inlineStr">
        <is>
          <t>Dra. Carolina Mendes</t>
        </is>
      </c>
      <c r="D610" s="35" t="inlineStr">
        <is>
          <t>Sala 1</t>
        </is>
      </c>
      <c r="E610" s="34" t="inlineStr">
        <is>
          <t>Otávio Nascimento</t>
        </is>
      </c>
      <c r="F610" s="35" t="inlineStr">
        <is>
          <t>Particular</t>
        </is>
      </c>
      <c r="G610" s="35" t="inlineStr">
        <is>
          <t>Consulta</t>
        </is>
      </c>
      <c r="H610" s="35" t="inlineStr">
        <is>
          <t>Realizado</t>
        </is>
      </c>
      <c r="I610" s="35" t="inlineStr">
        <is>
          <t>Cartão de crédito</t>
        </is>
      </c>
      <c r="J610" s="35" t="n">
        <v>2</v>
      </c>
      <c r="K610" s="34" t="n"/>
      <c r="L610" s="26">
        <f>IF(A610="","",MONTH(A610))</f>
        <v>9</v>
      </c>
      <c r="M610" s="26">
        <f>IF(A610="","",YEAR(A610))</f>
        <v>2026</v>
      </c>
      <c r="N610" s="26" t="str">
        <f>IF(A610="","",CHOOSE(WEEKDAY(A610,2),"Segunda","Terça","Quarta","Quinta","Sexta","Sábado","Domingo"))</f>
        <v>Terça</v>
      </c>
      <c r="O610" s="26" t="str">
        <f>IF(B610="","",IF(B610&lt;TIME(12,0,0),"Manhã",IF(B610&lt;TIME(18,0,0),"Tarde","Noite")))</f>
        <v>Manhã</v>
      </c>
      <c r="P610" s="32">
        <f>IF(G610="","",IFERROR(INDEX(Config!$I$5:$I$16,MATCH(G610,Config!$H$5:$H$16,0)),0))</f>
        <v>30</v>
      </c>
      <c r="Q610" s="30">
        <f>IF(OR(H610&lt;&gt;"Realizado",P610="",P610=0),"",A610+P610)</f>
        <v>46296.0</v>
      </c>
      <c r="R610" s="26" t="str">
        <f>IF(Q610="","",IF(COUNTIFS($E$5:$E$1204,E610,$A$5:$A$1204,"&gt;"&amp;A610,$H$5:$H$1204,"&lt;&gt;Falta",$H$5:$H$1204,"&lt;&gt;Cancelado",$H$5:$H$1204,"&lt;&gt;Remarcado")&gt;0,"Sim","Não"))</f>
        <v>Sim</v>
      </c>
      <c r="S610" s="32">
        <f>IF(R610&lt;&gt;"Não","",IF(Q610+Config!$B$9&lt;=Config!$B$8,Config!$B$8-Q610,""))</f>
        <v/>
      </c>
      <c r="T610" s="26">
        <f>IF(S610="","","Sim")</f>
        <v/>
      </c>
      <c r="U610" s="41">
        <f>IF(T610="Sim",S610+ROW()/100000,0)</f>
        <v>0</v>
      </c>
      <c r="V610" s="41">
        <f>IF(AND(H610="Falta",L610=Config!$B$7,M610=Config!$B$5,COUNTIFS($E$5:E610,E610,$H$5:H610,"Falta",$L$5:L610,Config!$B$7,$M$5:M610,Config!$B$5)=1),COUNTIFS($E$5:$E$1204,E610,$H$5:$H$1204,"Falta",$L$5:$L$1204,Config!$B$7,$M$5:$M$1204,Config!$B$5)*1000-ROW()/100000,0)</f>
        <v>0</v>
      </c>
    </row>
    <row r="611">
      <c r="A611" s="39" t="n">
        <v>46266</v>
      </c>
      <c r="B611" s="40" t="n">
        <v>0.4513888888888889</v>
      </c>
      <c r="C611" s="35" t="inlineStr">
        <is>
          <t>Dra. Carolina Mendes</t>
        </is>
      </c>
      <c r="D611" s="35" t="inlineStr">
        <is>
          <t>Sala 1</t>
        </is>
      </c>
      <c r="E611" s="34" t="inlineStr">
        <is>
          <t>Mariana Nascimento</t>
        </is>
      </c>
      <c r="F611" s="35" t="inlineStr">
        <is>
          <t>Particular</t>
        </is>
      </c>
      <c r="G611" s="35" t="inlineStr">
        <is>
          <t>Consulta</t>
        </is>
      </c>
      <c r="H611" s="35" t="inlineStr">
        <is>
          <t>Realizado</t>
        </is>
      </c>
      <c r="I611" s="35" t="inlineStr">
        <is>
          <t>Cartão de crédito</t>
        </is>
      </c>
      <c r="J611" s="35" t="n"/>
      <c r="K611" s="34" t="n"/>
      <c r="L611" s="26">
        <f>IF(A611="","",MONTH(A611))</f>
        <v>9</v>
      </c>
      <c r="M611" s="26">
        <f>IF(A611="","",YEAR(A611))</f>
        <v>2026</v>
      </c>
      <c r="N611" s="26" t="str">
        <f>IF(A611="","",CHOOSE(WEEKDAY(A611,2),"Segunda","Terça","Quarta","Quinta","Sexta","Sábado","Domingo"))</f>
        <v>Terça</v>
      </c>
      <c r="O611" s="26" t="str">
        <f>IF(B611="","",IF(B611&lt;TIME(12,0,0),"Manhã",IF(B611&lt;TIME(18,0,0),"Tarde","Noite")))</f>
        <v>Manhã</v>
      </c>
      <c r="P611" s="32">
        <f>IF(G611="","",IFERROR(INDEX(Config!$I$5:$I$16,MATCH(G611,Config!$H$5:$H$16,0)),0))</f>
        <v>30</v>
      </c>
      <c r="Q611" s="30">
        <f>IF(OR(H611&lt;&gt;"Realizado",P611="",P611=0),"",A611+P611)</f>
        <v>46296.0</v>
      </c>
      <c r="R611" s="26" t="str">
        <f>IF(Q611="","",IF(COUNTIFS($E$5:$E$1204,E611,$A$5:$A$1204,"&gt;"&amp;A611,$H$5:$H$1204,"&lt;&gt;Falta",$H$5:$H$1204,"&lt;&gt;Cancelado",$H$5:$H$1204,"&lt;&gt;Remarcado")&gt;0,"Sim","Não"))</f>
        <v>Sim</v>
      </c>
      <c r="S611" s="32">
        <f>IF(R611&lt;&gt;"Não","",IF(Q611+Config!$B$9&lt;=Config!$B$8,Config!$B$8-Q611,""))</f>
        <v/>
      </c>
      <c r="T611" s="26">
        <f>IF(S611="","","Sim")</f>
        <v/>
      </c>
      <c r="U611" s="41">
        <f>IF(T611="Sim",S611+ROW()/100000,0)</f>
        <v>0</v>
      </c>
      <c r="V611" s="41">
        <f>IF(AND(H611="Falta",L611=Config!$B$7,M611=Config!$B$5,COUNTIFS($E$5:E611,E611,$H$5:H611,"Falta",$L$5:L611,Config!$B$7,$M$5:M611,Config!$B$5)=1),COUNTIFS($E$5:$E$1204,E611,$H$5:$H$1204,"Falta",$L$5:$L$1204,Config!$B$7,$M$5:$M$1204,Config!$B$5)*1000-ROW()/100000,0)</f>
        <v>0</v>
      </c>
    </row>
    <row r="612">
      <c r="A612" s="39" t="n">
        <v>46266</v>
      </c>
      <c r="B612" s="40" t="n">
        <v>0.4722222222222222</v>
      </c>
      <c r="C612" s="35" t="inlineStr">
        <is>
          <t>Dra. Carolina Mendes</t>
        </is>
      </c>
      <c r="D612" s="35" t="inlineStr">
        <is>
          <t>Sala 1</t>
        </is>
      </c>
      <c r="E612" s="34" t="inlineStr">
        <is>
          <t>Carlos Barros</t>
        </is>
      </c>
      <c r="F612" s="35" t="inlineStr">
        <is>
          <t>MediPlan</t>
        </is>
      </c>
      <c r="G612" s="35" t="inlineStr">
        <is>
          <t>Retorno</t>
        </is>
      </c>
      <c r="H612" s="35" t="inlineStr">
        <is>
          <t>Realizado</t>
        </is>
      </c>
      <c r="I612" s="35" t="inlineStr">
        <is>
          <t>Sem cobrança</t>
        </is>
      </c>
      <c r="J612" s="35" t="n"/>
      <c r="K612" s="34" t="n"/>
      <c r="L612" s="26">
        <f>IF(A612="","",MONTH(A612))</f>
        <v>9</v>
      </c>
      <c r="M612" s="26">
        <f>IF(A612="","",YEAR(A612))</f>
        <v>2026</v>
      </c>
      <c r="N612" s="26" t="str">
        <f>IF(A612="","",CHOOSE(WEEKDAY(A612,2),"Segunda","Terça","Quarta","Quinta","Sexta","Sábado","Domingo"))</f>
        <v>Terça</v>
      </c>
      <c r="O612" s="26" t="str">
        <f>IF(B612="","",IF(B612&lt;TIME(12,0,0),"Manhã",IF(B612&lt;TIME(18,0,0),"Tarde","Noite")))</f>
        <v>Manhã</v>
      </c>
      <c r="P612" s="32">
        <f>IF(G612="","",IFERROR(INDEX(Config!$I$5:$I$16,MATCH(G612,Config!$H$5:$H$16,0)),0))</f>
        <v>0</v>
      </c>
      <c r="Q612" s="30">
        <f>IF(OR(H612&lt;&gt;"Realizado",P612="",P612=0),"",A612+P612)</f>
        <v/>
      </c>
      <c r="R612" s="26">
        <f>IF(Q612="","",IF(COUNTIFS($E$5:$E$1204,E612,$A$5:$A$1204,"&gt;"&amp;A612,$H$5:$H$1204,"&lt;&gt;Falta",$H$5:$H$1204,"&lt;&gt;Cancelado",$H$5:$H$1204,"&lt;&gt;Remarcado")&gt;0,"Sim","Não"))</f>
        <v/>
      </c>
      <c r="S612" s="32">
        <f>IF(R612&lt;&gt;"Não","",IF(Q612+Config!$B$9&lt;=Config!$B$8,Config!$B$8-Q612,""))</f>
        <v/>
      </c>
      <c r="T612" s="26">
        <f>IF(S612="","","Sim")</f>
        <v/>
      </c>
      <c r="U612" s="41">
        <f>IF(T612="Sim",S612+ROW()/100000,0)</f>
        <v>0</v>
      </c>
      <c r="V612" s="41">
        <f>IF(AND(H612="Falta",L612=Config!$B$7,M612=Config!$B$5,COUNTIFS($E$5:E612,E612,$H$5:H612,"Falta",$L$5:L612,Config!$B$7,$M$5:M612,Config!$B$5)=1),COUNTIFS($E$5:$E$1204,E612,$H$5:$H$1204,"Falta",$L$5:$L$1204,Config!$B$7,$M$5:$M$1204,Config!$B$5)*1000-ROW()/100000,0)</f>
        <v>0</v>
      </c>
    </row>
    <row r="613">
      <c r="A613" s="39" t="n">
        <v>46266</v>
      </c>
      <c r="B613" s="40" t="n">
        <v>0.4861111111111111</v>
      </c>
      <c r="C613" s="35" t="inlineStr">
        <is>
          <t>Dra. Carolina Mendes</t>
        </is>
      </c>
      <c r="D613" s="35" t="inlineStr">
        <is>
          <t>Sala 1</t>
        </is>
      </c>
      <c r="E613" s="34" t="inlineStr">
        <is>
          <t>Gustavo Barbosa</t>
        </is>
      </c>
      <c r="F613" s="35" t="inlineStr">
        <is>
          <t>Saúde Total</t>
        </is>
      </c>
      <c r="G613" s="35" t="inlineStr">
        <is>
          <t>Consulta</t>
        </is>
      </c>
      <c r="H613" s="35" t="inlineStr">
        <is>
          <t>Realizado</t>
        </is>
      </c>
      <c r="I613" s="35" t="inlineStr">
        <is>
          <t>Convênio</t>
        </is>
      </c>
      <c r="J613" s="35" t="n"/>
      <c r="K613" s="34" t="n"/>
      <c r="L613" s="26">
        <f>IF(A613="","",MONTH(A613))</f>
        <v>9</v>
      </c>
      <c r="M613" s="26">
        <f>IF(A613="","",YEAR(A613))</f>
        <v>2026</v>
      </c>
      <c r="N613" s="26" t="str">
        <f>IF(A613="","",CHOOSE(WEEKDAY(A613,2),"Segunda","Terça","Quarta","Quinta","Sexta","Sábado","Domingo"))</f>
        <v>Terça</v>
      </c>
      <c r="O613" s="26" t="str">
        <f>IF(B613="","",IF(B613&lt;TIME(12,0,0),"Manhã",IF(B613&lt;TIME(18,0,0),"Tarde","Noite")))</f>
        <v>Manhã</v>
      </c>
      <c r="P613" s="32">
        <f>IF(G613="","",IFERROR(INDEX(Config!$I$5:$I$16,MATCH(G613,Config!$H$5:$H$16,0)),0))</f>
        <v>30</v>
      </c>
      <c r="Q613" s="30">
        <f>IF(OR(H613&lt;&gt;"Realizado",P613="",P613=0),"",A613+P613)</f>
        <v>46296.0</v>
      </c>
      <c r="R613" s="26" t="str">
        <f>IF(Q613="","",IF(COUNTIFS($E$5:$E$1204,E613,$A$5:$A$1204,"&gt;"&amp;A613,$H$5:$H$1204,"&lt;&gt;Falta",$H$5:$H$1204,"&lt;&gt;Cancelado",$H$5:$H$1204,"&lt;&gt;Remarcado")&gt;0,"Sim","Não"))</f>
        <v>Sim</v>
      </c>
      <c r="S613" s="32">
        <f>IF(R613&lt;&gt;"Não","",IF(Q613+Config!$B$9&lt;=Config!$B$8,Config!$B$8-Q613,""))</f>
        <v/>
      </c>
      <c r="T613" s="26">
        <f>IF(S613="","","Sim")</f>
        <v/>
      </c>
      <c r="U613" s="41">
        <f>IF(T613="Sim",S613+ROW()/100000,0)</f>
        <v>0</v>
      </c>
      <c r="V613" s="41">
        <f>IF(AND(H613="Falta",L613=Config!$B$7,M613=Config!$B$5,COUNTIFS($E$5:E613,E613,$H$5:H613,"Falta",$L$5:L613,Config!$B$7,$M$5:M613,Config!$B$5)=1),COUNTIFS($E$5:$E$1204,E613,$H$5:$H$1204,"Falta",$L$5:$L$1204,Config!$B$7,$M$5:$M$1204,Config!$B$5)*1000-ROW()/100000,0)</f>
        <v>0</v>
      </c>
    </row>
    <row r="614">
      <c r="A614" s="39" t="n">
        <v>46266</v>
      </c>
      <c r="B614" s="40" t="n">
        <v>0.5833333333333334</v>
      </c>
      <c r="C614" s="35" t="inlineStr">
        <is>
          <t>Dra. Renata Sousa</t>
        </is>
      </c>
      <c r="D614" s="35" t="inlineStr">
        <is>
          <t>Sala 1</t>
        </is>
      </c>
      <c r="E614" s="34" t="inlineStr">
        <is>
          <t>Paulo Fernandes</t>
        </is>
      </c>
      <c r="F614" s="35" t="inlineStr">
        <is>
          <t>Particular</t>
        </is>
      </c>
      <c r="G614" s="35" t="inlineStr">
        <is>
          <t>Avaliação endócrina</t>
        </is>
      </c>
      <c r="H614" s="35" t="inlineStr">
        <is>
          <t>Realizado</t>
        </is>
      </c>
      <c r="I614" s="35" t="inlineStr">
        <is>
          <t>Cartão de débito</t>
        </is>
      </c>
      <c r="J614" s="35" t="n"/>
      <c r="K614" s="34" t="n"/>
      <c r="L614" s="26">
        <f>IF(A614="","",MONTH(A614))</f>
        <v>9</v>
      </c>
      <c r="M614" s="26">
        <f>IF(A614="","",YEAR(A614))</f>
        <v>2026</v>
      </c>
      <c r="N614" s="26" t="str">
        <f>IF(A614="","",CHOOSE(WEEKDAY(A614,2),"Segunda","Terça","Quarta","Quinta","Sexta","Sábado","Domingo"))</f>
        <v>Terça</v>
      </c>
      <c r="O614" s="26" t="str">
        <f>IF(B614="","",IF(B614&lt;TIME(12,0,0),"Manhã",IF(B614&lt;TIME(18,0,0),"Tarde","Noite")))</f>
        <v>Tarde</v>
      </c>
      <c r="P614" s="32">
        <f>IF(G614="","",IFERROR(INDEX(Config!$I$5:$I$16,MATCH(G614,Config!$H$5:$H$16,0)),0))</f>
        <v>45</v>
      </c>
      <c r="Q614" s="30">
        <f>IF(OR(H614&lt;&gt;"Realizado",P614="",P614=0),"",A614+P614)</f>
        <v>46311.0</v>
      </c>
      <c r="R614" s="26" t="str">
        <f>IF(Q614="","",IF(COUNTIFS($E$5:$E$1204,E614,$A$5:$A$1204,"&gt;"&amp;A614,$H$5:$H$1204,"&lt;&gt;Falta",$H$5:$H$1204,"&lt;&gt;Cancelado",$H$5:$H$1204,"&lt;&gt;Remarcado")&gt;0,"Sim","Não"))</f>
        <v>Não</v>
      </c>
      <c r="S614" s="32">
        <f>IF(R614&lt;&gt;"Não","",IF(Q614+Config!$B$9&lt;=Config!$B$8,Config!$B$8-Q614,""))</f>
        <v/>
      </c>
      <c r="T614" s="26">
        <f>IF(S614="","","Sim")</f>
        <v/>
      </c>
      <c r="U614" s="41">
        <f>IF(T614="Sim",S614+ROW()/100000,0)</f>
        <v>0</v>
      </c>
      <c r="V614" s="41">
        <f>IF(AND(H614="Falta",L614=Config!$B$7,M614=Config!$B$5,COUNTIFS($E$5:E614,E614,$H$5:H614,"Falta",$L$5:L614,Config!$B$7,$M$5:M614,Config!$B$5)=1),COUNTIFS($E$5:$E$1204,E614,$H$5:$H$1204,"Falta",$L$5:$L$1204,Config!$B$7,$M$5:$M$1204,Config!$B$5)*1000-ROW()/100000,0)</f>
        <v>0</v>
      </c>
    </row>
    <row r="615">
      <c r="A615" s="39" t="n">
        <v>46266</v>
      </c>
      <c r="B615" s="40" t="n">
        <v>0.5833333333333334</v>
      </c>
      <c r="C615" s="35" t="inlineStr">
        <is>
          <t>Dr. Paulo Andrade</t>
        </is>
      </c>
      <c r="D615" s="35" t="inlineStr">
        <is>
          <t>Sala 2</t>
        </is>
      </c>
      <c r="E615" s="34" t="inlineStr">
        <is>
          <t>Mateus Dias</t>
        </is>
      </c>
      <c r="F615" s="35" t="inlineStr">
        <is>
          <t>Saúde Total</t>
        </is>
      </c>
      <c r="G615" s="35" t="inlineStr">
        <is>
          <t>Consulta</t>
        </is>
      </c>
      <c r="H615" s="35" t="inlineStr">
        <is>
          <t>Realizado</t>
        </is>
      </c>
      <c r="I615" s="35" t="inlineStr">
        <is>
          <t>Convênio</t>
        </is>
      </c>
      <c r="J615" s="35" t="n"/>
      <c r="K615" s="34" t="n"/>
      <c r="L615" s="26">
        <f>IF(A615="","",MONTH(A615))</f>
        <v>9</v>
      </c>
      <c r="M615" s="26">
        <f>IF(A615="","",YEAR(A615))</f>
        <v>2026</v>
      </c>
      <c r="N615" s="26" t="str">
        <f>IF(A615="","",CHOOSE(WEEKDAY(A615,2),"Segunda","Terça","Quarta","Quinta","Sexta","Sábado","Domingo"))</f>
        <v>Terça</v>
      </c>
      <c r="O615" s="26" t="str">
        <f>IF(B615="","",IF(B615&lt;TIME(12,0,0),"Manhã",IF(B615&lt;TIME(18,0,0),"Tarde","Noite")))</f>
        <v>Tarde</v>
      </c>
      <c r="P615" s="32">
        <f>IF(G615="","",IFERROR(INDEX(Config!$I$5:$I$16,MATCH(G615,Config!$H$5:$H$16,0)),0))</f>
        <v>30</v>
      </c>
      <c r="Q615" s="30">
        <f>IF(OR(H615&lt;&gt;"Realizado",P615="",P615=0),"",A615+P615)</f>
        <v>46296.0</v>
      </c>
      <c r="R615" s="26" t="str">
        <f>IF(Q615="","",IF(COUNTIFS($E$5:$E$1204,E615,$A$5:$A$1204,"&gt;"&amp;A615,$H$5:$H$1204,"&lt;&gt;Falta",$H$5:$H$1204,"&lt;&gt;Cancelado",$H$5:$H$1204,"&lt;&gt;Remarcado")&gt;0,"Sim","Não"))</f>
        <v>Sim</v>
      </c>
      <c r="S615" s="32">
        <f>IF(R615&lt;&gt;"Não","",IF(Q615+Config!$B$9&lt;=Config!$B$8,Config!$B$8-Q615,""))</f>
        <v/>
      </c>
      <c r="T615" s="26">
        <f>IF(S615="","","Sim")</f>
        <v/>
      </c>
      <c r="U615" s="41">
        <f>IF(T615="Sim",S615+ROW()/100000,0)</f>
        <v>0</v>
      </c>
      <c r="V615" s="41">
        <f>IF(AND(H615="Falta",L615=Config!$B$7,M615=Config!$B$5,COUNTIFS($E$5:E615,E615,$H$5:H615,"Falta",$L$5:L615,Config!$B$7,$M$5:M615,Config!$B$5)=1),COUNTIFS($E$5:$E$1204,E615,$H$5:$H$1204,"Falta",$L$5:$L$1204,Config!$B$7,$M$5:$M$1204,Config!$B$5)*1000-ROW()/100000,0)</f>
        <v>0</v>
      </c>
    </row>
    <row r="616">
      <c r="A616" s="39" t="n">
        <v>46266</v>
      </c>
      <c r="B616" s="40" t="n">
        <v>0.6111111111111112</v>
      </c>
      <c r="C616" s="35" t="inlineStr">
        <is>
          <t>Dra. Renata Sousa</t>
        </is>
      </c>
      <c r="D616" s="35" t="inlineStr">
        <is>
          <t>Sala 1</t>
        </is>
      </c>
      <c r="E616" s="34" t="inlineStr">
        <is>
          <t>Gabriel Reis</t>
        </is>
      </c>
      <c r="F616" s="35" t="inlineStr">
        <is>
          <t>Particular</t>
        </is>
      </c>
      <c r="G616" s="35" t="inlineStr">
        <is>
          <t>Avaliação endócrina</t>
        </is>
      </c>
      <c r="H616" s="35" t="inlineStr">
        <is>
          <t>Realizado</t>
        </is>
      </c>
      <c r="I616" s="35" t="inlineStr">
        <is>
          <t>Pix</t>
        </is>
      </c>
      <c r="J616" s="35" t="n"/>
      <c r="K616" s="34" t="n"/>
      <c r="L616" s="26">
        <f>IF(A616="","",MONTH(A616))</f>
        <v>9</v>
      </c>
      <c r="M616" s="26">
        <f>IF(A616="","",YEAR(A616))</f>
        <v>2026</v>
      </c>
      <c r="N616" s="26" t="str">
        <f>IF(A616="","",CHOOSE(WEEKDAY(A616,2),"Segunda","Terça","Quarta","Quinta","Sexta","Sábado","Domingo"))</f>
        <v>Terça</v>
      </c>
      <c r="O616" s="26" t="str">
        <f>IF(B616="","",IF(B616&lt;TIME(12,0,0),"Manhã",IF(B616&lt;TIME(18,0,0),"Tarde","Noite")))</f>
        <v>Tarde</v>
      </c>
      <c r="P616" s="32">
        <f>IF(G616="","",IFERROR(INDEX(Config!$I$5:$I$16,MATCH(G616,Config!$H$5:$H$16,0)),0))</f>
        <v>45</v>
      </c>
      <c r="Q616" s="30">
        <f>IF(OR(H616&lt;&gt;"Realizado",P616="",P616=0),"",A616+P616)</f>
        <v>46311.0</v>
      </c>
      <c r="R616" s="26" t="str">
        <f>IF(Q616="","",IF(COUNTIFS($E$5:$E$1204,E616,$A$5:$A$1204,"&gt;"&amp;A616,$H$5:$H$1204,"&lt;&gt;Falta",$H$5:$H$1204,"&lt;&gt;Cancelado",$H$5:$H$1204,"&lt;&gt;Remarcado")&gt;0,"Sim","Não"))</f>
        <v>Sim</v>
      </c>
      <c r="S616" s="32">
        <f>IF(R616&lt;&gt;"Não","",IF(Q616+Config!$B$9&lt;=Config!$B$8,Config!$B$8-Q616,""))</f>
        <v/>
      </c>
      <c r="T616" s="26">
        <f>IF(S616="","","Sim")</f>
        <v/>
      </c>
      <c r="U616" s="41">
        <f>IF(T616="Sim",S616+ROW()/100000,0)</f>
        <v>0</v>
      </c>
      <c r="V616" s="41">
        <f>IF(AND(H616="Falta",L616=Config!$B$7,M616=Config!$B$5,COUNTIFS($E$5:E616,E616,$H$5:H616,"Falta",$L$5:L616,Config!$B$7,$M$5:M616,Config!$B$5)=1),COUNTIFS($E$5:$E$1204,E616,$H$5:$H$1204,"Falta",$L$5:$L$1204,Config!$B$7,$M$5:$M$1204,Config!$B$5)*1000-ROW()/100000,0)</f>
        <v>0</v>
      </c>
    </row>
    <row r="617">
      <c r="A617" s="39" t="n">
        <v>46266</v>
      </c>
      <c r="B617" s="40" t="n">
        <v>0.625</v>
      </c>
      <c r="C617" s="35" t="inlineStr">
        <is>
          <t>Dr. Paulo Andrade</t>
        </is>
      </c>
      <c r="D617" s="35" t="inlineStr">
        <is>
          <t>Sala 2</t>
        </is>
      </c>
      <c r="E617" s="34" t="inlineStr">
        <is>
          <t>Sandra Barros</t>
        </is>
      </c>
      <c r="F617" s="35" t="inlineStr">
        <is>
          <t>Saúde Total</t>
        </is>
      </c>
      <c r="G617" s="35" t="inlineStr">
        <is>
          <t>Teste ergométrico</t>
        </is>
      </c>
      <c r="H617" s="35" t="inlineStr">
        <is>
          <t>Realizado</t>
        </is>
      </c>
      <c r="I617" s="35" t="inlineStr">
        <is>
          <t>Convênio</t>
        </is>
      </c>
      <c r="J617" s="35" t="n"/>
      <c r="K617" s="34" t="n"/>
      <c r="L617" s="26">
        <f>IF(A617="","",MONTH(A617))</f>
        <v>9</v>
      </c>
      <c r="M617" s="26">
        <f>IF(A617="","",YEAR(A617))</f>
        <v>2026</v>
      </c>
      <c r="N617" s="26" t="str">
        <f>IF(A617="","",CHOOSE(WEEKDAY(A617,2),"Segunda","Terça","Quarta","Quinta","Sexta","Sábado","Domingo"))</f>
        <v>Terça</v>
      </c>
      <c r="O617" s="26" t="str">
        <f>IF(B617="","",IF(B617&lt;TIME(12,0,0),"Manhã",IF(B617&lt;TIME(18,0,0),"Tarde","Noite")))</f>
        <v>Tarde</v>
      </c>
      <c r="P617" s="32">
        <f>IF(G617="","",IFERROR(INDEX(Config!$I$5:$I$16,MATCH(G617,Config!$H$5:$H$16,0)),0))</f>
        <v>0</v>
      </c>
      <c r="Q617" s="30">
        <f>IF(OR(H617&lt;&gt;"Realizado",P617="",P617=0),"",A617+P617)</f>
        <v/>
      </c>
      <c r="R617" s="26">
        <f>IF(Q617="","",IF(COUNTIFS($E$5:$E$1204,E617,$A$5:$A$1204,"&gt;"&amp;A617,$H$5:$H$1204,"&lt;&gt;Falta",$H$5:$H$1204,"&lt;&gt;Cancelado",$H$5:$H$1204,"&lt;&gt;Remarcado")&gt;0,"Sim","Não"))</f>
        <v/>
      </c>
      <c r="S617" s="32">
        <f>IF(R617&lt;&gt;"Não","",IF(Q617+Config!$B$9&lt;=Config!$B$8,Config!$B$8-Q617,""))</f>
        <v/>
      </c>
      <c r="T617" s="26">
        <f>IF(S617="","","Sim")</f>
        <v/>
      </c>
      <c r="U617" s="41">
        <f>IF(T617="Sim",S617+ROW()/100000,0)</f>
        <v>0</v>
      </c>
      <c r="V617" s="41">
        <f>IF(AND(H617="Falta",L617=Config!$B$7,M617=Config!$B$5,COUNTIFS($E$5:E617,E617,$H$5:H617,"Falta",$L$5:L617,Config!$B$7,$M$5:M617,Config!$B$5)=1),COUNTIFS($E$5:$E$1204,E617,$H$5:$H$1204,"Falta",$L$5:$L$1204,Config!$B$7,$M$5:$M$1204,Config!$B$5)*1000-ROW()/100000,0)</f>
        <v>0</v>
      </c>
    </row>
    <row r="618">
      <c r="A618" s="39" t="n">
        <v>46266</v>
      </c>
      <c r="B618" s="40" t="n">
        <v>0.6388888888888888</v>
      </c>
      <c r="C618" s="35" t="inlineStr">
        <is>
          <t>Dra. Renata Sousa</t>
        </is>
      </c>
      <c r="D618" s="35" t="inlineStr">
        <is>
          <t>Sala 1</t>
        </is>
      </c>
      <c r="E618" s="34" t="inlineStr">
        <is>
          <t>Rodrigo Cardoso</t>
        </is>
      </c>
      <c r="F618" s="35" t="inlineStr">
        <is>
          <t>Saúde Total</t>
        </is>
      </c>
      <c r="G618" s="35" t="inlineStr">
        <is>
          <t>Avaliação endócrina</t>
        </is>
      </c>
      <c r="H618" s="35" t="inlineStr">
        <is>
          <t>Realizado</t>
        </is>
      </c>
      <c r="I618" s="35" t="inlineStr">
        <is>
          <t>Convênio</t>
        </is>
      </c>
      <c r="J618" s="35" t="n"/>
      <c r="K618" s="34" t="n"/>
      <c r="L618" s="26">
        <f>IF(A618="","",MONTH(A618))</f>
        <v>9</v>
      </c>
      <c r="M618" s="26">
        <f>IF(A618="","",YEAR(A618))</f>
        <v>2026</v>
      </c>
      <c r="N618" s="26" t="str">
        <f>IF(A618="","",CHOOSE(WEEKDAY(A618,2),"Segunda","Terça","Quarta","Quinta","Sexta","Sábado","Domingo"))</f>
        <v>Terça</v>
      </c>
      <c r="O618" s="26" t="str">
        <f>IF(B618="","",IF(B618&lt;TIME(12,0,0),"Manhã",IF(B618&lt;TIME(18,0,0),"Tarde","Noite")))</f>
        <v>Tarde</v>
      </c>
      <c r="P618" s="32">
        <f>IF(G618="","",IFERROR(INDEX(Config!$I$5:$I$16,MATCH(G618,Config!$H$5:$H$16,0)),0))</f>
        <v>45</v>
      </c>
      <c r="Q618" s="30">
        <f>IF(OR(H618&lt;&gt;"Realizado",P618="",P618=0),"",A618+P618)</f>
        <v>46311.0</v>
      </c>
      <c r="R618" s="26" t="str">
        <f>IF(Q618="","",IF(COUNTIFS($E$5:$E$1204,E618,$A$5:$A$1204,"&gt;"&amp;A618,$H$5:$H$1204,"&lt;&gt;Falta",$H$5:$H$1204,"&lt;&gt;Cancelado",$H$5:$H$1204,"&lt;&gt;Remarcado")&gt;0,"Sim","Não"))</f>
        <v>Sim</v>
      </c>
      <c r="S618" s="32">
        <f>IF(R618&lt;&gt;"Não","",IF(Q618+Config!$B$9&lt;=Config!$B$8,Config!$B$8-Q618,""))</f>
        <v/>
      </c>
      <c r="T618" s="26">
        <f>IF(S618="","","Sim")</f>
        <v/>
      </c>
      <c r="U618" s="41">
        <f>IF(T618="Sim",S618+ROW()/100000,0)</f>
        <v>0</v>
      </c>
      <c r="V618" s="41">
        <f>IF(AND(H618="Falta",L618=Config!$B$7,M618=Config!$B$5,COUNTIFS($E$5:E618,E618,$H$5:H618,"Falta",$L$5:L618,Config!$B$7,$M$5:M618,Config!$B$5)=1),COUNTIFS($E$5:$E$1204,E618,$H$5:$H$1204,"Falta",$L$5:$L$1204,Config!$B$7,$M$5:$M$1204,Config!$B$5)*1000-ROW()/100000,0)</f>
        <v>0</v>
      </c>
    </row>
    <row r="619">
      <c r="A619" s="39" t="n">
        <v>46266</v>
      </c>
      <c r="B619" s="40" t="n">
        <v>0.6527777777777778</v>
      </c>
      <c r="C619" s="35" t="inlineStr">
        <is>
          <t>Dr. Paulo Andrade</t>
        </is>
      </c>
      <c r="D619" s="35" t="inlineStr">
        <is>
          <t>Sala 2</t>
        </is>
      </c>
      <c r="E619" s="34" t="inlineStr">
        <is>
          <t>Juliana Ribeiro</t>
        </is>
      </c>
      <c r="F619" s="35" t="inlineStr">
        <is>
          <t>Saúde Total</t>
        </is>
      </c>
      <c r="G619" s="35" t="inlineStr">
        <is>
          <t>Teste ergométrico</t>
        </is>
      </c>
      <c r="H619" s="35" t="inlineStr">
        <is>
          <t>Realizado</t>
        </is>
      </c>
      <c r="I619" s="35" t="inlineStr">
        <is>
          <t>Convênio</t>
        </is>
      </c>
      <c r="J619" s="35" t="n"/>
      <c r="K619" s="34" t="n"/>
      <c r="L619" s="26">
        <f>IF(A619="","",MONTH(A619))</f>
        <v>9</v>
      </c>
      <c r="M619" s="26">
        <f>IF(A619="","",YEAR(A619))</f>
        <v>2026</v>
      </c>
      <c r="N619" s="26" t="str">
        <f>IF(A619="","",CHOOSE(WEEKDAY(A619,2),"Segunda","Terça","Quarta","Quinta","Sexta","Sábado","Domingo"))</f>
        <v>Terça</v>
      </c>
      <c r="O619" s="26" t="str">
        <f>IF(B619="","",IF(B619&lt;TIME(12,0,0),"Manhã",IF(B619&lt;TIME(18,0,0),"Tarde","Noite")))</f>
        <v>Tarde</v>
      </c>
      <c r="P619" s="32">
        <f>IF(G619="","",IFERROR(INDEX(Config!$I$5:$I$16,MATCH(G619,Config!$H$5:$H$16,0)),0))</f>
        <v>0</v>
      </c>
      <c r="Q619" s="30">
        <f>IF(OR(H619&lt;&gt;"Realizado",P619="",P619=0),"",A619+P619)</f>
        <v/>
      </c>
      <c r="R619" s="26">
        <f>IF(Q619="","",IF(COUNTIFS($E$5:$E$1204,E619,$A$5:$A$1204,"&gt;"&amp;A619,$H$5:$H$1204,"&lt;&gt;Falta",$H$5:$H$1204,"&lt;&gt;Cancelado",$H$5:$H$1204,"&lt;&gt;Remarcado")&gt;0,"Sim","Não"))</f>
        <v/>
      </c>
      <c r="S619" s="32">
        <f>IF(R619&lt;&gt;"Não","",IF(Q619+Config!$B$9&lt;=Config!$B$8,Config!$B$8-Q619,""))</f>
        <v/>
      </c>
      <c r="T619" s="26">
        <f>IF(S619="","","Sim")</f>
        <v/>
      </c>
      <c r="U619" s="41">
        <f>IF(T619="Sim",S619+ROW()/100000,0)</f>
        <v>0</v>
      </c>
      <c r="V619" s="41">
        <f>IF(AND(H619="Falta",L619=Config!$B$7,M619=Config!$B$5,COUNTIFS($E$5:E619,E619,$H$5:H619,"Falta",$L$5:L619,Config!$B$7,$M$5:M619,Config!$B$5)=1),COUNTIFS($E$5:$E$1204,E619,$H$5:$H$1204,"Falta",$L$5:$L$1204,Config!$B$7,$M$5:$M$1204,Config!$B$5)*1000-ROW()/100000,0)</f>
        <v>0</v>
      </c>
    </row>
    <row r="620">
      <c r="A620" s="39" t="n">
        <v>46266</v>
      </c>
      <c r="B620" s="40" t="n">
        <v>0.6805555555555556</v>
      </c>
      <c r="C620" s="35" t="inlineStr">
        <is>
          <t>Dr. Paulo Andrade</t>
        </is>
      </c>
      <c r="D620" s="35" t="inlineStr">
        <is>
          <t>Sala 2</t>
        </is>
      </c>
      <c r="E620" s="34" t="inlineStr">
        <is>
          <t>Helena Ribeiro</t>
        </is>
      </c>
      <c r="F620" s="35" t="inlineStr">
        <is>
          <t>MediPlan</t>
        </is>
      </c>
      <c r="G620" s="35" t="inlineStr">
        <is>
          <t>Retorno</t>
        </is>
      </c>
      <c r="H620" s="35" t="inlineStr">
        <is>
          <t>Realizado</t>
        </is>
      </c>
      <c r="I620" s="35" t="inlineStr">
        <is>
          <t>Sem cobrança</t>
        </is>
      </c>
      <c r="J620" s="35" t="n"/>
      <c r="K620" s="34" t="n"/>
      <c r="L620" s="26">
        <f>IF(A620="","",MONTH(A620))</f>
        <v>9</v>
      </c>
      <c r="M620" s="26">
        <f>IF(A620="","",YEAR(A620))</f>
        <v>2026</v>
      </c>
      <c r="N620" s="26" t="str">
        <f>IF(A620="","",CHOOSE(WEEKDAY(A620,2),"Segunda","Terça","Quarta","Quinta","Sexta","Sábado","Domingo"))</f>
        <v>Terça</v>
      </c>
      <c r="O620" s="26" t="str">
        <f>IF(B620="","",IF(B620&lt;TIME(12,0,0),"Manhã",IF(B620&lt;TIME(18,0,0),"Tarde","Noite")))</f>
        <v>Tarde</v>
      </c>
      <c r="P620" s="32">
        <f>IF(G620="","",IFERROR(INDEX(Config!$I$5:$I$16,MATCH(G620,Config!$H$5:$H$16,0)),0))</f>
        <v>0</v>
      </c>
      <c r="Q620" s="30">
        <f>IF(OR(H620&lt;&gt;"Realizado",P620="",P620=0),"",A620+P620)</f>
        <v/>
      </c>
      <c r="R620" s="26">
        <f>IF(Q620="","",IF(COUNTIFS($E$5:$E$1204,E620,$A$5:$A$1204,"&gt;"&amp;A620,$H$5:$H$1204,"&lt;&gt;Falta",$H$5:$H$1204,"&lt;&gt;Cancelado",$H$5:$H$1204,"&lt;&gt;Remarcado")&gt;0,"Sim","Não"))</f>
        <v/>
      </c>
      <c r="S620" s="32">
        <f>IF(R620&lt;&gt;"Não","",IF(Q620+Config!$B$9&lt;=Config!$B$8,Config!$B$8-Q620,""))</f>
        <v/>
      </c>
      <c r="T620" s="26">
        <f>IF(S620="","","Sim")</f>
        <v/>
      </c>
      <c r="U620" s="41">
        <f>IF(T620="Sim",S620+ROW()/100000,0)</f>
        <v>0</v>
      </c>
      <c r="V620" s="41">
        <f>IF(AND(H620="Falta",L620=Config!$B$7,M620=Config!$B$5,COUNTIFS($E$5:E620,E620,$H$5:H620,"Falta",$L$5:L620,Config!$B$7,$M$5:M620,Config!$B$5)=1),COUNTIFS($E$5:$E$1204,E620,$H$5:$H$1204,"Falta",$L$5:$L$1204,Config!$B$7,$M$5:$M$1204,Config!$B$5)*1000-ROW()/100000,0)</f>
        <v>0</v>
      </c>
    </row>
    <row r="621">
      <c r="A621" s="39" t="n">
        <v>46266</v>
      </c>
      <c r="B621" s="40" t="n">
        <v>0.6875</v>
      </c>
      <c r="C621" s="35" t="inlineStr">
        <is>
          <t>Dra. Renata Sousa</t>
        </is>
      </c>
      <c r="D621" s="35" t="inlineStr">
        <is>
          <t>Sala 1</t>
        </is>
      </c>
      <c r="E621" s="34" t="inlineStr">
        <is>
          <t>Fábio Gomes</t>
        </is>
      </c>
      <c r="F621" s="35" t="inlineStr">
        <is>
          <t>Particular</t>
        </is>
      </c>
      <c r="G621" s="35" t="inlineStr">
        <is>
          <t>Retorno</t>
        </is>
      </c>
      <c r="H621" s="35" t="inlineStr">
        <is>
          <t>Realizado</t>
        </is>
      </c>
      <c r="I621" s="35" t="inlineStr">
        <is>
          <t>Sem cobrança</t>
        </is>
      </c>
      <c r="J621" s="35" t="n"/>
      <c r="K621" s="34" t="n"/>
      <c r="L621" s="26">
        <f>IF(A621="","",MONTH(A621))</f>
        <v>9</v>
      </c>
      <c r="M621" s="26">
        <f>IF(A621="","",YEAR(A621))</f>
        <v>2026</v>
      </c>
      <c r="N621" s="26" t="str">
        <f>IF(A621="","",CHOOSE(WEEKDAY(A621,2),"Segunda","Terça","Quarta","Quinta","Sexta","Sábado","Domingo"))</f>
        <v>Terça</v>
      </c>
      <c r="O621" s="26" t="str">
        <f>IF(B621="","",IF(B621&lt;TIME(12,0,0),"Manhã",IF(B621&lt;TIME(18,0,0),"Tarde","Noite")))</f>
        <v>Tarde</v>
      </c>
      <c r="P621" s="32">
        <f>IF(G621="","",IFERROR(INDEX(Config!$I$5:$I$16,MATCH(G621,Config!$H$5:$H$16,0)),0))</f>
        <v>0</v>
      </c>
      <c r="Q621" s="30">
        <f>IF(OR(H621&lt;&gt;"Realizado",P621="",P621=0),"",A621+P621)</f>
        <v/>
      </c>
      <c r="R621" s="26">
        <f>IF(Q621="","",IF(COUNTIFS($E$5:$E$1204,E621,$A$5:$A$1204,"&gt;"&amp;A621,$H$5:$H$1204,"&lt;&gt;Falta",$H$5:$H$1204,"&lt;&gt;Cancelado",$H$5:$H$1204,"&lt;&gt;Remarcado")&gt;0,"Sim","Não"))</f>
        <v/>
      </c>
      <c r="S621" s="32">
        <f>IF(R621&lt;&gt;"Não","",IF(Q621+Config!$B$9&lt;=Config!$B$8,Config!$B$8-Q621,""))</f>
        <v/>
      </c>
      <c r="T621" s="26">
        <f>IF(S621="","","Sim")</f>
        <v/>
      </c>
      <c r="U621" s="41">
        <f>IF(T621="Sim",S621+ROW()/100000,0)</f>
        <v>0</v>
      </c>
      <c r="V621" s="41">
        <f>IF(AND(H621="Falta",L621=Config!$B$7,M621=Config!$B$5,COUNTIFS($E$5:E621,E621,$H$5:H621,"Falta",$L$5:L621,Config!$B$7,$M$5:M621,Config!$B$5)=1),COUNTIFS($E$5:$E$1204,E621,$H$5:$H$1204,"Falta",$L$5:$L$1204,Config!$B$7,$M$5:$M$1204,Config!$B$5)*1000-ROW()/100000,0)</f>
        <v>0</v>
      </c>
    </row>
    <row r="622">
      <c r="A622" s="39" t="n">
        <v>46266</v>
      </c>
      <c r="B622" s="40" t="n">
        <v>0.6944444444444444</v>
      </c>
      <c r="C622" s="35" t="inlineStr">
        <is>
          <t>Dr. Paulo Andrade</t>
        </is>
      </c>
      <c r="D622" s="35" t="inlineStr">
        <is>
          <t>Sala 2</t>
        </is>
      </c>
      <c r="E622" s="34" t="inlineStr">
        <is>
          <t>Sérgio Teixeira</t>
        </is>
      </c>
      <c r="F622" s="35" t="inlineStr">
        <is>
          <t>MediPlan</t>
        </is>
      </c>
      <c r="G622" s="35" t="inlineStr">
        <is>
          <t>Consulta</t>
        </is>
      </c>
      <c r="H622" s="35" t="inlineStr">
        <is>
          <t>Realizado</t>
        </is>
      </c>
      <c r="I622" s="35" t="inlineStr">
        <is>
          <t>Convênio</t>
        </is>
      </c>
      <c r="J622" s="35" t="n"/>
      <c r="K622" s="34" t="n"/>
      <c r="L622" s="26">
        <f>IF(A622="","",MONTH(A622))</f>
        <v>9</v>
      </c>
      <c r="M622" s="26">
        <f>IF(A622="","",YEAR(A622))</f>
        <v>2026</v>
      </c>
      <c r="N622" s="26" t="str">
        <f>IF(A622="","",CHOOSE(WEEKDAY(A622,2),"Segunda","Terça","Quarta","Quinta","Sexta","Sábado","Domingo"))</f>
        <v>Terça</v>
      </c>
      <c r="O622" s="26" t="str">
        <f>IF(B622="","",IF(B622&lt;TIME(12,0,0),"Manhã",IF(B622&lt;TIME(18,0,0),"Tarde","Noite")))</f>
        <v>Tarde</v>
      </c>
      <c r="P622" s="32">
        <f>IF(G622="","",IFERROR(INDEX(Config!$I$5:$I$16,MATCH(G622,Config!$H$5:$H$16,0)),0))</f>
        <v>30</v>
      </c>
      <c r="Q622" s="30">
        <f>IF(OR(H622&lt;&gt;"Realizado",P622="",P622=0),"",A622+P622)</f>
        <v>46296.0</v>
      </c>
      <c r="R622" s="26" t="str">
        <f>IF(Q622="","",IF(COUNTIFS($E$5:$E$1204,E622,$A$5:$A$1204,"&gt;"&amp;A622,$H$5:$H$1204,"&lt;&gt;Falta",$H$5:$H$1204,"&lt;&gt;Cancelado",$H$5:$H$1204,"&lt;&gt;Remarcado")&gt;0,"Sim","Não"))</f>
        <v>Sim</v>
      </c>
      <c r="S622" s="32">
        <f>IF(R622&lt;&gt;"Não","",IF(Q622+Config!$B$9&lt;=Config!$B$8,Config!$B$8-Q622,""))</f>
        <v/>
      </c>
      <c r="T622" s="26">
        <f>IF(S622="","","Sim")</f>
        <v/>
      </c>
      <c r="U622" s="41">
        <f>IF(T622="Sim",S622+ROW()/100000,0)</f>
        <v>0</v>
      </c>
      <c r="V622" s="41">
        <f>IF(AND(H622="Falta",L622=Config!$B$7,M622=Config!$B$5,COUNTIFS($E$5:E622,E622,$H$5:H622,"Falta",$L$5:L622,Config!$B$7,$M$5:M622,Config!$B$5)=1),COUNTIFS($E$5:$E$1204,E622,$H$5:$H$1204,"Falta",$L$5:$L$1204,Config!$B$7,$M$5:$M$1204,Config!$B$5)*1000-ROW()/100000,0)</f>
        <v>0</v>
      </c>
    </row>
    <row r="623">
      <c r="A623" s="39" t="n">
        <v>46266</v>
      </c>
      <c r="B623" s="40" t="n">
        <v>0.7013888888888888</v>
      </c>
      <c r="C623" s="35" t="inlineStr">
        <is>
          <t>Dra. Renata Sousa</t>
        </is>
      </c>
      <c r="D623" s="35" t="inlineStr">
        <is>
          <t>Sala 1</t>
        </is>
      </c>
      <c r="E623" s="34" t="inlineStr">
        <is>
          <t>Isabela Xavier</t>
        </is>
      </c>
      <c r="F623" s="35" t="inlineStr">
        <is>
          <t>Particular</t>
        </is>
      </c>
      <c r="G623" s="35" t="inlineStr">
        <is>
          <t>Avaliação endócrina</t>
        </is>
      </c>
      <c r="H623" s="35" t="inlineStr">
        <is>
          <t>Realizado</t>
        </is>
      </c>
      <c r="I623" s="35" t="inlineStr">
        <is>
          <t>Cartão de crédito</t>
        </is>
      </c>
      <c r="J623" s="35" t="n"/>
      <c r="K623" s="34" t="n"/>
      <c r="L623" s="26">
        <f>IF(A623="","",MONTH(A623))</f>
        <v>9</v>
      </c>
      <c r="M623" s="26">
        <f>IF(A623="","",YEAR(A623))</f>
        <v>2026</v>
      </c>
      <c r="N623" s="26" t="str">
        <f>IF(A623="","",CHOOSE(WEEKDAY(A623,2),"Segunda","Terça","Quarta","Quinta","Sexta","Sábado","Domingo"))</f>
        <v>Terça</v>
      </c>
      <c r="O623" s="26" t="str">
        <f>IF(B623="","",IF(B623&lt;TIME(12,0,0),"Manhã",IF(B623&lt;TIME(18,0,0),"Tarde","Noite")))</f>
        <v>Tarde</v>
      </c>
      <c r="P623" s="32">
        <f>IF(G623="","",IFERROR(INDEX(Config!$I$5:$I$16,MATCH(G623,Config!$H$5:$H$16,0)),0))</f>
        <v>45</v>
      </c>
      <c r="Q623" s="30">
        <f>IF(OR(H623&lt;&gt;"Realizado",P623="",P623=0),"",A623+P623)</f>
        <v>46311.0</v>
      </c>
      <c r="R623" s="26" t="str">
        <f>IF(Q623="","",IF(COUNTIFS($E$5:$E$1204,E623,$A$5:$A$1204,"&gt;"&amp;A623,$H$5:$H$1204,"&lt;&gt;Falta",$H$5:$H$1204,"&lt;&gt;Cancelado",$H$5:$H$1204,"&lt;&gt;Remarcado")&gt;0,"Sim","Não"))</f>
        <v>Sim</v>
      </c>
      <c r="S623" s="32">
        <f>IF(R623&lt;&gt;"Não","",IF(Q623+Config!$B$9&lt;=Config!$B$8,Config!$B$8-Q623,""))</f>
        <v/>
      </c>
      <c r="T623" s="26">
        <f>IF(S623="","","Sim")</f>
        <v/>
      </c>
      <c r="U623" s="41">
        <f>IF(T623="Sim",S623+ROW()/100000,0)</f>
        <v>0</v>
      </c>
      <c r="V623" s="41">
        <f>IF(AND(H623="Falta",L623=Config!$B$7,M623=Config!$B$5,COUNTIFS($E$5:E623,E623,$H$5:H623,"Falta",$L$5:L623,Config!$B$7,$M$5:M623,Config!$B$5)=1),COUNTIFS($E$5:$E$1204,E623,$H$5:$H$1204,"Falta",$L$5:$L$1204,Config!$B$7,$M$5:$M$1204,Config!$B$5)*1000-ROW()/100000,0)</f>
        <v>0</v>
      </c>
    </row>
    <row r="624">
      <c r="A624" s="39" t="n">
        <v>46266</v>
      </c>
      <c r="B624" s="40" t="n">
        <v>0.7152777777777778</v>
      </c>
      <c r="C624" s="35" t="inlineStr">
        <is>
          <t>Dr. Paulo Andrade</t>
        </is>
      </c>
      <c r="D624" s="35" t="inlineStr">
        <is>
          <t>Sala 2</t>
        </is>
      </c>
      <c r="E624" s="34" t="inlineStr">
        <is>
          <t>Viviane Duarte</t>
        </is>
      </c>
      <c r="F624" s="35" t="inlineStr">
        <is>
          <t>MediPlan</t>
        </is>
      </c>
      <c r="G624" s="35" t="inlineStr">
        <is>
          <t>Consulta</t>
        </is>
      </c>
      <c r="H624" s="35" t="inlineStr">
        <is>
          <t>Realizado</t>
        </is>
      </c>
      <c r="I624" s="35" t="inlineStr">
        <is>
          <t>Convênio</t>
        </is>
      </c>
      <c r="J624" s="35" t="n"/>
      <c r="K624" s="34" t="n"/>
      <c r="L624" s="26">
        <f>IF(A624="","",MONTH(A624))</f>
        <v>9</v>
      </c>
      <c r="M624" s="26">
        <f>IF(A624="","",YEAR(A624))</f>
        <v>2026</v>
      </c>
      <c r="N624" s="26" t="str">
        <f>IF(A624="","",CHOOSE(WEEKDAY(A624,2),"Segunda","Terça","Quarta","Quinta","Sexta","Sábado","Domingo"))</f>
        <v>Terça</v>
      </c>
      <c r="O624" s="26" t="str">
        <f>IF(B624="","",IF(B624&lt;TIME(12,0,0),"Manhã",IF(B624&lt;TIME(18,0,0),"Tarde","Noite")))</f>
        <v>Tarde</v>
      </c>
      <c r="P624" s="32">
        <f>IF(G624="","",IFERROR(INDEX(Config!$I$5:$I$16,MATCH(G624,Config!$H$5:$H$16,0)),0))</f>
        <v>30</v>
      </c>
      <c r="Q624" s="30">
        <f>IF(OR(H624&lt;&gt;"Realizado",P624="",P624=0),"",A624+P624)</f>
        <v>46296.0</v>
      </c>
      <c r="R624" s="26" t="str">
        <f>IF(Q624="","",IF(COUNTIFS($E$5:$E$1204,E624,$A$5:$A$1204,"&gt;"&amp;A624,$H$5:$H$1204,"&lt;&gt;Falta",$H$5:$H$1204,"&lt;&gt;Cancelado",$H$5:$H$1204,"&lt;&gt;Remarcado")&gt;0,"Sim","Não"))</f>
        <v>Sim</v>
      </c>
      <c r="S624" s="32">
        <f>IF(R624&lt;&gt;"Não","",IF(Q624+Config!$B$9&lt;=Config!$B$8,Config!$B$8-Q624,""))</f>
        <v/>
      </c>
      <c r="T624" s="26">
        <f>IF(S624="","","Sim")</f>
        <v/>
      </c>
      <c r="U624" s="41">
        <f>IF(T624="Sim",S624+ROW()/100000,0)</f>
        <v>0</v>
      </c>
      <c r="V624" s="41">
        <f>IF(AND(H624="Falta",L624=Config!$B$7,M624=Config!$B$5,COUNTIFS($E$5:E624,E624,$H$5:H624,"Falta",$L$5:L624,Config!$B$7,$M$5:M624,Config!$B$5)=1),COUNTIFS($E$5:$E$1204,E624,$H$5:$H$1204,"Falta",$L$5:$L$1204,Config!$B$7,$M$5:$M$1204,Config!$B$5)*1000-ROW()/100000,0)</f>
        <v>0</v>
      </c>
    </row>
    <row r="625">
      <c r="A625" s="39" t="n">
        <v>46266</v>
      </c>
      <c r="B625" s="40" t="n">
        <v>0.7291666666666666</v>
      </c>
      <c r="C625" s="35" t="inlineStr">
        <is>
          <t>Dra. Renata Sousa</t>
        </is>
      </c>
      <c r="D625" s="35" t="inlineStr">
        <is>
          <t>Sala 1</t>
        </is>
      </c>
      <c r="E625" s="34" t="inlineStr">
        <is>
          <t>Mariana Reis</t>
        </is>
      </c>
      <c r="F625" s="35" t="inlineStr">
        <is>
          <t>Particular</t>
        </is>
      </c>
      <c r="G625" s="35" t="inlineStr">
        <is>
          <t>Retorno</t>
        </is>
      </c>
      <c r="H625" s="35" t="inlineStr">
        <is>
          <t>Realizado</t>
        </is>
      </c>
      <c r="I625" s="35" t="inlineStr">
        <is>
          <t>Sem cobrança</t>
        </is>
      </c>
      <c r="J625" s="35" t="n"/>
      <c r="K625" s="34" t="n"/>
      <c r="L625" s="26">
        <f>IF(A625="","",MONTH(A625))</f>
        <v>9</v>
      </c>
      <c r="M625" s="26">
        <f>IF(A625="","",YEAR(A625))</f>
        <v>2026</v>
      </c>
      <c r="N625" s="26" t="str">
        <f>IF(A625="","",CHOOSE(WEEKDAY(A625,2),"Segunda","Terça","Quarta","Quinta","Sexta","Sábado","Domingo"))</f>
        <v>Terça</v>
      </c>
      <c r="O625" s="26" t="str">
        <f>IF(B625="","",IF(B625&lt;TIME(12,0,0),"Manhã",IF(B625&lt;TIME(18,0,0),"Tarde","Noite")))</f>
        <v>Tarde</v>
      </c>
      <c r="P625" s="32">
        <f>IF(G625="","",IFERROR(INDEX(Config!$I$5:$I$16,MATCH(G625,Config!$H$5:$H$16,0)),0))</f>
        <v>0</v>
      </c>
      <c r="Q625" s="30">
        <f>IF(OR(H625&lt;&gt;"Realizado",P625="",P625=0),"",A625+P625)</f>
        <v/>
      </c>
      <c r="R625" s="26">
        <f>IF(Q625="","",IF(COUNTIFS($E$5:$E$1204,E625,$A$5:$A$1204,"&gt;"&amp;A625,$H$5:$H$1204,"&lt;&gt;Falta",$H$5:$H$1204,"&lt;&gt;Cancelado",$H$5:$H$1204,"&lt;&gt;Remarcado")&gt;0,"Sim","Não"))</f>
        <v/>
      </c>
      <c r="S625" s="32">
        <f>IF(R625&lt;&gt;"Não","",IF(Q625+Config!$B$9&lt;=Config!$B$8,Config!$B$8-Q625,""))</f>
        <v/>
      </c>
      <c r="T625" s="26">
        <f>IF(S625="","","Sim")</f>
        <v/>
      </c>
      <c r="U625" s="41">
        <f>IF(T625="Sim",S625+ROW()/100000,0)</f>
        <v>0</v>
      </c>
      <c r="V625" s="41">
        <f>IF(AND(H625="Falta",L625=Config!$B$7,M625=Config!$B$5,COUNTIFS($E$5:E625,E625,$H$5:H625,"Falta",$L$5:L625,Config!$B$7,$M$5:M625,Config!$B$5)=1),COUNTIFS($E$5:$E$1204,E625,$H$5:$H$1204,"Falta",$L$5:$L$1204,Config!$B$7,$M$5:$M$1204,Config!$B$5)*1000-ROW()/100000,0)</f>
        <v>0</v>
      </c>
    </row>
    <row r="626">
      <c r="A626" s="39" t="n">
        <v>46266</v>
      </c>
      <c r="B626" s="40" t="n">
        <v>0.7361111111111112</v>
      </c>
      <c r="C626" s="35" t="inlineStr">
        <is>
          <t>Dr. Paulo Andrade</t>
        </is>
      </c>
      <c r="D626" s="35" t="inlineStr">
        <is>
          <t>Sala 2</t>
        </is>
      </c>
      <c r="E626" s="34" t="inlineStr">
        <is>
          <t>Natália Xavier</t>
        </is>
      </c>
      <c r="F626" s="35" t="inlineStr">
        <is>
          <t>MediPlan</t>
        </is>
      </c>
      <c r="G626" s="35" t="inlineStr">
        <is>
          <t>Retorno</t>
        </is>
      </c>
      <c r="H626" s="35" t="inlineStr">
        <is>
          <t>Realizado</t>
        </is>
      </c>
      <c r="I626" s="35" t="inlineStr">
        <is>
          <t>Sem cobrança</t>
        </is>
      </c>
      <c r="J626" s="35" t="n"/>
      <c r="K626" s="34" t="n"/>
      <c r="L626" s="26">
        <f>IF(A626="","",MONTH(A626))</f>
        <v>9</v>
      </c>
      <c r="M626" s="26">
        <f>IF(A626="","",YEAR(A626))</f>
        <v>2026</v>
      </c>
      <c r="N626" s="26" t="str">
        <f>IF(A626="","",CHOOSE(WEEKDAY(A626,2),"Segunda","Terça","Quarta","Quinta","Sexta","Sábado","Domingo"))</f>
        <v>Terça</v>
      </c>
      <c r="O626" s="26" t="str">
        <f>IF(B626="","",IF(B626&lt;TIME(12,0,0),"Manhã",IF(B626&lt;TIME(18,0,0),"Tarde","Noite")))</f>
        <v>Tarde</v>
      </c>
      <c r="P626" s="32">
        <f>IF(G626="","",IFERROR(INDEX(Config!$I$5:$I$16,MATCH(G626,Config!$H$5:$H$16,0)),0))</f>
        <v>0</v>
      </c>
      <c r="Q626" s="30">
        <f>IF(OR(H626&lt;&gt;"Realizado",P626="",P626=0),"",A626+P626)</f>
        <v/>
      </c>
      <c r="R626" s="26">
        <f>IF(Q626="","",IF(COUNTIFS($E$5:$E$1204,E626,$A$5:$A$1204,"&gt;"&amp;A626,$H$5:$H$1204,"&lt;&gt;Falta",$H$5:$H$1204,"&lt;&gt;Cancelado",$H$5:$H$1204,"&lt;&gt;Remarcado")&gt;0,"Sim","Não"))</f>
        <v/>
      </c>
      <c r="S626" s="32">
        <f>IF(R626&lt;&gt;"Não","",IF(Q626+Config!$B$9&lt;=Config!$B$8,Config!$B$8-Q626,""))</f>
        <v/>
      </c>
      <c r="T626" s="26">
        <f>IF(S626="","","Sim")</f>
        <v/>
      </c>
      <c r="U626" s="41">
        <f>IF(T626="Sim",S626+ROW()/100000,0)</f>
        <v>0</v>
      </c>
      <c r="V626" s="41">
        <f>IF(AND(H626="Falta",L626=Config!$B$7,M626=Config!$B$5,COUNTIFS($E$5:E626,E626,$H$5:H626,"Falta",$L$5:L626,Config!$B$7,$M$5:M626,Config!$B$5)=1),COUNTIFS($E$5:$E$1204,E626,$H$5:$H$1204,"Falta",$L$5:$L$1204,Config!$B$7,$M$5:$M$1204,Config!$B$5)*1000-ROW()/100000,0)</f>
        <v>0</v>
      </c>
    </row>
    <row r="627">
      <c r="A627" s="39" t="n">
        <v>46267</v>
      </c>
      <c r="B627" s="40" t="n">
        <v>0.5833333333333334</v>
      </c>
      <c r="C627" s="35" t="inlineStr">
        <is>
          <t>Dra. Carolina Mendes</t>
        </is>
      </c>
      <c r="D627" s="35" t="inlineStr">
        <is>
          <t>Sala 1</t>
        </is>
      </c>
      <c r="E627" s="34" t="inlineStr">
        <is>
          <t>Isabela Pinto</t>
        </is>
      </c>
      <c r="F627" s="35" t="inlineStr">
        <is>
          <t>Saúde Total</t>
        </is>
      </c>
      <c r="G627" s="35" t="inlineStr">
        <is>
          <t>Retorno</t>
        </is>
      </c>
      <c r="H627" s="35" t="inlineStr">
        <is>
          <t>Realizado</t>
        </is>
      </c>
      <c r="I627" s="35" t="inlineStr">
        <is>
          <t>Sem cobrança</t>
        </is>
      </c>
      <c r="J627" s="35" t="n"/>
      <c r="K627" s="34" t="n"/>
      <c r="L627" s="26">
        <f>IF(A627="","",MONTH(A627))</f>
        <v>9</v>
      </c>
      <c r="M627" s="26">
        <f>IF(A627="","",YEAR(A627))</f>
        <v>2026</v>
      </c>
      <c r="N627" s="26" t="str">
        <f>IF(A627="","",CHOOSE(WEEKDAY(A627,2),"Segunda","Terça","Quarta","Quinta","Sexta","Sábado","Domingo"))</f>
        <v>Quarta</v>
      </c>
      <c r="O627" s="26" t="str">
        <f>IF(B627="","",IF(B627&lt;TIME(12,0,0),"Manhã",IF(B627&lt;TIME(18,0,0),"Tarde","Noite")))</f>
        <v>Tarde</v>
      </c>
      <c r="P627" s="32">
        <f>IF(G627="","",IFERROR(INDEX(Config!$I$5:$I$16,MATCH(G627,Config!$H$5:$H$16,0)),0))</f>
        <v>0</v>
      </c>
      <c r="Q627" s="30">
        <f>IF(OR(H627&lt;&gt;"Realizado",P627="",P627=0),"",A627+P627)</f>
        <v/>
      </c>
      <c r="R627" s="26">
        <f>IF(Q627="","",IF(COUNTIFS($E$5:$E$1204,E627,$A$5:$A$1204,"&gt;"&amp;A627,$H$5:$H$1204,"&lt;&gt;Falta",$H$5:$H$1204,"&lt;&gt;Cancelado",$H$5:$H$1204,"&lt;&gt;Remarcado")&gt;0,"Sim","Não"))</f>
        <v/>
      </c>
      <c r="S627" s="32">
        <f>IF(R627&lt;&gt;"Não","",IF(Q627+Config!$B$9&lt;=Config!$B$8,Config!$B$8-Q627,""))</f>
        <v/>
      </c>
      <c r="T627" s="26">
        <f>IF(S627="","","Sim")</f>
        <v/>
      </c>
      <c r="U627" s="41">
        <f>IF(T627="Sim",S627+ROW()/100000,0)</f>
        <v>0</v>
      </c>
      <c r="V627" s="41">
        <f>IF(AND(H627="Falta",L627=Config!$B$7,M627=Config!$B$5,COUNTIFS($E$5:E627,E627,$H$5:H627,"Falta",$L$5:L627,Config!$B$7,$M$5:M627,Config!$B$5)=1),COUNTIFS($E$5:$E$1204,E627,$H$5:$H$1204,"Falta",$L$5:$L$1204,Config!$B$7,$M$5:$M$1204,Config!$B$5)*1000-ROW()/100000,0)</f>
        <v>0</v>
      </c>
    </row>
    <row r="628">
      <c r="A628" s="39" t="n">
        <v>46267</v>
      </c>
      <c r="B628" s="40" t="n">
        <v>0.5972222222222222</v>
      </c>
      <c r="C628" s="35" t="inlineStr">
        <is>
          <t>Dra. Carolina Mendes</t>
        </is>
      </c>
      <c r="D628" s="35" t="inlineStr">
        <is>
          <t>Sala 1</t>
        </is>
      </c>
      <c r="E628" s="34" t="inlineStr">
        <is>
          <t>Mônica Batista</t>
        </is>
      </c>
      <c r="F628" s="35" t="inlineStr">
        <is>
          <t>MediPlan</t>
        </is>
      </c>
      <c r="G628" s="35" t="inlineStr">
        <is>
          <t>Retorno</t>
        </is>
      </c>
      <c r="H628" s="35" t="inlineStr">
        <is>
          <t>Realizado</t>
        </is>
      </c>
      <c r="I628" s="35" t="inlineStr">
        <is>
          <t>Sem cobrança</t>
        </is>
      </c>
      <c r="J628" s="35" t="n"/>
      <c r="K628" s="34" t="n"/>
      <c r="L628" s="26">
        <f>IF(A628="","",MONTH(A628))</f>
        <v>9</v>
      </c>
      <c r="M628" s="26">
        <f>IF(A628="","",YEAR(A628))</f>
        <v>2026</v>
      </c>
      <c r="N628" s="26" t="str">
        <f>IF(A628="","",CHOOSE(WEEKDAY(A628,2),"Segunda","Terça","Quarta","Quinta","Sexta","Sábado","Domingo"))</f>
        <v>Quarta</v>
      </c>
      <c r="O628" s="26" t="str">
        <f>IF(B628="","",IF(B628&lt;TIME(12,0,0),"Manhã",IF(B628&lt;TIME(18,0,0),"Tarde","Noite")))</f>
        <v>Tarde</v>
      </c>
      <c r="P628" s="32">
        <f>IF(G628="","",IFERROR(INDEX(Config!$I$5:$I$16,MATCH(G628,Config!$H$5:$H$16,0)),0))</f>
        <v>0</v>
      </c>
      <c r="Q628" s="30">
        <f>IF(OR(H628&lt;&gt;"Realizado",P628="",P628=0),"",A628+P628)</f>
        <v/>
      </c>
      <c r="R628" s="26">
        <f>IF(Q628="","",IF(COUNTIFS($E$5:$E$1204,E628,$A$5:$A$1204,"&gt;"&amp;A628,$H$5:$H$1204,"&lt;&gt;Falta",$H$5:$H$1204,"&lt;&gt;Cancelado",$H$5:$H$1204,"&lt;&gt;Remarcado")&gt;0,"Sim","Não"))</f>
        <v/>
      </c>
      <c r="S628" s="32">
        <f>IF(R628&lt;&gt;"Não","",IF(Q628+Config!$B$9&lt;=Config!$B$8,Config!$B$8-Q628,""))</f>
        <v/>
      </c>
      <c r="T628" s="26">
        <f>IF(S628="","","Sim")</f>
        <v/>
      </c>
      <c r="U628" s="41">
        <f>IF(T628="Sim",S628+ROW()/100000,0)</f>
        <v>0</v>
      </c>
      <c r="V628" s="41">
        <f>IF(AND(H628="Falta",L628=Config!$B$7,M628=Config!$B$5,COUNTIFS($E$5:E628,E628,$H$5:H628,"Falta",$L$5:L628,Config!$B$7,$M$5:M628,Config!$B$5)=1),COUNTIFS($E$5:$E$1204,E628,$H$5:$H$1204,"Falta",$L$5:$L$1204,Config!$B$7,$M$5:$M$1204,Config!$B$5)*1000-ROW()/100000,0)</f>
        <v>0</v>
      </c>
    </row>
    <row r="629">
      <c r="A629" s="39" t="n">
        <v>46267</v>
      </c>
      <c r="B629" s="40" t="n">
        <v>0.6111111111111112</v>
      </c>
      <c r="C629" s="35" t="inlineStr">
        <is>
          <t>Dra. Carolina Mendes</t>
        </is>
      </c>
      <c r="D629" s="35" t="inlineStr">
        <is>
          <t>Sala 1</t>
        </is>
      </c>
      <c r="E629" s="34" t="inlineStr">
        <is>
          <t>Helena Moreira</t>
        </is>
      </c>
      <c r="F629" s="35" t="inlineStr">
        <is>
          <t>Particular</t>
        </is>
      </c>
      <c r="G629" s="35" t="inlineStr">
        <is>
          <t>Consulta</t>
        </is>
      </c>
      <c r="H629" s="35" t="inlineStr">
        <is>
          <t>Realizado</t>
        </is>
      </c>
      <c r="I629" s="35" t="inlineStr">
        <is>
          <t>Cartão de débito</t>
        </is>
      </c>
      <c r="J629" s="35" t="n"/>
      <c r="K629" s="34" t="n"/>
      <c r="L629" s="26">
        <f>IF(A629="","",MONTH(A629))</f>
        <v>9</v>
      </c>
      <c r="M629" s="26">
        <f>IF(A629="","",YEAR(A629))</f>
        <v>2026</v>
      </c>
      <c r="N629" s="26" t="str">
        <f>IF(A629="","",CHOOSE(WEEKDAY(A629,2),"Segunda","Terça","Quarta","Quinta","Sexta","Sábado","Domingo"))</f>
        <v>Quarta</v>
      </c>
      <c r="O629" s="26" t="str">
        <f>IF(B629="","",IF(B629&lt;TIME(12,0,0),"Manhã",IF(B629&lt;TIME(18,0,0),"Tarde","Noite")))</f>
        <v>Tarde</v>
      </c>
      <c r="P629" s="32">
        <f>IF(G629="","",IFERROR(INDEX(Config!$I$5:$I$16,MATCH(G629,Config!$H$5:$H$16,0)),0))</f>
        <v>30</v>
      </c>
      <c r="Q629" s="30">
        <f>IF(OR(H629&lt;&gt;"Realizado",P629="",P629=0),"",A629+P629)</f>
        <v>46297.0</v>
      </c>
      <c r="R629" s="26" t="str">
        <f>IF(Q629="","",IF(COUNTIFS($E$5:$E$1204,E629,$A$5:$A$1204,"&gt;"&amp;A629,$H$5:$H$1204,"&lt;&gt;Falta",$H$5:$H$1204,"&lt;&gt;Cancelado",$H$5:$H$1204,"&lt;&gt;Remarcado")&gt;0,"Sim","Não"))</f>
        <v>Sim</v>
      </c>
      <c r="S629" s="32">
        <f>IF(R629&lt;&gt;"Não","",IF(Q629+Config!$B$9&lt;=Config!$B$8,Config!$B$8-Q629,""))</f>
        <v/>
      </c>
      <c r="T629" s="26">
        <f>IF(S629="","","Sim")</f>
        <v/>
      </c>
      <c r="U629" s="41">
        <f>IF(T629="Sim",S629+ROW()/100000,0)</f>
        <v>0</v>
      </c>
      <c r="V629" s="41">
        <f>IF(AND(H629="Falta",L629=Config!$B$7,M629=Config!$B$5,COUNTIFS($E$5:E629,E629,$H$5:H629,"Falta",$L$5:L629,Config!$B$7,$M$5:M629,Config!$B$5)=1),COUNTIFS($E$5:$E$1204,E629,$H$5:$H$1204,"Falta",$L$5:$L$1204,Config!$B$7,$M$5:$M$1204,Config!$B$5)*1000-ROW()/100000,0)</f>
        <v>0</v>
      </c>
    </row>
    <row r="630">
      <c r="A630" s="39" t="n">
        <v>46267</v>
      </c>
      <c r="B630" s="40" t="n">
        <v>0.6319444444444444</v>
      </c>
      <c r="C630" s="35" t="inlineStr">
        <is>
          <t>Dra. Carolina Mendes</t>
        </is>
      </c>
      <c r="D630" s="35" t="inlineStr">
        <is>
          <t>Sala 1</t>
        </is>
      </c>
      <c r="E630" s="34" t="inlineStr">
        <is>
          <t>Rafael Dias</t>
        </is>
      </c>
      <c r="F630" s="35" t="inlineStr">
        <is>
          <t>Particular</t>
        </is>
      </c>
      <c r="G630" s="35" t="inlineStr">
        <is>
          <t>Consulta</t>
        </is>
      </c>
      <c r="H630" s="35" t="inlineStr">
        <is>
          <t>Realizado</t>
        </is>
      </c>
      <c r="I630" s="35" t="inlineStr">
        <is>
          <t>Pix</t>
        </is>
      </c>
      <c r="J630" s="35" t="n"/>
      <c r="K630" s="34" t="n"/>
      <c r="L630" s="26">
        <f>IF(A630="","",MONTH(A630))</f>
        <v>9</v>
      </c>
      <c r="M630" s="26">
        <f>IF(A630="","",YEAR(A630))</f>
        <v>2026</v>
      </c>
      <c r="N630" s="26" t="str">
        <f>IF(A630="","",CHOOSE(WEEKDAY(A630,2),"Segunda","Terça","Quarta","Quinta","Sexta","Sábado","Domingo"))</f>
        <v>Quarta</v>
      </c>
      <c r="O630" s="26" t="str">
        <f>IF(B630="","",IF(B630&lt;TIME(12,0,0),"Manhã",IF(B630&lt;TIME(18,0,0),"Tarde","Noite")))</f>
        <v>Tarde</v>
      </c>
      <c r="P630" s="32">
        <f>IF(G630="","",IFERROR(INDEX(Config!$I$5:$I$16,MATCH(G630,Config!$H$5:$H$16,0)),0))</f>
        <v>30</v>
      </c>
      <c r="Q630" s="30">
        <f>IF(OR(H630&lt;&gt;"Realizado",P630="",P630=0),"",A630+P630)</f>
        <v>46297.0</v>
      </c>
      <c r="R630" s="26" t="str">
        <f>IF(Q630="","",IF(COUNTIFS($E$5:$E$1204,E630,$A$5:$A$1204,"&gt;"&amp;A630,$H$5:$H$1204,"&lt;&gt;Falta",$H$5:$H$1204,"&lt;&gt;Cancelado",$H$5:$H$1204,"&lt;&gt;Remarcado")&gt;0,"Sim","Não"))</f>
        <v>Sim</v>
      </c>
      <c r="S630" s="32">
        <f>IF(R630&lt;&gt;"Não","",IF(Q630+Config!$B$9&lt;=Config!$B$8,Config!$B$8-Q630,""))</f>
        <v/>
      </c>
      <c r="T630" s="26">
        <f>IF(S630="","","Sim")</f>
        <v/>
      </c>
      <c r="U630" s="41">
        <f>IF(T630="Sim",S630+ROW()/100000,0)</f>
        <v>0</v>
      </c>
      <c r="V630" s="41">
        <f>IF(AND(H630="Falta",L630=Config!$B$7,M630=Config!$B$5,COUNTIFS($E$5:E630,E630,$H$5:H630,"Falta",$L$5:L630,Config!$B$7,$M$5:M630,Config!$B$5)=1),COUNTIFS($E$5:$E$1204,E630,$H$5:$H$1204,"Falta",$L$5:$L$1204,Config!$B$7,$M$5:$M$1204,Config!$B$5)*1000-ROW()/100000,0)</f>
        <v>0</v>
      </c>
    </row>
    <row r="631">
      <c r="A631" s="39" t="n">
        <v>46267</v>
      </c>
      <c r="B631" s="40" t="n">
        <v>0.6527777777777778</v>
      </c>
      <c r="C631" s="35" t="inlineStr">
        <is>
          <t>Dra. Carolina Mendes</t>
        </is>
      </c>
      <c r="D631" s="35" t="inlineStr">
        <is>
          <t>Sala 1</t>
        </is>
      </c>
      <c r="E631" s="34" t="inlineStr">
        <is>
          <t>Camila Batista</t>
        </is>
      </c>
      <c r="F631" s="35" t="inlineStr">
        <is>
          <t>MediPlan</t>
        </is>
      </c>
      <c r="G631" s="35" t="inlineStr">
        <is>
          <t>Consulta</t>
        </is>
      </c>
      <c r="H631" s="35" t="inlineStr">
        <is>
          <t>Realizado</t>
        </is>
      </c>
      <c r="I631" s="35" t="inlineStr">
        <is>
          <t>Convênio</t>
        </is>
      </c>
      <c r="J631" s="35" t="n"/>
      <c r="K631" s="34" t="n"/>
      <c r="L631" s="26">
        <f>IF(A631="","",MONTH(A631))</f>
        <v>9</v>
      </c>
      <c r="M631" s="26">
        <f>IF(A631="","",YEAR(A631))</f>
        <v>2026</v>
      </c>
      <c r="N631" s="26" t="str">
        <f>IF(A631="","",CHOOSE(WEEKDAY(A631,2),"Segunda","Terça","Quarta","Quinta","Sexta","Sábado","Domingo"))</f>
        <v>Quarta</v>
      </c>
      <c r="O631" s="26" t="str">
        <f>IF(B631="","",IF(B631&lt;TIME(12,0,0),"Manhã",IF(B631&lt;TIME(18,0,0),"Tarde","Noite")))</f>
        <v>Tarde</v>
      </c>
      <c r="P631" s="32">
        <f>IF(G631="","",IFERROR(INDEX(Config!$I$5:$I$16,MATCH(G631,Config!$H$5:$H$16,0)),0))</f>
        <v>30</v>
      </c>
      <c r="Q631" s="30">
        <f>IF(OR(H631&lt;&gt;"Realizado",P631="",P631=0),"",A631+P631)</f>
        <v>46297.0</v>
      </c>
      <c r="R631" s="26" t="str">
        <f>IF(Q631="","",IF(COUNTIFS($E$5:$E$1204,E631,$A$5:$A$1204,"&gt;"&amp;A631,$H$5:$H$1204,"&lt;&gt;Falta",$H$5:$H$1204,"&lt;&gt;Cancelado",$H$5:$H$1204,"&lt;&gt;Remarcado")&gt;0,"Sim","Não"))</f>
        <v>Sim</v>
      </c>
      <c r="S631" s="32">
        <f>IF(R631&lt;&gt;"Não","",IF(Q631+Config!$B$9&lt;=Config!$B$8,Config!$B$8-Q631,""))</f>
        <v/>
      </c>
      <c r="T631" s="26">
        <f>IF(S631="","","Sim")</f>
        <v/>
      </c>
      <c r="U631" s="41">
        <f>IF(T631="Sim",S631+ROW()/100000,0)</f>
        <v>0</v>
      </c>
      <c r="V631" s="41">
        <f>IF(AND(H631="Falta",L631=Config!$B$7,M631=Config!$B$5,COUNTIFS($E$5:E631,E631,$H$5:H631,"Falta",$L$5:L631,Config!$B$7,$M$5:M631,Config!$B$5)=1),COUNTIFS($E$5:$E$1204,E631,$H$5:$H$1204,"Falta",$L$5:$L$1204,Config!$B$7,$M$5:$M$1204,Config!$B$5)*1000-ROW()/100000,0)</f>
        <v>0</v>
      </c>
    </row>
    <row r="632">
      <c r="A632" s="39" t="n">
        <v>46267</v>
      </c>
      <c r="B632" s="40" t="n">
        <v>0.6736111111111112</v>
      </c>
      <c r="C632" s="35" t="inlineStr">
        <is>
          <t>Dra. Carolina Mendes</t>
        </is>
      </c>
      <c r="D632" s="35" t="inlineStr">
        <is>
          <t>Sala 1</t>
        </is>
      </c>
      <c r="E632" s="34" t="inlineStr">
        <is>
          <t>Cláudia Santos</t>
        </is>
      </c>
      <c r="F632" s="35" t="inlineStr">
        <is>
          <t>Particular</t>
        </is>
      </c>
      <c r="G632" s="35" t="inlineStr">
        <is>
          <t>Consulta</t>
        </is>
      </c>
      <c r="H632" s="35" t="inlineStr">
        <is>
          <t>Realizado</t>
        </is>
      </c>
      <c r="I632" s="35" t="inlineStr">
        <is>
          <t>Cartão de crédito</t>
        </is>
      </c>
      <c r="J632" s="35" t="n">
        <v>2</v>
      </c>
      <c r="K632" s="34" t="n"/>
      <c r="L632" s="26">
        <f>IF(A632="","",MONTH(A632))</f>
        <v>9</v>
      </c>
      <c r="M632" s="26">
        <f>IF(A632="","",YEAR(A632))</f>
        <v>2026</v>
      </c>
      <c r="N632" s="26" t="str">
        <f>IF(A632="","",CHOOSE(WEEKDAY(A632,2),"Segunda","Terça","Quarta","Quinta","Sexta","Sábado","Domingo"))</f>
        <v>Quarta</v>
      </c>
      <c r="O632" s="26" t="str">
        <f>IF(B632="","",IF(B632&lt;TIME(12,0,0),"Manhã",IF(B632&lt;TIME(18,0,0),"Tarde","Noite")))</f>
        <v>Tarde</v>
      </c>
      <c r="P632" s="32">
        <f>IF(G632="","",IFERROR(INDEX(Config!$I$5:$I$16,MATCH(G632,Config!$H$5:$H$16,0)),0))</f>
        <v>30</v>
      </c>
      <c r="Q632" s="30">
        <f>IF(OR(H632&lt;&gt;"Realizado",P632="",P632=0),"",A632+P632)</f>
        <v>46297.0</v>
      </c>
      <c r="R632" s="26" t="str">
        <f>IF(Q632="","",IF(COUNTIFS($E$5:$E$1204,E632,$A$5:$A$1204,"&gt;"&amp;A632,$H$5:$H$1204,"&lt;&gt;Falta",$H$5:$H$1204,"&lt;&gt;Cancelado",$H$5:$H$1204,"&lt;&gt;Remarcado")&gt;0,"Sim","Não"))</f>
        <v>Sim</v>
      </c>
      <c r="S632" s="32">
        <f>IF(R632&lt;&gt;"Não","",IF(Q632+Config!$B$9&lt;=Config!$B$8,Config!$B$8-Q632,""))</f>
        <v/>
      </c>
      <c r="T632" s="26">
        <f>IF(S632="","","Sim")</f>
        <v/>
      </c>
      <c r="U632" s="41">
        <f>IF(T632="Sim",S632+ROW()/100000,0)</f>
        <v>0</v>
      </c>
      <c r="V632" s="41">
        <f>IF(AND(H632="Falta",L632=Config!$B$7,M632=Config!$B$5,COUNTIFS($E$5:E632,E632,$H$5:H632,"Falta",$L$5:L632,Config!$B$7,$M$5:M632,Config!$B$5)=1),COUNTIFS($E$5:$E$1204,E632,$H$5:$H$1204,"Falta",$L$5:$L$1204,Config!$B$7,$M$5:$M$1204,Config!$B$5)*1000-ROW()/100000,0)</f>
        <v>0</v>
      </c>
    </row>
    <row r="633">
      <c r="A633" s="39" t="n">
        <v>46267</v>
      </c>
      <c r="B633" s="40" t="n">
        <v>0.6944444444444444</v>
      </c>
      <c r="C633" s="35" t="inlineStr">
        <is>
          <t>Dra. Carolina Mendes</t>
        </is>
      </c>
      <c r="D633" s="35" t="inlineStr">
        <is>
          <t>Sala 1</t>
        </is>
      </c>
      <c r="E633" s="34" t="inlineStr">
        <is>
          <t>Sérgio Batista</t>
        </is>
      </c>
      <c r="F633" s="35" t="inlineStr">
        <is>
          <t>MediPlan</t>
        </is>
      </c>
      <c r="G633" s="35" t="inlineStr">
        <is>
          <t>Consulta</t>
        </is>
      </c>
      <c r="H633" s="35" t="inlineStr">
        <is>
          <t>Realizado</t>
        </is>
      </c>
      <c r="I633" s="35" t="inlineStr">
        <is>
          <t>Convênio</t>
        </is>
      </c>
      <c r="J633" s="35" t="n"/>
      <c r="K633" s="34" t="n"/>
      <c r="L633" s="26">
        <f>IF(A633="","",MONTH(A633))</f>
        <v>9</v>
      </c>
      <c r="M633" s="26">
        <f>IF(A633="","",YEAR(A633))</f>
        <v>2026</v>
      </c>
      <c r="N633" s="26" t="str">
        <f>IF(A633="","",CHOOSE(WEEKDAY(A633,2),"Segunda","Terça","Quarta","Quinta","Sexta","Sábado","Domingo"))</f>
        <v>Quarta</v>
      </c>
      <c r="O633" s="26" t="str">
        <f>IF(B633="","",IF(B633&lt;TIME(12,0,0),"Manhã",IF(B633&lt;TIME(18,0,0),"Tarde","Noite")))</f>
        <v>Tarde</v>
      </c>
      <c r="P633" s="32">
        <f>IF(G633="","",IFERROR(INDEX(Config!$I$5:$I$16,MATCH(G633,Config!$H$5:$H$16,0)),0))</f>
        <v>30</v>
      </c>
      <c r="Q633" s="30">
        <f>IF(OR(H633&lt;&gt;"Realizado",P633="",P633=0),"",A633+P633)</f>
        <v>46297.0</v>
      </c>
      <c r="R633" s="26" t="str">
        <f>IF(Q633="","",IF(COUNTIFS($E$5:$E$1204,E633,$A$5:$A$1204,"&gt;"&amp;A633,$H$5:$H$1204,"&lt;&gt;Falta",$H$5:$H$1204,"&lt;&gt;Cancelado",$H$5:$H$1204,"&lt;&gt;Remarcado")&gt;0,"Sim","Não"))</f>
        <v>Sim</v>
      </c>
      <c r="S633" s="32">
        <f>IF(R633&lt;&gt;"Não","",IF(Q633+Config!$B$9&lt;=Config!$B$8,Config!$B$8-Q633,""))</f>
        <v/>
      </c>
      <c r="T633" s="26">
        <f>IF(S633="","","Sim")</f>
        <v/>
      </c>
      <c r="U633" s="41">
        <f>IF(T633="Sim",S633+ROW()/100000,0)</f>
        <v>0</v>
      </c>
      <c r="V633" s="41">
        <f>IF(AND(H633="Falta",L633=Config!$B$7,M633=Config!$B$5,COUNTIFS($E$5:E633,E633,$H$5:H633,"Falta",$L$5:L633,Config!$B$7,$M$5:M633,Config!$B$5)=1),COUNTIFS($E$5:$E$1204,E633,$H$5:$H$1204,"Falta",$L$5:$L$1204,Config!$B$7,$M$5:$M$1204,Config!$B$5)*1000-ROW()/100000,0)</f>
        <v>0</v>
      </c>
    </row>
    <row r="634">
      <c r="A634" s="39" t="n">
        <v>46267</v>
      </c>
      <c r="B634" s="40" t="n">
        <v>0.7152777777777778</v>
      </c>
      <c r="C634" s="35" t="inlineStr">
        <is>
          <t>Dra. Carolina Mendes</t>
        </is>
      </c>
      <c r="D634" s="35" t="inlineStr">
        <is>
          <t>Sala 1</t>
        </is>
      </c>
      <c r="E634" s="34" t="inlineStr">
        <is>
          <t>Mônica Teixeira</t>
        </is>
      </c>
      <c r="F634" s="35" t="inlineStr">
        <is>
          <t>Vida Care</t>
        </is>
      </c>
      <c r="G634" s="35" t="inlineStr">
        <is>
          <t>Consulta</t>
        </is>
      </c>
      <c r="H634" s="35" t="inlineStr">
        <is>
          <t>Realizado</t>
        </is>
      </c>
      <c r="I634" s="35" t="inlineStr">
        <is>
          <t>Convênio</t>
        </is>
      </c>
      <c r="J634" s="35" t="n"/>
      <c r="K634" s="34" t="n"/>
      <c r="L634" s="26">
        <f>IF(A634="","",MONTH(A634))</f>
        <v>9</v>
      </c>
      <c r="M634" s="26">
        <f>IF(A634="","",YEAR(A634))</f>
        <v>2026</v>
      </c>
      <c r="N634" s="26" t="str">
        <f>IF(A634="","",CHOOSE(WEEKDAY(A634,2),"Segunda","Terça","Quarta","Quinta","Sexta","Sábado","Domingo"))</f>
        <v>Quarta</v>
      </c>
      <c r="O634" s="26" t="str">
        <f>IF(B634="","",IF(B634&lt;TIME(12,0,0),"Manhã",IF(B634&lt;TIME(18,0,0),"Tarde","Noite")))</f>
        <v>Tarde</v>
      </c>
      <c r="P634" s="32">
        <f>IF(G634="","",IFERROR(INDEX(Config!$I$5:$I$16,MATCH(G634,Config!$H$5:$H$16,0)),0))</f>
        <v>30</v>
      </c>
      <c r="Q634" s="30">
        <f>IF(OR(H634&lt;&gt;"Realizado",P634="",P634=0),"",A634+P634)</f>
        <v>46297.0</v>
      </c>
      <c r="R634" s="26" t="str">
        <f>IF(Q634="","",IF(COUNTIFS($E$5:$E$1204,E634,$A$5:$A$1204,"&gt;"&amp;A634,$H$5:$H$1204,"&lt;&gt;Falta",$H$5:$H$1204,"&lt;&gt;Cancelado",$H$5:$H$1204,"&lt;&gt;Remarcado")&gt;0,"Sim","Não"))</f>
        <v>Sim</v>
      </c>
      <c r="S634" s="32">
        <f>IF(R634&lt;&gt;"Não","",IF(Q634+Config!$B$9&lt;=Config!$B$8,Config!$B$8-Q634,""))</f>
        <v/>
      </c>
      <c r="T634" s="26">
        <f>IF(S634="","","Sim")</f>
        <v/>
      </c>
      <c r="U634" s="41">
        <f>IF(T634="Sim",S634+ROW()/100000,0)</f>
        <v>0</v>
      </c>
      <c r="V634" s="41">
        <f>IF(AND(H634="Falta",L634=Config!$B$7,M634=Config!$B$5,COUNTIFS($E$5:E634,E634,$H$5:H634,"Falta",$L$5:L634,Config!$B$7,$M$5:M634,Config!$B$5)=1),COUNTIFS($E$5:$E$1204,E634,$H$5:$H$1204,"Falta",$L$5:$L$1204,Config!$B$7,$M$5:$M$1204,Config!$B$5)*1000-ROW()/100000,0)</f>
        <v>0</v>
      </c>
    </row>
    <row r="635">
      <c r="A635" s="39" t="n">
        <v>46267</v>
      </c>
      <c r="B635" s="40" t="n">
        <v>0.7361111111111112</v>
      </c>
      <c r="C635" s="35" t="inlineStr">
        <is>
          <t>Dra. Carolina Mendes</t>
        </is>
      </c>
      <c r="D635" s="35" t="inlineStr">
        <is>
          <t>Sala 1</t>
        </is>
      </c>
      <c r="E635" s="34" t="inlineStr">
        <is>
          <t>Carlos Castro</t>
        </is>
      </c>
      <c r="F635" s="35" t="inlineStr">
        <is>
          <t>Saúde Total</t>
        </is>
      </c>
      <c r="G635" s="35" t="inlineStr">
        <is>
          <t>Consulta</t>
        </is>
      </c>
      <c r="H635" s="35" t="inlineStr">
        <is>
          <t>Realizado</t>
        </is>
      </c>
      <c r="I635" s="35" t="inlineStr">
        <is>
          <t>Convênio</t>
        </is>
      </c>
      <c r="J635" s="35" t="n"/>
      <c r="K635" s="34" t="n"/>
      <c r="L635" s="26">
        <f>IF(A635="","",MONTH(A635))</f>
        <v>9</v>
      </c>
      <c r="M635" s="26">
        <f>IF(A635="","",YEAR(A635))</f>
        <v>2026</v>
      </c>
      <c r="N635" s="26" t="str">
        <f>IF(A635="","",CHOOSE(WEEKDAY(A635,2),"Segunda","Terça","Quarta","Quinta","Sexta","Sábado","Domingo"))</f>
        <v>Quarta</v>
      </c>
      <c r="O635" s="26" t="str">
        <f>IF(B635="","",IF(B635&lt;TIME(12,0,0),"Manhã",IF(B635&lt;TIME(18,0,0),"Tarde","Noite")))</f>
        <v>Tarde</v>
      </c>
      <c r="P635" s="32">
        <f>IF(G635="","",IFERROR(INDEX(Config!$I$5:$I$16,MATCH(G635,Config!$H$5:$H$16,0)),0))</f>
        <v>30</v>
      </c>
      <c r="Q635" s="30">
        <f>IF(OR(H635&lt;&gt;"Realizado",P635="",P635=0),"",A635+P635)</f>
        <v>46297.0</v>
      </c>
      <c r="R635" s="26" t="str">
        <f>IF(Q635="","",IF(COUNTIFS($E$5:$E$1204,E635,$A$5:$A$1204,"&gt;"&amp;A635,$H$5:$H$1204,"&lt;&gt;Falta",$H$5:$H$1204,"&lt;&gt;Cancelado",$H$5:$H$1204,"&lt;&gt;Remarcado")&gt;0,"Sim","Não"))</f>
        <v>Sim</v>
      </c>
      <c r="S635" s="32">
        <f>IF(R635&lt;&gt;"Não","",IF(Q635+Config!$B$9&lt;=Config!$B$8,Config!$B$8-Q635,""))</f>
        <v/>
      </c>
      <c r="T635" s="26">
        <f>IF(S635="","","Sim")</f>
        <v/>
      </c>
      <c r="U635" s="41">
        <f>IF(T635="Sim",S635+ROW()/100000,0)</f>
        <v>0</v>
      </c>
      <c r="V635" s="41">
        <f>IF(AND(H635="Falta",L635=Config!$B$7,M635=Config!$B$5,COUNTIFS($E$5:E635,E635,$H$5:H635,"Falta",$L$5:L635,Config!$B$7,$M$5:M635,Config!$B$5)=1),COUNTIFS($E$5:$E$1204,E635,$H$5:$H$1204,"Falta",$L$5:$L$1204,Config!$B$7,$M$5:$M$1204,Config!$B$5)*1000-ROW()/100000,0)</f>
        <v>0</v>
      </c>
    </row>
    <row r="636">
      <c r="A636" s="39" t="n">
        <v>46268</v>
      </c>
      <c r="B636" s="40" t="n">
        <v>0.3333333333333333</v>
      </c>
      <c r="C636" s="35" t="inlineStr">
        <is>
          <t>Dra. Carolina Mendes</t>
        </is>
      </c>
      <c r="D636" s="35" t="inlineStr">
        <is>
          <t>Sala 1</t>
        </is>
      </c>
      <c r="E636" s="34" t="inlineStr">
        <is>
          <t>Gisele Xavier</t>
        </is>
      </c>
      <c r="F636" s="35" t="inlineStr">
        <is>
          <t>Particular</t>
        </is>
      </c>
      <c r="G636" s="35" t="inlineStr">
        <is>
          <t>Consulta</t>
        </is>
      </c>
      <c r="H636" s="35" t="inlineStr">
        <is>
          <t>Realizado</t>
        </is>
      </c>
      <c r="I636" s="35" t="inlineStr">
        <is>
          <t>Cartão de crédito</t>
        </is>
      </c>
      <c r="J636" s="35" t="n"/>
      <c r="K636" s="34" t="n"/>
      <c r="L636" s="26">
        <f>IF(A636="","",MONTH(A636))</f>
        <v>9</v>
      </c>
      <c r="M636" s="26">
        <f>IF(A636="","",YEAR(A636))</f>
        <v>2026</v>
      </c>
      <c r="N636" s="26" t="str">
        <f>IF(A636="","",CHOOSE(WEEKDAY(A636,2),"Segunda","Terça","Quarta","Quinta","Sexta","Sábado","Domingo"))</f>
        <v>Quinta</v>
      </c>
      <c r="O636" s="26" t="str">
        <f>IF(B636="","",IF(B636&lt;TIME(12,0,0),"Manhã",IF(B636&lt;TIME(18,0,0),"Tarde","Noite")))</f>
        <v>Manhã</v>
      </c>
      <c r="P636" s="32">
        <f>IF(G636="","",IFERROR(INDEX(Config!$I$5:$I$16,MATCH(G636,Config!$H$5:$H$16,0)),0))</f>
        <v>30</v>
      </c>
      <c r="Q636" s="30">
        <f>IF(OR(H636&lt;&gt;"Realizado",P636="",P636=0),"",A636+P636)</f>
        <v>46298.0</v>
      </c>
      <c r="R636" s="26" t="str">
        <f>IF(Q636="","",IF(COUNTIFS($E$5:$E$1204,E636,$A$5:$A$1204,"&gt;"&amp;A636,$H$5:$H$1204,"&lt;&gt;Falta",$H$5:$H$1204,"&lt;&gt;Cancelado",$H$5:$H$1204,"&lt;&gt;Remarcado")&gt;0,"Sim","Não"))</f>
        <v>Sim</v>
      </c>
      <c r="S636" s="32">
        <f>IF(R636&lt;&gt;"Não","",IF(Q636+Config!$B$9&lt;=Config!$B$8,Config!$B$8-Q636,""))</f>
        <v/>
      </c>
      <c r="T636" s="26">
        <f>IF(S636="","","Sim")</f>
        <v/>
      </c>
      <c r="U636" s="41">
        <f>IF(T636="Sim",S636+ROW()/100000,0)</f>
        <v>0</v>
      </c>
      <c r="V636" s="41">
        <f>IF(AND(H636="Falta",L636=Config!$B$7,M636=Config!$B$5,COUNTIFS($E$5:E636,E636,$H$5:H636,"Falta",$L$5:L636,Config!$B$7,$M$5:M636,Config!$B$5)=1),COUNTIFS($E$5:$E$1204,E636,$H$5:$H$1204,"Falta",$L$5:$L$1204,Config!$B$7,$M$5:$M$1204,Config!$B$5)*1000-ROW()/100000,0)</f>
        <v>0</v>
      </c>
    </row>
    <row r="637">
      <c r="A637" s="39" t="n">
        <v>46268</v>
      </c>
      <c r="B637" s="40" t="n">
        <v>0.3541666666666667</v>
      </c>
      <c r="C637" s="35" t="inlineStr">
        <is>
          <t>Dra. Carolina Mendes</t>
        </is>
      </c>
      <c r="D637" s="35" t="inlineStr">
        <is>
          <t>Sala 1</t>
        </is>
      </c>
      <c r="E637" s="34" t="inlineStr">
        <is>
          <t>Regina Macedo</t>
        </is>
      </c>
      <c r="F637" s="35" t="inlineStr">
        <is>
          <t>Particular</t>
        </is>
      </c>
      <c r="G637" s="35" t="inlineStr">
        <is>
          <t>Retorno</t>
        </is>
      </c>
      <c r="H637" s="35" t="inlineStr">
        <is>
          <t>Realizado</t>
        </is>
      </c>
      <c r="I637" s="35" t="inlineStr">
        <is>
          <t>Sem cobrança</t>
        </is>
      </c>
      <c r="J637" s="35" t="n"/>
      <c r="K637" s="34" t="n"/>
      <c r="L637" s="26">
        <f>IF(A637="","",MONTH(A637))</f>
        <v>9</v>
      </c>
      <c r="M637" s="26">
        <f>IF(A637="","",YEAR(A637))</f>
        <v>2026</v>
      </c>
      <c r="N637" s="26" t="str">
        <f>IF(A637="","",CHOOSE(WEEKDAY(A637,2),"Segunda","Terça","Quarta","Quinta","Sexta","Sábado","Domingo"))</f>
        <v>Quinta</v>
      </c>
      <c r="O637" s="26" t="str">
        <f>IF(B637="","",IF(B637&lt;TIME(12,0,0),"Manhã",IF(B637&lt;TIME(18,0,0),"Tarde","Noite")))</f>
        <v>Manhã</v>
      </c>
      <c r="P637" s="32">
        <f>IF(G637="","",IFERROR(INDEX(Config!$I$5:$I$16,MATCH(G637,Config!$H$5:$H$16,0)),0))</f>
        <v>0</v>
      </c>
      <c r="Q637" s="30">
        <f>IF(OR(H637&lt;&gt;"Realizado",P637="",P637=0),"",A637+P637)</f>
        <v/>
      </c>
      <c r="R637" s="26">
        <f>IF(Q637="","",IF(COUNTIFS($E$5:$E$1204,E637,$A$5:$A$1204,"&gt;"&amp;A637,$H$5:$H$1204,"&lt;&gt;Falta",$H$5:$H$1204,"&lt;&gt;Cancelado",$H$5:$H$1204,"&lt;&gt;Remarcado")&gt;0,"Sim","Não"))</f>
        <v/>
      </c>
      <c r="S637" s="32">
        <f>IF(R637&lt;&gt;"Não","",IF(Q637+Config!$B$9&lt;=Config!$B$8,Config!$B$8-Q637,""))</f>
        <v/>
      </c>
      <c r="T637" s="26">
        <f>IF(S637="","","Sim")</f>
        <v/>
      </c>
      <c r="U637" s="41">
        <f>IF(T637="Sim",S637+ROW()/100000,0)</f>
        <v>0</v>
      </c>
      <c r="V637" s="41">
        <f>IF(AND(H637="Falta",L637=Config!$B$7,M637=Config!$B$5,COUNTIFS($E$5:E637,E637,$H$5:H637,"Falta",$L$5:L637,Config!$B$7,$M$5:M637,Config!$B$5)=1),COUNTIFS($E$5:$E$1204,E637,$H$5:$H$1204,"Falta",$L$5:$L$1204,Config!$B$7,$M$5:$M$1204,Config!$B$5)*1000-ROW()/100000,0)</f>
        <v>0</v>
      </c>
    </row>
    <row r="638">
      <c r="A638" s="39" t="n">
        <v>46268</v>
      </c>
      <c r="B638" s="40" t="n">
        <v>0.3680555555555556</v>
      </c>
      <c r="C638" s="35" t="inlineStr">
        <is>
          <t>Dra. Carolina Mendes</t>
        </is>
      </c>
      <c r="D638" s="35" t="inlineStr">
        <is>
          <t>Sala 1</t>
        </is>
      </c>
      <c r="E638" s="34" t="inlineStr">
        <is>
          <t>Priscila Castro</t>
        </is>
      </c>
      <c r="F638" s="35" t="inlineStr">
        <is>
          <t>Saúde Total</t>
        </is>
      </c>
      <c r="G638" s="35" t="inlineStr">
        <is>
          <t>Consulta</t>
        </is>
      </c>
      <c r="H638" s="35" t="inlineStr">
        <is>
          <t>Realizado</t>
        </is>
      </c>
      <c r="I638" s="35" t="inlineStr">
        <is>
          <t>Convênio</t>
        </is>
      </c>
      <c r="J638" s="35" t="n"/>
      <c r="K638" s="34" t="n"/>
      <c r="L638" s="26">
        <f>IF(A638="","",MONTH(A638))</f>
        <v>9</v>
      </c>
      <c r="M638" s="26">
        <f>IF(A638="","",YEAR(A638))</f>
        <v>2026</v>
      </c>
      <c r="N638" s="26" t="str">
        <f>IF(A638="","",CHOOSE(WEEKDAY(A638,2),"Segunda","Terça","Quarta","Quinta","Sexta","Sábado","Domingo"))</f>
        <v>Quinta</v>
      </c>
      <c r="O638" s="26" t="str">
        <f>IF(B638="","",IF(B638&lt;TIME(12,0,0),"Manhã",IF(B638&lt;TIME(18,0,0),"Tarde","Noite")))</f>
        <v>Manhã</v>
      </c>
      <c r="P638" s="32">
        <f>IF(G638="","",IFERROR(INDEX(Config!$I$5:$I$16,MATCH(G638,Config!$H$5:$H$16,0)),0))</f>
        <v>30</v>
      </c>
      <c r="Q638" s="30">
        <f>IF(OR(H638&lt;&gt;"Realizado",P638="",P638=0),"",A638+P638)</f>
        <v>46298.0</v>
      </c>
      <c r="R638" s="26" t="str">
        <f>IF(Q638="","",IF(COUNTIFS($E$5:$E$1204,E638,$A$5:$A$1204,"&gt;"&amp;A638,$H$5:$H$1204,"&lt;&gt;Falta",$H$5:$H$1204,"&lt;&gt;Cancelado",$H$5:$H$1204,"&lt;&gt;Remarcado")&gt;0,"Sim","Não"))</f>
        <v>Sim</v>
      </c>
      <c r="S638" s="32">
        <f>IF(R638&lt;&gt;"Não","",IF(Q638+Config!$B$9&lt;=Config!$B$8,Config!$B$8-Q638,""))</f>
        <v/>
      </c>
      <c r="T638" s="26">
        <f>IF(S638="","","Sim")</f>
        <v/>
      </c>
      <c r="U638" s="41">
        <f>IF(T638="Sim",S638+ROW()/100000,0)</f>
        <v>0</v>
      </c>
      <c r="V638" s="41">
        <f>IF(AND(H638="Falta",L638=Config!$B$7,M638=Config!$B$5,COUNTIFS($E$5:E638,E638,$H$5:H638,"Falta",$L$5:L638,Config!$B$7,$M$5:M638,Config!$B$5)=1),COUNTIFS($E$5:$E$1204,E638,$H$5:$H$1204,"Falta",$L$5:$L$1204,Config!$B$7,$M$5:$M$1204,Config!$B$5)*1000-ROW()/100000,0)</f>
        <v>0</v>
      </c>
    </row>
    <row r="639">
      <c r="A639" s="39" t="n">
        <v>46268</v>
      </c>
      <c r="B639" s="40" t="n">
        <v>0.3888888888888889</v>
      </c>
      <c r="C639" s="35" t="inlineStr">
        <is>
          <t>Dra. Carolina Mendes</t>
        </is>
      </c>
      <c r="D639" s="35" t="inlineStr">
        <is>
          <t>Sala 1</t>
        </is>
      </c>
      <c r="E639" s="34" t="inlineStr">
        <is>
          <t>Larissa Costa</t>
        </is>
      </c>
      <c r="F639" s="35" t="inlineStr">
        <is>
          <t>Particular</t>
        </is>
      </c>
      <c r="G639" s="35" t="inlineStr">
        <is>
          <t>Consulta</t>
        </is>
      </c>
      <c r="H639" s="35" t="inlineStr">
        <is>
          <t>Realizado</t>
        </is>
      </c>
      <c r="I639" s="35" t="inlineStr">
        <is>
          <t>A prazo</t>
        </is>
      </c>
      <c r="J639" s="35" t="n"/>
      <c r="K639" s="34" t="n"/>
      <c r="L639" s="26">
        <f>IF(A639="","",MONTH(A639))</f>
        <v>9</v>
      </c>
      <c r="M639" s="26">
        <f>IF(A639="","",YEAR(A639))</f>
        <v>2026</v>
      </c>
      <c r="N639" s="26" t="str">
        <f>IF(A639="","",CHOOSE(WEEKDAY(A639,2),"Segunda","Terça","Quarta","Quinta","Sexta","Sábado","Domingo"))</f>
        <v>Quinta</v>
      </c>
      <c r="O639" s="26" t="str">
        <f>IF(B639="","",IF(B639&lt;TIME(12,0,0),"Manhã",IF(B639&lt;TIME(18,0,0),"Tarde","Noite")))</f>
        <v>Manhã</v>
      </c>
      <c r="P639" s="32">
        <f>IF(G639="","",IFERROR(INDEX(Config!$I$5:$I$16,MATCH(G639,Config!$H$5:$H$16,0)),0))</f>
        <v>30</v>
      </c>
      <c r="Q639" s="30">
        <f>IF(OR(H639&lt;&gt;"Realizado",P639="",P639=0),"",A639+P639)</f>
        <v>46298.0</v>
      </c>
      <c r="R639" s="26" t="str">
        <f>IF(Q639="","",IF(COUNTIFS($E$5:$E$1204,E639,$A$5:$A$1204,"&gt;"&amp;A639,$H$5:$H$1204,"&lt;&gt;Falta",$H$5:$H$1204,"&lt;&gt;Cancelado",$H$5:$H$1204,"&lt;&gt;Remarcado")&gt;0,"Sim","Não"))</f>
        <v>Sim</v>
      </c>
      <c r="S639" s="32">
        <f>IF(R639&lt;&gt;"Não","",IF(Q639+Config!$B$9&lt;=Config!$B$8,Config!$B$8-Q639,""))</f>
        <v/>
      </c>
      <c r="T639" s="26">
        <f>IF(S639="","","Sim")</f>
        <v/>
      </c>
      <c r="U639" s="41">
        <f>IF(T639="Sim",S639+ROW()/100000,0)</f>
        <v>0</v>
      </c>
      <c r="V639" s="41">
        <f>IF(AND(H639="Falta",L639=Config!$B$7,M639=Config!$B$5,COUNTIFS($E$5:E639,E639,$H$5:H639,"Falta",$L$5:L639,Config!$B$7,$M$5:M639,Config!$B$5)=1),COUNTIFS($E$5:$E$1204,E639,$H$5:$H$1204,"Falta",$L$5:$L$1204,Config!$B$7,$M$5:$M$1204,Config!$B$5)*1000-ROW()/100000,0)</f>
        <v>0</v>
      </c>
    </row>
    <row r="640">
      <c r="A640" s="39" t="n">
        <v>46268</v>
      </c>
      <c r="B640" s="40" t="n">
        <v>0.4097222222222222</v>
      </c>
      <c r="C640" s="35" t="inlineStr">
        <is>
          <t>Dra. Carolina Mendes</t>
        </is>
      </c>
      <c r="D640" s="35" t="inlineStr">
        <is>
          <t>Sala 1</t>
        </is>
      </c>
      <c r="E640" s="34" t="inlineStr">
        <is>
          <t>Marcelo Santos</t>
        </is>
      </c>
      <c r="F640" s="35" t="inlineStr">
        <is>
          <t>Particular</t>
        </is>
      </c>
      <c r="G640" s="35" t="inlineStr">
        <is>
          <t>Consulta</t>
        </is>
      </c>
      <c r="H640" s="35" t="inlineStr">
        <is>
          <t>Realizado</t>
        </is>
      </c>
      <c r="I640" s="35" t="inlineStr">
        <is>
          <t>Cartão de débito</t>
        </is>
      </c>
      <c r="J640" s="35" t="n"/>
      <c r="K640" s="34" t="n"/>
      <c r="L640" s="26">
        <f>IF(A640="","",MONTH(A640))</f>
        <v>9</v>
      </c>
      <c r="M640" s="26">
        <f>IF(A640="","",YEAR(A640))</f>
        <v>2026</v>
      </c>
      <c r="N640" s="26" t="str">
        <f>IF(A640="","",CHOOSE(WEEKDAY(A640,2),"Segunda","Terça","Quarta","Quinta","Sexta","Sábado","Domingo"))</f>
        <v>Quinta</v>
      </c>
      <c r="O640" s="26" t="str">
        <f>IF(B640="","",IF(B640&lt;TIME(12,0,0),"Manhã",IF(B640&lt;TIME(18,0,0),"Tarde","Noite")))</f>
        <v>Manhã</v>
      </c>
      <c r="P640" s="32">
        <f>IF(G640="","",IFERROR(INDEX(Config!$I$5:$I$16,MATCH(G640,Config!$H$5:$H$16,0)),0))</f>
        <v>30</v>
      </c>
      <c r="Q640" s="30">
        <f>IF(OR(H640&lt;&gt;"Realizado",P640="",P640=0),"",A640+P640)</f>
        <v>46298.0</v>
      </c>
      <c r="R640" s="26" t="str">
        <f>IF(Q640="","",IF(COUNTIFS($E$5:$E$1204,E640,$A$5:$A$1204,"&gt;"&amp;A640,$H$5:$H$1204,"&lt;&gt;Falta",$H$5:$H$1204,"&lt;&gt;Cancelado",$H$5:$H$1204,"&lt;&gt;Remarcado")&gt;0,"Sim","Não"))</f>
        <v>Sim</v>
      </c>
      <c r="S640" s="32">
        <f>IF(R640&lt;&gt;"Não","",IF(Q640+Config!$B$9&lt;=Config!$B$8,Config!$B$8-Q640,""))</f>
        <v/>
      </c>
      <c r="T640" s="26">
        <f>IF(S640="","","Sim")</f>
        <v/>
      </c>
      <c r="U640" s="41">
        <f>IF(T640="Sim",S640+ROW()/100000,0)</f>
        <v>0</v>
      </c>
      <c r="V640" s="41">
        <f>IF(AND(H640="Falta",L640=Config!$B$7,M640=Config!$B$5,COUNTIFS($E$5:E640,E640,$H$5:H640,"Falta",$L$5:L640,Config!$B$7,$M$5:M640,Config!$B$5)=1),COUNTIFS($E$5:$E$1204,E640,$H$5:$H$1204,"Falta",$L$5:$L$1204,Config!$B$7,$M$5:$M$1204,Config!$B$5)*1000-ROW()/100000,0)</f>
        <v>0</v>
      </c>
    </row>
    <row r="641">
      <c r="A641" s="39" t="n">
        <v>46268</v>
      </c>
      <c r="B641" s="40" t="n">
        <v>0.4513888888888889</v>
      </c>
      <c r="C641" s="35" t="inlineStr">
        <is>
          <t>Dra. Carolina Mendes</t>
        </is>
      </c>
      <c r="D641" s="35" t="inlineStr">
        <is>
          <t>Sala 1</t>
        </is>
      </c>
      <c r="E641" s="34" t="inlineStr">
        <is>
          <t>Regina Duarte</t>
        </is>
      </c>
      <c r="F641" s="35" t="inlineStr">
        <is>
          <t>Particular</t>
        </is>
      </c>
      <c r="G641" s="35" t="inlineStr">
        <is>
          <t>Consulta</t>
        </is>
      </c>
      <c r="H641" s="35" t="inlineStr">
        <is>
          <t>Realizado</t>
        </is>
      </c>
      <c r="I641" s="35" t="inlineStr">
        <is>
          <t>Pix</t>
        </is>
      </c>
      <c r="J641" s="35" t="n"/>
      <c r="K641" s="34" t="n"/>
      <c r="L641" s="26">
        <f>IF(A641="","",MONTH(A641))</f>
        <v>9</v>
      </c>
      <c r="M641" s="26">
        <f>IF(A641="","",YEAR(A641))</f>
        <v>2026</v>
      </c>
      <c r="N641" s="26" t="str">
        <f>IF(A641="","",CHOOSE(WEEKDAY(A641,2),"Segunda","Terça","Quarta","Quinta","Sexta","Sábado","Domingo"))</f>
        <v>Quinta</v>
      </c>
      <c r="O641" s="26" t="str">
        <f>IF(B641="","",IF(B641&lt;TIME(12,0,0),"Manhã",IF(B641&lt;TIME(18,0,0),"Tarde","Noite")))</f>
        <v>Manhã</v>
      </c>
      <c r="P641" s="32">
        <f>IF(G641="","",IFERROR(INDEX(Config!$I$5:$I$16,MATCH(G641,Config!$H$5:$H$16,0)),0))</f>
        <v>30</v>
      </c>
      <c r="Q641" s="30">
        <f>IF(OR(H641&lt;&gt;"Realizado",P641="",P641=0),"",A641+P641)</f>
        <v>46298.0</v>
      </c>
      <c r="R641" s="26" t="str">
        <f>IF(Q641="","",IF(COUNTIFS($E$5:$E$1204,E641,$A$5:$A$1204,"&gt;"&amp;A641,$H$5:$H$1204,"&lt;&gt;Falta",$H$5:$H$1204,"&lt;&gt;Cancelado",$H$5:$H$1204,"&lt;&gt;Remarcado")&gt;0,"Sim","Não"))</f>
        <v>Sim</v>
      </c>
      <c r="S641" s="32">
        <f>IF(R641&lt;&gt;"Não","",IF(Q641+Config!$B$9&lt;=Config!$B$8,Config!$B$8-Q641,""))</f>
        <v/>
      </c>
      <c r="T641" s="26">
        <f>IF(S641="","","Sim")</f>
        <v/>
      </c>
      <c r="U641" s="41">
        <f>IF(T641="Sim",S641+ROW()/100000,0)</f>
        <v>0</v>
      </c>
      <c r="V641" s="41">
        <f>IF(AND(H641="Falta",L641=Config!$B$7,M641=Config!$B$5,COUNTIFS($E$5:E641,E641,$H$5:H641,"Falta",$L$5:L641,Config!$B$7,$M$5:M641,Config!$B$5)=1),COUNTIFS($E$5:$E$1204,E641,$H$5:$H$1204,"Falta",$L$5:$L$1204,Config!$B$7,$M$5:$M$1204,Config!$B$5)*1000-ROW()/100000,0)</f>
        <v>0</v>
      </c>
    </row>
    <row r="642">
      <c r="A642" s="39" t="n">
        <v>46268</v>
      </c>
      <c r="B642" s="40" t="n">
        <v>0.4722222222222222</v>
      </c>
      <c r="C642" s="35" t="inlineStr">
        <is>
          <t>Dra. Carolina Mendes</t>
        </is>
      </c>
      <c r="D642" s="35" t="inlineStr">
        <is>
          <t>Sala 1</t>
        </is>
      </c>
      <c r="E642" s="34" t="inlineStr">
        <is>
          <t>Mateus Lima</t>
        </is>
      </c>
      <c r="F642" s="35" t="inlineStr">
        <is>
          <t>MediPlan</t>
        </is>
      </c>
      <c r="G642" s="35" t="inlineStr">
        <is>
          <t>Consulta</t>
        </is>
      </c>
      <c r="H642" s="35" t="inlineStr">
        <is>
          <t>Realizado</t>
        </is>
      </c>
      <c r="I642" s="35" t="inlineStr">
        <is>
          <t>Convênio</t>
        </is>
      </c>
      <c r="J642" s="35" t="n"/>
      <c r="K642" s="34" t="n"/>
      <c r="L642" s="26">
        <f>IF(A642="","",MONTH(A642))</f>
        <v>9</v>
      </c>
      <c r="M642" s="26">
        <f>IF(A642="","",YEAR(A642))</f>
        <v>2026</v>
      </c>
      <c r="N642" s="26" t="str">
        <f>IF(A642="","",CHOOSE(WEEKDAY(A642,2),"Segunda","Terça","Quarta","Quinta","Sexta","Sábado","Domingo"))</f>
        <v>Quinta</v>
      </c>
      <c r="O642" s="26" t="str">
        <f>IF(B642="","",IF(B642&lt;TIME(12,0,0),"Manhã",IF(B642&lt;TIME(18,0,0),"Tarde","Noite")))</f>
        <v>Manhã</v>
      </c>
      <c r="P642" s="32">
        <f>IF(G642="","",IFERROR(INDEX(Config!$I$5:$I$16,MATCH(G642,Config!$H$5:$H$16,0)),0))</f>
        <v>30</v>
      </c>
      <c r="Q642" s="30">
        <f>IF(OR(H642&lt;&gt;"Realizado",P642="",P642=0),"",A642+P642)</f>
        <v>46298.0</v>
      </c>
      <c r="R642" s="26" t="str">
        <f>IF(Q642="","",IF(COUNTIFS($E$5:$E$1204,E642,$A$5:$A$1204,"&gt;"&amp;A642,$H$5:$H$1204,"&lt;&gt;Falta",$H$5:$H$1204,"&lt;&gt;Cancelado",$H$5:$H$1204,"&lt;&gt;Remarcado")&gt;0,"Sim","Não"))</f>
        <v>Sim</v>
      </c>
      <c r="S642" s="32">
        <f>IF(R642&lt;&gt;"Não","",IF(Q642+Config!$B$9&lt;=Config!$B$8,Config!$B$8-Q642,""))</f>
        <v/>
      </c>
      <c r="T642" s="26">
        <f>IF(S642="","","Sim")</f>
        <v/>
      </c>
      <c r="U642" s="41">
        <f>IF(T642="Sim",S642+ROW()/100000,0)</f>
        <v>0</v>
      </c>
      <c r="V642" s="41">
        <f>IF(AND(H642="Falta",L642=Config!$B$7,M642=Config!$B$5,COUNTIFS($E$5:E642,E642,$H$5:H642,"Falta",$L$5:L642,Config!$B$7,$M$5:M642,Config!$B$5)=1),COUNTIFS($E$5:$E$1204,E642,$H$5:$H$1204,"Falta",$L$5:$L$1204,Config!$B$7,$M$5:$M$1204,Config!$B$5)*1000-ROW()/100000,0)</f>
        <v>0</v>
      </c>
    </row>
    <row r="643">
      <c r="A643" s="39" t="n">
        <v>46268</v>
      </c>
      <c r="B643" s="40" t="n">
        <v>0.5833333333333334</v>
      </c>
      <c r="C643" s="35" t="inlineStr">
        <is>
          <t>Dra. Renata Sousa</t>
        </is>
      </c>
      <c r="D643" s="35" t="inlineStr">
        <is>
          <t>Sala 1</t>
        </is>
      </c>
      <c r="E643" s="34" t="inlineStr">
        <is>
          <t>Cláudia Melo</t>
        </is>
      </c>
      <c r="F643" s="35" t="inlineStr">
        <is>
          <t>Particular</t>
        </is>
      </c>
      <c r="G643" s="35" t="inlineStr">
        <is>
          <t>Avaliação endócrina</t>
        </is>
      </c>
      <c r="H643" s="35" t="inlineStr">
        <is>
          <t>Realizado</t>
        </is>
      </c>
      <c r="I643" s="35" t="inlineStr">
        <is>
          <t>Pix</t>
        </is>
      </c>
      <c r="J643" s="35" t="n"/>
      <c r="K643" s="34" t="n"/>
      <c r="L643" s="26">
        <f>IF(A643="","",MONTH(A643))</f>
        <v>9</v>
      </c>
      <c r="M643" s="26">
        <f>IF(A643="","",YEAR(A643))</f>
        <v>2026</v>
      </c>
      <c r="N643" s="26" t="str">
        <f>IF(A643="","",CHOOSE(WEEKDAY(A643,2),"Segunda","Terça","Quarta","Quinta","Sexta","Sábado","Domingo"))</f>
        <v>Quinta</v>
      </c>
      <c r="O643" s="26" t="str">
        <f>IF(B643="","",IF(B643&lt;TIME(12,0,0),"Manhã",IF(B643&lt;TIME(18,0,0),"Tarde","Noite")))</f>
        <v>Tarde</v>
      </c>
      <c r="P643" s="32">
        <f>IF(G643="","",IFERROR(INDEX(Config!$I$5:$I$16,MATCH(G643,Config!$H$5:$H$16,0)),0))</f>
        <v>45</v>
      </c>
      <c r="Q643" s="30">
        <f>IF(OR(H643&lt;&gt;"Realizado",P643="",P643=0),"",A643+P643)</f>
        <v>46313.0</v>
      </c>
      <c r="R643" s="26" t="str">
        <f>IF(Q643="","",IF(COUNTIFS($E$5:$E$1204,E643,$A$5:$A$1204,"&gt;"&amp;A643,$H$5:$H$1204,"&lt;&gt;Falta",$H$5:$H$1204,"&lt;&gt;Cancelado",$H$5:$H$1204,"&lt;&gt;Remarcado")&gt;0,"Sim","Não"))</f>
        <v>Sim</v>
      </c>
      <c r="S643" s="32">
        <f>IF(R643&lt;&gt;"Não","",IF(Q643+Config!$B$9&lt;=Config!$B$8,Config!$B$8-Q643,""))</f>
        <v/>
      </c>
      <c r="T643" s="26">
        <f>IF(S643="","","Sim")</f>
        <v/>
      </c>
      <c r="U643" s="41">
        <f>IF(T643="Sim",S643+ROW()/100000,0)</f>
        <v>0</v>
      </c>
      <c r="V643" s="41">
        <f>IF(AND(H643="Falta",L643=Config!$B$7,M643=Config!$B$5,COUNTIFS($E$5:E643,E643,$H$5:H643,"Falta",$L$5:L643,Config!$B$7,$M$5:M643,Config!$B$5)=1),COUNTIFS($E$5:$E$1204,E643,$H$5:$H$1204,"Falta",$L$5:$L$1204,Config!$B$7,$M$5:$M$1204,Config!$B$5)*1000-ROW()/100000,0)</f>
        <v>0</v>
      </c>
    </row>
    <row r="644">
      <c r="A644" s="39" t="n">
        <v>46268</v>
      </c>
      <c r="B644" s="40" t="n">
        <v>0.5833333333333334</v>
      </c>
      <c r="C644" s="35" t="inlineStr">
        <is>
          <t>Dr. Paulo Andrade</t>
        </is>
      </c>
      <c r="D644" s="35" t="inlineStr">
        <is>
          <t>Sala 2</t>
        </is>
      </c>
      <c r="E644" s="34" t="inlineStr">
        <is>
          <t>Vinícius Cardoso</t>
        </is>
      </c>
      <c r="F644" s="35" t="inlineStr">
        <is>
          <t>MediPlan</t>
        </is>
      </c>
      <c r="G644" s="35" t="inlineStr">
        <is>
          <t>Consulta</t>
        </is>
      </c>
      <c r="H644" s="35" t="inlineStr">
        <is>
          <t>Realizado</t>
        </is>
      </c>
      <c r="I644" s="35" t="inlineStr">
        <is>
          <t>Convênio</t>
        </is>
      </c>
      <c r="J644" s="35" t="n"/>
      <c r="K644" s="34" t="n"/>
      <c r="L644" s="26">
        <f>IF(A644="","",MONTH(A644))</f>
        <v>9</v>
      </c>
      <c r="M644" s="26">
        <f>IF(A644="","",YEAR(A644))</f>
        <v>2026</v>
      </c>
      <c r="N644" s="26" t="str">
        <f>IF(A644="","",CHOOSE(WEEKDAY(A644,2),"Segunda","Terça","Quarta","Quinta","Sexta","Sábado","Domingo"))</f>
        <v>Quinta</v>
      </c>
      <c r="O644" s="26" t="str">
        <f>IF(B644="","",IF(B644&lt;TIME(12,0,0),"Manhã",IF(B644&lt;TIME(18,0,0),"Tarde","Noite")))</f>
        <v>Tarde</v>
      </c>
      <c r="P644" s="32">
        <f>IF(G644="","",IFERROR(INDEX(Config!$I$5:$I$16,MATCH(G644,Config!$H$5:$H$16,0)),0))</f>
        <v>30</v>
      </c>
      <c r="Q644" s="30">
        <f>IF(OR(H644&lt;&gt;"Realizado",P644="",P644=0),"",A644+P644)</f>
        <v>46298.0</v>
      </c>
      <c r="R644" s="26" t="str">
        <f>IF(Q644="","",IF(COUNTIFS($E$5:$E$1204,E644,$A$5:$A$1204,"&gt;"&amp;A644,$H$5:$H$1204,"&lt;&gt;Falta",$H$5:$H$1204,"&lt;&gt;Cancelado",$H$5:$H$1204,"&lt;&gt;Remarcado")&gt;0,"Sim","Não"))</f>
        <v>Sim</v>
      </c>
      <c r="S644" s="32">
        <f>IF(R644&lt;&gt;"Não","",IF(Q644+Config!$B$9&lt;=Config!$B$8,Config!$B$8-Q644,""))</f>
        <v/>
      </c>
      <c r="T644" s="26">
        <f>IF(S644="","","Sim")</f>
        <v/>
      </c>
      <c r="U644" s="41">
        <f>IF(T644="Sim",S644+ROW()/100000,0)</f>
        <v>0</v>
      </c>
      <c r="V644" s="41">
        <f>IF(AND(H644="Falta",L644=Config!$B$7,M644=Config!$B$5,COUNTIFS($E$5:E644,E644,$H$5:H644,"Falta",$L$5:L644,Config!$B$7,$M$5:M644,Config!$B$5)=1),COUNTIFS($E$5:$E$1204,E644,$H$5:$H$1204,"Falta",$L$5:$L$1204,Config!$B$7,$M$5:$M$1204,Config!$B$5)*1000-ROW()/100000,0)</f>
        <v>0</v>
      </c>
    </row>
    <row r="645">
      <c r="A645" s="39" t="n">
        <v>46268</v>
      </c>
      <c r="B645" s="40" t="n">
        <v>0.6041666666666666</v>
      </c>
      <c r="C645" s="35" t="inlineStr">
        <is>
          <t>Dr. Paulo Andrade</t>
        </is>
      </c>
      <c r="D645" s="35" t="inlineStr">
        <is>
          <t>Sala 2</t>
        </is>
      </c>
      <c r="E645" s="34" t="inlineStr">
        <is>
          <t>Elaine Cardoso</t>
        </is>
      </c>
      <c r="F645" s="35" t="inlineStr">
        <is>
          <t>Particular</t>
        </is>
      </c>
      <c r="G645" s="35" t="inlineStr">
        <is>
          <t>ECG</t>
        </is>
      </c>
      <c r="H645" s="35" t="inlineStr">
        <is>
          <t>Realizado</t>
        </is>
      </c>
      <c r="I645" s="35" t="inlineStr">
        <is>
          <t>Cartão de débito</t>
        </is>
      </c>
      <c r="J645" s="35" t="n"/>
      <c r="K645" s="34" t="n"/>
      <c r="L645" s="26">
        <f>IF(A645="","",MONTH(A645))</f>
        <v>9</v>
      </c>
      <c r="M645" s="26">
        <f>IF(A645="","",YEAR(A645))</f>
        <v>2026</v>
      </c>
      <c r="N645" s="26" t="str">
        <f>IF(A645="","",CHOOSE(WEEKDAY(A645,2),"Segunda","Terça","Quarta","Quinta","Sexta","Sábado","Domingo"))</f>
        <v>Quinta</v>
      </c>
      <c r="O645" s="26" t="str">
        <f>IF(B645="","",IF(B645&lt;TIME(12,0,0),"Manhã",IF(B645&lt;TIME(18,0,0),"Tarde","Noite")))</f>
        <v>Tarde</v>
      </c>
      <c r="P645" s="32">
        <f>IF(G645="","",IFERROR(INDEX(Config!$I$5:$I$16,MATCH(G645,Config!$H$5:$H$16,0)),0))</f>
        <v>0</v>
      </c>
      <c r="Q645" s="30">
        <f>IF(OR(H645&lt;&gt;"Realizado",P645="",P645=0),"",A645+P645)</f>
        <v/>
      </c>
      <c r="R645" s="26">
        <f>IF(Q645="","",IF(COUNTIFS($E$5:$E$1204,E645,$A$5:$A$1204,"&gt;"&amp;A645,$H$5:$H$1204,"&lt;&gt;Falta",$H$5:$H$1204,"&lt;&gt;Cancelado",$H$5:$H$1204,"&lt;&gt;Remarcado")&gt;0,"Sim","Não"))</f>
        <v/>
      </c>
      <c r="S645" s="32">
        <f>IF(R645&lt;&gt;"Não","",IF(Q645+Config!$B$9&lt;=Config!$B$8,Config!$B$8-Q645,""))</f>
        <v/>
      </c>
      <c r="T645" s="26">
        <f>IF(S645="","","Sim")</f>
        <v/>
      </c>
      <c r="U645" s="41">
        <f>IF(T645="Sim",S645+ROW()/100000,0)</f>
        <v>0</v>
      </c>
      <c r="V645" s="41">
        <f>IF(AND(H645="Falta",L645=Config!$B$7,M645=Config!$B$5,COUNTIFS($E$5:E645,E645,$H$5:H645,"Falta",$L$5:L645,Config!$B$7,$M$5:M645,Config!$B$5)=1),COUNTIFS($E$5:$E$1204,E645,$H$5:$H$1204,"Falta",$L$5:$L$1204,Config!$B$7,$M$5:$M$1204,Config!$B$5)*1000-ROW()/100000,0)</f>
        <v>0</v>
      </c>
    </row>
    <row r="646">
      <c r="A646" s="39" t="n">
        <v>46268</v>
      </c>
      <c r="B646" s="40" t="n">
        <v>0.6111111111111112</v>
      </c>
      <c r="C646" s="35" t="inlineStr">
        <is>
          <t>Dra. Renata Sousa</t>
        </is>
      </c>
      <c r="D646" s="35" t="inlineStr">
        <is>
          <t>Sala 1</t>
        </is>
      </c>
      <c r="E646" s="34" t="inlineStr">
        <is>
          <t>Carlos Gonçalves</t>
        </is>
      </c>
      <c r="F646" s="35" t="inlineStr">
        <is>
          <t>Saúde Total</t>
        </is>
      </c>
      <c r="G646" s="35" t="inlineStr">
        <is>
          <t>Retorno</t>
        </is>
      </c>
      <c r="H646" s="35" t="inlineStr">
        <is>
          <t>Realizado</t>
        </is>
      </c>
      <c r="I646" s="35" t="inlineStr">
        <is>
          <t>Sem cobrança</t>
        </is>
      </c>
      <c r="J646" s="35" t="n"/>
      <c r="K646" s="34" t="n"/>
      <c r="L646" s="26">
        <f>IF(A646="","",MONTH(A646))</f>
        <v>9</v>
      </c>
      <c r="M646" s="26">
        <f>IF(A646="","",YEAR(A646))</f>
        <v>2026</v>
      </c>
      <c r="N646" s="26" t="str">
        <f>IF(A646="","",CHOOSE(WEEKDAY(A646,2),"Segunda","Terça","Quarta","Quinta","Sexta","Sábado","Domingo"))</f>
        <v>Quinta</v>
      </c>
      <c r="O646" s="26" t="str">
        <f>IF(B646="","",IF(B646&lt;TIME(12,0,0),"Manhã",IF(B646&lt;TIME(18,0,0),"Tarde","Noite")))</f>
        <v>Tarde</v>
      </c>
      <c r="P646" s="32">
        <f>IF(G646="","",IFERROR(INDEX(Config!$I$5:$I$16,MATCH(G646,Config!$H$5:$H$16,0)),0))</f>
        <v>0</v>
      </c>
      <c r="Q646" s="30">
        <f>IF(OR(H646&lt;&gt;"Realizado",P646="",P646=0),"",A646+P646)</f>
        <v/>
      </c>
      <c r="R646" s="26">
        <f>IF(Q646="","",IF(COUNTIFS($E$5:$E$1204,E646,$A$5:$A$1204,"&gt;"&amp;A646,$H$5:$H$1204,"&lt;&gt;Falta",$H$5:$H$1204,"&lt;&gt;Cancelado",$H$5:$H$1204,"&lt;&gt;Remarcado")&gt;0,"Sim","Não"))</f>
        <v/>
      </c>
      <c r="S646" s="32">
        <f>IF(R646&lt;&gt;"Não","",IF(Q646+Config!$B$9&lt;=Config!$B$8,Config!$B$8-Q646,""))</f>
        <v/>
      </c>
      <c r="T646" s="26">
        <f>IF(S646="","","Sim")</f>
        <v/>
      </c>
      <c r="U646" s="41">
        <f>IF(T646="Sim",S646+ROW()/100000,0)</f>
        <v>0</v>
      </c>
      <c r="V646" s="41">
        <f>IF(AND(H646="Falta",L646=Config!$B$7,M646=Config!$B$5,COUNTIFS($E$5:E646,E646,$H$5:H646,"Falta",$L$5:L646,Config!$B$7,$M$5:M646,Config!$B$5)=1),COUNTIFS($E$5:$E$1204,E646,$H$5:$H$1204,"Falta",$L$5:$L$1204,Config!$B$7,$M$5:$M$1204,Config!$B$5)*1000-ROW()/100000,0)</f>
        <v>0</v>
      </c>
    </row>
    <row r="647">
      <c r="A647" s="39" t="n">
        <v>46268</v>
      </c>
      <c r="B647" s="40" t="n">
        <v>0.6180555555555556</v>
      </c>
      <c r="C647" s="35" t="inlineStr">
        <is>
          <t>Dr. Paulo Andrade</t>
        </is>
      </c>
      <c r="D647" s="35" t="inlineStr">
        <is>
          <t>Sala 2</t>
        </is>
      </c>
      <c r="E647" s="34" t="inlineStr">
        <is>
          <t>Camila Batista</t>
        </is>
      </c>
      <c r="F647" s="35" t="inlineStr">
        <is>
          <t>MediPlan</t>
        </is>
      </c>
      <c r="G647" s="35" t="inlineStr">
        <is>
          <t>Holter</t>
        </is>
      </c>
      <c r="H647" s="35" t="inlineStr">
        <is>
          <t>Falta</t>
        </is>
      </c>
      <c r="I647" s="35" t="n"/>
      <c r="J647" s="35" t="n"/>
      <c r="K647" s="34" t="n"/>
      <c r="L647" s="26">
        <f>IF(A647="","",MONTH(A647))</f>
        <v>9</v>
      </c>
      <c r="M647" s="26">
        <f>IF(A647="","",YEAR(A647))</f>
        <v>2026</v>
      </c>
      <c r="N647" s="26" t="str">
        <f>IF(A647="","",CHOOSE(WEEKDAY(A647,2),"Segunda","Terça","Quarta","Quinta","Sexta","Sábado","Domingo"))</f>
        <v>Quinta</v>
      </c>
      <c r="O647" s="26" t="str">
        <f>IF(B647="","",IF(B647&lt;TIME(12,0,0),"Manhã",IF(B647&lt;TIME(18,0,0),"Tarde","Noite")))</f>
        <v>Tarde</v>
      </c>
      <c r="P647" s="32">
        <f>IF(G647="","",IFERROR(INDEX(Config!$I$5:$I$16,MATCH(G647,Config!$H$5:$H$16,0)),0))</f>
        <v>0</v>
      </c>
      <c r="Q647" s="30">
        <f>IF(OR(H647&lt;&gt;"Realizado",P647="",P647=0),"",A647+P647)</f>
        <v/>
      </c>
      <c r="R647" s="26">
        <f>IF(Q647="","",IF(COUNTIFS($E$5:$E$1204,E647,$A$5:$A$1204,"&gt;"&amp;A647,$H$5:$H$1204,"&lt;&gt;Falta",$H$5:$H$1204,"&lt;&gt;Cancelado",$H$5:$H$1204,"&lt;&gt;Remarcado")&gt;0,"Sim","Não"))</f>
        <v/>
      </c>
      <c r="S647" s="32">
        <f>IF(R647&lt;&gt;"Não","",IF(Q647+Config!$B$9&lt;=Config!$B$8,Config!$B$8-Q647,""))</f>
        <v/>
      </c>
      <c r="T647" s="26">
        <f>IF(S647="","","Sim")</f>
        <v/>
      </c>
      <c r="U647" s="41">
        <f>IF(T647="Sim",S647+ROW()/100000,0)</f>
        <v>0</v>
      </c>
      <c r="V647" s="41">
        <f>IF(AND(H647="Falta",L647=Config!$B$7,M647=Config!$B$5,COUNTIFS($E$5:E647,E647,$H$5:H647,"Falta",$L$5:L647,Config!$B$7,$M$5:M647,Config!$B$5)=1),COUNTIFS($E$5:$E$1204,E647,$H$5:$H$1204,"Falta",$L$5:$L$1204,Config!$B$7,$M$5:$M$1204,Config!$B$5)*1000-ROW()/100000,0)</f>
        <v>999.99353</v>
      </c>
    </row>
    <row r="648">
      <c r="A648" s="39" t="n">
        <v>46268</v>
      </c>
      <c r="B648" s="40" t="n">
        <v>0.625</v>
      </c>
      <c r="C648" s="35" t="inlineStr">
        <is>
          <t>Dra. Renata Sousa</t>
        </is>
      </c>
      <c r="D648" s="35" t="inlineStr">
        <is>
          <t>Sala 1</t>
        </is>
      </c>
      <c r="E648" s="34" t="inlineStr">
        <is>
          <t>Carlos Gomes</t>
        </is>
      </c>
      <c r="F648" s="35" t="inlineStr">
        <is>
          <t>Saúde Total</t>
        </is>
      </c>
      <c r="G648" s="35" t="inlineStr">
        <is>
          <t>Avaliação endócrina</t>
        </is>
      </c>
      <c r="H648" s="35" t="inlineStr">
        <is>
          <t>Realizado</t>
        </is>
      </c>
      <c r="I648" s="35" t="inlineStr">
        <is>
          <t>Convênio</t>
        </is>
      </c>
      <c r="J648" s="35" t="n"/>
      <c r="K648" s="34" t="n"/>
      <c r="L648" s="26">
        <f>IF(A648="","",MONTH(A648))</f>
        <v>9</v>
      </c>
      <c r="M648" s="26">
        <f>IF(A648="","",YEAR(A648))</f>
        <v>2026</v>
      </c>
      <c r="N648" s="26" t="str">
        <f>IF(A648="","",CHOOSE(WEEKDAY(A648,2),"Segunda","Terça","Quarta","Quinta","Sexta","Sábado","Domingo"))</f>
        <v>Quinta</v>
      </c>
      <c r="O648" s="26" t="str">
        <f>IF(B648="","",IF(B648&lt;TIME(12,0,0),"Manhã",IF(B648&lt;TIME(18,0,0),"Tarde","Noite")))</f>
        <v>Tarde</v>
      </c>
      <c r="P648" s="32">
        <f>IF(G648="","",IFERROR(INDEX(Config!$I$5:$I$16,MATCH(G648,Config!$H$5:$H$16,0)),0))</f>
        <v>45</v>
      </c>
      <c r="Q648" s="30">
        <f>IF(OR(H648&lt;&gt;"Realizado",P648="",P648=0),"",A648+P648)</f>
        <v>46313.0</v>
      </c>
      <c r="R648" s="26" t="str">
        <f>IF(Q648="","",IF(COUNTIFS($E$5:$E$1204,E648,$A$5:$A$1204,"&gt;"&amp;A648,$H$5:$H$1204,"&lt;&gt;Falta",$H$5:$H$1204,"&lt;&gt;Cancelado",$H$5:$H$1204,"&lt;&gt;Remarcado")&gt;0,"Sim","Não"))</f>
        <v>Sim</v>
      </c>
      <c r="S648" s="32">
        <f>IF(R648&lt;&gt;"Não","",IF(Q648+Config!$B$9&lt;=Config!$B$8,Config!$B$8-Q648,""))</f>
        <v/>
      </c>
      <c r="T648" s="26">
        <f>IF(S648="","","Sim")</f>
        <v/>
      </c>
      <c r="U648" s="41">
        <f>IF(T648="Sim",S648+ROW()/100000,0)</f>
        <v>0</v>
      </c>
      <c r="V648" s="41">
        <f>IF(AND(H648="Falta",L648=Config!$B$7,M648=Config!$B$5,COUNTIFS($E$5:E648,E648,$H$5:H648,"Falta",$L$5:L648,Config!$B$7,$M$5:M648,Config!$B$5)=1),COUNTIFS($E$5:$E$1204,E648,$H$5:$H$1204,"Falta",$L$5:$L$1204,Config!$B$7,$M$5:$M$1204,Config!$B$5)*1000-ROW()/100000,0)</f>
        <v>0</v>
      </c>
    </row>
    <row r="649">
      <c r="A649" s="39" t="n">
        <v>46268</v>
      </c>
      <c r="B649" s="40" t="n">
        <v>0.6319444444444444</v>
      </c>
      <c r="C649" s="35" t="inlineStr">
        <is>
          <t>Dr. Paulo Andrade</t>
        </is>
      </c>
      <c r="D649" s="35" t="inlineStr">
        <is>
          <t>Sala 2</t>
        </is>
      </c>
      <c r="E649" s="34" t="inlineStr">
        <is>
          <t>Paulo Ribeiro</t>
        </is>
      </c>
      <c r="F649" s="35" t="inlineStr">
        <is>
          <t>Saúde Total</t>
        </is>
      </c>
      <c r="G649" s="35" t="inlineStr">
        <is>
          <t>Consulta</t>
        </is>
      </c>
      <c r="H649" s="35" t="inlineStr">
        <is>
          <t>Realizado</t>
        </is>
      </c>
      <c r="I649" s="35" t="inlineStr">
        <is>
          <t>Convênio</t>
        </is>
      </c>
      <c r="J649" s="35" t="n"/>
      <c r="K649" s="34" t="n"/>
      <c r="L649" s="26">
        <f>IF(A649="","",MONTH(A649))</f>
        <v>9</v>
      </c>
      <c r="M649" s="26">
        <f>IF(A649="","",YEAR(A649))</f>
        <v>2026</v>
      </c>
      <c r="N649" s="26" t="str">
        <f>IF(A649="","",CHOOSE(WEEKDAY(A649,2),"Segunda","Terça","Quarta","Quinta","Sexta","Sábado","Domingo"))</f>
        <v>Quinta</v>
      </c>
      <c r="O649" s="26" t="str">
        <f>IF(B649="","",IF(B649&lt;TIME(12,0,0),"Manhã",IF(B649&lt;TIME(18,0,0),"Tarde","Noite")))</f>
        <v>Tarde</v>
      </c>
      <c r="P649" s="32">
        <f>IF(G649="","",IFERROR(INDEX(Config!$I$5:$I$16,MATCH(G649,Config!$H$5:$H$16,0)),0))</f>
        <v>30</v>
      </c>
      <c r="Q649" s="30">
        <f>IF(OR(H649&lt;&gt;"Realizado",P649="",P649=0),"",A649+P649)</f>
        <v>46298.0</v>
      </c>
      <c r="R649" s="26" t="str">
        <f>IF(Q649="","",IF(COUNTIFS($E$5:$E$1204,E649,$A$5:$A$1204,"&gt;"&amp;A649,$H$5:$H$1204,"&lt;&gt;Falta",$H$5:$H$1204,"&lt;&gt;Cancelado",$H$5:$H$1204,"&lt;&gt;Remarcado")&gt;0,"Sim","Não"))</f>
        <v>Sim</v>
      </c>
      <c r="S649" s="32">
        <f>IF(R649&lt;&gt;"Não","",IF(Q649+Config!$B$9&lt;=Config!$B$8,Config!$B$8-Q649,""))</f>
        <v/>
      </c>
      <c r="T649" s="26">
        <f>IF(S649="","","Sim")</f>
        <v/>
      </c>
      <c r="U649" s="41">
        <f>IF(T649="Sim",S649+ROW()/100000,0)</f>
        <v>0</v>
      </c>
      <c r="V649" s="41">
        <f>IF(AND(H649="Falta",L649=Config!$B$7,M649=Config!$B$5,COUNTIFS($E$5:E649,E649,$H$5:H649,"Falta",$L$5:L649,Config!$B$7,$M$5:M649,Config!$B$5)=1),COUNTIFS($E$5:$E$1204,E649,$H$5:$H$1204,"Falta",$L$5:$L$1204,Config!$B$7,$M$5:$M$1204,Config!$B$5)*1000-ROW()/100000,0)</f>
        <v>0</v>
      </c>
    </row>
    <row r="650">
      <c r="A650" s="39" t="n">
        <v>46268</v>
      </c>
      <c r="B650" s="40" t="n">
        <v>0.6527777777777778</v>
      </c>
      <c r="C650" s="35" t="inlineStr">
        <is>
          <t>Dra. Renata Sousa</t>
        </is>
      </c>
      <c r="D650" s="35" t="inlineStr">
        <is>
          <t>Sala 1</t>
        </is>
      </c>
      <c r="E650" s="34" t="inlineStr">
        <is>
          <t>Patrícia Dias</t>
        </is>
      </c>
      <c r="F650" s="35" t="inlineStr">
        <is>
          <t>Particular</t>
        </is>
      </c>
      <c r="G650" s="35" t="inlineStr">
        <is>
          <t>Retorno</t>
        </is>
      </c>
      <c r="H650" s="35" t="inlineStr">
        <is>
          <t>Realizado</t>
        </is>
      </c>
      <c r="I650" s="35" t="inlineStr">
        <is>
          <t>Sem cobrança</t>
        </is>
      </c>
      <c r="J650" s="35" t="n"/>
      <c r="K650" s="34" t="n"/>
      <c r="L650" s="26">
        <f>IF(A650="","",MONTH(A650))</f>
        <v>9</v>
      </c>
      <c r="M650" s="26">
        <f>IF(A650="","",YEAR(A650))</f>
        <v>2026</v>
      </c>
      <c r="N650" s="26" t="str">
        <f>IF(A650="","",CHOOSE(WEEKDAY(A650,2),"Segunda","Terça","Quarta","Quinta","Sexta","Sábado","Domingo"))</f>
        <v>Quinta</v>
      </c>
      <c r="O650" s="26" t="str">
        <f>IF(B650="","",IF(B650&lt;TIME(12,0,0),"Manhã",IF(B650&lt;TIME(18,0,0),"Tarde","Noite")))</f>
        <v>Tarde</v>
      </c>
      <c r="P650" s="32">
        <f>IF(G650="","",IFERROR(INDEX(Config!$I$5:$I$16,MATCH(G650,Config!$H$5:$H$16,0)),0))</f>
        <v>0</v>
      </c>
      <c r="Q650" s="30">
        <f>IF(OR(H650&lt;&gt;"Realizado",P650="",P650=0),"",A650+P650)</f>
        <v/>
      </c>
      <c r="R650" s="26">
        <f>IF(Q650="","",IF(COUNTIFS($E$5:$E$1204,E650,$A$5:$A$1204,"&gt;"&amp;A650,$H$5:$H$1204,"&lt;&gt;Falta",$H$5:$H$1204,"&lt;&gt;Cancelado",$H$5:$H$1204,"&lt;&gt;Remarcado")&gt;0,"Sim","Não"))</f>
        <v/>
      </c>
      <c r="S650" s="32">
        <f>IF(R650&lt;&gt;"Não","",IF(Q650+Config!$B$9&lt;=Config!$B$8,Config!$B$8-Q650,""))</f>
        <v/>
      </c>
      <c r="T650" s="26">
        <f>IF(S650="","","Sim")</f>
        <v/>
      </c>
      <c r="U650" s="41">
        <f>IF(T650="Sim",S650+ROW()/100000,0)</f>
        <v>0</v>
      </c>
      <c r="V650" s="41">
        <f>IF(AND(H650="Falta",L650=Config!$B$7,M650=Config!$B$5,COUNTIFS($E$5:E650,E650,$H$5:H650,"Falta",$L$5:L650,Config!$B$7,$M$5:M650,Config!$B$5)=1),COUNTIFS($E$5:$E$1204,E650,$H$5:$H$1204,"Falta",$L$5:$L$1204,Config!$B$7,$M$5:$M$1204,Config!$B$5)*1000-ROW()/100000,0)</f>
        <v>0</v>
      </c>
    </row>
    <row r="651">
      <c r="A651" s="39" t="n">
        <v>46268</v>
      </c>
      <c r="B651" s="40" t="n">
        <v>0.6527777777777778</v>
      </c>
      <c r="C651" s="35" t="inlineStr">
        <is>
          <t>Dr. Paulo Andrade</t>
        </is>
      </c>
      <c r="D651" s="35" t="inlineStr">
        <is>
          <t>Sala 2</t>
        </is>
      </c>
      <c r="E651" s="34" t="inlineStr">
        <is>
          <t>Regina Teixeira</t>
        </is>
      </c>
      <c r="F651" s="35" t="inlineStr">
        <is>
          <t>Particular</t>
        </is>
      </c>
      <c r="G651" s="35" t="inlineStr">
        <is>
          <t>Retorno</t>
        </is>
      </c>
      <c r="H651" s="35" t="inlineStr">
        <is>
          <t>Realizado</t>
        </is>
      </c>
      <c r="I651" s="35" t="inlineStr">
        <is>
          <t>Sem cobrança</t>
        </is>
      </c>
      <c r="J651" s="35" t="n"/>
      <c r="K651" s="34" t="n"/>
      <c r="L651" s="26">
        <f>IF(A651="","",MONTH(A651))</f>
        <v>9</v>
      </c>
      <c r="M651" s="26">
        <f>IF(A651="","",YEAR(A651))</f>
        <v>2026</v>
      </c>
      <c r="N651" s="26" t="str">
        <f>IF(A651="","",CHOOSE(WEEKDAY(A651,2),"Segunda","Terça","Quarta","Quinta","Sexta","Sábado","Domingo"))</f>
        <v>Quinta</v>
      </c>
      <c r="O651" s="26" t="str">
        <f>IF(B651="","",IF(B651&lt;TIME(12,0,0),"Manhã",IF(B651&lt;TIME(18,0,0),"Tarde","Noite")))</f>
        <v>Tarde</v>
      </c>
      <c r="P651" s="32">
        <f>IF(G651="","",IFERROR(INDEX(Config!$I$5:$I$16,MATCH(G651,Config!$H$5:$H$16,0)),0))</f>
        <v>0</v>
      </c>
      <c r="Q651" s="30">
        <f>IF(OR(H651&lt;&gt;"Realizado",P651="",P651=0),"",A651+P651)</f>
        <v/>
      </c>
      <c r="R651" s="26">
        <f>IF(Q651="","",IF(COUNTIFS($E$5:$E$1204,E651,$A$5:$A$1204,"&gt;"&amp;A651,$H$5:$H$1204,"&lt;&gt;Falta",$H$5:$H$1204,"&lt;&gt;Cancelado",$H$5:$H$1204,"&lt;&gt;Remarcado")&gt;0,"Sim","Não"))</f>
        <v/>
      </c>
      <c r="S651" s="32">
        <f>IF(R651&lt;&gt;"Não","",IF(Q651+Config!$B$9&lt;=Config!$B$8,Config!$B$8-Q651,""))</f>
        <v/>
      </c>
      <c r="T651" s="26">
        <f>IF(S651="","","Sim")</f>
        <v/>
      </c>
      <c r="U651" s="41">
        <f>IF(T651="Sim",S651+ROW()/100000,0)</f>
        <v>0</v>
      </c>
      <c r="V651" s="41">
        <f>IF(AND(H651="Falta",L651=Config!$B$7,M651=Config!$B$5,COUNTIFS($E$5:E651,E651,$H$5:H651,"Falta",$L$5:L651,Config!$B$7,$M$5:M651,Config!$B$5)=1),COUNTIFS($E$5:$E$1204,E651,$H$5:$H$1204,"Falta",$L$5:$L$1204,Config!$B$7,$M$5:$M$1204,Config!$B$5)*1000-ROW()/100000,0)</f>
        <v>0</v>
      </c>
    </row>
    <row r="652">
      <c r="A652" s="39" t="n">
        <v>46268</v>
      </c>
      <c r="B652" s="40" t="n">
        <v>0.6666666666666666</v>
      </c>
      <c r="C652" s="35" t="inlineStr">
        <is>
          <t>Dra. Renata Sousa</t>
        </is>
      </c>
      <c r="D652" s="35" t="inlineStr">
        <is>
          <t>Sala 1</t>
        </is>
      </c>
      <c r="E652" s="34" t="inlineStr">
        <is>
          <t>Rafael Pereira</t>
        </is>
      </c>
      <c r="F652" s="35" t="inlineStr">
        <is>
          <t>Particular</t>
        </is>
      </c>
      <c r="G652" s="35" t="inlineStr">
        <is>
          <t>Avaliação endócrina</t>
        </is>
      </c>
      <c r="H652" s="35" t="inlineStr">
        <is>
          <t>Realizado</t>
        </is>
      </c>
      <c r="I652" s="35" t="inlineStr">
        <is>
          <t>Cartão de crédito</t>
        </is>
      </c>
      <c r="J652" s="35" t="n">
        <v>2</v>
      </c>
      <c r="K652" s="34" t="n"/>
      <c r="L652" s="26">
        <f>IF(A652="","",MONTH(A652))</f>
        <v>9</v>
      </c>
      <c r="M652" s="26">
        <f>IF(A652="","",YEAR(A652))</f>
        <v>2026</v>
      </c>
      <c r="N652" s="26" t="str">
        <f>IF(A652="","",CHOOSE(WEEKDAY(A652,2),"Segunda","Terça","Quarta","Quinta","Sexta","Sábado","Domingo"))</f>
        <v>Quinta</v>
      </c>
      <c r="O652" s="26" t="str">
        <f>IF(B652="","",IF(B652&lt;TIME(12,0,0),"Manhã",IF(B652&lt;TIME(18,0,0),"Tarde","Noite")))</f>
        <v>Tarde</v>
      </c>
      <c r="P652" s="32">
        <f>IF(G652="","",IFERROR(INDEX(Config!$I$5:$I$16,MATCH(G652,Config!$H$5:$H$16,0)),0))</f>
        <v>45</v>
      </c>
      <c r="Q652" s="30">
        <f>IF(OR(H652&lt;&gt;"Realizado",P652="",P652=0),"",A652+P652)</f>
        <v>46313.0</v>
      </c>
      <c r="R652" s="26" t="str">
        <f>IF(Q652="","",IF(COUNTIFS($E$5:$E$1204,E652,$A$5:$A$1204,"&gt;"&amp;A652,$H$5:$H$1204,"&lt;&gt;Falta",$H$5:$H$1204,"&lt;&gt;Cancelado",$H$5:$H$1204,"&lt;&gt;Remarcado")&gt;0,"Sim","Não"))</f>
        <v>Não</v>
      </c>
      <c r="S652" s="32">
        <f>IF(R652&lt;&gt;"Não","",IF(Q652+Config!$B$9&lt;=Config!$B$8,Config!$B$8-Q652,""))</f>
        <v/>
      </c>
      <c r="T652" s="26">
        <f>IF(S652="","","Sim")</f>
        <v/>
      </c>
      <c r="U652" s="41">
        <f>IF(T652="Sim",S652+ROW()/100000,0)</f>
        <v>0</v>
      </c>
      <c r="V652" s="41">
        <f>IF(AND(H652="Falta",L652=Config!$B$7,M652=Config!$B$5,COUNTIFS($E$5:E652,E652,$H$5:H652,"Falta",$L$5:L652,Config!$B$7,$M$5:M652,Config!$B$5)=1),COUNTIFS($E$5:$E$1204,E652,$H$5:$H$1204,"Falta",$L$5:$L$1204,Config!$B$7,$M$5:$M$1204,Config!$B$5)*1000-ROW()/100000,0)</f>
        <v>0</v>
      </c>
    </row>
    <row r="653">
      <c r="A653" s="39" t="n">
        <v>46268</v>
      </c>
      <c r="B653" s="40" t="n">
        <v>0.6666666666666666</v>
      </c>
      <c r="C653" s="35" t="inlineStr">
        <is>
          <t>Dr. Paulo Andrade</t>
        </is>
      </c>
      <c r="D653" s="35" t="inlineStr">
        <is>
          <t>Sala 2</t>
        </is>
      </c>
      <c r="E653" s="34" t="inlineStr">
        <is>
          <t>Isabela Pinto</t>
        </is>
      </c>
      <c r="F653" s="35" t="inlineStr">
        <is>
          <t>Saúde Total</t>
        </is>
      </c>
      <c r="G653" s="35" t="inlineStr">
        <is>
          <t>ECG</t>
        </is>
      </c>
      <c r="H653" s="35" t="inlineStr">
        <is>
          <t>Realizado</t>
        </is>
      </c>
      <c r="I653" s="35" t="inlineStr">
        <is>
          <t>Convênio</t>
        </is>
      </c>
      <c r="J653" s="35" t="n"/>
      <c r="K653" s="34" t="n"/>
      <c r="L653" s="26">
        <f>IF(A653="","",MONTH(A653))</f>
        <v>9</v>
      </c>
      <c r="M653" s="26">
        <f>IF(A653="","",YEAR(A653))</f>
        <v>2026</v>
      </c>
      <c r="N653" s="26" t="str">
        <f>IF(A653="","",CHOOSE(WEEKDAY(A653,2),"Segunda","Terça","Quarta","Quinta","Sexta","Sábado","Domingo"))</f>
        <v>Quinta</v>
      </c>
      <c r="O653" s="26" t="str">
        <f>IF(B653="","",IF(B653&lt;TIME(12,0,0),"Manhã",IF(B653&lt;TIME(18,0,0),"Tarde","Noite")))</f>
        <v>Tarde</v>
      </c>
      <c r="P653" s="32">
        <f>IF(G653="","",IFERROR(INDEX(Config!$I$5:$I$16,MATCH(G653,Config!$H$5:$H$16,0)),0))</f>
        <v>0</v>
      </c>
      <c r="Q653" s="30">
        <f>IF(OR(H653&lt;&gt;"Realizado",P653="",P653=0),"",A653+P653)</f>
        <v/>
      </c>
      <c r="R653" s="26">
        <f>IF(Q653="","",IF(COUNTIFS($E$5:$E$1204,E653,$A$5:$A$1204,"&gt;"&amp;A653,$H$5:$H$1204,"&lt;&gt;Falta",$H$5:$H$1204,"&lt;&gt;Cancelado",$H$5:$H$1204,"&lt;&gt;Remarcado")&gt;0,"Sim","Não"))</f>
        <v/>
      </c>
      <c r="S653" s="32">
        <f>IF(R653&lt;&gt;"Não","",IF(Q653+Config!$B$9&lt;=Config!$B$8,Config!$B$8-Q653,""))</f>
        <v/>
      </c>
      <c r="T653" s="26">
        <f>IF(S653="","","Sim")</f>
        <v/>
      </c>
      <c r="U653" s="41">
        <f>IF(T653="Sim",S653+ROW()/100000,0)</f>
        <v>0</v>
      </c>
      <c r="V653" s="41">
        <f>IF(AND(H653="Falta",L653=Config!$B$7,M653=Config!$B$5,COUNTIFS($E$5:E653,E653,$H$5:H653,"Falta",$L$5:L653,Config!$B$7,$M$5:M653,Config!$B$5)=1),COUNTIFS($E$5:$E$1204,E653,$H$5:$H$1204,"Falta",$L$5:$L$1204,Config!$B$7,$M$5:$M$1204,Config!$B$5)*1000-ROW()/100000,0)</f>
        <v>0</v>
      </c>
    </row>
    <row r="654">
      <c r="A654" s="39" t="n">
        <v>46268</v>
      </c>
      <c r="B654" s="40" t="n">
        <v>0.6805555555555556</v>
      </c>
      <c r="C654" s="35" t="inlineStr">
        <is>
          <t>Dr. Paulo Andrade</t>
        </is>
      </c>
      <c r="D654" s="35" t="inlineStr">
        <is>
          <t>Sala 2</t>
        </is>
      </c>
      <c r="E654" s="34" t="inlineStr">
        <is>
          <t>Rafael Barros</t>
        </is>
      </c>
      <c r="F654" s="35" t="inlineStr">
        <is>
          <t>Particular</t>
        </is>
      </c>
      <c r="G654" s="35" t="inlineStr">
        <is>
          <t>Teste ergométrico</t>
        </is>
      </c>
      <c r="H654" s="35" t="inlineStr">
        <is>
          <t>Realizado</t>
        </is>
      </c>
      <c r="I654" s="35" t="inlineStr">
        <is>
          <t>Cartão de débito</t>
        </is>
      </c>
      <c r="J654" s="35" t="n"/>
      <c r="K654" s="34" t="n"/>
      <c r="L654" s="26">
        <f>IF(A654="","",MONTH(A654))</f>
        <v>9</v>
      </c>
      <c r="M654" s="26">
        <f>IF(A654="","",YEAR(A654))</f>
        <v>2026</v>
      </c>
      <c r="N654" s="26" t="str">
        <f>IF(A654="","",CHOOSE(WEEKDAY(A654,2),"Segunda","Terça","Quarta","Quinta","Sexta","Sábado","Domingo"))</f>
        <v>Quinta</v>
      </c>
      <c r="O654" s="26" t="str">
        <f>IF(B654="","",IF(B654&lt;TIME(12,0,0),"Manhã",IF(B654&lt;TIME(18,0,0),"Tarde","Noite")))</f>
        <v>Tarde</v>
      </c>
      <c r="P654" s="32">
        <f>IF(G654="","",IFERROR(INDEX(Config!$I$5:$I$16,MATCH(G654,Config!$H$5:$H$16,0)),0))</f>
        <v>0</v>
      </c>
      <c r="Q654" s="30">
        <f>IF(OR(H654&lt;&gt;"Realizado",P654="",P654=0),"",A654+P654)</f>
        <v/>
      </c>
      <c r="R654" s="26">
        <f>IF(Q654="","",IF(COUNTIFS($E$5:$E$1204,E654,$A$5:$A$1204,"&gt;"&amp;A654,$H$5:$H$1204,"&lt;&gt;Falta",$H$5:$H$1204,"&lt;&gt;Cancelado",$H$5:$H$1204,"&lt;&gt;Remarcado")&gt;0,"Sim","Não"))</f>
        <v/>
      </c>
      <c r="S654" s="32">
        <f>IF(R654&lt;&gt;"Não","",IF(Q654+Config!$B$9&lt;=Config!$B$8,Config!$B$8-Q654,""))</f>
        <v/>
      </c>
      <c r="T654" s="26">
        <f>IF(S654="","","Sim")</f>
        <v/>
      </c>
      <c r="U654" s="41">
        <f>IF(T654="Sim",S654+ROW()/100000,0)</f>
        <v>0</v>
      </c>
      <c r="V654" s="41">
        <f>IF(AND(H654="Falta",L654=Config!$B$7,M654=Config!$B$5,COUNTIFS($E$5:E654,E654,$H$5:H654,"Falta",$L$5:L654,Config!$B$7,$M$5:M654,Config!$B$5)=1),COUNTIFS($E$5:$E$1204,E654,$H$5:$H$1204,"Falta",$L$5:$L$1204,Config!$B$7,$M$5:$M$1204,Config!$B$5)*1000-ROW()/100000,0)</f>
        <v>0</v>
      </c>
    </row>
    <row r="655">
      <c r="A655" s="39" t="n">
        <v>46268</v>
      </c>
      <c r="B655" s="40" t="n">
        <v>0.6944444444444444</v>
      </c>
      <c r="C655" s="35" t="inlineStr">
        <is>
          <t>Dra. Renata Sousa</t>
        </is>
      </c>
      <c r="D655" s="35" t="inlineStr">
        <is>
          <t>Sala 1</t>
        </is>
      </c>
      <c r="E655" s="34" t="inlineStr">
        <is>
          <t>Tatiana Macedo</t>
        </is>
      </c>
      <c r="F655" s="35" t="inlineStr">
        <is>
          <t>Particular</t>
        </is>
      </c>
      <c r="G655" s="35" t="inlineStr">
        <is>
          <t>Avaliação endócrina</t>
        </is>
      </c>
      <c r="H655" s="35" t="inlineStr">
        <is>
          <t>Realizado</t>
        </is>
      </c>
      <c r="I655" s="35" t="inlineStr">
        <is>
          <t>Pix</t>
        </is>
      </c>
      <c r="J655" s="35" t="n"/>
      <c r="K655" s="34" t="n"/>
      <c r="L655" s="26">
        <f>IF(A655="","",MONTH(A655))</f>
        <v>9</v>
      </c>
      <c r="M655" s="26">
        <f>IF(A655="","",YEAR(A655))</f>
        <v>2026</v>
      </c>
      <c r="N655" s="26" t="str">
        <f>IF(A655="","",CHOOSE(WEEKDAY(A655,2),"Segunda","Terça","Quarta","Quinta","Sexta","Sábado","Domingo"))</f>
        <v>Quinta</v>
      </c>
      <c r="O655" s="26" t="str">
        <f>IF(B655="","",IF(B655&lt;TIME(12,0,0),"Manhã",IF(B655&lt;TIME(18,0,0),"Tarde","Noite")))</f>
        <v>Tarde</v>
      </c>
      <c r="P655" s="32">
        <f>IF(G655="","",IFERROR(INDEX(Config!$I$5:$I$16,MATCH(G655,Config!$H$5:$H$16,0)),0))</f>
        <v>45</v>
      </c>
      <c r="Q655" s="30">
        <f>IF(OR(H655&lt;&gt;"Realizado",P655="",P655=0),"",A655+P655)</f>
        <v>46313.0</v>
      </c>
      <c r="R655" s="26" t="str">
        <f>IF(Q655="","",IF(COUNTIFS($E$5:$E$1204,E655,$A$5:$A$1204,"&gt;"&amp;A655,$H$5:$H$1204,"&lt;&gt;Falta",$H$5:$H$1204,"&lt;&gt;Cancelado",$H$5:$H$1204,"&lt;&gt;Remarcado")&gt;0,"Sim","Não"))</f>
        <v>Sim</v>
      </c>
      <c r="S655" s="32">
        <f>IF(R655&lt;&gt;"Não","",IF(Q655+Config!$B$9&lt;=Config!$B$8,Config!$B$8-Q655,""))</f>
        <v/>
      </c>
      <c r="T655" s="26">
        <f>IF(S655="","","Sim")</f>
        <v/>
      </c>
      <c r="U655" s="41">
        <f>IF(T655="Sim",S655+ROW()/100000,0)</f>
        <v>0</v>
      </c>
      <c r="V655" s="41">
        <f>IF(AND(H655="Falta",L655=Config!$B$7,M655=Config!$B$5,COUNTIFS($E$5:E655,E655,$H$5:H655,"Falta",$L$5:L655,Config!$B$7,$M$5:M655,Config!$B$5)=1),COUNTIFS($E$5:$E$1204,E655,$H$5:$H$1204,"Falta",$L$5:$L$1204,Config!$B$7,$M$5:$M$1204,Config!$B$5)*1000-ROW()/100000,0)</f>
        <v>0</v>
      </c>
    </row>
    <row r="656">
      <c r="A656" s="39" t="n">
        <v>46268</v>
      </c>
      <c r="B656" s="40" t="n">
        <v>0.7083333333333334</v>
      </c>
      <c r="C656" s="35" t="inlineStr">
        <is>
          <t>Dr. Paulo Andrade</t>
        </is>
      </c>
      <c r="D656" s="35" t="inlineStr">
        <is>
          <t>Sala 2</t>
        </is>
      </c>
      <c r="E656" s="34" t="inlineStr">
        <is>
          <t>Fábio Correia</t>
        </is>
      </c>
      <c r="F656" s="35" t="inlineStr">
        <is>
          <t>Particular</t>
        </is>
      </c>
      <c r="G656" s="35" t="inlineStr">
        <is>
          <t>Retorno</t>
        </is>
      </c>
      <c r="H656" s="35" t="inlineStr">
        <is>
          <t>Realizado</t>
        </is>
      </c>
      <c r="I656" s="35" t="inlineStr">
        <is>
          <t>Sem cobrança</t>
        </is>
      </c>
      <c r="J656" s="35" t="n"/>
      <c r="K656" s="34" t="n"/>
      <c r="L656" s="26">
        <f>IF(A656="","",MONTH(A656))</f>
        <v>9</v>
      </c>
      <c r="M656" s="26">
        <f>IF(A656="","",YEAR(A656))</f>
        <v>2026</v>
      </c>
      <c r="N656" s="26" t="str">
        <f>IF(A656="","",CHOOSE(WEEKDAY(A656,2),"Segunda","Terça","Quarta","Quinta","Sexta","Sábado","Domingo"))</f>
        <v>Quinta</v>
      </c>
      <c r="O656" s="26" t="str">
        <f>IF(B656="","",IF(B656&lt;TIME(12,0,0),"Manhã",IF(B656&lt;TIME(18,0,0),"Tarde","Noite")))</f>
        <v>Tarde</v>
      </c>
      <c r="P656" s="32">
        <f>IF(G656="","",IFERROR(INDEX(Config!$I$5:$I$16,MATCH(G656,Config!$H$5:$H$16,0)),0))</f>
        <v>0</v>
      </c>
      <c r="Q656" s="30">
        <f>IF(OR(H656&lt;&gt;"Realizado",P656="",P656=0),"",A656+P656)</f>
        <v/>
      </c>
      <c r="R656" s="26">
        <f>IF(Q656="","",IF(COUNTIFS($E$5:$E$1204,E656,$A$5:$A$1204,"&gt;"&amp;A656,$H$5:$H$1204,"&lt;&gt;Falta",$H$5:$H$1204,"&lt;&gt;Cancelado",$H$5:$H$1204,"&lt;&gt;Remarcado")&gt;0,"Sim","Não"))</f>
        <v/>
      </c>
      <c r="S656" s="32">
        <f>IF(R656&lt;&gt;"Não","",IF(Q656+Config!$B$9&lt;=Config!$B$8,Config!$B$8-Q656,""))</f>
        <v/>
      </c>
      <c r="T656" s="26">
        <f>IF(S656="","","Sim")</f>
        <v/>
      </c>
      <c r="U656" s="41">
        <f>IF(T656="Sim",S656+ROW()/100000,0)</f>
        <v>0</v>
      </c>
      <c r="V656" s="41">
        <f>IF(AND(H656="Falta",L656=Config!$B$7,M656=Config!$B$5,COUNTIFS($E$5:E656,E656,$H$5:H656,"Falta",$L$5:L656,Config!$B$7,$M$5:M656,Config!$B$5)=1),COUNTIFS($E$5:$E$1204,E656,$H$5:$H$1204,"Falta",$L$5:$L$1204,Config!$B$7,$M$5:$M$1204,Config!$B$5)*1000-ROW()/100000,0)</f>
        <v>0</v>
      </c>
    </row>
    <row r="657">
      <c r="A657" s="39" t="n">
        <v>46268</v>
      </c>
      <c r="B657" s="40" t="n">
        <v>0.7222222222222222</v>
      </c>
      <c r="C657" s="35" t="inlineStr">
        <is>
          <t>Dra. Renata Sousa</t>
        </is>
      </c>
      <c r="D657" s="35" t="inlineStr">
        <is>
          <t>Sala 1</t>
        </is>
      </c>
      <c r="E657" s="34" t="inlineStr">
        <is>
          <t>Mônica Almeida</t>
        </is>
      </c>
      <c r="F657" s="35" t="inlineStr">
        <is>
          <t>Particular</t>
        </is>
      </c>
      <c r="G657" s="35" t="inlineStr">
        <is>
          <t>Avaliação endócrina</t>
        </is>
      </c>
      <c r="H657" s="35" t="inlineStr">
        <is>
          <t>Realizado</t>
        </is>
      </c>
      <c r="I657" s="35" t="inlineStr">
        <is>
          <t>Pix</t>
        </is>
      </c>
      <c r="J657" s="35" t="n"/>
      <c r="K657" s="34" t="n"/>
      <c r="L657" s="26">
        <f>IF(A657="","",MONTH(A657))</f>
        <v>9</v>
      </c>
      <c r="M657" s="26">
        <f>IF(A657="","",YEAR(A657))</f>
        <v>2026</v>
      </c>
      <c r="N657" s="26" t="str">
        <f>IF(A657="","",CHOOSE(WEEKDAY(A657,2),"Segunda","Terça","Quarta","Quinta","Sexta","Sábado","Domingo"))</f>
        <v>Quinta</v>
      </c>
      <c r="O657" s="26" t="str">
        <f>IF(B657="","",IF(B657&lt;TIME(12,0,0),"Manhã",IF(B657&lt;TIME(18,0,0),"Tarde","Noite")))</f>
        <v>Tarde</v>
      </c>
      <c r="P657" s="32">
        <f>IF(G657="","",IFERROR(INDEX(Config!$I$5:$I$16,MATCH(G657,Config!$H$5:$H$16,0)),0))</f>
        <v>45</v>
      </c>
      <c r="Q657" s="30">
        <f>IF(OR(H657&lt;&gt;"Realizado",P657="",P657=0),"",A657+P657)</f>
        <v>46313.0</v>
      </c>
      <c r="R657" s="26" t="str">
        <f>IF(Q657="","",IF(COUNTIFS($E$5:$E$1204,E657,$A$5:$A$1204,"&gt;"&amp;A657,$H$5:$H$1204,"&lt;&gt;Falta",$H$5:$H$1204,"&lt;&gt;Cancelado",$H$5:$H$1204,"&lt;&gt;Remarcado")&gt;0,"Sim","Não"))</f>
        <v>Sim</v>
      </c>
      <c r="S657" s="32">
        <f>IF(R657&lt;&gt;"Não","",IF(Q657+Config!$B$9&lt;=Config!$B$8,Config!$B$8-Q657,""))</f>
        <v/>
      </c>
      <c r="T657" s="26">
        <f>IF(S657="","","Sim")</f>
        <v/>
      </c>
      <c r="U657" s="41">
        <f>IF(T657="Sim",S657+ROW()/100000,0)</f>
        <v>0</v>
      </c>
      <c r="V657" s="41">
        <f>IF(AND(H657="Falta",L657=Config!$B$7,M657=Config!$B$5,COUNTIFS($E$5:E657,E657,$H$5:H657,"Falta",$L$5:L657,Config!$B$7,$M$5:M657,Config!$B$5)=1),COUNTIFS($E$5:$E$1204,E657,$H$5:$H$1204,"Falta",$L$5:$L$1204,Config!$B$7,$M$5:$M$1204,Config!$B$5)*1000-ROW()/100000,0)</f>
        <v>0</v>
      </c>
    </row>
    <row r="658">
      <c r="A658" s="39" t="n">
        <v>46269</v>
      </c>
      <c r="B658" s="40" t="n">
        <v>0.3333333333333333</v>
      </c>
      <c r="C658" s="35" t="inlineStr">
        <is>
          <t>Dr. Paulo Andrade</t>
        </is>
      </c>
      <c r="D658" s="35" t="inlineStr">
        <is>
          <t>Sala 2</t>
        </is>
      </c>
      <c r="E658" s="34" t="inlineStr">
        <is>
          <t>Eduardo Nunes</t>
        </is>
      </c>
      <c r="F658" s="35" t="inlineStr">
        <is>
          <t>MediPlan</t>
        </is>
      </c>
      <c r="G658" s="35" t="inlineStr">
        <is>
          <t>MAPA</t>
        </is>
      </c>
      <c r="H658" s="35" t="inlineStr">
        <is>
          <t>Realizado</t>
        </is>
      </c>
      <c r="I658" s="35" t="inlineStr">
        <is>
          <t>Convênio</t>
        </is>
      </c>
      <c r="J658" s="35" t="n"/>
      <c r="K658" s="34" t="n"/>
      <c r="L658" s="26">
        <f>IF(A658="","",MONTH(A658))</f>
        <v>9</v>
      </c>
      <c r="M658" s="26">
        <f>IF(A658="","",YEAR(A658))</f>
        <v>2026</v>
      </c>
      <c r="N658" s="26" t="str">
        <f>IF(A658="","",CHOOSE(WEEKDAY(A658,2),"Segunda","Terça","Quarta","Quinta","Sexta","Sábado","Domingo"))</f>
        <v>Sexta</v>
      </c>
      <c r="O658" s="26" t="str">
        <f>IF(B658="","",IF(B658&lt;TIME(12,0,0),"Manhã",IF(B658&lt;TIME(18,0,0),"Tarde","Noite")))</f>
        <v>Manhã</v>
      </c>
      <c r="P658" s="32">
        <f>IF(G658="","",IFERROR(INDEX(Config!$I$5:$I$16,MATCH(G658,Config!$H$5:$H$16,0)),0))</f>
        <v>0</v>
      </c>
      <c r="Q658" s="30">
        <f>IF(OR(H658&lt;&gt;"Realizado",P658="",P658=0),"",A658+P658)</f>
        <v/>
      </c>
      <c r="R658" s="26">
        <f>IF(Q658="","",IF(COUNTIFS($E$5:$E$1204,E658,$A$5:$A$1204,"&gt;"&amp;A658,$H$5:$H$1204,"&lt;&gt;Falta",$H$5:$H$1204,"&lt;&gt;Cancelado",$H$5:$H$1204,"&lt;&gt;Remarcado")&gt;0,"Sim","Não"))</f>
        <v/>
      </c>
      <c r="S658" s="32">
        <f>IF(R658&lt;&gt;"Não","",IF(Q658+Config!$B$9&lt;=Config!$B$8,Config!$B$8-Q658,""))</f>
        <v/>
      </c>
      <c r="T658" s="26">
        <f>IF(S658="","","Sim")</f>
        <v/>
      </c>
      <c r="U658" s="41">
        <f>IF(T658="Sim",S658+ROW()/100000,0)</f>
        <v>0</v>
      </c>
      <c r="V658" s="41">
        <f>IF(AND(H658="Falta",L658=Config!$B$7,M658=Config!$B$5,COUNTIFS($E$5:E658,E658,$H$5:H658,"Falta",$L$5:L658,Config!$B$7,$M$5:M658,Config!$B$5)=1),COUNTIFS($E$5:$E$1204,E658,$H$5:$H$1204,"Falta",$L$5:$L$1204,Config!$B$7,$M$5:$M$1204,Config!$B$5)*1000-ROW()/100000,0)</f>
        <v>0</v>
      </c>
    </row>
    <row r="659">
      <c r="A659" s="39" t="n">
        <v>46269</v>
      </c>
      <c r="B659" s="40" t="n">
        <v>0.3472222222222222</v>
      </c>
      <c r="C659" s="35" t="inlineStr">
        <is>
          <t>Dr. Paulo Andrade</t>
        </is>
      </c>
      <c r="D659" s="35" t="inlineStr">
        <is>
          <t>Sala 2</t>
        </is>
      </c>
      <c r="E659" s="34" t="inlineStr">
        <is>
          <t>Camila Batista</t>
        </is>
      </c>
      <c r="F659" s="35" t="inlineStr">
        <is>
          <t>MediPlan</t>
        </is>
      </c>
      <c r="G659" s="35" t="inlineStr">
        <is>
          <t>Teste ergométrico</t>
        </is>
      </c>
      <c r="H659" s="35" t="inlineStr">
        <is>
          <t>Realizado</t>
        </is>
      </c>
      <c r="I659" s="35" t="inlineStr">
        <is>
          <t>Convênio</t>
        </is>
      </c>
      <c r="J659" s="35" t="n"/>
      <c r="K659" s="34" t="n"/>
      <c r="L659" s="26">
        <f>IF(A659="","",MONTH(A659))</f>
        <v>9</v>
      </c>
      <c r="M659" s="26">
        <f>IF(A659="","",YEAR(A659))</f>
        <v>2026</v>
      </c>
      <c r="N659" s="26" t="str">
        <f>IF(A659="","",CHOOSE(WEEKDAY(A659,2),"Segunda","Terça","Quarta","Quinta","Sexta","Sábado","Domingo"))</f>
        <v>Sexta</v>
      </c>
      <c r="O659" s="26" t="str">
        <f>IF(B659="","",IF(B659&lt;TIME(12,0,0),"Manhã",IF(B659&lt;TIME(18,0,0),"Tarde","Noite")))</f>
        <v>Manhã</v>
      </c>
      <c r="P659" s="32">
        <f>IF(G659="","",IFERROR(INDEX(Config!$I$5:$I$16,MATCH(G659,Config!$H$5:$H$16,0)),0))</f>
        <v>0</v>
      </c>
      <c r="Q659" s="30">
        <f>IF(OR(H659&lt;&gt;"Realizado",P659="",P659=0),"",A659+P659)</f>
        <v/>
      </c>
      <c r="R659" s="26">
        <f>IF(Q659="","",IF(COUNTIFS($E$5:$E$1204,E659,$A$5:$A$1204,"&gt;"&amp;A659,$H$5:$H$1204,"&lt;&gt;Falta",$H$5:$H$1204,"&lt;&gt;Cancelado",$H$5:$H$1204,"&lt;&gt;Remarcado")&gt;0,"Sim","Não"))</f>
        <v/>
      </c>
      <c r="S659" s="32">
        <f>IF(R659&lt;&gt;"Não","",IF(Q659+Config!$B$9&lt;=Config!$B$8,Config!$B$8-Q659,""))</f>
        <v/>
      </c>
      <c r="T659" s="26">
        <f>IF(S659="","","Sim")</f>
        <v/>
      </c>
      <c r="U659" s="41">
        <f>IF(T659="Sim",S659+ROW()/100000,0)</f>
        <v>0</v>
      </c>
      <c r="V659" s="41">
        <f>IF(AND(H659="Falta",L659=Config!$B$7,M659=Config!$B$5,COUNTIFS($E$5:E659,E659,$H$5:H659,"Falta",$L$5:L659,Config!$B$7,$M$5:M659,Config!$B$5)=1),COUNTIFS($E$5:$E$1204,E659,$H$5:$H$1204,"Falta",$L$5:$L$1204,Config!$B$7,$M$5:$M$1204,Config!$B$5)*1000-ROW()/100000,0)</f>
        <v>0</v>
      </c>
    </row>
    <row r="660">
      <c r="A660" s="39" t="n">
        <v>46269</v>
      </c>
      <c r="B660" s="40" t="n">
        <v>0.375</v>
      </c>
      <c r="C660" s="35" t="inlineStr">
        <is>
          <t>Dr. Paulo Andrade</t>
        </is>
      </c>
      <c r="D660" s="35" t="inlineStr">
        <is>
          <t>Sala 2</t>
        </is>
      </c>
      <c r="E660" s="34" t="inlineStr">
        <is>
          <t>Ricardo Melo</t>
        </is>
      </c>
      <c r="F660" s="35" t="inlineStr">
        <is>
          <t>Saúde Total</t>
        </is>
      </c>
      <c r="G660" s="35" t="inlineStr">
        <is>
          <t>Holter</t>
        </is>
      </c>
      <c r="H660" s="35" t="inlineStr">
        <is>
          <t>Falta</t>
        </is>
      </c>
      <c r="I660" s="35" t="n"/>
      <c r="J660" s="35" t="n"/>
      <c r="K660" s="34" t="n"/>
      <c r="L660" s="26">
        <f>IF(A660="","",MONTH(A660))</f>
        <v>9</v>
      </c>
      <c r="M660" s="26">
        <f>IF(A660="","",YEAR(A660))</f>
        <v>2026</v>
      </c>
      <c r="N660" s="26" t="str">
        <f>IF(A660="","",CHOOSE(WEEKDAY(A660,2),"Segunda","Terça","Quarta","Quinta","Sexta","Sábado","Domingo"))</f>
        <v>Sexta</v>
      </c>
      <c r="O660" s="26" t="str">
        <f>IF(B660="","",IF(B660&lt;TIME(12,0,0),"Manhã",IF(B660&lt;TIME(18,0,0),"Tarde","Noite")))</f>
        <v>Manhã</v>
      </c>
      <c r="P660" s="32">
        <f>IF(G660="","",IFERROR(INDEX(Config!$I$5:$I$16,MATCH(G660,Config!$H$5:$H$16,0)),0))</f>
        <v>0</v>
      </c>
      <c r="Q660" s="30">
        <f>IF(OR(H660&lt;&gt;"Realizado",P660="",P660=0),"",A660+P660)</f>
        <v/>
      </c>
      <c r="R660" s="26">
        <f>IF(Q660="","",IF(COUNTIFS($E$5:$E$1204,E660,$A$5:$A$1204,"&gt;"&amp;A660,$H$5:$H$1204,"&lt;&gt;Falta",$H$5:$H$1204,"&lt;&gt;Cancelado",$H$5:$H$1204,"&lt;&gt;Remarcado")&gt;0,"Sim","Não"))</f>
        <v/>
      </c>
      <c r="S660" s="32">
        <f>IF(R660&lt;&gt;"Não","",IF(Q660+Config!$B$9&lt;=Config!$B$8,Config!$B$8-Q660,""))</f>
        <v/>
      </c>
      <c r="T660" s="26">
        <f>IF(S660="","","Sim")</f>
        <v/>
      </c>
      <c r="U660" s="41">
        <f>IF(T660="Sim",S660+ROW()/100000,0)</f>
        <v>0</v>
      </c>
      <c r="V660" s="41">
        <f>IF(AND(H660="Falta",L660=Config!$B$7,M660=Config!$B$5,COUNTIFS($E$5:E660,E660,$H$5:H660,"Falta",$L$5:L660,Config!$B$7,$M$5:M660,Config!$B$5)=1),COUNTIFS($E$5:$E$1204,E660,$H$5:$H$1204,"Falta",$L$5:$L$1204,Config!$B$7,$M$5:$M$1204,Config!$B$5)*1000-ROW()/100000,0)</f>
        <v>999.9934</v>
      </c>
    </row>
    <row r="661">
      <c r="A661" s="39" t="n">
        <v>46269</v>
      </c>
      <c r="B661" s="40" t="n">
        <v>0.3888888888888889</v>
      </c>
      <c r="C661" s="35" t="inlineStr">
        <is>
          <t>Dr. Paulo Andrade</t>
        </is>
      </c>
      <c r="D661" s="35" t="inlineStr">
        <is>
          <t>Sala 2</t>
        </is>
      </c>
      <c r="E661" s="34" t="inlineStr">
        <is>
          <t>Wagner Costa</t>
        </is>
      </c>
      <c r="F661" s="35" t="inlineStr">
        <is>
          <t>Particular</t>
        </is>
      </c>
      <c r="G661" s="35" t="inlineStr">
        <is>
          <t>Retorno</t>
        </is>
      </c>
      <c r="H661" s="35" t="inlineStr">
        <is>
          <t>Realizado</t>
        </is>
      </c>
      <c r="I661" s="35" t="inlineStr">
        <is>
          <t>Sem cobrança</t>
        </is>
      </c>
      <c r="J661" s="35" t="n"/>
      <c r="K661" s="34" t="n"/>
      <c r="L661" s="26">
        <f>IF(A661="","",MONTH(A661))</f>
        <v>9</v>
      </c>
      <c r="M661" s="26">
        <f>IF(A661="","",YEAR(A661))</f>
        <v>2026</v>
      </c>
      <c r="N661" s="26" t="str">
        <f>IF(A661="","",CHOOSE(WEEKDAY(A661,2),"Segunda","Terça","Quarta","Quinta","Sexta","Sábado","Domingo"))</f>
        <v>Sexta</v>
      </c>
      <c r="O661" s="26" t="str">
        <f>IF(B661="","",IF(B661&lt;TIME(12,0,0),"Manhã",IF(B661&lt;TIME(18,0,0),"Tarde","Noite")))</f>
        <v>Manhã</v>
      </c>
      <c r="P661" s="32">
        <f>IF(G661="","",IFERROR(INDEX(Config!$I$5:$I$16,MATCH(G661,Config!$H$5:$H$16,0)),0))</f>
        <v>0</v>
      </c>
      <c r="Q661" s="30">
        <f>IF(OR(H661&lt;&gt;"Realizado",P661="",P661=0),"",A661+P661)</f>
        <v/>
      </c>
      <c r="R661" s="26">
        <f>IF(Q661="","",IF(COUNTIFS($E$5:$E$1204,E661,$A$5:$A$1204,"&gt;"&amp;A661,$H$5:$H$1204,"&lt;&gt;Falta",$H$5:$H$1204,"&lt;&gt;Cancelado",$H$5:$H$1204,"&lt;&gt;Remarcado")&gt;0,"Sim","Não"))</f>
        <v/>
      </c>
      <c r="S661" s="32">
        <f>IF(R661&lt;&gt;"Não","",IF(Q661+Config!$B$9&lt;=Config!$B$8,Config!$B$8-Q661,""))</f>
        <v/>
      </c>
      <c r="T661" s="26">
        <f>IF(S661="","","Sim")</f>
        <v/>
      </c>
      <c r="U661" s="41">
        <f>IF(T661="Sim",S661+ROW()/100000,0)</f>
        <v>0</v>
      </c>
      <c r="V661" s="41">
        <f>IF(AND(H661="Falta",L661=Config!$B$7,M661=Config!$B$5,COUNTIFS($E$5:E661,E661,$H$5:H661,"Falta",$L$5:L661,Config!$B$7,$M$5:M661,Config!$B$5)=1),COUNTIFS($E$5:$E$1204,E661,$H$5:$H$1204,"Falta",$L$5:$L$1204,Config!$B$7,$M$5:$M$1204,Config!$B$5)*1000-ROW()/100000,0)</f>
        <v>0</v>
      </c>
    </row>
    <row r="662">
      <c r="A662" s="39" t="n">
        <v>46269</v>
      </c>
      <c r="B662" s="40" t="n">
        <v>0.4027777777777778</v>
      </c>
      <c r="C662" s="35" t="inlineStr">
        <is>
          <t>Dr. Paulo Andrade</t>
        </is>
      </c>
      <c r="D662" s="35" t="inlineStr">
        <is>
          <t>Sala 2</t>
        </is>
      </c>
      <c r="E662" s="34" t="inlineStr">
        <is>
          <t>Vanessa Carvalho</t>
        </is>
      </c>
      <c r="F662" s="35" t="inlineStr">
        <is>
          <t>Saúde Total</t>
        </is>
      </c>
      <c r="G662" s="35" t="inlineStr">
        <is>
          <t>Consulta</t>
        </is>
      </c>
      <c r="H662" s="35" t="inlineStr">
        <is>
          <t>Realizado</t>
        </is>
      </c>
      <c r="I662" s="35" t="inlineStr">
        <is>
          <t>Convênio</t>
        </is>
      </c>
      <c r="J662" s="35" t="n"/>
      <c r="K662" s="34" t="n"/>
      <c r="L662" s="26">
        <f>IF(A662="","",MONTH(A662))</f>
        <v>9</v>
      </c>
      <c r="M662" s="26">
        <f>IF(A662="","",YEAR(A662))</f>
        <v>2026</v>
      </c>
      <c r="N662" s="26" t="str">
        <f>IF(A662="","",CHOOSE(WEEKDAY(A662,2),"Segunda","Terça","Quarta","Quinta","Sexta","Sábado","Domingo"))</f>
        <v>Sexta</v>
      </c>
      <c r="O662" s="26" t="str">
        <f>IF(B662="","",IF(B662&lt;TIME(12,0,0),"Manhã",IF(B662&lt;TIME(18,0,0),"Tarde","Noite")))</f>
        <v>Manhã</v>
      </c>
      <c r="P662" s="32">
        <f>IF(G662="","",IFERROR(INDEX(Config!$I$5:$I$16,MATCH(G662,Config!$H$5:$H$16,0)),0))</f>
        <v>30</v>
      </c>
      <c r="Q662" s="30">
        <f>IF(OR(H662&lt;&gt;"Realizado",P662="",P662=0),"",A662+P662)</f>
        <v>46299.0</v>
      </c>
      <c r="R662" s="26" t="str">
        <f>IF(Q662="","",IF(COUNTIFS($E$5:$E$1204,E662,$A$5:$A$1204,"&gt;"&amp;A662,$H$5:$H$1204,"&lt;&gt;Falta",$H$5:$H$1204,"&lt;&gt;Cancelado",$H$5:$H$1204,"&lt;&gt;Remarcado")&gt;0,"Sim","Não"))</f>
        <v>Sim</v>
      </c>
      <c r="S662" s="32">
        <f>IF(R662&lt;&gt;"Não","",IF(Q662+Config!$B$9&lt;=Config!$B$8,Config!$B$8-Q662,""))</f>
        <v/>
      </c>
      <c r="T662" s="26">
        <f>IF(S662="","","Sim")</f>
        <v/>
      </c>
      <c r="U662" s="41">
        <f>IF(T662="Sim",S662+ROW()/100000,0)</f>
        <v>0</v>
      </c>
      <c r="V662" s="41">
        <f>IF(AND(H662="Falta",L662=Config!$B$7,M662=Config!$B$5,COUNTIFS($E$5:E662,E662,$H$5:H662,"Falta",$L$5:L662,Config!$B$7,$M$5:M662,Config!$B$5)=1),COUNTIFS($E$5:$E$1204,E662,$H$5:$H$1204,"Falta",$L$5:$L$1204,Config!$B$7,$M$5:$M$1204,Config!$B$5)*1000-ROW()/100000,0)</f>
        <v>0</v>
      </c>
    </row>
    <row r="663">
      <c r="A663" s="39" t="n">
        <v>46269</v>
      </c>
      <c r="B663" s="40" t="n">
        <v>0.4236111111111111</v>
      </c>
      <c r="C663" s="35" t="inlineStr">
        <is>
          <t>Dr. Paulo Andrade</t>
        </is>
      </c>
      <c r="D663" s="35" t="inlineStr">
        <is>
          <t>Sala 2</t>
        </is>
      </c>
      <c r="E663" s="34" t="inlineStr">
        <is>
          <t>Gabriel Oliveira</t>
        </is>
      </c>
      <c r="F663" s="35" t="inlineStr">
        <is>
          <t>Particular</t>
        </is>
      </c>
      <c r="G663" s="35" t="inlineStr">
        <is>
          <t>Consulta</t>
        </is>
      </c>
      <c r="H663" s="35" t="inlineStr">
        <is>
          <t>Falta</t>
        </is>
      </c>
      <c r="I663" s="35" t="n"/>
      <c r="J663" s="35" t="n"/>
      <c r="K663" s="34" t="n"/>
      <c r="L663" s="26">
        <f>IF(A663="","",MONTH(A663))</f>
        <v>9</v>
      </c>
      <c r="M663" s="26">
        <f>IF(A663="","",YEAR(A663))</f>
        <v>2026</v>
      </c>
      <c r="N663" s="26" t="str">
        <f>IF(A663="","",CHOOSE(WEEKDAY(A663,2),"Segunda","Terça","Quarta","Quinta","Sexta","Sábado","Domingo"))</f>
        <v>Sexta</v>
      </c>
      <c r="O663" s="26" t="str">
        <f>IF(B663="","",IF(B663&lt;TIME(12,0,0),"Manhã",IF(B663&lt;TIME(18,0,0),"Tarde","Noite")))</f>
        <v>Manhã</v>
      </c>
      <c r="P663" s="32">
        <f>IF(G663="","",IFERROR(INDEX(Config!$I$5:$I$16,MATCH(G663,Config!$H$5:$H$16,0)),0))</f>
        <v>30</v>
      </c>
      <c r="Q663" s="30">
        <f>IF(OR(H663&lt;&gt;"Realizado",P663="",P663=0),"",A663+P663)</f>
        <v/>
      </c>
      <c r="R663" s="26">
        <f>IF(Q663="","",IF(COUNTIFS($E$5:$E$1204,E663,$A$5:$A$1204,"&gt;"&amp;A663,$H$5:$H$1204,"&lt;&gt;Falta",$H$5:$H$1204,"&lt;&gt;Cancelado",$H$5:$H$1204,"&lt;&gt;Remarcado")&gt;0,"Sim","Não"))</f>
        <v/>
      </c>
      <c r="S663" s="32">
        <f>IF(R663&lt;&gt;"Não","",IF(Q663+Config!$B$9&lt;=Config!$B$8,Config!$B$8-Q663,""))</f>
        <v/>
      </c>
      <c r="T663" s="26">
        <f>IF(S663="","","Sim")</f>
        <v/>
      </c>
      <c r="U663" s="41">
        <f>IF(T663="Sim",S663+ROW()/100000,0)</f>
        <v>0</v>
      </c>
      <c r="V663" s="41">
        <f>IF(AND(H663="Falta",L663=Config!$B$7,M663=Config!$B$5,COUNTIFS($E$5:E663,E663,$H$5:H663,"Falta",$L$5:L663,Config!$B$7,$M$5:M663,Config!$B$5)=1),COUNTIFS($E$5:$E$1204,E663,$H$5:$H$1204,"Falta",$L$5:$L$1204,Config!$B$7,$M$5:$M$1204,Config!$B$5)*1000-ROW()/100000,0)</f>
        <v>999.99337</v>
      </c>
    </row>
    <row r="664">
      <c r="A664" s="39" t="n">
        <v>46269</v>
      </c>
      <c r="B664" s="40" t="n">
        <v>0.4444444444444444</v>
      </c>
      <c r="C664" s="35" t="inlineStr">
        <is>
          <t>Dr. Paulo Andrade</t>
        </is>
      </c>
      <c r="D664" s="35" t="inlineStr">
        <is>
          <t>Sala 2</t>
        </is>
      </c>
      <c r="E664" s="34" t="inlineStr">
        <is>
          <t>Fernanda Freitas</t>
        </is>
      </c>
      <c r="F664" s="35" t="inlineStr">
        <is>
          <t>Particular</t>
        </is>
      </c>
      <c r="G664" s="35" t="inlineStr">
        <is>
          <t>Teste ergométrico</t>
        </is>
      </c>
      <c r="H664" s="35" t="inlineStr">
        <is>
          <t>Realizado</t>
        </is>
      </c>
      <c r="I664" s="35" t="inlineStr">
        <is>
          <t>A prazo</t>
        </is>
      </c>
      <c r="J664" s="35" t="n"/>
      <c r="K664" s="34" t="n"/>
      <c r="L664" s="26">
        <f>IF(A664="","",MONTH(A664))</f>
        <v>9</v>
      </c>
      <c r="M664" s="26">
        <f>IF(A664="","",YEAR(A664))</f>
        <v>2026</v>
      </c>
      <c r="N664" s="26" t="str">
        <f>IF(A664="","",CHOOSE(WEEKDAY(A664,2),"Segunda","Terça","Quarta","Quinta","Sexta","Sábado","Domingo"))</f>
        <v>Sexta</v>
      </c>
      <c r="O664" s="26" t="str">
        <f>IF(B664="","",IF(B664&lt;TIME(12,0,0),"Manhã",IF(B664&lt;TIME(18,0,0),"Tarde","Noite")))</f>
        <v>Manhã</v>
      </c>
      <c r="P664" s="32">
        <f>IF(G664="","",IFERROR(INDEX(Config!$I$5:$I$16,MATCH(G664,Config!$H$5:$H$16,0)),0))</f>
        <v>0</v>
      </c>
      <c r="Q664" s="30">
        <f>IF(OR(H664&lt;&gt;"Realizado",P664="",P664=0),"",A664+P664)</f>
        <v/>
      </c>
      <c r="R664" s="26">
        <f>IF(Q664="","",IF(COUNTIFS($E$5:$E$1204,E664,$A$5:$A$1204,"&gt;"&amp;A664,$H$5:$H$1204,"&lt;&gt;Falta",$H$5:$H$1204,"&lt;&gt;Cancelado",$H$5:$H$1204,"&lt;&gt;Remarcado")&gt;0,"Sim","Não"))</f>
        <v/>
      </c>
      <c r="S664" s="32">
        <f>IF(R664&lt;&gt;"Não","",IF(Q664+Config!$B$9&lt;=Config!$B$8,Config!$B$8-Q664,""))</f>
        <v/>
      </c>
      <c r="T664" s="26">
        <f>IF(S664="","","Sim")</f>
        <v/>
      </c>
      <c r="U664" s="41">
        <f>IF(T664="Sim",S664+ROW()/100000,0)</f>
        <v>0</v>
      </c>
      <c r="V664" s="41">
        <f>IF(AND(H664="Falta",L664=Config!$B$7,M664=Config!$B$5,COUNTIFS($E$5:E664,E664,$H$5:H664,"Falta",$L$5:L664,Config!$B$7,$M$5:M664,Config!$B$5)=1),COUNTIFS($E$5:$E$1204,E664,$H$5:$H$1204,"Falta",$L$5:$L$1204,Config!$B$7,$M$5:$M$1204,Config!$B$5)*1000-ROW()/100000,0)</f>
        <v>0</v>
      </c>
    </row>
    <row r="665">
      <c r="A665" s="39" t="n">
        <v>46269</v>
      </c>
      <c r="B665" s="40" t="n">
        <v>0.4722222222222222</v>
      </c>
      <c r="C665" s="35" t="inlineStr">
        <is>
          <t>Dr. Paulo Andrade</t>
        </is>
      </c>
      <c r="D665" s="35" t="inlineStr">
        <is>
          <t>Sala 2</t>
        </is>
      </c>
      <c r="E665" s="34" t="inlineStr">
        <is>
          <t>Rafael Dias</t>
        </is>
      </c>
      <c r="F665" s="35" t="inlineStr">
        <is>
          <t>Particular</t>
        </is>
      </c>
      <c r="G665" s="35" t="inlineStr">
        <is>
          <t>MAPA</t>
        </is>
      </c>
      <c r="H665" s="35" t="inlineStr">
        <is>
          <t>Realizado</t>
        </is>
      </c>
      <c r="I665" s="35" t="inlineStr">
        <is>
          <t>Dinheiro</t>
        </is>
      </c>
      <c r="J665" s="35" t="n"/>
      <c r="K665" s="34" t="n"/>
      <c r="L665" s="26">
        <f>IF(A665="","",MONTH(A665))</f>
        <v>9</v>
      </c>
      <c r="M665" s="26">
        <f>IF(A665="","",YEAR(A665))</f>
        <v>2026</v>
      </c>
      <c r="N665" s="26" t="str">
        <f>IF(A665="","",CHOOSE(WEEKDAY(A665,2),"Segunda","Terça","Quarta","Quinta","Sexta","Sábado","Domingo"))</f>
        <v>Sexta</v>
      </c>
      <c r="O665" s="26" t="str">
        <f>IF(B665="","",IF(B665&lt;TIME(12,0,0),"Manhã",IF(B665&lt;TIME(18,0,0),"Tarde","Noite")))</f>
        <v>Manhã</v>
      </c>
      <c r="P665" s="32">
        <f>IF(G665="","",IFERROR(INDEX(Config!$I$5:$I$16,MATCH(G665,Config!$H$5:$H$16,0)),0))</f>
        <v>0</v>
      </c>
      <c r="Q665" s="30">
        <f>IF(OR(H665&lt;&gt;"Realizado",P665="",P665=0),"",A665+P665)</f>
        <v/>
      </c>
      <c r="R665" s="26">
        <f>IF(Q665="","",IF(COUNTIFS($E$5:$E$1204,E665,$A$5:$A$1204,"&gt;"&amp;A665,$H$5:$H$1204,"&lt;&gt;Falta",$H$5:$H$1204,"&lt;&gt;Cancelado",$H$5:$H$1204,"&lt;&gt;Remarcado")&gt;0,"Sim","Não"))</f>
        <v/>
      </c>
      <c r="S665" s="32">
        <f>IF(R665&lt;&gt;"Não","",IF(Q665+Config!$B$9&lt;=Config!$B$8,Config!$B$8-Q665,""))</f>
        <v/>
      </c>
      <c r="T665" s="26">
        <f>IF(S665="","","Sim")</f>
        <v/>
      </c>
      <c r="U665" s="41">
        <f>IF(T665="Sim",S665+ROW()/100000,0)</f>
        <v>0</v>
      </c>
      <c r="V665" s="41">
        <f>IF(AND(H665="Falta",L665=Config!$B$7,M665=Config!$B$5,COUNTIFS($E$5:E665,E665,$H$5:H665,"Falta",$L$5:L665,Config!$B$7,$M$5:M665,Config!$B$5)=1),COUNTIFS($E$5:$E$1204,E665,$H$5:$H$1204,"Falta",$L$5:$L$1204,Config!$B$7,$M$5:$M$1204,Config!$B$5)*1000-ROW()/100000,0)</f>
        <v>0</v>
      </c>
    </row>
    <row r="666">
      <c r="A666" s="39" t="n">
        <v>46269</v>
      </c>
      <c r="B666" s="40" t="n">
        <v>0.4861111111111111</v>
      </c>
      <c r="C666" s="35" t="inlineStr">
        <is>
          <t>Dr. Paulo Andrade</t>
        </is>
      </c>
      <c r="D666" s="35" t="inlineStr">
        <is>
          <t>Sala 2</t>
        </is>
      </c>
      <c r="E666" s="34" t="inlineStr">
        <is>
          <t>Camila Martins</t>
        </is>
      </c>
      <c r="F666" s="35" t="inlineStr">
        <is>
          <t>Vida Care</t>
        </is>
      </c>
      <c r="G666" s="35" t="inlineStr">
        <is>
          <t>Consulta</t>
        </is>
      </c>
      <c r="H666" s="35" t="inlineStr">
        <is>
          <t>Realizado</t>
        </is>
      </c>
      <c r="I666" s="35" t="inlineStr">
        <is>
          <t>Convênio</t>
        </is>
      </c>
      <c r="J666" s="35" t="n"/>
      <c r="K666" s="34" t="n"/>
      <c r="L666" s="26">
        <f>IF(A666="","",MONTH(A666))</f>
        <v>9</v>
      </c>
      <c r="M666" s="26">
        <f>IF(A666="","",YEAR(A666))</f>
        <v>2026</v>
      </c>
      <c r="N666" s="26" t="str">
        <f>IF(A666="","",CHOOSE(WEEKDAY(A666,2),"Segunda","Terça","Quarta","Quinta","Sexta","Sábado","Domingo"))</f>
        <v>Sexta</v>
      </c>
      <c r="O666" s="26" t="str">
        <f>IF(B666="","",IF(B666&lt;TIME(12,0,0),"Manhã",IF(B666&lt;TIME(18,0,0),"Tarde","Noite")))</f>
        <v>Manhã</v>
      </c>
      <c r="P666" s="32">
        <f>IF(G666="","",IFERROR(INDEX(Config!$I$5:$I$16,MATCH(G666,Config!$H$5:$H$16,0)),0))</f>
        <v>30</v>
      </c>
      <c r="Q666" s="30">
        <f>IF(OR(H666&lt;&gt;"Realizado",P666="",P666=0),"",A666+P666)</f>
        <v>46299.0</v>
      </c>
      <c r="R666" s="26" t="str">
        <f>IF(Q666="","",IF(COUNTIFS($E$5:$E$1204,E666,$A$5:$A$1204,"&gt;"&amp;A666,$H$5:$H$1204,"&lt;&gt;Falta",$H$5:$H$1204,"&lt;&gt;Cancelado",$H$5:$H$1204,"&lt;&gt;Remarcado")&gt;0,"Sim","Não"))</f>
        <v>Sim</v>
      </c>
      <c r="S666" s="32">
        <f>IF(R666&lt;&gt;"Não","",IF(Q666+Config!$B$9&lt;=Config!$B$8,Config!$B$8-Q666,""))</f>
        <v/>
      </c>
      <c r="T666" s="26">
        <f>IF(S666="","","Sim")</f>
        <v/>
      </c>
      <c r="U666" s="41">
        <f>IF(T666="Sim",S666+ROW()/100000,0)</f>
        <v>0</v>
      </c>
      <c r="V666" s="41">
        <f>IF(AND(H666="Falta",L666=Config!$B$7,M666=Config!$B$5,COUNTIFS($E$5:E666,E666,$H$5:H666,"Falta",$L$5:L666,Config!$B$7,$M$5:M666,Config!$B$5)=1),COUNTIFS($E$5:$E$1204,E666,$H$5:$H$1204,"Falta",$L$5:$L$1204,Config!$B$7,$M$5:$M$1204,Config!$B$5)*1000-ROW()/100000,0)</f>
        <v>0</v>
      </c>
    </row>
    <row r="667">
      <c r="A667" s="39" t="n">
        <v>46273</v>
      </c>
      <c r="B667" s="40" t="n">
        <v>0.3333333333333333</v>
      </c>
      <c r="C667" s="35" t="inlineStr">
        <is>
          <t>Dra. Carolina Mendes</t>
        </is>
      </c>
      <c r="D667" s="35" t="inlineStr">
        <is>
          <t>Sala 1</t>
        </is>
      </c>
      <c r="E667" s="34" t="inlineStr">
        <is>
          <t>Gustavo Barbosa</t>
        </is>
      </c>
      <c r="F667" s="35" t="inlineStr">
        <is>
          <t>Saúde Total</t>
        </is>
      </c>
      <c r="G667" s="35" t="inlineStr">
        <is>
          <t>Consulta</t>
        </is>
      </c>
      <c r="H667" s="35" t="inlineStr">
        <is>
          <t>Realizado</t>
        </is>
      </c>
      <c r="I667" s="35" t="inlineStr">
        <is>
          <t>Convênio</t>
        </is>
      </c>
      <c r="J667" s="35" t="n"/>
      <c r="K667" s="34" t="n"/>
      <c r="L667" s="26">
        <f>IF(A667="","",MONTH(A667))</f>
        <v>9</v>
      </c>
      <c r="M667" s="26">
        <f>IF(A667="","",YEAR(A667))</f>
        <v>2026</v>
      </c>
      <c r="N667" s="26" t="str">
        <f>IF(A667="","",CHOOSE(WEEKDAY(A667,2),"Segunda","Terça","Quarta","Quinta","Sexta","Sábado","Domingo"))</f>
        <v>Terça</v>
      </c>
      <c r="O667" s="26" t="str">
        <f>IF(B667="","",IF(B667&lt;TIME(12,0,0),"Manhã",IF(B667&lt;TIME(18,0,0),"Tarde","Noite")))</f>
        <v>Manhã</v>
      </c>
      <c r="P667" s="32">
        <f>IF(G667="","",IFERROR(INDEX(Config!$I$5:$I$16,MATCH(G667,Config!$H$5:$H$16,0)),0))</f>
        <v>30</v>
      </c>
      <c r="Q667" s="30">
        <f>IF(OR(H667&lt;&gt;"Realizado",P667="",P667=0),"",A667+P667)</f>
        <v>46303.0</v>
      </c>
      <c r="R667" s="26" t="str">
        <f>IF(Q667="","",IF(COUNTIFS($E$5:$E$1204,E667,$A$5:$A$1204,"&gt;"&amp;A667,$H$5:$H$1204,"&lt;&gt;Falta",$H$5:$H$1204,"&lt;&gt;Cancelado",$H$5:$H$1204,"&lt;&gt;Remarcado")&gt;0,"Sim","Não"))</f>
        <v>Sim</v>
      </c>
      <c r="S667" s="32">
        <f>IF(R667&lt;&gt;"Não","",IF(Q667+Config!$B$9&lt;=Config!$B$8,Config!$B$8-Q667,""))</f>
        <v/>
      </c>
      <c r="T667" s="26">
        <f>IF(S667="","","Sim")</f>
        <v/>
      </c>
      <c r="U667" s="41">
        <f>IF(T667="Sim",S667+ROW()/100000,0)</f>
        <v>0</v>
      </c>
      <c r="V667" s="41">
        <f>IF(AND(H667="Falta",L667=Config!$B$7,M667=Config!$B$5,COUNTIFS($E$5:E667,E667,$H$5:H667,"Falta",$L$5:L667,Config!$B$7,$M$5:M667,Config!$B$5)=1),COUNTIFS($E$5:$E$1204,E667,$H$5:$H$1204,"Falta",$L$5:$L$1204,Config!$B$7,$M$5:$M$1204,Config!$B$5)*1000-ROW()/100000,0)</f>
        <v>0</v>
      </c>
    </row>
    <row r="668">
      <c r="A668" s="39" t="n">
        <v>46273</v>
      </c>
      <c r="B668" s="40" t="n">
        <v>0.3541666666666667</v>
      </c>
      <c r="C668" s="35" t="inlineStr">
        <is>
          <t>Dra. Carolina Mendes</t>
        </is>
      </c>
      <c r="D668" s="35" t="inlineStr">
        <is>
          <t>Sala 1</t>
        </is>
      </c>
      <c r="E668" s="34" t="inlineStr">
        <is>
          <t>Wagner Lima</t>
        </is>
      </c>
      <c r="F668" s="35" t="inlineStr">
        <is>
          <t>Particular</t>
        </is>
      </c>
      <c r="G668" s="35" t="inlineStr">
        <is>
          <t>Retorno</t>
        </is>
      </c>
      <c r="H668" s="35" t="inlineStr">
        <is>
          <t>Realizado</t>
        </is>
      </c>
      <c r="I668" s="35" t="inlineStr">
        <is>
          <t>Sem cobrança</t>
        </is>
      </c>
      <c r="J668" s="35" t="n"/>
      <c r="K668" s="34" t="n"/>
      <c r="L668" s="26">
        <f>IF(A668="","",MONTH(A668))</f>
        <v>9</v>
      </c>
      <c r="M668" s="26">
        <f>IF(A668="","",YEAR(A668))</f>
        <v>2026</v>
      </c>
      <c r="N668" s="26" t="str">
        <f>IF(A668="","",CHOOSE(WEEKDAY(A668,2),"Segunda","Terça","Quarta","Quinta","Sexta","Sábado","Domingo"))</f>
        <v>Terça</v>
      </c>
      <c r="O668" s="26" t="str">
        <f>IF(B668="","",IF(B668&lt;TIME(12,0,0),"Manhã",IF(B668&lt;TIME(18,0,0),"Tarde","Noite")))</f>
        <v>Manhã</v>
      </c>
      <c r="P668" s="32">
        <f>IF(G668="","",IFERROR(INDEX(Config!$I$5:$I$16,MATCH(G668,Config!$H$5:$H$16,0)),0))</f>
        <v>0</v>
      </c>
      <c r="Q668" s="30">
        <f>IF(OR(H668&lt;&gt;"Realizado",P668="",P668=0),"",A668+P668)</f>
        <v/>
      </c>
      <c r="R668" s="26">
        <f>IF(Q668="","",IF(COUNTIFS($E$5:$E$1204,E668,$A$5:$A$1204,"&gt;"&amp;A668,$H$5:$H$1204,"&lt;&gt;Falta",$H$5:$H$1204,"&lt;&gt;Cancelado",$H$5:$H$1204,"&lt;&gt;Remarcado")&gt;0,"Sim","Não"))</f>
        <v/>
      </c>
      <c r="S668" s="32">
        <f>IF(R668&lt;&gt;"Não","",IF(Q668+Config!$B$9&lt;=Config!$B$8,Config!$B$8-Q668,""))</f>
        <v/>
      </c>
      <c r="T668" s="26">
        <f>IF(S668="","","Sim")</f>
        <v/>
      </c>
      <c r="U668" s="41">
        <f>IF(T668="Sim",S668+ROW()/100000,0)</f>
        <v>0</v>
      </c>
      <c r="V668" s="41">
        <f>IF(AND(H668="Falta",L668=Config!$B$7,M668=Config!$B$5,COUNTIFS($E$5:E668,E668,$H$5:H668,"Falta",$L$5:L668,Config!$B$7,$M$5:M668,Config!$B$5)=1),COUNTIFS($E$5:$E$1204,E668,$H$5:$H$1204,"Falta",$L$5:$L$1204,Config!$B$7,$M$5:$M$1204,Config!$B$5)*1000-ROW()/100000,0)</f>
        <v>0</v>
      </c>
    </row>
    <row r="669">
      <c r="A669" s="39" t="n">
        <v>46273</v>
      </c>
      <c r="B669" s="40" t="n">
        <v>0.3680555555555556</v>
      </c>
      <c r="C669" s="35" t="inlineStr">
        <is>
          <t>Dra. Carolina Mendes</t>
        </is>
      </c>
      <c r="D669" s="35" t="inlineStr">
        <is>
          <t>Sala 1</t>
        </is>
      </c>
      <c r="E669" s="34" t="inlineStr">
        <is>
          <t>Otávio Cardoso</t>
        </is>
      </c>
      <c r="F669" s="35" t="inlineStr">
        <is>
          <t>Particular</t>
        </is>
      </c>
      <c r="G669" s="35" t="inlineStr">
        <is>
          <t>Consulta</t>
        </is>
      </c>
      <c r="H669" s="35" t="inlineStr">
        <is>
          <t>Realizado</t>
        </is>
      </c>
      <c r="I669" s="35" t="inlineStr">
        <is>
          <t>Cartão de crédito</t>
        </is>
      </c>
      <c r="J669" s="35" t="n">
        <v>2</v>
      </c>
      <c r="K669" s="34" t="n"/>
      <c r="L669" s="26">
        <f>IF(A669="","",MONTH(A669))</f>
        <v>9</v>
      </c>
      <c r="M669" s="26">
        <f>IF(A669="","",YEAR(A669))</f>
        <v>2026</v>
      </c>
      <c r="N669" s="26" t="str">
        <f>IF(A669="","",CHOOSE(WEEKDAY(A669,2),"Segunda","Terça","Quarta","Quinta","Sexta","Sábado","Domingo"))</f>
        <v>Terça</v>
      </c>
      <c r="O669" s="26" t="str">
        <f>IF(B669="","",IF(B669&lt;TIME(12,0,0),"Manhã",IF(B669&lt;TIME(18,0,0),"Tarde","Noite")))</f>
        <v>Manhã</v>
      </c>
      <c r="P669" s="32">
        <f>IF(G669="","",IFERROR(INDEX(Config!$I$5:$I$16,MATCH(G669,Config!$H$5:$H$16,0)),0))</f>
        <v>30</v>
      </c>
      <c r="Q669" s="30">
        <f>IF(OR(H669&lt;&gt;"Realizado",P669="",P669=0),"",A669+P669)</f>
        <v>46303.0</v>
      </c>
      <c r="R669" s="26" t="str">
        <f>IF(Q669="","",IF(COUNTIFS($E$5:$E$1204,E669,$A$5:$A$1204,"&gt;"&amp;A669,$H$5:$H$1204,"&lt;&gt;Falta",$H$5:$H$1204,"&lt;&gt;Cancelado",$H$5:$H$1204,"&lt;&gt;Remarcado")&gt;0,"Sim","Não"))</f>
        <v>Sim</v>
      </c>
      <c r="S669" s="32">
        <f>IF(R669&lt;&gt;"Não","",IF(Q669+Config!$B$9&lt;=Config!$B$8,Config!$B$8-Q669,""))</f>
        <v/>
      </c>
      <c r="T669" s="26">
        <f>IF(S669="","","Sim")</f>
        <v/>
      </c>
      <c r="U669" s="41">
        <f>IF(T669="Sim",S669+ROW()/100000,0)</f>
        <v>0</v>
      </c>
      <c r="V669" s="41">
        <f>IF(AND(H669="Falta",L669=Config!$B$7,M669=Config!$B$5,COUNTIFS($E$5:E669,E669,$H$5:H669,"Falta",$L$5:L669,Config!$B$7,$M$5:M669,Config!$B$5)=1),COUNTIFS($E$5:$E$1204,E669,$H$5:$H$1204,"Falta",$L$5:$L$1204,Config!$B$7,$M$5:$M$1204,Config!$B$5)*1000-ROW()/100000,0)</f>
        <v>0</v>
      </c>
    </row>
    <row r="670">
      <c r="A670" s="39" t="n">
        <v>46273</v>
      </c>
      <c r="B670" s="40" t="n">
        <v>0.3888888888888889</v>
      </c>
      <c r="C670" s="35" t="inlineStr">
        <is>
          <t>Dra. Carolina Mendes</t>
        </is>
      </c>
      <c r="D670" s="35" t="inlineStr">
        <is>
          <t>Sala 1</t>
        </is>
      </c>
      <c r="E670" s="34" t="inlineStr">
        <is>
          <t>Priscila Castro</t>
        </is>
      </c>
      <c r="F670" s="35" t="inlineStr">
        <is>
          <t>Saúde Total</t>
        </is>
      </c>
      <c r="G670" s="35" t="inlineStr">
        <is>
          <t>Retorno</t>
        </is>
      </c>
      <c r="H670" s="35" t="inlineStr">
        <is>
          <t>Realizado</t>
        </is>
      </c>
      <c r="I670" s="35" t="inlineStr">
        <is>
          <t>Sem cobrança</t>
        </is>
      </c>
      <c r="J670" s="35" t="n"/>
      <c r="K670" s="34" t="n"/>
      <c r="L670" s="26">
        <f>IF(A670="","",MONTH(A670))</f>
        <v>9</v>
      </c>
      <c r="M670" s="26">
        <f>IF(A670="","",YEAR(A670))</f>
        <v>2026</v>
      </c>
      <c r="N670" s="26" t="str">
        <f>IF(A670="","",CHOOSE(WEEKDAY(A670,2),"Segunda","Terça","Quarta","Quinta","Sexta","Sábado","Domingo"))</f>
        <v>Terça</v>
      </c>
      <c r="O670" s="26" t="str">
        <f>IF(B670="","",IF(B670&lt;TIME(12,0,0),"Manhã",IF(B670&lt;TIME(18,0,0),"Tarde","Noite")))</f>
        <v>Manhã</v>
      </c>
      <c r="P670" s="32">
        <f>IF(G670="","",IFERROR(INDEX(Config!$I$5:$I$16,MATCH(G670,Config!$H$5:$H$16,0)),0))</f>
        <v>0</v>
      </c>
      <c r="Q670" s="30">
        <f>IF(OR(H670&lt;&gt;"Realizado",P670="",P670=0),"",A670+P670)</f>
        <v/>
      </c>
      <c r="R670" s="26">
        <f>IF(Q670="","",IF(COUNTIFS($E$5:$E$1204,E670,$A$5:$A$1204,"&gt;"&amp;A670,$H$5:$H$1204,"&lt;&gt;Falta",$H$5:$H$1204,"&lt;&gt;Cancelado",$H$5:$H$1204,"&lt;&gt;Remarcado")&gt;0,"Sim","Não"))</f>
        <v/>
      </c>
      <c r="S670" s="32">
        <f>IF(R670&lt;&gt;"Não","",IF(Q670+Config!$B$9&lt;=Config!$B$8,Config!$B$8-Q670,""))</f>
        <v/>
      </c>
      <c r="T670" s="26">
        <f>IF(S670="","","Sim")</f>
        <v/>
      </c>
      <c r="U670" s="41">
        <f>IF(T670="Sim",S670+ROW()/100000,0)</f>
        <v>0</v>
      </c>
      <c r="V670" s="41">
        <f>IF(AND(H670="Falta",L670=Config!$B$7,M670=Config!$B$5,COUNTIFS($E$5:E670,E670,$H$5:H670,"Falta",$L$5:L670,Config!$B$7,$M$5:M670,Config!$B$5)=1),COUNTIFS($E$5:$E$1204,E670,$H$5:$H$1204,"Falta",$L$5:$L$1204,Config!$B$7,$M$5:$M$1204,Config!$B$5)*1000-ROW()/100000,0)</f>
        <v>0</v>
      </c>
    </row>
    <row r="671">
      <c r="A671" s="39" t="n">
        <v>46273</v>
      </c>
      <c r="B671" s="40" t="n">
        <v>0.4027777777777778</v>
      </c>
      <c r="C671" s="35" t="inlineStr">
        <is>
          <t>Dra. Carolina Mendes</t>
        </is>
      </c>
      <c r="D671" s="35" t="inlineStr">
        <is>
          <t>Sala 1</t>
        </is>
      </c>
      <c r="E671" s="34" t="inlineStr">
        <is>
          <t>Daniel Melo</t>
        </is>
      </c>
      <c r="F671" s="35" t="inlineStr">
        <is>
          <t>Saúde Total</t>
        </is>
      </c>
      <c r="G671" s="35" t="inlineStr">
        <is>
          <t>Retorno</t>
        </is>
      </c>
      <c r="H671" s="35" t="inlineStr">
        <is>
          <t>Falta</t>
        </is>
      </c>
      <c r="I671" s="35" t="n"/>
      <c r="J671" s="35" t="n"/>
      <c r="K671" s="34" t="n"/>
      <c r="L671" s="26">
        <f>IF(A671="","",MONTH(A671))</f>
        <v>9</v>
      </c>
      <c r="M671" s="26">
        <f>IF(A671="","",YEAR(A671))</f>
        <v>2026</v>
      </c>
      <c r="N671" s="26" t="str">
        <f>IF(A671="","",CHOOSE(WEEKDAY(A671,2),"Segunda","Terça","Quarta","Quinta","Sexta","Sábado","Domingo"))</f>
        <v>Terça</v>
      </c>
      <c r="O671" s="26" t="str">
        <f>IF(B671="","",IF(B671&lt;TIME(12,0,0),"Manhã",IF(B671&lt;TIME(18,0,0),"Tarde","Noite")))</f>
        <v>Manhã</v>
      </c>
      <c r="P671" s="32">
        <f>IF(G671="","",IFERROR(INDEX(Config!$I$5:$I$16,MATCH(G671,Config!$H$5:$H$16,0)),0))</f>
        <v>0</v>
      </c>
      <c r="Q671" s="30">
        <f>IF(OR(H671&lt;&gt;"Realizado",P671="",P671=0),"",A671+P671)</f>
        <v/>
      </c>
      <c r="R671" s="26">
        <f>IF(Q671="","",IF(COUNTIFS($E$5:$E$1204,E671,$A$5:$A$1204,"&gt;"&amp;A671,$H$5:$H$1204,"&lt;&gt;Falta",$H$5:$H$1204,"&lt;&gt;Cancelado",$H$5:$H$1204,"&lt;&gt;Remarcado")&gt;0,"Sim","Não"))</f>
        <v/>
      </c>
      <c r="S671" s="32">
        <f>IF(R671&lt;&gt;"Não","",IF(Q671+Config!$B$9&lt;=Config!$B$8,Config!$B$8-Q671,""))</f>
        <v/>
      </c>
      <c r="T671" s="26">
        <f>IF(S671="","","Sim")</f>
        <v/>
      </c>
      <c r="U671" s="41">
        <f>IF(T671="Sim",S671+ROW()/100000,0)</f>
        <v>0</v>
      </c>
      <c r="V671" s="41">
        <f>IF(AND(H671="Falta",L671=Config!$B$7,M671=Config!$B$5,COUNTIFS($E$5:E671,E671,$H$5:H671,"Falta",$L$5:L671,Config!$B$7,$M$5:M671,Config!$B$5)=1),COUNTIFS($E$5:$E$1204,E671,$H$5:$H$1204,"Falta",$L$5:$L$1204,Config!$B$7,$M$5:$M$1204,Config!$B$5)*1000-ROW()/100000,0)</f>
        <v>999.99329</v>
      </c>
    </row>
    <row r="672">
      <c r="A672" s="39" t="n">
        <v>46273</v>
      </c>
      <c r="B672" s="40" t="n">
        <v>0.4166666666666667</v>
      </c>
      <c r="C672" s="35" t="inlineStr">
        <is>
          <t>Dra. Carolina Mendes</t>
        </is>
      </c>
      <c r="D672" s="35" t="inlineStr">
        <is>
          <t>Sala 1</t>
        </is>
      </c>
      <c r="E672" s="34" t="inlineStr">
        <is>
          <t>Isabela Nascimento</t>
        </is>
      </c>
      <c r="F672" s="35" t="inlineStr">
        <is>
          <t>Vida Care</t>
        </is>
      </c>
      <c r="G672" s="35" t="inlineStr">
        <is>
          <t>Consulta</t>
        </is>
      </c>
      <c r="H672" s="35" t="inlineStr">
        <is>
          <t>Cancelado</t>
        </is>
      </c>
      <c r="I672" s="35" t="n"/>
      <c r="J672" s="35" t="n"/>
      <c r="K672" s="34" t="n"/>
      <c r="L672" s="26">
        <f>IF(A672="","",MONTH(A672))</f>
        <v>9</v>
      </c>
      <c r="M672" s="26">
        <f>IF(A672="","",YEAR(A672))</f>
        <v>2026</v>
      </c>
      <c r="N672" s="26" t="str">
        <f>IF(A672="","",CHOOSE(WEEKDAY(A672,2),"Segunda","Terça","Quarta","Quinta","Sexta","Sábado","Domingo"))</f>
        <v>Terça</v>
      </c>
      <c r="O672" s="26" t="str">
        <f>IF(B672="","",IF(B672&lt;TIME(12,0,0),"Manhã",IF(B672&lt;TIME(18,0,0),"Tarde","Noite")))</f>
        <v>Manhã</v>
      </c>
      <c r="P672" s="32">
        <f>IF(G672="","",IFERROR(INDEX(Config!$I$5:$I$16,MATCH(G672,Config!$H$5:$H$16,0)),0))</f>
        <v>30</v>
      </c>
      <c r="Q672" s="30">
        <f>IF(OR(H672&lt;&gt;"Realizado",P672="",P672=0),"",A672+P672)</f>
        <v/>
      </c>
      <c r="R672" s="26">
        <f>IF(Q672="","",IF(COUNTIFS($E$5:$E$1204,E672,$A$5:$A$1204,"&gt;"&amp;A672,$H$5:$H$1204,"&lt;&gt;Falta",$H$5:$H$1204,"&lt;&gt;Cancelado",$H$5:$H$1204,"&lt;&gt;Remarcado")&gt;0,"Sim","Não"))</f>
        <v/>
      </c>
      <c r="S672" s="32">
        <f>IF(R672&lt;&gt;"Não","",IF(Q672+Config!$B$9&lt;=Config!$B$8,Config!$B$8-Q672,""))</f>
        <v/>
      </c>
      <c r="T672" s="26">
        <f>IF(S672="","","Sim")</f>
        <v/>
      </c>
      <c r="U672" s="41">
        <f>IF(T672="Sim",S672+ROW()/100000,0)</f>
        <v>0</v>
      </c>
      <c r="V672" s="41">
        <f>IF(AND(H672="Falta",L672=Config!$B$7,M672=Config!$B$5,COUNTIFS($E$5:E672,E672,$H$5:H672,"Falta",$L$5:L672,Config!$B$7,$M$5:M672,Config!$B$5)=1),COUNTIFS($E$5:$E$1204,E672,$H$5:$H$1204,"Falta",$L$5:$L$1204,Config!$B$7,$M$5:$M$1204,Config!$B$5)*1000-ROW()/100000,0)</f>
        <v>0</v>
      </c>
    </row>
    <row r="673">
      <c r="A673" s="39" t="n">
        <v>46273</v>
      </c>
      <c r="B673" s="40" t="n">
        <v>0.4375</v>
      </c>
      <c r="C673" s="35" t="inlineStr">
        <is>
          <t>Dra. Carolina Mendes</t>
        </is>
      </c>
      <c r="D673" s="35" t="inlineStr">
        <is>
          <t>Sala 1</t>
        </is>
      </c>
      <c r="E673" s="34" t="inlineStr">
        <is>
          <t>Carlos Barros</t>
        </is>
      </c>
      <c r="F673" s="35" t="inlineStr">
        <is>
          <t>MediPlan</t>
        </is>
      </c>
      <c r="G673" s="35" t="inlineStr">
        <is>
          <t>Consulta</t>
        </is>
      </c>
      <c r="H673" s="35" t="inlineStr">
        <is>
          <t>Realizado</t>
        </is>
      </c>
      <c r="I673" s="35" t="inlineStr">
        <is>
          <t>Convênio</t>
        </is>
      </c>
      <c r="J673" s="35" t="n"/>
      <c r="K673" s="34" t="n"/>
      <c r="L673" s="26">
        <f>IF(A673="","",MONTH(A673))</f>
        <v>9</v>
      </c>
      <c r="M673" s="26">
        <f>IF(A673="","",YEAR(A673))</f>
        <v>2026</v>
      </c>
      <c r="N673" s="26" t="str">
        <f>IF(A673="","",CHOOSE(WEEKDAY(A673,2),"Segunda","Terça","Quarta","Quinta","Sexta","Sábado","Domingo"))</f>
        <v>Terça</v>
      </c>
      <c r="O673" s="26" t="str">
        <f>IF(B673="","",IF(B673&lt;TIME(12,0,0),"Manhã",IF(B673&lt;TIME(18,0,0),"Tarde","Noite")))</f>
        <v>Manhã</v>
      </c>
      <c r="P673" s="32">
        <f>IF(G673="","",IFERROR(INDEX(Config!$I$5:$I$16,MATCH(G673,Config!$H$5:$H$16,0)),0))</f>
        <v>30</v>
      </c>
      <c r="Q673" s="30">
        <f>IF(OR(H673&lt;&gt;"Realizado",P673="",P673=0),"",A673+P673)</f>
        <v>46303.0</v>
      </c>
      <c r="R673" s="26" t="str">
        <f>IF(Q673="","",IF(COUNTIFS($E$5:$E$1204,E673,$A$5:$A$1204,"&gt;"&amp;A673,$H$5:$H$1204,"&lt;&gt;Falta",$H$5:$H$1204,"&lt;&gt;Cancelado",$H$5:$H$1204,"&lt;&gt;Remarcado")&gt;0,"Sim","Não"))</f>
        <v>Sim</v>
      </c>
      <c r="S673" s="32">
        <f>IF(R673&lt;&gt;"Não","",IF(Q673+Config!$B$9&lt;=Config!$B$8,Config!$B$8-Q673,""))</f>
        <v/>
      </c>
      <c r="T673" s="26">
        <f>IF(S673="","","Sim")</f>
        <v/>
      </c>
      <c r="U673" s="41">
        <f>IF(T673="Sim",S673+ROW()/100000,0)</f>
        <v>0</v>
      </c>
      <c r="V673" s="41">
        <f>IF(AND(H673="Falta",L673=Config!$B$7,M673=Config!$B$5,COUNTIFS($E$5:E673,E673,$H$5:H673,"Falta",$L$5:L673,Config!$B$7,$M$5:M673,Config!$B$5)=1),COUNTIFS($E$5:$E$1204,E673,$H$5:$H$1204,"Falta",$L$5:$L$1204,Config!$B$7,$M$5:$M$1204,Config!$B$5)*1000-ROW()/100000,0)</f>
        <v>0</v>
      </c>
    </row>
    <row r="674">
      <c r="A674" s="39" t="n">
        <v>46273</v>
      </c>
      <c r="B674" s="40" t="n">
        <v>0.4583333333333333</v>
      </c>
      <c r="C674" s="35" t="inlineStr">
        <is>
          <t>Dra. Carolina Mendes</t>
        </is>
      </c>
      <c r="D674" s="35" t="inlineStr">
        <is>
          <t>Sala 1</t>
        </is>
      </c>
      <c r="E674" s="34" t="inlineStr">
        <is>
          <t>Otávio Nascimento</t>
        </is>
      </c>
      <c r="F674" s="35" t="inlineStr">
        <is>
          <t>Particular</t>
        </is>
      </c>
      <c r="G674" s="35" t="inlineStr">
        <is>
          <t>Consulta</t>
        </is>
      </c>
      <c r="H674" s="35" t="inlineStr">
        <is>
          <t>Realizado</t>
        </is>
      </c>
      <c r="I674" s="35" t="inlineStr">
        <is>
          <t>Cartão de crédito</t>
        </is>
      </c>
      <c r="J674" s="35" t="n">
        <v>2</v>
      </c>
      <c r="K674" s="34" t="n"/>
      <c r="L674" s="26">
        <f>IF(A674="","",MONTH(A674))</f>
        <v>9</v>
      </c>
      <c r="M674" s="26">
        <f>IF(A674="","",YEAR(A674))</f>
        <v>2026</v>
      </c>
      <c r="N674" s="26" t="str">
        <f>IF(A674="","",CHOOSE(WEEKDAY(A674,2),"Segunda","Terça","Quarta","Quinta","Sexta","Sábado","Domingo"))</f>
        <v>Terça</v>
      </c>
      <c r="O674" s="26" t="str">
        <f>IF(B674="","",IF(B674&lt;TIME(12,0,0),"Manhã",IF(B674&lt;TIME(18,0,0),"Tarde","Noite")))</f>
        <v>Manhã</v>
      </c>
      <c r="P674" s="32">
        <f>IF(G674="","",IFERROR(INDEX(Config!$I$5:$I$16,MATCH(G674,Config!$H$5:$H$16,0)),0))</f>
        <v>30</v>
      </c>
      <c r="Q674" s="30">
        <f>IF(OR(H674&lt;&gt;"Realizado",P674="",P674=0),"",A674+P674)</f>
        <v>46303.0</v>
      </c>
      <c r="R674" s="26" t="str">
        <f>IF(Q674="","",IF(COUNTIFS($E$5:$E$1204,E674,$A$5:$A$1204,"&gt;"&amp;A674,$H$5:$H$1204,"&lt;&gt;Falta",$H$5:$H$1204,"&lt;&gt;Cancelado",$H$5:$H$1204,"&lt;&gt;Remarcado")&gt;0,"Sim","Não"))</f>
        <v>Sim</v>
      </c>
      <c r="S674" s="32">
        <f>IF(R674&lt;&gt;"Não","",IF(Q674+Config!$B$9&lt;=Config!$B$8,Config!$B$8-Q674,""))</f>
        <v/>
      </c>
      <c r="T674" s="26">
        <f>IF(S674="","","Sim")</f>
        <v/>
      </c>
      <c r="U674" s="41">
        <f>IF(T674="Sim",S674+ROW()/100000,0)</f>
        <v>0</v>
      </c>
      <c r="V674" s="41">
        <f>IF(AND(H674="Falta",L674=Config!$B$7,M674=Config!$B$5,COUNTIFS($E$5:E674,E674,$H$5:H674,"Falta",$L$5:L674,Config!$B$7,$M$5:M674,Config!$B$5)=1),COUNTIFS($E$5:$E$1204,E674,$H$5:$H$1204,"Falta",$L$5:$L$1204,Config!$B$7,$M$5:$M$1204,Config!$B$5)*1000-ROW()/100000,0)</f>
        <v>0</v>
      </c>
    </row>
    <row r="675">
      <c r="A675" s="39" t="n">
        <v>46273</v>
      </c>
      <c r="B675" s="40" t="n">
        <v>0.4791666666666667</v>
      </c>
      <c r="C675" s="35" t="inlineStr">
        <is>
          <t>Dra. Carolina Mendes</t>
        </is>
      </c>
      <c r="D675" s="35" t="inlineStr">
        <is>
          <t>Sala 1</t>
        </is>
      </c>
      <c r="E675" s="34" t="inlineStr">
        <is>
          <t>Mariana Nascimento</t>
        </is>
      </c>
      <c r="F675" s="35" t="inlineStr">
        <is>
          <t>Particular</t>
        </is>
      </c>
      <c r="G675" s="35" t="inlineStr">
        <is>
          <t>Consulta</t>
        </is>
      </c>
      <c r="H675" s="35" t="inlineStr">
        <is>
          <t>Realizado</t>
        </is>
      </c>
      <c r="I675" s="35" t="inlineStr">
        <is>
          <t>Cartão de crédito</t>
        </is>
      </c>
      <c r="J675" s="35" t="n"/>
      <c r="K675" s="34" t="n"/>
      <c r="L675" s="26">
        <f>IF(A675="","",MONTH(A675))</f>
        <v>9</v>
      </c>
      <c r="M675" s="26">
        <f>IF(A675="","",YEAR(A675))</f>
        <v>2026</v>
      </c>
      <c r="N675" s="26" t="str">
        <f>IF(A675="","",CHOOSE(WEEKDAY(A675,2),"Segunda","Terça","Quarta","Quinta","Sexta","Sábado","Domingo"))</f>
        <v>Terça</v>
      </c>
      <c r="O675" s="26" t="str">
        <f>IF(B675="","",IF(B675&lt;TIME(12,0,0),"Manhã",IF(B675&lt;TIME(18,0,0),"Tarde","Noite")))</f>
        <v>Manhã</v>
      </c>
      <c r="P675" s="32">
        <f>IF(G675="","",IFERROR(INDEX(Config!$I$5:$I$16,MATCH(G675,Config!$H$5:$H$16,0)),0))</f>
        <v>30</v>
      </c>
      <c r="Q675" s="30">
        <f>IF(OR(H675&lt;&gt;"Realizado",P675="",P675=0),"",A675+P675)</f>
        <v>46303.0</v>
      </c>
      <c r="R675" s="26" t="str">
        <f>IF(Q675="","",IF(COUNTIFS($E$5:$E$1204,E675,$A$5:$A$1204,"&gt;"&amp;A675,$H$5:$H$1204,"&lt;&gt;Falta",$H$5:$H$1204,"&lt;&gt;Cancelado",$H$5:$H$1204,"&lt;&gt;Remarcado")&gt;0,"Sim","Não"))</f>
        <v>Sim</v>
      </c>
      <c r="S675" s="32">
        <f>IF(R675&lt;&gt;"Não","",IF(Q675+Config!$B$9&lt;=Config!$B$8,Config!$B$8-Q675,""))</f>
        <v/>
      </c>
      <c r="T675" s="26">
        <f>IF(S675="","","Sim")</f>
        <v/>
      </c>
      <c r="U675" s="41">
        <f>IF(T675="Sim",S675+ROW()/100000,0)</f>
        <v>0</v>
      </c>
      <c r="V675" s="41">
        <f>IF(AND(H675="Falta",L675=Config!$B$7,M675=Config!$B$5,COUNTIFS($E$5:E675,E675,$H$5:H675,"Falta",$L$5:L675,Config!$B$7,$M$5:M675,Config!$B$5)=1),COUNTIFS($E$5:$E$1204,E675,$H$5:$H$1204,"Falta",$L$5:$L$1204,Config!$B$7,$M$5:$M$1204,Config!$B$5)*1000-ROW()/100000,0)</f>
        <v>0</v>
      </c>
    </row>
    <row r="676">
      <c r="A676" s="39" t="n">
        <v>46273</v>
      </c>
      <c r="B676" s="40" t="n">
        <v>0.5833333333333334</v>
      </c>
      <c r="C676" s="35" t="inlineStr">
        <is>
          <t>Dra. Renata Sousa</t>
        </is>
      </c>
      <c r="D676" s="35" t="inlineStr">
        <is>
          <t>Sala 1</t>
        </is>
      </c>
      <c r="E676" s="34" t="inlineStr">
        <is>
          <t>Beatriz Gomes</t>
        </is>
      </c>
      <c r="F676" s="35" t="inlineStr">
        <is>
          <t>Particular</t>
        </is>
      </c>
      <c r="G676" s="35" t="inlineStr">
        <is>
          <t>Avaliação endócrina</t>
        </is>
      </c>
      <c r="H676" s="35" t="inlineStr">
        <is>
          <t>Realizado</t>
        </is>
      </c>
      <c r="I676" s="35" t="inlineStr">
        <is>
          <t>Cartão de crédito</t>
        </is>
      </c>
      <c r="J676" s="35" t="n"/>
      <c r="K676" s="34" t="n"/>
      <c r="L676" s="26">
        <f>IF(A676="","",MONTH(A676))</f>
        <v>9</v>
      </c>
      <c r="M676" s="26">
        <f>IF(A676="","",YEAR(A676))</f>
        <v>2026</v>
      </c>
      <c r="N676" s="26" t="str">
        <f>IF(A676="","",CHOOSE(WEEKDAY(A676,2),"Segunda","Terça","Quarta","Quinta","Sexta","Sábado","Domingo"))</f>
        <v>Terça</v>
      </c>
      <c r="O676" s="26" t="str">
        <f>IF(B676="","",IF(B676&lt;TIME(12,0,0),"Manhã",IF(B676&lt;TIME(18,0,0),"Tarde","Noite")))</f>
        <v>Tarde</v>
      </c>
      <c r="P676" s="32">
        <f>IF(G676="","",IFERROR(INDEX(Config!$I$5:$I$16,MATCH(G676,Config!$H$5:$H$16,0)),0))</f>
        <v>45</v>
      </c>
      <c r="Q676" s="30">
        <f>IF(OR(H676&lt;&gt;"Realizado",P676="",P676=0),"",A676+P676)</f>
        <v>46318.0</v>
      </c>
      <c r="R676" s="26" t="str">
        <f>IF(Q676="","",IF(COUNTIFS($E$5:$E$1204,E676,$A$5:$A$1204,"&gt;"&amp;A676,$H$5:$H$1204,"&lt;&gt;Falta",$H$5:$H$1204,"&lt;&gt;Cancelado",$H$5:$H$1204,"&lt;&gt;Remarcado")&gt;0,"Sim","Não"))</f>
        <v>Sim</v>
      </c>
      <c r="S676" s="32">
        <f>IF(R676&lt;&gt;"Não","",IF(Q676+Config!$B$9&lt;=Config!$B$8,Config!$B$8-Q676,""))</f>
        <v/>
      </c>
      <c r="T676" s="26">
        <f>IF(S676="","","Sim")</f>
        <v/>
      </c>
      <c r="U676" s="41">
        <f>IF(T676="Sim",S676+ROW()/100000,0)</f>
        <v>0</v>
      </c>
      <c r="V676" s="41">
        <f>IF(AND(H676="Falta",L676=Config!$B$7,M676=Config!$B$5,COUNTIFS($E$5:E676,E676,$H$5:H676,"Falta",$L$5:L676,Config!$B$7,$M$5:M676,Config!$B$5)=1),COUNTIFS($E$5:$E$1204,E676,$H$5:$H$1204,"Falta",$L$5:$L$1204,Config!$B$7,$M$5:$M$1204,Config!$B$5)*1000-ROW()/100000,0)</f>
        <v>0</v>
      </c>
    </row>
    <row r="677">
      <c r="A677" s="39" t="n">
        <v>46273</v>
      </c>
      <c r="B677" s="40" t="n">
        <v>0.5833333333333334</v>
      </c>
      <c r="C677" s="35" t="inlineStr">
        <is>
          <t>Dr. Paulo Andrade</t>
        </is>
      </c>
      <c r="D677" s="35" t="inlineStr">
        <is>
          <t>Sala 2</t>
        </is>
      </c>
      <c r="E677" s="34" t="inlineStr">
        <is>
          <t>Gisele Xavier</t>
        </is>
      </c>
      <c r="F677" s="35" t="inlineStr">
        <is>
          <t>Particular</t>
        </is>
      </c>
      <c r="G677" s="35" t="inlineStr">
        <is>
          <t>MAPA</t>
        </is>
      </c>
      <c r="H677" s="35" t="inlineStr">
        <is>
          <t>Realizado</t>
        </is>
      </c>
      <c r="I677" s="35" t="inlineStr">
        <is>
          <t>Pix</t>
        </is>
      </c>
      <c r="J677" s="35" t="n"/>
      <c r="K677" s="34" t="n"/>
      <c r="L677" s="26">
        <f>IF(A677="","",MONTH(A677))</f>
        <v>9</v>
      </c>
      <c r="M677" s="26">
        <f>IF(A677="","",YEAR(A677))</f>
        <v>2026</v>
      </c>
      <c r="N677" s="26" t="str">
        <f>IF(A677="","",CHOOSE(WEEKDAY(A677,2),"Segunda","Terça","Quarta","Quinta","Sexta","Sábado","Domingo"))</f>
        <v>Terça</v>
      </c>
      <c r="O677" s="26" t="str">
        <f>IF(B677="","",IF(B677&lt;TIME(12,0,0),"Manhã",IF(B677&lt;TIME(18,0,0),"Tarde","Noite")))</f>
        <v>Tarde</v>
      </c>
      <c r="P677" s="32">
        <f>IF(G677="","",IFERROR(INDEX(Config!$I$5:$I$16,MATCH(G677,Config!$H$5:$H$16,0)),0))</f>
        <v>0</v>
      </c>
      <c r="Q677" s="30">
        <f>IF(OR(H677&lt;&gt;"Realizado",P677="",P677=0),"",A677+P677)</f>
        <v/>
      </c>
      <c r="R677" s="26">
        <f>IF(Q677="","",IF(COUNTIFS($E$5:$E$1204,E677,$A$5:$A$1204,"&gt;"&amp;A677,$H$5:$H$1204,"&lt;&gt;Falta",$H$5:$H$1204,"&lt;&gt;Cancelado",$H$5:$H$1204,"&lt;&gt;Remarcado")&gt;0,"Sim","Não"))</f>
        <v/>
      </c>
      <c r="S677" s="32">
        <f>IF(R677&lt;&gt;"Não","",IF(Q677+Config!$B$9&lt;=Config!$B$8,Config!$B$8-Q677,""))</f>
        <v/>
      </c>
      <c r="T677" s="26">
        <f>IF(S677="","","Sim")</f>
        <v/>
      </c>
      <c r="U677" s="41">
        <f>IF(T677="Sim",S677+ROW()/100000,0)</f>
        <v>0</v>
      </c>
      <c r="V677" s="41">
        <f>IF(AND(H677="Falta",L677=Config!$B$7,M677=Config!$B$5,COUNTIFS($E$5:E677,E677,$H$5:H677,"Falta",$L$5:L677,Config!$B$7,$M$5:M677,Config!$B$5)=1),COUNTIFS($E$5:$E$1204,E677,$H$5:$H$1204,"Falta",$L$5:$L$1204,Config!$B$7,$M$5:$M$1204,Config!$B$5)*1000-ROW()/100000,0)</f>
        <v>0</v>
      </c>
    </row>
    <row r="678">
      <c r="A678" s="39" t="n">
        <v>46273</v>
      </c>
      <c r="B678" s="40" t="n">
        <v>0.5972222222222222</v>
      </c>
      <c r="C678" s="35" t="inlineStr">
        <is>
          <t>Dr. Paulo Andrade</t>
        </is>
      </c>
      <c r="D678" s="35" t="inlineStr">
        <is>
          <t>Sala 2</t>
        </is>
      </c>
      <c r="E678" s="34" t="inlineStr">
        <is>
          <t>Regina Duarte</t>
        </is>
      </c>
      <c r="F678" s="35" t="inlineStr">
        <is>
          <t>Particular</t>
        </is>
      </c>
      <c r="G678" s="35" t="inlineStr">
        <is>
          <t>ECG</t>
        </is>
      </c>
      <c r="H678" s="35" t="inlineStr">
        <is>
          <t>Cancelado</t>
        </is>
      </c>
      <c r="I678" s="35" t="n"/>
      <c r="J678" s="35" t="n"/>
      <c r="K678" s="34" t="n"/>
      <c r="L678" s="26">
        <f>IF(A678="","",MONTH(A678))</f>
        <v>9</v>
      </c>
      <c r="M678" s="26">
        <f>IF(A678="","",YEAR(A678))</f>
        <v>2026</v>
      </c>
      <c r="N678" s="26" t="str">
        <f>IF(A678="","",CHOOSE(WEEKDAY(A678,2),"Segunda","Terça","Quarta","Quinta","Sexta","Sábado","Domingo"))</f>
        <v>Terça</v>
      </c>
      <c r="O678" s="26" t="str">
        <f>IF(B678="","",IF(B678&lt;TIME(12,0,0),"Manhã",IF(B678&lt;TIME(18,0,0),"Tarde","Noite")))</f>
        <v>Tarde</v>
      </c>
      <c r="P678" s="32">
        <f>IF(G678="","",IFERROR(INDEX(Config!$I$5:$I$16,MATCH(G678,Config!$H$5:$H$16,0)),0))</f>
        <v>0</v>
      </c>
      <c r="Q678" s="30">
        <f>IF(OR(H678&lt;&gt;"Realizado",P678="",P678=0),"",A678+P678)</f>
        <v/>
      </c>
      <c r="R678" s="26">
        <f>IF(Q678="","",IF(COUNTIFS($E$5:$E$1204,E678,$A$5:$A$1204,"&gt;"&amp;A678,$H$5:$H$1204,"&lt;&gt;Falta",$H$5:$H$1204,"&lt;&gt;Cancelado",$H$5:$H$1204,"&lt;&gt;Remarcado")&gt;0,"Sim","Não"))</f>
        <v/>
      </c>
      <c r="S678" s="32">
        <f>IF(R678&lt;&gt;"Não","",IF(Q678+Config!$B$9&lt;=Config!$B$8,Config!$B$8-Q678,""))</f>
        <v/>
      </c>
      <c r="T678" s="26">
        <f>IF(S678="","","Sim")</f>
        <v/>
      </c>
      <c r="U678" s="41">
        <f>IF(T678="Sim",S678+ROW()/100000,0)</f>
        <v>0</v>
      </c>
      <c r="V678" s="41">
        <f>IF(AND(H678="Falta",L678=Config!$B$7,M678=Config!$B$5,COUNTIFS($E$5:E678,E678,$H$5:H678,"Falta",$L$5:L678,Config!$B$7,$M$5:M678,Config!$B$5)=1),COUNTIFS($E$5:$E$1204,E678,$H$5:$H$1204,"Falta",$L$5:$L$1204,Config!$B$7,$M$5:$M$1204,Config!$B$5)*1000-ROW()/100000,0)</f>
        <v>0</v>
      </c>
    </row>
    <row r="679">
      <c r="A679" s="39" t="n">
        <v>46273</v>
      </c>
      <c r="B679" s="40" t="n">
        <v>0.6111111111111112</v>
      </c>
      <c r="C679" s="35" t="inlineStr">
        <is>
          <t>Dra. Renata Sousa</t>
        </is>
      </c>
      <c r="D679" s="35" t="inlineStr">
        <is>
          <t>Sala 1</t>
        </is>
      </c>
      <c r="E679" s="34" t="inlineStr">
        <is>
          <t>Rafael Pereira</t>
        </is>
      </c>
      <c r="F679" s="35" t="inlineStr">
        <is>
          <t>Particular</t>
        </is>
      </c>
      <c r="G679" s="35" t="inlineStr">
        <is>
          <t>Retorno</t>
        </is>
      </c>
      <c r="H679" s="35" t="inlineStr">
        <is>
          <t>Falta</t>
        </is>
      </c>
      <c r="I679" s="35" t="n"/>
      <c r="J679" s="35" t="n"/>
      <c r="K679" s="34" t="n"/>
      <c r="L679" s="26">
        <f>IF(A679="","",MONTH(A679))</f>
        <v>9</v>
      </c>
      <c r="M679" s="26">
        <f>IF(A679="","",YEAR(A679))</f>
        <v>2026</v>
      </c>
      <c r="N679" s="26" t="str">
        <f>IF(A679="","",CHOOSE(WEEKDAY(A679,2),"Segunda","Terça","Quarta","Quinta","Sexta","Sábado","Domingo"))</f>
        <v>Terça</v>
      </c>
      <c r="O679" s="26" t="str">
        <f>IF(B679="","",IF(B679&lt;TIME(12,0,0),"Manhã",IF(B679&lt;TIME(18,0,0),"Tarde","Noite")))</f>
        <v>Tarde</v>
      </c>
      <c r="P679" s="32">
        <f>IF(G679="","",IFERROR(INDEX(Config!$I$5:$I$16,MATCH(G679,Config!$H$5:$H$16,0)),0))</f>
        <v>0</v>
      </c>
      <c r="Q679" s="30">
        <f>IF(OR(H679&lt;&gt;"Realizado",P679="",P679=0),"",A679+P679)</f>
        <v/>
      </c>
      <c r="R679" s="26">
        <f>IF(Q679="","",IF(COUNTIFS($E$5:$E$1204,E679,$A$5:$A$1204,"&gt;"&amp;A679,$H$5:$H$1204,"&lt;&gt;Falta",$H$5:$H$1204,"&lt;&gt;Cancelado",$H$5:$H$1204,"&lt;&gt;Remarcado")&gt;0,"Sim","Não"))</f>
        <v/>
      </c>
      <c r="S679" s="32">
        <f>IF(R679&lt;&gt;"Não","",IF(Q679+Config!$B$9&lt;=Config!$B$8,Config!$B$8-Q679,""))</f>
        <v/>
      </c>
      <c r="T679" s="26">
        <f>IF(S679="","","Sim")</f>
        <v/>
      </c>
      <c r="U679" s="41">
        <f>IF(T679="Sim",S679+ROW()/100000,0)</f>
        <v>0</v>
      </c>
      <c r="V679" s="41">
        <f>IF(AND(H679="Falta",L679=Config!$B$7,M679=Config!$B$5,COUNTIFS($E$5:E679,E679,$H$5:H679,"Falta",$L$5:L679,Config!$B$7,$M$5:M679,Config!$B$5)=1),COUNTIFS($E$5:$E$1204,E679,$H$5:$H$1204,"Falta",$L$5:$L$1204,Config!$B$7,$M$5:$M$1204,Config!$B$5)*1000-ROW()/100000,0)</f>
        <v>999.99321</v>
      </c>
    </row>
    <row r="680">
      <c r="A680" s="39" t="n">
        <v>46273</v>
      </c>
      <c r="B680" s="40" t="n">
        <v>0.6111111111111112</v>
      </c>
      <c r="C680" s="35" t="inlineStr">
        <is>
          <t>Dr. Paulo Andrade</t>
        </is>
      </c>
      <c r="D680" s="35" t="inlineStr">
        <is>
          <t>Sala 2</t>
        </is>
      </c>
      <c r="E680" s="34" t="inlineStr">
        <is>
          <t>Rafael Barros</t>
        </is>
      </c>
      <c r="F680" s="35" t="inlineStr">
        <is>
          <t>Particular</t>
        </is>
      </c>
      <c r="G680" s="35" t="inlineStr">
        <is>
          <t>Retorno</t>
        </is>
      </c>
      <c r="H680" s="35" t="inlineStr">
        <is>
          <t>Realizado</t>
        </is>
      </c>
      <c r="I680" s="35" t="inlineStr">
        <is>
          <t>Sem cobrança</t>
        </is>
      </c>
      <c r="J680" s="35" t="n"/>
      <c r="K680" s="34" t="n"/>
      <c r="L680" s="26">
        <f>IF(A680="","",MONTH(A680))</f>
        <v>9</v>
      </c>
      <c r="M680" s="26">
        <f>IF(A680="","",YEAR(A680))</f>
        <v>2026</v>
      </c>
      <c r="N680" s="26" t="str">
        <f>IF(A680="","",CHOOSE(WEEKDAY(A680,2),"Segunda","Terça","Quarta","Quinta","Sexta","Sábado","Domingo"))</f>
        <v>Terça</v>
      </c>
      <c r="O680" s="26" t="str">
        <f>IF(B680="","",IF(B680&lt;TIME(12,0,0),"Manhã",IF(B680&lt;TIME(18,0,0),"Tarde","Noite")))</f>
        <v>Tarde</v>
      </c>
      <c r="P680" s="32">
        <f>IF(G680="","",IFERROR(INDEX(Config!$I$5:$I$16,MATCH(G680,Config!$H$5:$H$16,0)),0))</f>
        <v>0</v>
      </c>
      <c r="Q680" s="30">
        <f>IF(OR(H680&lt;&gt;"Realizado",P680="",P680=0),"",A680+P680)</f>
        <v/>
      </c>
      <c r="R680" s="26">
        <f>IF(Q680="","",IF(COUNTIFS($E$5:$E$1204,E680,$A$5:$A$1204,"&gt;"&amp;A680,$H$5:$H$1204,"&lt;&gt;Falta",$H$5:$H$1204,"&lt;&gt;Cancelado",$H$5:$H$1204,"&lt;&gt;Remarcado")&gt;0,"Sim","Não"))</f>
        <v/>
      </c>
      <c r="S680" s="32">
        <f>IF(R680&lt;&gt;"Não","",IF(Q680+Config!$B$9&lt;=Config!$B$8,Config!$B$8-Q680,""))</f>
        <v/>
      </c>
      <c r="T680" s="26">
        <f>IF(S680="","","Sim")</f>
        <v/>
      </c>
      <c r="U680" s="41">
        <f>IF(T680="Sim",S680+ROW()/100000,0)</f>
        <v>0</v>
      </c>
      <c r="V680" s="41">
        <f>IF(AND(H680="Falta",L680=Config!$B$7,M680=Config!$B$5,COUNTIFS($E$5:E680,E680,$H$5:H680,"Falta",$L$5:L680,Config!$B$7,$M$5:M680,Config!$B$5)=1),COUNTIFS($E$5:$E$1204,E680,$H$5:$H$1204,"Falta",$L$5:$L$1204,Config!$B$7,$M$5:$M$1204,Config!$B$5)*1000-ROW()/100000,0)</f>
        <v>0</v>
      </c>
    </row>
    <row r="681">
      <c r="A681" s="39" t="n">
        <v>46273</v>
      </c>
      <c r="B681" s="40" t="n">
        <v>0.625</v>
      </c>
      <c r="C681" s="35" t="inlineStr">
        <is>
          <t>Dra. Renata Sousa</t>
        </is>
      </c>
      <c r="D681" s="35" t="inlineStr">
        <is>
          <t>Sala 1</t>
        </is>
      </c>
      <c r="E681" s="34" t="inlineStr">
        <is>
          <t>Carlos Gomes</t>
        </is>
      </c>
      <c r="F681" s="35" t="inlineStr">
        <is>
          <t>Saúde Total</t>
        </is>
      </c>
      <c r="G681" s="35" t="inlineStr">
        <is>
          <t>Retorno</t>
        </is>
      </c>
      <c r="H681" s="35" t="inlineStr">
        <is>
          <t>Realizado</t>
        </is>
      </c>
      <c r="I681" s="35" t="inlineStr">
        <is>
          <t>Sem cobrança</t>
        </is>
      </c>
      <c r="J681" s="35" t="n"/>
      <c r="K681" s="34" t="n"/>
      <c r="L681" s="26">
        <f>IF(A681="","",MONTH(A681))</f>
        <v>9</v>
      </c>
      <c r="M681" s="26">
        <f>IF(A681="","",YEAR(A681))</f>
        <v>2026</v>
      </c>
      <c r="N681" s="26" t="str">
        <f>IF(A681="","",CHOOSE(WEEKDAY(A681,2),"Segunda","Terça","Quarta","Quinta","Sexta","Sábado","Domingo"))</f>
        <v>Terça</v>
      </c>
      <c r="O681" s="26" t="str">
        <f>IF(B681="","",IF(B681&lt;TIME(12,0,0),"Manhã",IF(B681&lt;TIME(18,0,0),"Tarde","Noite")))</f>
        <v>Tarde</v>
      </c>
      <c r="P681" s="32">
        <f>IF(G681="","",IFERROR(INDEX(Config!$I$5:$I$16,MATCH(G681,Config!$H$5:$H$16,0)),0))</f>
        <v>0</v>
      </c>
      <c r="Q681" s="30">
        <f>IF(OR(H681&lt;&gt;"Realizado",P681="",P681=0),"",A681+P681)</f>
        <v/>
      </c>
      <c r="R681" s="26">
        <f>IF(Q681="","",IF(COUNTIFS($E$5:$E$1204,E681,$A$5:$A$1204,"&gt;"&amp;A681,$H$5:$H$1204,"&lt;&gt;Falta",$H$5:$H$1204,"&lt;&gt;Cancelado",$H$5:$H$1204,"&lt;&gt;Remarcado")&gt;0,"Sim","Não"))</f>
        <v/>
      </c>
      <c r="S681" s="32">
        <f>IF(R681&lt;&gt;"Não","",IF(Q681+Config!$B$9&lt;=Config!$B$8,Config!$B$8-Q681,""))</f>
        <v/>
      </c>
      <c r="T681" s="26">
        <f>IF(S681="","","Sim")</f>
        <v/>
      </c>
      <c r="U681" s="41">
        <f>IF(T681="Sim",S681+ROW()/100000,0)</f>
        <v>0</v>
      </c>
      <c r="V681" s="41">
        <f>IF(AND(H681="Falta",L681=Config!$B$7,M681=Config!$B$5,COUNTIFS($E$5:E681,E681,$H$5:H681,"Falta",$L$5:L681,Config!$B$7,$M$5:M681,Config!$B$5)=1),COUNTIFS($E$5:$E$1204,E681,$H$5:$H$1204,"Falta",$L$5:$L$1204,Config!$B$7,$M$5:$M$1204,Config!$B$5)*1000-ROW()/100000,0)</f>
        <v>0</v>
      </c>
    </row>
    <row r="682">
      <c r="A682" s="39" t="n">
        <v>46273</v>
      </c>
      <c r="B682" s="40" t="n">
        <v>0.625</v>
      </c>
      <c r="C682" s="35" t="inlineStr">
        <is>
          <t>Dr. Paulo Andrade</t>
        </is>
      </c>
      <c r="D682" s="35" t="inlineStr">
        <is>
          <t>Sala 2</t>
        </is>
      </c>
      <c r="E682" s="34" t="inlineStr">
        <is>
          <t>Gabriel Oliveira</t>
        </is>
      </c>
      <c r="F682" s="35" t="inlineStr">
        <is>
          <t>Particular</t>
        </is>
      </c>
      <c r="G682" s="35" t="inlineStr">
        <is>
          <t>Retorno</t>
        </is>
      </c>
      <c r="H682" s="35" t="inlineStr">
        <is>
          <t>Realizado</t>
        </is>
      </c>
      <c r="I682" s="35" t="inlineStr">
        <is>
          <t>Sem cobrança</t>
        </is>
      </c>
      <c r="J682" s="35" t="n"/>
      <c r="K682" s="34" t="n"/>
      <c r="L682" s="26">
        <f>IF(A682="","",MONTH(A682))</f>
        <v>9</v>
      </c>
      <c r="M682" s="26">
        <f>IF(A682="","",YEAR(A682))</f>
        <v>2026</v>
      </c>
      <c r="N682" s="26" t="str">
        <f>IF(A682="","",CHOOSE(WEEKDAY(A682,2),"Segunda","Terça","Quarta","Quinta","Sexta","Sábado","Domingo"))</f>
        <v>Terça</v>
      </c>
      <c r="O682" s="26" t="str">
        <f>IF(B682="","",IF(B682&lt;TIME(12,0,0),"Manhã",IF(B682&lt;TIME(18,0,0),"Tarde","Noite")))</f>
        <v>Tarde</v>
      </c>
      <c r="P682" s="32">
        <f>IF(G682="","",IFERROR(INDEX(Config!$I$5:$I$16,MATCH(G682,Config!$H$5:$H$16,0)),0))</f>
        <v>0</v>
      </c>
      <c r="Q682" s="30">
        <f>IF(OR(H682&lt;&gt;"Realizado",P682="",P682=0),"",A682+P682)</f>
        <v/>
      </c>
      <c r="R682" s="26">
        <f>IF(Q682="","",IF(COUNTIFS($E$5:$E$1204,E682,$A$5:$A$1204,"&gt;"&amp;A682,$H$5:$H$1204,"&lt;&gt;Falta",$H$5:$H$1204,"&lt;&gt;Cancelado",$H$5:$H$1204,"&lt;&gt;Remarcado")&gt;0,"Sim","Não"))</f>
        <v/>
      </c>
      <c r="S682" s="32">
        <f>IF(R682&lt;&gt;"Não","",IF(Q682+Config!$B$9&lt;=Config!$B$8,Config!$B$8-Q682,""))</f>
        <v/>
      </c>
      <c r="T682" s="26">
        <f>IF(S682="","","Sim")</f>
        <v/>
      </c>
      <c r="U682" s="41">
        <f>IF(T682="Sim",S682+ROW()/100000,0)</f>
        <v>0</v>
      </c>
      <c r="V682" s="41">
        <f>IF(AND(H682="Falta",L682=Config!$B$7,M682=Config!$B$5,COUNTIFS($E$5:E682,E682,$H$5:H682,"Falta",$L$5:L682,Config!$B$7,$M$5:M682,Config!$B$5)=1),COUNTIFS($E$5:$E$1204,E682,$H$5:$H$1204,"Falta",$L$5:$L$1204,Config!$B$7,$M$5:$M$1204,Config!$B$5)*1000-ROW()/100000,0)</f>
        <v>0</v>
      </c>
    </row>
    <row r="683">
      <c r="A683" s="39" t="n">
        <v>46273</v>
      </c>
      <c r="B683" s="40" t="n">
        <v>0.6388888888888888</v>
      </c>
      <c r="C683" s="35" t="inlineStr">
        <is>
          <t>Dra. Renata Sousa</t>
        </is>
      </c>
      <c r="D683" s="35" t="inlineStr">
        <is>
          <t>Sala 1</t>
        </is>
      </c>
      <c r="E683" s="34" t="inlineStr">
        <is>
          <t>Gabriel Lopes</t>
        </is>
      </c>
      <c r="F683" s="35" t="inlineStr">
        <is>
          <t>Saúde Total</t>
        </is>
      </c>
      <c r="G683" s="35" t="inlineStr">
        <is>
          <t>Avaliação endócrina</t>
        </is>
      </c>
      <c r="H683" s="35" t="inlineStr">
        <is>
          <t>Realizado</t>
        </is>
      </c>
      <c r="I683" s="35" t="inlineStr">
        <is>
          <t>Convênio</t>
        </is>
      </c>
      <c r="J683" s="35" t="n"/>
      <c r="K683" s="34" t="n"/>
      <c r="L683" s="26">
        <f>IF(A683="","",MONTH(A683))</f>
        <v>9</v>
      </c>
      <c r="M683" s="26">
        <f>IF(A683="","",YEAR(A683))</f>
        <v>2026</v>
      </c>
      <c r="N683" s="26" t="str">
        <f>IF(A683="","",CHOOSE(WEEKDAY(A683,2),"Segunda","Terça","Quarta","Quinta","Sexta","Sábado","Domingo"))</f>
        <v>Terça</v>
      </c>
      <c r="O683" s="26" t="str">
        <f>IF(B683="","",IF(B683&lt;TIME(12,0,0),"Manhã",IF(B683&lt;TIME(18,0,0),"Tarde","Noite")))</f>
        <v>Tarde</v>
      </c>
      <c r="P683" s="32">
        <f>IF(G683="","",IFERROR(INDEX(Config!$I$5:$I$16,MATCH(G683,Config!$H$5:$H$16,0)),0))</f>
        <v>45</v>
      </c>
      <c r="Q683" s="30">
        <f>IF(OR(H683&lt;&gt;"Realizado",P683="",P683=0),"",A683+P683)</f>
        <v>46318.0</v>
      </c>
      <c r="R683" s="26" t="str">
        <f>IF(Q683="","",IF(COUNTIFS($E$5:$E$1204,E683,$A$5:$A$1204,"&gt;"&amp;A683,$H$5:$H$1204,"&lt;&gt;Falta",$H$5:$H$1204,"&lt;&gt;Cancelado",$H$5:$H$1204,"&lt;&gt;Remarcado")&gt;0,"Sim","Não"))</f>
        <v>Sim</v>
      </c>
      <c r="S683" s="32">
        <f>IF(R683&lt;&gt;"Não","",IF(Q683+Config!$B$9&lt;=Config!$B$8,Config!$B$8-Q683,""))</f>
        <v/>
      </c>
      <c r="T683" s="26">
        <f>IF(S683="","","Sim")</f>
        <v/>
      </c>
      <c r="U683" s="41">
        <f>IF(T683="Sim",S683+ROW()/100000,0)</f>
        <v>0</v>
      </c>
      <c r="V683" s="41">
        <f>IF(AND(H683="Falta",L683=Config!$B$7,M683=Config!$B$5,COUNTIFS($E$5:E683,E683,$H$5:H683,"Falta",$L$5:L683,Config!$B$7,$M$5:M683,Config!$B$5)=1),COUNTIFS($E$5:$E$1204,E683,$H$5:$H$1204,"Falta",$L$5:$L$1204,Config!$B$7,$M$5:$M$1204,Config!$B$5)*1000-ROW()/100000,0)</f>
        <v>0</v>
      </c>
    </row>
    <row r="684">
      <c r="A684" s="39" t="n">
        <v>46273</v>
      </c>
      <c r="B684" s="40" t="n">
        <v>0.6388888888888888</v>
      </c>
      <c r="C684" s="35" t="inlineStr">
        <is>
          <t>Dr. Paulo Andrade</t>
        </is>
      </c>
      <c r="D684" s="35" t="inlineStr">
        <is>
          <t>Sala 2</t>
        </is>
      </c>
      <c r="E684" s="34" t="inlineStr">
        <is>
          <t>Débora Machado</t>
        </is>
      </c>
      <c r="F684" s="35" t="inlineStr">
        <is>
          <t>Saúde Total</t>
        </is>
      </c>
      <c r="G684" s="35" t="inlineStr">
        <is>
          <t>ECG</t>
        </is>
      </c>
      <c r="H684" s="35" t="inlineStr">
        <is>
          <t>Realizado</t>
        </is>
      </c>
      <c r="I684" s="35" t="inlineStr">
        <is>
          <t>Convênio</t>
        </is>
      </c>
      <c r="J684" s="35" t="n"/>
      <c r="K684" s="34" t="n"/>
      <c r="L684" s="26">
        <f>IF(A684="","",MONTH(A684))</f>
        <v>9</v>
      </c>
      <c r="M684" s="26">
        <f>IF(A684="","",YEAR(A684))</f>
        <v>2026</v>
      </c>
      <c r="N684" s="26" t="str">
        <f>IF(A684="","",CHOOSE(WEEKDAY(A684,2),"Segunda","Terça","Quarta","Quinta","Sexta","Sábado","Domingo"))</f>
        <v>Terça</v>
      </c>
      <c r="O684" s="26" t="str">
        <f>IF(B684="","",IF(B684&lt;TIME(12,0,0),"Manhã",IF(B684&lt;TIME(18,0,0),"Tarde","Noite")))</f>
        <v>Tarde</v>
      </c>
      <c r="P684" s="32">
        <f>IF(G684="","",IFERROR(INDEX(Config!$I$5:$I$16,MATCH(G684,Config!$H$5:$H$16,0)),0))</f>
        <v>0</v>
      </c>
      <c r="Q684" s="30">
        <f>IF(OR(H684&lt;&gt;"Realizado",P684="",P684=0),"",A684+P684)</f>
        <v/>
      </c>
      <c r="R684" s="26">
        <f>IF(Q684="","",IF(COUNTIFS($E$5:$E$1204,E684,$A$5:$A$1204,"&gt;"&amp;A684,$H$5:$H$1204,"&lt;&gt;Falta",$H$5:$H$1204,"&lt;&gt;Cancelado",$H$5:$H$1204,"&lt;&gt;Remarcado")&gt;0,"Sim","Não"))</f>
        <v/>
      </c>
      <c r="S684" s="32">
        <f>IF(R684&lt;&gt;"Não","",IF(Q684+Config!$B$9&lt;=Config!$B$8,Config!$B$8-Q684,""))</f>
        <v/>
      </c>
      <c r="T684" s="26">
        <f>IF(S684="","","Sim")</f>
        <v/>
      </c>
      <c r="U684" s="41">
        <f>IF(T684="Sim",S684+ROW()/100000,0)</f>
        <v>0</v>
      </c>
      <c r="V684" s="41">
        <f>IF(AND(H684="Falta",L684=Config!$B$7,M684=Config!$B$5,COUNTIFS($E$5:E684,E684,$H$5:H684,"Falta",$L$5:L684,Config!$B$7,$M$5:M684,Config!$B$5)=1),COUNTIFS($E$5:$E$1204,E684,$H$5:$H$1204,"Falta",$L$5:$L$1204,Config!$B$7,$M$5:$M$1204,Config!$B$5)*1000-ROW()/100000,0)</f>
        <v>0</v>
      </c>
    </row>
    <row r="685">
      <c r="A685" s="39" t="n">
        <v>46273</v>
      </c>
      <c r="B685" s="40" t="n">
        <v>0.6666666666666666</v>
      </c>
      <c r="C685" s="35" t="inlineStr">
        <is>
          <t>Dra. Renata Sousa</t>
        </is>
      </c>
      <c r="D685" s="35" t="inlineStr">
        <is>
          <t>Sala 1</t>
        </is>
      </c>
      <c r="E685" s="34" t="inlineStr">
        <is>
          <t>Gabriel Reis</t>
        </is>
      </c>
      <c r="F685" s="35" t="inlineStr">
        <is>
          <t>Particular</t>
        </is>
      </c>
      <c r="G685" s="35" t="inlineStr">
        <is>
          <t>Avaliação endócrina</t>
        </is>
      </c>
      <c r="H685" s="35" t="inlineStr">
        <is>
          <t>Realizado</t>
        </is>
      </c>
      <c r="I685" s="35" t="inlineStr">
        <is>
          <t>Pix</t>
        </is>
      </c>
      <c r="J685" s="35" t="n"/>
      <c r="K685" s="34" t="n"/>
      <c r="L685" s="26">
        <f>IF(A685="","",MONTH(A685))</f>
        <v>9</v>
      </c>
      <c r="M685" s="26">
        <f>IF(A685="","",YEAR(A685))</f>
        <v>2026</v>
      </c>
      <c r="N685" s="26" t="str">
        <f>IF(A685="","",CHOOSE(WEEKDAY(A685,2),"Segunda","Terça","Quarta","Quinta","Sexta","Sábado","Domingo"))</f>
        <v>Terça</v>
      </c>
      <c r="O685" s="26" t="str">
        <f>IF(B685="","",IF(B685&lt;TIME(12,0,0),"Manhã",IF(B685&lt;TIME(18,0,0),"Tarde","Noite")))</f>
        <v>Tarde</v>
      </c>
      <c r="P685" s="32">
        <f>IF(G685="","",IFERROR(INDEX(Config!$I$5:$I$16,MATCH(G685,Config!$H$5:$H$16,0)),0))</f>
        <v>45</v>
      </c>
      <c r="Q685" s="30">
        <f>IF(OR(H685&lt;&gt;"Realizado",P685="",P685=0),"",A685+P685)</f>
        <v>46318.0</v>
      </c>
      <c r="R685" s="26" t="str">
        <f>IF(Q685="","",IF(COUNTIFS($E$5:$E$1204,E685,$A$5:$A$1204,"&gt;"&amp;A685,$H$5:$H$1204,"&lt;&gt;Falta",$H$5:$H$1204,"&lt;&gt;Cancelado",$H$5:$H$1204,"&lt;&gt;Remarcado")&gt;0,"Sim","Não"))</f>
        <v>Sim</v>
      </c>
      <c r="S685" s="32">
        <f>IF(R685&lt;&gt;"Não","",IF(Q685+Config!$B$9&lt;=Config!$B$8,Config!$B$8-Q685,""))</f>
        <v/>
      </c>
      <c r="T685" s="26">
        <f>IF(S685="","","Sim")</f>
        <v/>
      </c>
      <c r="U685" s="41">
        <f>IF(T685="Sim",S685+ROW()/100000,0)</f>
        <v>0</v>
      </c>
      <c r="V685" s="41">
        <f>IF(AND(H685="Falta",L685=Config!$B$7,M685=Config!$B$5,COUNTIFS($E$5:E685,E685,$H$5:H685,"Falta",$L$5:L685,Config!$B$7,$M$5:M685,Config!$B$5)=1),COUNTIFS($E$5:$E$1204,E685,$H$5:$H$1204,"Falta",$L$5:$L$1204,Config!$B$7,$M$5:$M$1204,Config!$B$5)*1000-ROW()/100000,0)</f>
        <v>0</v>
      </c>
    </row>
    <row r="686">
      <c r="A686" s="39" t="n">
        <v>46273</v>
      </c>
      <c r="B686" s="40" t="n">
        <v>0.6736111111111112</v>
      </c>
      <c r="C686" s="35" t="inlineStr">
        <is>
          <t>Dr. Paulo Andrade</t>
        </is>
      </c>
      <c r="D686" s="35" t="inlineStr">
        <is>
          <t>Sala 2</t>
        </is>
      </c>
      <c r="E686" s="34" t="inlineStr">
        <is>
          <t>Priscila Nascimento</t>
        </is>
      </c>
      <c r="F686" s="35" t="inlineStr">
        <is>
          <t>MediPlan</t>
        </is>
      </c>
      <c r="G686" s="35" t="inlineStr">
        <is>
          <t>ECG</t>
        </is>
      </c>
      <c r="H686" s="35" t="inlineStr">
        <is>
          <t>Realizado</t>
        </is>
      </c>
      <c r="I686" s="35" t="inlineStr">
        <is>
          <t>Convênio</t>
        </is>
      </c>
      <c r="J686" s="35" t="n"/>
      <c r="K686" s="34" t="n"/>
      <c r="L686" s="26">
        <f>IF(A686="","",MONTH(A686))</f>
        <v>9</v>
      </c>
      <c r="M686" s="26">
        <f>IF(A686="","",YEAR(A686))</f>
        <v>2026</v>
      </c>
      <c r="N686" s="26" t="str">
        <f>IF(A686="","",CHOOSE(WEEKDAY(A686,2),"Segunda","Terça","Quarta","Quinta","Sexta","Sábado","Domingo"))</f>
        <v>Terça</v>
      </c>
      <c r="O686" s="26" t="str">
        <f>IF(B686="","",IF(B686&lt;TIME(12,0,0),"Manhã",IF(B686&lt;TIME(18,0,0),"Tarde","Noite")))</f>
        <v>Tarde</v>
      </c>
      <c r="P686" s="32">
        <f>IF(G686="","",IFERROR(INDEX(Config!$I$5:$I$16,MATCH(G686,Config!$H$5:$H$16,0)),0))</f>
        <v>0</v>
      </c>
      <c r="Q686" s="30">
        <f>IF(OR(H686&lt;&gt;"Realizado",P686="",P686=0),"",A686+P686)</f>
        <v/>
      </c>
      <c r="R686" s="26">
        <f>IF(Q686="","",IF(COUNTIFS($E$5:$E$1204,E686,$A$5:$A$1204,"&gt;"&amp;A686,$H$5:$H$1204,"&lt;&gt;Falta",$H$5:$H$1204,"&lt;&gt;Cancelado",$H$5:$H$1204,"&lt;&gt;Remarcado")&gt;0,"Sim","Não"))</f>
        <v/>
      </c>
      <c r="S686" s="32">
        <f>IF(R686&lt;&gt;"Não","",IF(Q686+Config!$B$9&lt;=Config!$B$8,Config!$B$8-Q686,""))</f>
        <v/>
      </c>
      <c r="T686" s="26">
        <f>IF(S686="","","Sim")</f>
        <v/>
      </c>
      <c r="U686" s="41">
        <f>IF(T686="Sim",S686+ROW()/100000,0)</f>
        <v>0</v>
      </c>
      <c r="V686" s="41">
        <f>IF(AND(H686="Falta",L686=Config!$B$7,M686=Config!$B$5,COUNTIFS($E$5:E686,E686,$H$5:H686,"Falta",$L$5:L686,Config!$B$7,$M$5:M686,Config!$B$5)=1),COUNTIFS($E$5:$E$1204,E686,$H$5:$H$1204,"Falta",$L$5:$L$1204,Config!$B$7,$M$5:$M$1204,Config!$B$5)*1000-ROW()/100000,0)</f>
        <v>0</v>
      </c>
    </row>
    <row r="687">
      <c r="A687" s="39" t="n">
        <v>46273</v>
      </c>
      <c r="B687" s="40" t="n">
        <v>0.6875</v>
      </c>
      <c r="C687" s="35" t="inlineStr">
        <is>
          <t>Dr. Paulo Andrade</t>
        </is>
      </c>
      <c r="D687" s="35" t="inlineStr">
        <is>
          <t>Sala 2</t>
        </is>
      </c>
      <c r="E687" s="34" t="inlineStr">
        <is>
          <t>Beatriz Gonçalves</t>
        </is>
      </c>
      <c r="F687" s="35" t="inlineStr">
        <is>
          <t>Saúde Total</t>
        </is>
      </c>
      <c r="G687" s="35" t="inlineStr">
        <is>
          <t>Consulta</t>
        </is>
      </c>
      <c r="H687" s="35" t="inlineStr">
        <is>
          <t>Realizado</t>
        </is>
      </c>
      <c r="I687" s="35" t="inlineStr">
        <is>
          <t>Convênio</t>
        </is>
      </c>
      <c r="J687" s="35" t="n"/>
      <c r="K687" s="34" t="n"/>
      <c r="L687" s="26">
        <f>IF(A687="","",MONTH(A687))</f>
        <v>9</v>
      </c>
      <c r="M687" s="26">
        <f>IF(A687="","",YEAR(A687))</f>
        <v>2026</v>
      </c>
      <c r="N687" s="26" t="str">
        <f>IF(A687="","",CHOOSE(WEEKDAY(A687,2),"Segunda","Terça","Quarta","Quinta","Sexta","Sábado","Domingo"))</f>
        <v>Terça</v>
      </c>
      <c r="O687" s="26" t="str">
        <f>IF(B687="","",IF(B687&lt;TIME(12,0,0),"Manhã",IF(B687&lt;TIME(18,0,0),"Tarde","Noite")))</f>
        <v>Tarde</v>
      </c>
      <c r="P687" s="32">
        <f>IF(G687="","",IFERROR(INDEX(Config!$I$5:$I$16,MATCH(G687,Config!$H$5:$H$16,0)),0))</f>
        <v>30</v>
      </c>
      <c r="Q687" s="30">
        <f>IF(OR(H687&lt;&gt;"Realizado",P687="",P687=0),"",A687+P687)</f>
        <v>46303.0</v>
      </c>
      <c r="R687" s="26" t="str">
        <f>IF(Q687="","",IF(COUNTIFS($E$5:$E$1204,E687,$A$5:$A$1204,"&gt;"&amp;A687,$H$5:$H$1204,"&lt;&gt;Falta",$H$5:$H$1204,"&lt;&gt;Cancelado",$H$5:$H$1204,"&lt;&gt;Remarcado")&gt;0,"Sim","Não"))</f>
        <v>Sim</v>
      </c>
      <c r="S687" s="32">
        <f>IF(R687&lt;&gt;"Não","",IF(Q687+Config!$B$9&lt;=Config!$B$8,Config!$B$8-Q687,""))</f>
        <v/>
      </c>
      <c r="T687" s="26">
        <f>IF(S687="","","Sim")</f>
        <v/>
      </c>
      <c r="U687" s="41">
        <f>IF(T687="Sim",S687+ROW()/100000,0)</f>
        <v>0</v>
      </c>
      <c r="V687" s="41">
        <f>IF(AND(H687="Falta",L687=Config!$B$7,M687=Config!$B$5,COUNTIFS($E$5:E687,E687,$H$5:H687,"Falta",$L$5:L687,Config!$B$7,$M$5:M687,Config!$B$5)=1),COUNTIFS($E$5:$E$1204,E687,$H$5:$H$1204,"Falta",$L$5:$L$1204,Config!$B$7,$M$5:$M$1204,Config!$B$5)*1000-ROW()/100000,0)</f>
        <v>0</v>
      </c>
    </row>
    <row r="688">
      <c r="A688" s="39" t="n">
        <v>46273</v>
      </c>
      <c r="B688" s="40" t="n">
        <v>0.7083333333333334</v>
      </c>
      <c r="C688" s="35" t="inlineStr">
        <is>
          <t>Dr. Paulo Andrade</t>
        </is>
      </c>
      <c r="D688" s="35" t="inlineStr">
        <is>
          <t>Sala 2</t>
        </is>
      </c>
      <c r="E688" s="34" t="inlineStr">
        <is>
          <t>Paulo Nascimento</t>
        </is>
      </c>
      <c r="F688" s="35" t="inlineStr">
        <is>
          <t>MediPlan</t>
        </is>
      </c>
      <c r="G688" s="35" t="inlineStr">
        <is>
          <t>Consulta</t>
        </is>
      </c>
      <c r="H688" s="35" t="inlineStr">
        <is>
          <t>Realizado</t>
        </is>
      </c>
      <c r="I688" s="35" t="inlineStr">
        <is>
          <t>Convênio</t>
        </is>
      </c>
      <c r="J688" s="35" t="n"/>
      <c r="K688" s="34" t="n"/>
      <c r="L688" s="26">
        <f>IF(A688="","",MONTH(A688))</f>
        <v>9</v>
      </c>
      <c r="M688" s="26">
        <f>IF(A688="","",YEAR(A688))</f>
        <v>2026</v>
      </c>
      <c r="N688" s="26" t="str">
        <f>IF(A688="","",CHOOSE(WEEKDAY(A688,2),"Segunda","Terça","Quarta","Quinta","Sexta","Sábado","Domingo"))</f>
        <v>Terça</v>
      </c>
      <c r="O688" s="26" t="str">
        <f>IF(B688="","",IF(B688&lt;TIME(12,0,0),"Manhã",IF(B688&lt;TIME(18,0,0),"Tarde","Noite")))</f>
        <v>Tarde</v>
      </c>
      <c r="P688" s="32">
        <f>IF(G688="","",IFERROR(INDEX(Config!$I$5:$I$16,MATCH(G688,Config!$H$5:$H$16,0)),0))</f>
        <v>30</v>
      </c>
      <c r="Q688" s="30">
        <f>IF(OR(H688&lt;&gt;"Realizado",P688="",P688=0),"",A688+P688)</f>
        <v>46303.0</v>
      </c>
      <c r="R688" s="26" t="str">
        <f>IF(Q688="","",IF(COUNTIFS($E$5:$E$1204,E688,$A$5:$A$1204,"&gt;"&amp;A688,$H$5:$H$1204,"&lt;&gt;Falta",$H$5:$H$1204,"&lt;&gt;Cancelado",$H$5:$H$1204,"&lt;&gt;Remarcado")&gt;0,"Sim","Não"))</f>
        <v>Sim</v>
      </c>
      <c r="S688" s="32">
        <f>IF(R688&lt;&gt;"Não","",IF(Q688+Config!$B$9&lt;=Config!$B$8,Config!$B$8-Q688,""))</f>
        <v/>
      </c>
      <c r="T688" s="26">
        <f>IF(S688="","","Sim")</f>
        <v/>
      </c>
      <c r="U688" s="41">
        <f>IF(T688="Sim",S688+ROW()/100000,0)</f>
        <v>0</v>
      </c>
      <c r="V688" s="41">
        <f>IF(AND(H688="Falta",L688=Config!$B$7,M688=Config!$B$5,COUNTIFS($E$5:E688,E688,$H$5:H688,"Falta",$L$5:L688,Config!$B$7,$M$5:M688,Config!$B$5)=1),COUNTIFS($E$5:$E$1204,E688,$H$5:$H$1204,"Falta",$L$5:$L$1204,Config!$B$7,$M$5:$M$1204,Config!$B$5)*1000-ROW()/100000,0)</f>
        <v>0</v>
      </c>
    </row>
    <row r="689">
      <c r="A689" s="39" t="n">
        <v>46273</v>
      </c>
      <c r="B689" s="40" t="n">
        <v>0.7152777777777778</v>
      </c>
      <c r="C689" s="35" t="inlineStr">
        <is>
          <t>Dra. Renata Sousa</t>
        </is>
      </c>
      <c r="D689" s="35" t="inlineStr">
        <is>
          <t>Sala 1</t>
        </is>
      </c>
      <c r="E689" s="34" t="inlineStr">
        <is>
          <t>Fábio Gomes</t>
        </is>
      </c>
      <c r="F689" s="35" t="inlineStr">
        <is>
          <t>Particular</t>
        </is>
      </c>
      <c r="G689" s="35" t="inlineStr">
        <is>
          <t>Avaliação endócrina</t>
        </is>
      </c>
      <c r="H689" s="35" t="inlineStr">
        <is>
          <t>Realizado</t>
        </is>
      </c>
      <c r="I689" s="35" t="inlineStr">
        <is>
          <t>Cartão de crédito</t>
        </is>
      </c>
      <c r="J689" s="35" t="n">
        <v>2</v>
      </c>
      <c r="K689" s="34" t="n"/>
      <c r="L689" s="26">
        <f>IF(A689="","",MONTH(A689))</f>
        <v>9</v>
      </c>
      <c r="M689" s="26">
        <f>IF(A689="","",YEAR(A689))</f>
        <v>2026</v>
      </c>
      <c r="N689" s="26" t="str">
        <f>IF(A689="","",CHOOSE(WEEKDAY(A689,2),"Segunda","Terça","Quarta","Quinta","Sexta","Sábado","Domingo"))</f>
        <v>Terça</v>
      </c>
      <c r="O689" s="26" t="str">
        <f>IF(B689="","",IF(B689&lt;TIME(12,0,0),"Manhã",IF(B689&lt;TIME(18,0,0),"Tarde","Noite")))</f>
        <v>Tarde</v>
      </c>
      <c r="P689" s="32">
        <f>IF(G689="","",IFERROR(INDEX(Config!$I$5:$I$16,MATCH(G689,Config!$H$5:$H$16,0)),0))</f>
        <v>45</v>
      </c>
      <c r="Q689" s="30">
        <f>IF(OR(H689&lt;&gt;"Realizado",P689="",P689=0),"",A689+P689)</f>
        <v>46318.0</v>
      </c>
      <c r="R689" s="26" t="str">
        <f>IF(Q689="","",IF(COUNTIFS($E$5:$E$1204,E689,$A$5:$A$1204,"&gt;"&amp;A689,$H$5:$H$1204,"&lt;&gt;Falta",$H$5:$H$1204,"&lt;&gt;Cancelado",$H$5:$H$1204,"&lt;&gt;Remarcado")&gt;0,"Sim","Não"))</f>
        <v>Sim</v>
      </c>
      <c r="S689" s="32">
        <f>IF(R689&lt;&gt;"Não","",IF(Q689+Config!$B$9&lt;=Config!$B$8,Config!$B$8-Q689,""))</f>
        <v/>
      </c>
      <c r="T689" s="26">
        <f>IF(S689="","","Sim")</f>
        <v/>
      </c>
      <c r="U689" s="41">
        <f>IF(T689="Sim",S689+ROW()/100000,0)</f>
        <v>0</v>
      </c>
      <c r="V689" s="41">
        <f>IF(AND(H689="Falta",L689=Config!$B$7,M689=Config!$B$5,COUNTIFS($E$5:E689,E689,$H$5:H689,"Falta",$L$5:L689,Config!$B$7,$M$5:M689,Config!$B$5)=1),COUNTIFS($E$5:$E$1204,E689,$H$5:$H$1204,"Falta",$L$5:$L$1204,Config!$B$7,$M$5:$M$1204,Config!$B$5)*1000-ROW()/100000,0)</f>
        <v>0</v>
      </c>
    </row>
    <row r="690">
      <c r="A690" s="39" t="n">
        <v>46273</v>
      </c>
      <c r="B690" s="40" t="n">
        <v>0.7291666666666666</v>
      </c>
      <c r="C690" s="35" t="inlineStr">
        <is>
          <t>Dr. Paulo Andrade</t>
        </is>
      </c>
      <c r="D690" s="35" t="inlineStr">
        <is>
          <t>Sala 2</t>
        </is>
      </c>
      <c r="E690" s="34" t="inlineStr">
        <is>
          <t>Gisele Pinto</t>
        </is>
      </c>
      <c r="F690" s="35" t="inlineStr">
        <is>
          <t>Saúde Total</t>
        </is>
      </c>
      <c r="G690" s="35" t="inlineStr">
        <is>
          <t>Consulta</t>
        </is>
      </c>
      <c r="H690" s="35" t="inlineStr">
        <is>
          <t>Realizado</t>
        </is>
      </c>
      <c r="I690" s="35" t="inlineStr">
        <is>
          <t>Convênio</t>
        </is>
      </c>
      <c r="J690" s="35" t="n"/>
      <c r="K690" s="34" t="n"/>
      <c r="L690" s="26">
        <f>IF(A690="","",MONTH(A690))</f>
        <v>9</v>
      </c>
      <c r="M690" s="26">
        <f>IF(A690="","",YEAR(A690))</f>
        <v>2026</v>
      </c>
      <c r="N690" s="26" t="str">
        <f>IF(A690="","",CHOOSE(WEEKDAY(A690,2),"Segunda","Terça","Quarta","Quinta","Sexta","Sábado","Domingo"))</f>
        <v>Terça</v>
      </c>
      <c r="O690" s="26" t="str">
        <f>IF(B690="","",IF(B690&lt;TIME(12,0,0),"Manhã",IF(B690&lt;TIME(18,0,0),"Tarde","Noite")))</f>
        <v>Tarde</v>
      </c>
      <c r="P690" s="32">
        <f>IF(G690="","",IFERROR(INDEX(Config!$I$5:$I$16,MATCH(G690,Config!$H$5:$H$16,0)),0))</f>
        <v>30</v>
      </c>
      <c r="Q690" s="30">
        <f>IF(OR(H690&lt;&gt;"Realizado",P690="",P690=0),"",A690+P690)</f>
        <v>46303.0</v>
      </c>
      <c r="R690" s="26" t="str">
        <f>IF(Q690="","",IF(COUNTIFS($E$5:$E$1204,E690,$A$5:$A$1204,"&gt;"&amp;A690,$H$5:$H$1204,"&lt;&gt;Falta",$H$5:$H$1204,"&lt;&gt;Cancelado",$H$5:$H$1204,"&lt;&gt;Remarcado")&gt;0,"Sim","Não"))</f>
        <v>Sim</v>
      </c>
      <c r="S690" s="32">
        <f>IF(R690&lt;&gt;"Não","",IF(Q690+Config!$B$9&lt;=Config!$B$8,Config!$B$8-Q690,""))</f>
        <v/>
      </c>
      <c r="T690" s="26">
        <f>IF(S690="","","Sim")</f>
        <v/>
      </c>
      <c r="U690" s="41">
        <f>IF(T690="Sim",S690+ROW()/100000,0)</f>
        <v>0</v>
      </c>
      <c r="V690" s="41">
        <f>IF(AND(H690="Falta",L690=Config!$B$7,M690=Config!$B$5,COUNTIFS($E$5:E690,E690,$H$5:H690,"Falta",$L$5:L690,Config!$B$7,$M$5:M690,Config!$B$5)=1),COUNTIFS($E$5:$E$1204,E690,$H$5:$H$1204,"Falta",$L$5:$L$1204,Config!$B$7,$M$5:$M$1204,Config!$B$5)*1000-ROW()/100000,0)</f>
        <v>0</v>
      </c>
    </row>
    <row r="691">
      <c r="A691" s="39" t="n">
        <v>46274</v>
      </c>
      <c r="B691" s="40" t="n">
        <v>0.5833333333333334</v>
      </c>
      <c r="C691" s="35" t="inlineStr">
        <is>
          <t>Dra. Carolina Mendes</t>
        </is>
      </c>
      <c r="D691" s="35" t="inlineStr">
        <is>
          <t>Sala 1</t>
        </is>
      </c>
      <c r="E691" s="34" t="inlineStr">
        <is>
          <t>Ana Costa</t>
        </is>
      </c>
      <c r="F691" s="35" t="inlineStr">
        <is>
          <t>Particular</t>
        </is>
      </c>
      <c r="G691" s="35" t="inlineStr">
        <is>
          <t>Consulta</t>
        </is>
      </c>
      <c r="H691" s="35" t="inlineStr">
        <is>
          <t>Realizado</t>
        </is>
      </c>
      <c r="I691" s="35" t="inlineStr">
        <is>
          <t>A prazo</t>
        </is>
      </c>
      <c r="J691" s="35" t="n"/>
      <c r="K691" s="34" t="n"/>
      <c r="L691" s="26">
        <f>IF(A691="","",MONTH(A691))</f>
        <v>9</v>
      </c>
      <c r="M691" s="26">
        <f>IF(A691="","",YEAR(A691))</f>
        <v>2026</v>
      </c>
      <c r="N691" s="26" t="str">
        <f>IF(A691="","",CHOOSE(WEEKDAY(A691,2),"Segunda","Terça","Quarta","Quinta","Sexta","Sábado","Domingo"))</f>
        <v>Quarta</v>
      </c>
      <c r="O691" s="26" t="str">
        <f>IF(B691="","",IF(B691&lt;TIME(12,0,0),"Manhã",IF(B691&lt;TIME(18,0,0),"Tarde","Noite")))</f>
        <v>Tarde</v>
      </c>
      <c r="P691" s="32">
        <f>IF(G691="","",IFERROR(INDEX(Config!$I$5:$I$16,MATCH(G691,Config!$H$5:$H$16,0)),0))</f>
        <v>30</v>
      </c>
      <c r="Q691" s="30">
        <f>IF(OR(H691&lt;&gt;"Realizado",P691="",P691=0),"",A691+P691)</f>
        <v>46304.0</v>
      </c>
      <c r="R691" s="26" t="str">
        <f>IF(Q691="","",IF(COUNTIFS($E$5:$E$1204,E691,$A$5:$A$1204,"&gt;"&amp;A691,$H$5:$H$1204,"&lt;&gt;Falta",$H$5:$H$1204,"&lt;&gt;Cancelado",$H$5:$H$1204,"&lt;&gt;Remarcado")&gt;0,"Sim","Não"))</f>
        <v>Sim</v>
      </c>
      <c r="S691" s="32">
        <f>IF(R691&lt;&gt;"Não","",IF(Q691+Config!$B$9&lt;=Config!$B$8,Config!$B$8-Q691,""))</f>
        <v/>
      </c>
      <c r="T691" s="26">
        <f>IF(S691="","","Sim")</f>
        <v/>
      </c>
      <c r="U691" s="41">
        <f>IF(T691="Sim",S691+ROW()/100000,0)</f>
        <v>0</v>
      </c>
      <c r="V691" s="41">
        <f>IF(AND(H691="Falta",L691=Config!$B$7,M691=Config!$B$5,COUNTIFS($E$5:E691,E691,$H$5:H691,"Falta",$L$5:L691,Config!$B$7,$M$5:M691,Config!$B$5)=1),COUNTIFS($E$5:$E$1204,E691,$H$5:$H$1204,"Falta",$L$5:$L$1204,Config!$B$7,$M$5:$M$1204,Config!$B$5)*1000-ROW()/100000,0)</f>
        <v>0</v>
      </c>
    </row>
    <row r="692">
      <c r="A692" s="39" t="n">
        <v>46274</v>
      </c>
      <c r="B692" s="40" t="n">
        <v>0.6041666666666666</v>
      </c>
      <c r="C692" s="35" t="inlineStr">
        <is>
          <t>Dra. Carolina Mendes</t>
        </is>
      </c>
      <c r="D692" s="35" t="inlineStr">
        <is>
          <t>Sala 1</t>
        </is>
      </c>
      <c r="E692" s="34" t="inlineStr">
        <is>
          <t>Carlos Castro</t>
        </is>
      </c>
      <c r="F692" s="35" t="inlineStr">
        <is>
          <t>Saúde Total</t>
        </is>
      </c>
      <c r="G692" s="35" t="inlineStr">
        <is>
          <t>Retorno</t>
        </is>
      </c>
      <c r="H692" s="35" t="inlineStr">
        <is>
          <t>Realizado</t>
        </is>
      </c>
      <c r="I692" s="35" t="inlineStr">
        <is>
          <t>Sem cobrança</t>
        </is>
      </c>
      <c r="J692" s="35" t="n"/>
      <c r="K692" s="34" t="n"/>
      <c r="L692" s="26">
        <f>IF(A692="","",MONTH(A692))</f>
        <v>9</v>
      </c>
      <c r="M692" s="26">
        <f>IF(A692="","",YEAR(A692))</f>
        <v>2026</v>
      </c>
      <c r="N692" s="26" t="str">
        <f>IF(A692="","",CHOOSE(WEEKDAY(A692,2),"Segunda","Terça","Quarta","Quinta","Sexta","Sábado","Domingo"))</f>
        <v>Quarta</v>
      </c>
      <c r="O692" s="26" t="str">
        <f>IF(B692="","",IF(B692&lt;TIME(12,0,0),"Manhã",IF(B692&lt;TIME(18,0,0),"Tarde","Noite")))</f>
        <v>Tarde</v>
      </c>
      <c r="P692" s="32">
        <f>IF(G692="","",IFERROR(INDEX(Config!$I$5:$I$16,MATCH(G692,Config!$H$5:$H$16,0)),0))</f>
        <v>0</v>
      </c>
      <c r="Q692" s="30">
        <f>IF(OR(H692&lt;&gt;"Realizado",P692="",P692=0),"",A692+P692)</f>
        <v/>
      </c>
      <c r="R692" s="26">
        <f>IF(Q692="","",IF(COUNTIFS($E$5:$E$1204,E692,$A$5:$A$1204,"&gt;"&amp;A692,$H$5:$H$1204,"&lt;&gt;Falta",$H$5:$H$1204,"&lt;&gt;Cancelado",$H$5:$H$1204,"&lt;&gt;Remarcado")&gt;0,"Sim","Não"))</f>
        <v/>
      </c>
      <c r="S692" s="32">
        <f>IF(R692&lt;&gt;"Não","",IF(Q692+Config!$B$9&lt;=Config!$B$8,Config!$B$8-Q692,""))</f>
        <v/>
      </c>
      <c r="T692" s="26">
        <f>IF(S692="","","Sim")</f>
        <v/>
      </c>
      <c r="U692" s="41">
        <f>IF(T692="Sim",S692+ROW()/100000,0)</f>
        <v>0</v>
      </c>
      <c r="V692" s="41">
        <f>IF(AND(H692="Falta",L692=Config!$B$7,M692=Config!$B$5,COUNTIFS($E$5:E692,E692,$H$5:H692,"Falta",$L$5:L692,Config!$B$7,$M$5:M692,Config!$B$5)=1),COUNTIFS($E$5:$E$1204,E692,$H$5:$H$1204,"Falta",$L$5:$L$1204,Config!$B$7,$M$5:$M$1204,Config!$B$5)*1000-ROW()/100000,0)</f>
        <v>0</v>
      </c>
    </row>
    <row r="693">
      <c r="A693" s="39" t="n">
        <v>46274</v>
      </c>
      <c r="B693" s="40" t="n">
        <v>0.6180555555555556</v>
      </c>
      <c r="C693" s="35" t="inlineStr">
        <is>
          <t>Dra. Carolina Mendes</t>
        </is>
      </c>
      <c r="D693" s="35" t="inlineStr">
        <is>
          <t>Sala 1</t>
        </is>
      </c>
      <c r="E693" s="34" t="inlineStr">
        <is>
          <t>Sérgio Martins</t>
        </is>
      </c>
      <c r="F693" s="35" t="inlineStr">
        <is>
          <t>Particular</t>
        </is>
      </c>
      <c r="G693" s="35" t="inlineStr">
        <is>
          <t>Retorno</t>
        </is>
      </c>
      <c r="H693" s="35" t="inlineStr">
        <is>
          <t>Realizado</t>
        </is>
      </c>
      <c r="I693" s="35" t="inlineStr">
        <is>
          <t>Sem cobrança</t>
        </is>
      </c>
      <c r="J693" s="35" t="n"/>
      <c r="K693" s="34" t="n"/>
      <c r="L693" s="26">
        <f>IF(A693="","",MONTH(A693))</f>
        <v>9</v>
      </c>
      <c r="M693" s="26">
        <f>IF(A693="","",YEAR(A693))</f>
        <v>2026</v>
      </c>
      <c r="N693" s="26" t="str">
        <f>IF(A693="","",CHOOSE(WEEKDAY(A693,2),"Segunda","Terça","Quarta","Quinta","Sexta","Sábado","Domingo"))</f>
        <v>Quarta</v>
      </c>
      <c r="O693" s="26" t="str">
        <f>IF(B693="","",IF(B693&lt;TIME(12,0,0),"Manhã",IF(B693&lt;TIME(18,0,0),"Tarde","Noite")))</f>
        <v>Tarde</v>
      </c>
      <c r="P693" s="32">
        <f>IF(G693="","",IFERROR(INDEX(Config!$I$5:$I$16,MATCH(G693,Config!$H$5:$H$16,0)),0))</f>
        <v>0</v>
      </c>
      <c r="Q693" s="30">
        <f>IF(OR(H693&lt;&gt;"Realizado",P693="",P693=0),"",A693+P693)</f>
        <v/>
      </c>
      <c r="R693" s="26">
        <f>IF(Q693="","",IF(COUNTIFS($E$5:$E$1204,E693,$A$5:$A$1204,"&gt;"&amp;A693,$H$5:$H$1204,"&lt;&gt;Falta",$H$5:$H$1204,"&lt;&gt;Cancelado",$H$5:$H$1204,"&lt;&gt;Remarcado")&gt;0,"Sim","Não"))</f>
        <v/>
      </c>
      <c r="S693" s="32">
        <f>IF(R693&lt;&gt;"Não","",IF(Q693+Config!$B$9&lt;=Config!$B$8,Config!$B$8-Q693,""))</f>
        <v/>
      </c>
      <c r="T693" s="26">
        <f>IF(S693="","","Sim")</f>
        <v/>
      </c>
      <c r="U693" s="41">
        <f>IF(T693="Sim",S693+ROW()/100000,0)</f>
        <v>0</v>
      </c>
      <c r="V693" s="41">
        <f>IF(AND(H693="Falta",L693=Config!$B$7,M693=Config!$B$5,COUNTIFS($E$5:E693,E693,$H$5:H693,"Falta",$L$5:L693,Config!$B$7,$M$5:M693,Config!$B$5)=1),COUNTIFS($E$5:$E$1204,E693,$H$5:$H$1204,"Falta",$L$5:$L$1204,Config!$B$7,$M$5:$M$1204,Config!$B$5)*1000-ROW()/100000,0)</f>
        <v>0</v>
      </c>
    </row>
    <row r="694">
      <c r="A694" s="39" t="n">
        <v>46274</v>
      </c>
      <c r="B694" s="40" t="n">
        <v>0.6319444444444444</v>
      </c>
      <c r="C694" s="35" t="inlineStr">
        <is>
          <t>Dra. Carolina Mendes</t>
        </is>
      </c>
      <c r="D694" s="35" t="inlineStr">
        <is>
          <t>Sala 1</t>
        </is>
      </c>
      <c r="E694" s="34" t="inlineStr">
        <is>
          <t>Simone Monteiro</t>
        </is>
      </c>
      <c r="F694" s="35" t="inlineStr">
        <is>
          <t>Vida Care</t>
        </is>
      </c>
      <c r="G694" s="35" t="inlineStr">
        <is>
          <t>Consulta</t>
        </is>
      </c>
      <c r="H694" s="35" t="inlineStr">
        <is>
          <t>Realizado</t>
        </is>
      </c>
      <c r="I694" s="35" t="inlineStr">
        <is>
          <t>Convênio</t>
        </is>
      </c>
      <c r="J694" s="35" t="n"/>
      <c r="K694" s="34" t="n"/>
      <c r="L694" s="26">
        <f>IF(A694="","",MONTH(A694))</f>
        <v>9</v>
      </c>
      <c r="M694" s="26">
        <f>IF(A694="","",YEAR(A694))</f>
        <v>2026</v>
      </c>
      <c r="N694" s="26" t="str">
        <f>IF(A694="","",CHOOSE(WEEKDAY(A694,2),"Segunda","Terça","Quarta","Quinta","Sexta","Sábado","Domingo"))</f>
        <v>Quarta</v>
      </c>
      <c r="O694" s="26" t="str">
        <f>IF(B694="","",IF(B694&lt;TIME(12,0,0),"Manhã",IF(B694&lt;TIME(18,0,0),"Tarde","Noite")))</f>
        <v>Tarde</v>
      </c>
      <c r="P694" s="32">
        <f>IF(G694="","",IFERROR(INDEX(Config!$I$5:$I$16,MATCH(G694,Config!$H$5:$H$16,0)),0))</f>
        <v>30</v>
      </c>
      <c r="Q694" s="30">
        <f>IF(OR(H694&lt;&gt;"Realizado",P694="",P694=0),"",A694+P694)</f>
        <v>46304.0</v>
      </c>
      <c r="R694" s="26" t="str">
        <f>IF(Q694="","",IF(COUNTIFS($E$5:$E$1204,E694,$A$5:$A$1204,"&gt;"&amp;A694,$H$5:$H$1204,"&lt;&gt;Falta",$H$5:$H$1204,"&lt;&gt;Cancelado",$H$5:$H$1204,"&lt;&gt;Remarcado")&gt;0,"Sim","Não"))</f>
        <v>Sim</v>
      </c>
      <c r="S694" s="32">
        <f>IF(R694&lt;&gt;"Não","",IF(Q694+Config!$B$9&lt;=Config!$B$8,Config!$B$8-Q694,""))</f>
        <v/>
      </c>
      <c r="T694" s="26">
        <f>IF(S694="","","Sim")</f>
        <v/>
      </c>
      <c r="U694" s="41">
        <f>IF(T694="Sim",S694+ROW()/100000,0)</f>
        <v>0</v>
      </c>
      <c r="V694" s="41">
        <f>IF(AND(H694="Falta",L694=Config!$B$7,M694=Config!$B$5,COUNTIFS($E$5:E694,E694,$H$5:H694,"Falta",$L$5:L694,Config!$B$7,$M$5:M694,Config!$B$5)=1),COUNTIFS($E$5:$E$1204,E694,$H$5:$H$1204,"Falta",$L$5:$L$1204,Config!$B$7,$M$5:$M$1204,Config!$B$5)*1000-ROW()/100000,0)</f>
        <v>0</v>
      </c>
    </row>
    <row r="695">
      <c r="A695" s="39" t="n">
        <v>46274</v>
      </c>
      <c r="B695" s="40" t="n">
        <v>0.6527777777777778</v>
      </c>
      <c r="C695" s="35" t="inlineStr">
        <is>
          <t>Dra. Carolina Mendes</t>
        </is>
      </c>
      <c r="D695" s="35" t="inlineStr">
        <is>
          <t>Sala 1</t>
        </is>
      </c>
      <c r="E695" s="34" t="inlineStr">
        <is>
          <t>Gisele Ribeiro</t>
        </is>
      </c>
      <c r="F695" s="35" t="inlineStr">
        <is>
          <t>Particular</t>
        </is>
      </c>
      <c r="G695" s="35" t="inlineStr">
        <is>
          <t>Consulta</t>
        </is>
      </c>
      <c r="H695" s="35" t="inlineStr">
        <is>
          <t>Realizado</t>
        </is>
      </c>
      <c r="I695" s="35" t="inlineStr">
        <is>
          <t>Cartão de crédito</t>
        </is>
      </c>
      <c r="J695" s="35" t="n">
        <v>2</v>
      </c>
      <c r="K695" s="34" t="n"/>
      <c r="L695" s="26">
        <f>IF(A695="","",MONTH(A695))</f>
        <v>9</v>
      </c>
      <c r="M695" s="26">
        <f>IF(A695="","",YEAR(A695))</f>
        <v>2026</v>
      </c>
      <c r="N695" s="26" t="str">
        <f>IF(A695="","",CHOOSE(WEEKDAY(A695,2),"Segunda","Terça","Quarta","Quinta","Sexta","Sábado","Domingo"))</f>
        <v>Quarta</v>
      </c>
      <c r="O695" s="26" t="str">
        <f>IF(B695="","",IF(B695&lt;TIME(12,0,0),"Manhã",IF(B695&lt;TIME(18,0,0),"Tarde","Noite")))</f>
        <v>Tarde</v>
      </c>
      <c r="P695" s="32">
        <f>IF(G695="","",IFERROR(INDEX(Config!$I$5:$I$16,MATCH(G695,Config!$H$5:$H$16,0)),0))</f>
        <v>30</v>
      </c>
      <c r="Q695" s="30">
        <f>IF(OR(H695&lt;&gt;"Realizado",P695="",P695=0),"",A695+P695)</f>
        <v>46304.0</v>
      </c>
      <c r="R695" s="26" t="str">
        <f>IF(Q695="","",IF(COUNTIFS($E$5:$E$1204,E695,$A$5:$A$1204,"&gt;"&amp;A695,$H$5:$H$1204,"&lt;&gt;Falta",$H$5:$H$1204,"&lt;&gt;Cancelado",$H$5:$H$1204,"&lt;&gt;Remarcado")&gt;0,"Sim","Não"))</f>
        <v>Sim</v>
      </c>
      <c r="S695" s="32">
        <f>IF(R695&lt;&gt;"Não","",IF(Q695+Config!$B$9&lt;=Config!$B$8,Config!$B$8-Q695,""))</f>
        <v/>
      </c>
      <c r="T695" s="26">
        <f>IF(S695="","","Sim")</f>
        <v/>
      </c>
      <c r="U695" s="41">
        <f>IF(T695="Sim",S695+ROW()/100000,0)</f>
        <v>0</v>
      </c>
      <c r="V695" s="41">
        <f>IF(AND(H695="Falta",L695=Config!$B$7,M695=Config!$B$5,COUNTIFS($E$5:E695,E695,$H$5:H695,"Falta",$L$5:L695,Config!$B$7,$M$5:M695,Config!$B$5)=1),COUNTIFS($E$5:$E$1204,E695,$H$5:$H$1204,"Falta",$L$5:$L$1204,Config!$B$7,$M$5:$M$1204,Config!$B$5)*1000-ROW()/100000,0)</f>
        <v>0</v>
      </c>
    </row>
    <row r="696">
      <c r="A696" s="39" t="n">
        <v>46274</v>
      </c>
      <c r="B696" s="40" t="n">
        <v>0.6736111111111112</v>
      </c>
      <c r="C696" s="35" t="inlineStr">
        <is>
          <t>Dra. Carolina Mendes</t>
        </is>
      </c>
      <c r="D696" s="35" t="inlineStr">
        <is>
          <t>Sala 1</t>
        </is>
      </c>
      <c r="E696" s="34" t="inlineStr">
        <is>
          <t>Roberta Fernandes</t>
        </is>
      </c>
      <c r="F696" s="35" t="inlineStr">
        <is>
          <t>Saúde Total</t>
        </is>
      </c>
      <c r="G696" s="35" t="inlineStr">
        <is>
          <t>Consulta</t>
        </is>
      </c>
      <c r="H696" s="35" t="inlineStr">
        <is>
          <t>Realizado</t>
        </is>
      </c>
      <c r="I696" s="35" t="inlineStr">
        <is>
          <t>Convênio</t>
        </is>
      </c>
      <c r="J696" s="35" t="n"/>
      <c r="K696" s="34" t="n"/>
      <c r="L696" s="26">
        <f>IF(A696="","",MONTH(A696))</f>
        <v>9</v>
      </c>
      <c r="M696" s="26">
        <f>IF(A696="","",YEAR(A696))</f>
        <v>2026</v>
      </c>
      <c r="N696" s="26" t="str">
        <f>IF(A696="","",CHOOSE(WEEKDAY(A696,2),"Segunda","Terça","Quarta","Quinta","Sexta","Sábado","Domingo"))</f>
        <v>Quarta</v>
      </c>
      <c r="O696" s="26" t="str">
        <f>IF(B696="","",IF(B696&lt;TIME(12,0,0),"Manhã",IF(B696&lt;TIME(18,0,0),"Tarde","Noite")))</f>
        <v>Tarde</v>
      </c>
      <c r="P696" s="32">
        <f>IF(G696="","",IFERROR(INDEX(Config!$I$5:$I$16,MATCH(G696,Config!$H$5:$H$16,0)),0))</f>
        <v>30</v>
      </c>
      <c r="Q696" s="30">
        <f>IF(OR(H696&lt;&gt;"Realizado",P696="",P696=0),"",A696+P696)</f>
        <v>46304.0</v>
      </c>
      <c r="R696" s="26" t="str">
        <f>IF(Q696="","",IF(COUNTIFS($E$5:$E$1204,E696,$A$5:$A$1204,"&gt;"&amp;A696,$H$5:$H$1204,"&lt;&gt;Falta",$H$5:$H$1204,"&lt;&gt;Cancelado",$H$5:$H$1204,"&lt;&gt;Remarcado")&gt;0,"Sim","Não"))</f>
        <v>Sim</v>
      </c>
      <c r="S696" s="32">
        <f>IF(R696&lt;&gt;"Não","",IF(Q696+Config!$B$9&lt;=Config!$B$8,Config!$B$8-Q696,""))</f>
        <v/>
      </c>
      <c r="T696" s="26">
        <f>IF(S696="","","Sim")</f>
        <v/>
      </c>
      <c r="U696" s="41">
        <f>IF(T696="Sim",S696+ROW()/100000,0)</f>
        <v>0</v>
      </c>
      <c r="V696" s="41">
        <f>IF(AND(H696="Falta",L696=Config!$B$7,M696=Config!$B$5,COUNTIFS($E$5:E696,E696,$H$5:H696,"Falta",$L$5:L696,Config!$B$7,$M$5:M696,Config!$B$5)=1),COUNTIFS($E$5:$E$1204,E696,$H$5:$H$1204,"Falta",$L$5:$L$1204,Config!$B$7,$M$5:$M$1204,Config!$B$5)*1000-ROW()/100000,0)</f>
        <v>0</v>
      </c>
    </row>
    <row r="697">
      <c r="A697" s="39" t="n">
        <v>46274</v>
      </c>
      <c r="B697" s="40" t="n">
        <v>0.6944444444444444</v>
      </c>
      <c r="C697" s="35" t="inlineStr">
        <is>
          <t>Dra. Carolina Mendes</t>
        </is>
      </c>
      <c r="D697" s="35" t="inlineStr">
        <is>
          <t>Sala 1</t>
        </is>
      </c>
      <c r="E697" s="34" t="inlineStr">
        <is>
          <t>Gustavo Ferreira</t>
        </is>
      </c>
      <c r="F697" s="35" t="inlineStr">
        <is>
          <t>Particular</t>
        </is>
      </c>
      <c r="G697" s="35" t="inlineStr">
        <is>
          <t>Consulta</t>
        </is>
      </c>
      <c r="H697" s="35" t="inlineStr">
        <is>
          <t>Realizado</t>
        </is>
      </c>
      <c r="I697" s="35" t="inlineStr">
        <is>
          <t>Pix</t>
        </is>
      </c>
      <c r="J697" s="35" t="n"/>
      <c r="K697" s="34" t="n"/>
      <c r="L697" s="26">
        <f>IF(A697="","",MONTH(A697))</f>
        <v>9</v>
      </c>
      <c r="M697" s="26">
        <f>IF(A697="","",YEAR(A697))</f>
        <v>2026</v>
      </c>
      <c r="N697" s="26" t="str">
        <f>IF(A697="","",CHOOSE(WEEKDAY(A697,2),"Segunda","Terça","Quarta","Quinta","Sexta","Sábado","Domingo"))</f>
        <v>Quarta</v>
      </c>
      <c r="O697" s="26" t="str">
        <f>IF(B697="","",IF(B697&lt;TIME(12,0,0),"Manhã",IF(B697&lt;TIME(18,0,0),"Tarde","Noite")))</f>
        <v>Tarde</v>
      </c>
      <c r="P697" s="32">
        <f>IF(G697="","",IFERROR(INDEX(Config!$I$5:$I$16,MATCH(G697,Config!$H$5:$H$16,0)),0))</f>
        <v>30</v>
      </c>
      <c r="Q697" s="30">
        <f>IF(OR(H697&lt;&gt;"Realizado",P697="",P697=0),"",A697+P697)</f>
        <v>46304.0</v>
      </c>
      <c r="R697" s="26" t="str">
        <f>IF(Q697="","",IF(COUNTIFS($E$5:$E$1204,E697,$A$5:$A$1204,"&gt;"&amp;A697,$H$5:$H$1204,"&lt;&gt;Falta",$H$5:$H$1204,"&lt;&gt;Cancelado",$H$5:$H$1204,"&lt;&gt;Remarcado")&gt;0,"Sim","Não"))</f>
        <v>Sim</v>
      </c>
      <c r="S697" s="32">
        <f>IF(R697&lt;&gt;"Não","",IF(Q697+Config!$B$9&lt;=Config!$B$8,Config!$B$8-Q697,""))</f>
        <v/>
      </c>
      <c r="T697" s="26">
        <f>IF(S697="","","Sim")</f>
        <v/>
      </c>
      <c r="U697" s="41">
        <f>IF(T697="Sim",S697+ROW()/100000,0)</f>
        <v>0</v>
      </c>
      <c r="V697" s="41">
        <f>IF(AND(H697="Falta",L697=Config!$B$7,M697=Config!$B$5,COUNTIFS($E$5:E697,E697,$H$5:H697,"Falta",$L$5:L697,Config!$B$7,$M$5:M697,Config!$B$5)=1),COUNTIFS($E$5:$E$1204,E697,$H$5:$H$1204,"Falta",$L$5:$L$1204,Config!$B$7,$M$5:$M$1204,Config!$B$5)*1000-ROW()/100000,0)</f>
        <v>0</v>
      </c>
    </row>
    <row r="698">
      <c r="A698" s="39" t="n">
        <v>46274</v>
      </c>
      <c r="B698" s="40" t="n">
        <v>0.7152777777777778</v>
      </c>
      <c r="C698" s="35" t="inlineStr">
        <is>
          <t>Dra. Carolina Mendes</t>
        </is>
      </c>
      <c r="D698" s="35" t="inlineStr">
        <is>
          <t>Sala 1</t>
        </is>
      </c>
      <c r="E698" s="34" t="inlineStr">
        <is>
          <t>Cláudia Santos</t>
        </is>
      </c>
      <c r="F698" s="35" t="inlineStr">
        <is>
          <t>Particular</t>
        </is>
      </c>
      <c r="G698" s="35" t="inlineStr">
        <is>
          <t>Consulta</t>
        </is>
      </c>
      <c r="H698" s="35" t="inlineStr">
        <is>
          <t>Realizado</t>
        </is>
      </c>
      <c r="I698" s="35" t="inlineStr">
        <is>
          <t>Cartão de débito</t>
        </is>
      </c>
      <c r="J698" s="35" t="n"/>
      <c r="K698" s="34" t="n"/>
      <c r="L698" s="26">
        <f>IF(A698="","",MONTH(A698))</f>
        <v>9</v>
      </c>
      <c r="M698" s="26">
        <f>IF(A698="","",YEAR(A698))</f>
        <v>2026</v>
      </c>
      <c r="N698" s="26" t="str">
        <f>IF(A698="","",CHOOSE(WEEKDAY(A698,2),"Segunda","Terça","Quarta","Quinta","Sexta","Sábado","Domingo"))</f>
        <v>Quarta</v>
      </c>
      <c r="O698" s="26" t="str">
        <f>IF(B698="","",IF(B698&lt;TIME(12,0,0),"Manhã",IF(B698&lt;TIME(18,0,0),"Tarde","Noite")))</f>
        <v>Tarde</v>
      </c>
      <c r="P698" s="32">
        <f>IF(G698="","",IFERROR(INDEX(Config!$I$5:$I$16,MATCH(G698,Config!$H$5:$H$16,0)),0))</f>
        <v>30</v>
      </c>
      <c r="Q698" s="30">
        <f>IF(OR(H698&lt;&gt;"Realizado",P698="",P698=0),"",A698+P698)</f>
        <v>46304.0</v>
      </c>
      <c r="R698" s="26" t="str">
        <f>IF(Q698="","",IF(COUNTIFS($E$5:$E$1204,E698,$A$5:$A$1204,"&gt;"&amp;A698,$H$5:$H$1204,"&lt;&gt;Falta",$H$5:$H$1204,"&lt;&gt;Cancelado",$H$5:$H$1204,"&lt;&gt;Remarcado")&gt;0,"Sim","Não"))</f>
        <v>Sim</v>
      </c>
      <c r="S698" s="32">
        <f>IF(R698&lt;&gt;"Não","",IF(Q698+Config!$B$9&lt;=Config!$B$8,Config!$B$8-Q698,""))</f>
        <v/>
      </c>
      <c r="T698" s="26">
        <f>IF(S698="","","Sim")</f>
        <v/>
      </c>
      <c r="U698" s="41">
        <f>IF(T698="Sim",S698+ROW()/100000,0)</f>
        <v>0</v>
      </c>
      <c r="V698" s="41">
        <f>IF(AND(H698="Falta",L698=Config!$B$7,M698=Config!$B$5,COUNTIFS($E$5:E698,E698,$H$5:H698,"Falta",$L$5:L698,Config!$B$7,$M$5:M698,Config!$B$5)=1),COUNTIFS($E$5:$E$1204,E698,$H$5:$H$1204,"Falta",$L$5:$L$1204,Config!$B$7,$M$5:$M$1204,Config!$B$5)*1000-ROW()/100000,0)</f>
        <v>0</v>
      </c>
    </row>
    <row r="699">
      <c r="A699" s="39" t="n">
        <v>46275</v>
      </c>
      <c r="B699" s="40" t="n">
        <v>0.3333333333333333</v>
      </c>
      <c r="C699" s="35" t="inlineStr">
        <is>
          <t>Dra. Carolina Mendes</t>
        </is>
      </c>
      <c r="D699" s="35" t="inlineStr">
        <is>
          <t>Sala 1</t>
        </is>
      </c>
      <c r="E699" s="34" t="inlineStr">
        <is>
          <t>Helena Moreira</t>
        </is>
      </c>
      <c r="F699" s="35" t="inlineStr">
        <is>
          <t>Particular</t>
        </is>
      </c>
      <c r="G699" s="35" t="inlineStr">
        <is>
          <t>Consulta</t>
        </is>
      </c>
      <c r="H699" s="35" t="inlineStr">
        <is>
          <t>Realizado</t>
        </is>
      </c>
      <c r="I699" s="35" t="inlineStr">
        <is>
          <t>Cartão de crédito</t>
        </is>
      </c>
      <c r="J699" s="35" t="n"/>
      <c r="K699" s="34" t="n"/>
      <c r="L699" s="26">
        <f>IF(A699="","",MONTH(A699))</f>
        <v>9</v>
      </c>
      <c r="M699" s="26">
        <f>IF(A699="","",YEAR(A699))</f>
        <v>2026</v>
      </c>
      <c r="N699" s="26" t="str">
        <f>IF(A699="","",CHOOSE(WEEKDAY(A699,2),"Segunda","Terça","Quarta","Quinta","Sexta","Sábado","Domingo"))</f>
        <v>Quinta</v>
      </c>
      <c r="O699" s="26" t="str">
        <f>IF(B699="","",IF(B699&lt;TIME(12,0,0),"Manhã",IF(B699&lt;TIME(18,0,0),"Tarde","Noite")))</f>
        <v>Manhã</v>
      </c>
      <c r="P699" s="32">
        <f>IF(G699="","",IFERROR(INDEX(Config!$I$5:$I$16,MATCH(G699,Config!$H$5:$H$16,0)),0))</f>
        <v>30</v>
      </c>
      <c r="Q699" s="30">
        <f>IF(OR(H699&lt;&gt;"Realizado",P699="",P699=0),"",A699+P699)</f>
        <v>46305.0</v>
      </c>
      <c r="R699" s="26" t="str">
        <f>IF(Q699="","",IF(COUNTIFS($E$5:$E$1204,E699,$A$5:$A$1204,"&gt;"&amp;A699,$H$5:$H$1204,"&lt;&gt;Falta",$H$5:$H$1204,"&lt;&gt;Cancelado",$H$5:$H$1204,"&lt;&gt;Remarcado")&gt;0,"Sim","Não"))</f>
        <v>Sim</v>
      </c>
      <c r="S699" s="32">
        <f>IF(R699&lt;&gt;"Não","",IF(Q699+Config!$B$9&lt;=Config!$B$8,Config!$B$8-Q699,""))</f>
        <v/>
      </c>
      <c r="T699" s="26">
        <f>IF(S699="","","Sim")</f>
        <v/>
      </c>
      <c r="U699" s="41">
        <f>IF(T699="Sim",S699+ROW()/100000,0)</f>
        <v>0</v>
      </c>
      <c r="V699" s="41">
        <f>IF(AND(H699="Falta",L699=Config!$B$7,M699=Config!$B$5,COUNTIFS($E$5:E699,E699,$H$5:H699,"Falta",$L$5:L699,Config!$B$7,$M$5:M699,Config!$B$5)=1),COUNTIFS($E$5:$E$1204,E699,$H$5:$H$1204,"Falta",$L$5:$L$1204,Config!$B$7,$M$5:$M$1204,Config!$B$5)*1000-ROW()/100000,0)</f>
        <v>0</v>
      </c>
    </row>
    <row r="700">
      <c r="A700" s="39" t="n">
        <v>46275</v>
      </c>
      <c r="B700" s="40" t="n">
        <v>0.3541666666666667</v>
      </c>
      <c r="C700" s="35" t="inlineStr">
        <is>
          <t>Dra. Carolina Mendes</t>
        </is>
      </c>
      <c r="D700" s="35" t="inlineStr">
        <is>
          <t>Sala 1</t>
        </is>
      </c>
      <c r="E700" s="34" t="inlineStr">
        <is>
          <t>Regina Macedo</t>
        </is>
      </c>
      <c r="F700" s="35" t="inlineStr">
        <is>
          <t>Particular</t>
        </is>
      </c>
      <c r="G700" s="35" t="inlineStr">
        <is>
          <t>Consulta</t>
        </is>
      </c>
      <c r="H700" s="35" t="inlineStr">
        <is>
          <t>Realizado</t>
        </is>
      </c>
      <c r="I700" s="35" t="inlineStr">
        <is>
          <t>Pix</t>
        </is>
      </c>
      <c r="J700" s="35" t="n"/>
      <c r="K700" s="34" t="n"/>
      <c r="L700" s="26">
        <f>IF(A700="","",MONTH(A700))</f>
        <v>9</v>
      </c>
      <c r="M700" s="26">
        <f>IF(A700="","",YEAR(A700))</f>
        <v>2026</v>
      </c>
      <c r="N700" s="26" t="str">
        <f>IF(A700="","",CHOOSE(WEEKDAY(A700,2),"Segunda","Terça","Quarta","Quinta","Sexta","Sábado","Domingo"))</f>
        <v>Quinta</v>
      </c>
      <c r="O700" s="26" t="str">
        <f>IF(B700="","",IF(B700&lt;TIME(12,0,0),"Manhã",IF(B700&lt;TIME(18,0,0),"Tarde","Noite")))</f>
        <v>Manhã</v>
      </c>
      <c r="P700" s="32">
        <f>IF(G700="","",IFERROR(INDEX(Config!$I$5:$I$16,MATCH(G700,Config!$H$5:$H$16,0)),0))</f>
        <v>30</v>
      </c>
      <c r="Q700" s="30">
        <f>IF(OR(H700&lt;&gt;"Realizado",P700="",P700=0),"",A700+P700)</f>
        <v>46305.0</v>
      </c>
      <c r="R700" s="26" t="str">
        <f>IF(Q700="","",IF(COUNTIFS($E$5:$E$1204,E700,$A$5:$A$1204,"&gt;"&amp;A700,$H$5:$H$1204,"&lt;&gt;Falta",$H$5:$H$1204,"&lt;&gt;Cancelado",$H$5:$H$1204,"&lt;&gt;Remarcado")&gt;0,"Sim","Não"))</f>
        <v>Sim</v>
      </c>
      <c r="S700" s="32">
        <f>IF(R700&lt;&gt;"Não","",IF(Q700+Config!$B$9&lt;=Config!$B$8,Config!$B$8-Q700,""))</f>
        <v/>
      </c>
      <c r="T700" s="26">
        <f>IF(S700="","","Sim")</f>
        <v/>
      </c>
      <c r="U700" s="41">
        <f>IF(T700="Sim",S700+ROW()/100000,0)</f>
        <v>0</v>
      </c>
      <c r="V700" s="41">
        <f>IF(AND(H700="Falta",L700=Config!$B$7,M700=Config!$B$5,COUNTIFS($E$5:E700,E700,$H$5:H700,"Falta",$L$5:L700,Config!$B$7,$M$5:M700,Config!$B$5)=1),COUNTIFS($E$5:$E$1204,E700,$H$5:$H$1204,"Falta",$L$5:$L$1204,Config!$B$7,$M$5:$M$1204,Config!$B$5)*1000-ROW()/100000,0)</f>
        <v>0</v>
      </c>
    </row>
    <row r="701">
      <c r="A701" s="39" t="n">
        <v>46275</v>
      </c>
      <c r="B701" s="40" t="n">
        <v>0.375</v>
      </c>
      <c r="C701" s="35" t="inlineStr">
        <is>
          <t>Dra. Carolina Mendes</t>
        </is>
      </c>
      <c r="D701" s="35" t="inlineStr">
        <is>
          <t>Sala 1</t>
        </is>
      </c>
      <c r="E701" s="34" t="inlineStr">
        <is>
          <t>Rafael Dias</t>
        </is>
      </c>
      <c r="F701" s="35" t="inlineStr">
        <is>
          <t>Particular</t>
        </is>
      </c>
      <c r="G701" s="35" t="inlineStr">
        <is>
          <t>Consulta</t>
        </is>
      </c>
      <c r="H701" s="35" t="inlineStr">
        <is>
          <t>Realizado</t>
        </is>
      </c>
      <c r="I701" s="35" t="inlineStr">
        <is>
          <t>Cartão de débito</t>
        </is>
      </c>
      <c r="J701" s="35" t="n"/>
      <c r="K701" s="34" t="n"/>
      <c r="L701" s="26">
        <f>IF(A701="","",MONTH(A701))</f>
        <v>9</v>
      </c>
      <c r="M701" s="26">
        <f>IF(A701="","",YEAR(A701))</f>
        <v>2026</v>
      </c>
      <c r="N701" s="26" t="str">
        <f>IF(A701="","",CHOOSE(WEEKDAY(A701,2),"Segunda","Terça","Quarta","Quinta","Sexta","Sábado","Domingo"))</f>
        <v>Quinta</v>
      </c>
      <c r="O701" s="26" t="str">
        <f>IF(B701="","",IF(B701&lt;TIME(12,0,0),"Manhã",IF(B701&lt;TIME(18,0,0),"Tarde","Noite")))</f>
        <v>Manhã</v>
      </c>
      <c r="P701" s="32">
        <f>IF(G701="","",IFERROR(INDEX(Config!$I$5:$I$16,MATCH(G701,Config!$H$5:$H$16,0)),0))</f>
        <v>30</v>
      </c>
      <c r="Q701" s="30">
        <f>IF(OR(H701&lt;&gt;"Realizado",P701="",P701=0),"",A701+P701)</f>
        <v>46305.0</v>
      </c>
      <c r="R701" s="26" t="str">
        <f>IF(Q701="","",IF(COUNTIFS($E$5:$E$1204,E701,$A$5:$A$1204,"&gt;"&amp;A701,$H$5:$H$1204,"&lt;&gt;Falta",$H$5:$H$1204,"&lt;&gt;Cancelado",$H$5:$H$1204,"&lt;&gt;Remarcado")&gt;0,"Sim","Não"))</f>
        <v>Sim</v>
      </c>
      <c r="S701" s="32">
        <f>IF(R701&lt;&gt;"Não","",IF(Q701+Config!$B$9&lt;=Config!$B$8,Config!$B$8-Q701,""))</f>
        <v/>
      </c>
      <c r="T701" s="26">
        <f>IF(S701="","","Sim")</f>
        <v/>
      </c>
      <c r="U701" s="41">
        <f>IF(T701="Sim",S701+ROW()/100000,0)</f>
        <v>0</v>
      </c>
      <c r="V701" s="41">
        <f>IF(AND(H701="Falta",L701=Config!$B$7,M701=Config!$B$5,COUNTIFS($E$5:E701,E701,$H$5:H701,"Falta",$L$5:L701,Config!$B$7,$M$5:M701,Config!$B$5)=1),COUNTIFS($E$5:$E$1204,E701,$H$5:$H$1204,"Falta",$L$5:$L$1204,Config!$B$7,$M$5:$M$1204,Config!$B$5)*1000-ROW()/100000,0)</f>
        <v>0</v>
      </c>
    </row>
    <row r="702">
      <c r="A702" s="39" t="n">
        <v>46275</v>
      </c>
      <c r="B702" s="40" t="n">
        <v>0.3958333333333333</v>
      </c>
      <c r="C702" s="35" t="inlineStr">
        <is>
          <t>Dra. Carolina Mendes</t>
        </is>
      </c>
      <c r="D702" s="35" t="inlineStr">
        <is>
          <t>Sala 1</t>
        </is>
      </c>
      <c r="E702" s="34" t="inlineStr">
        <is>
          <t>Isabela Nascimento</t>
        </is>
      </c>
      <c r="F702" s="35" t="inlineStr">
        <is>
          <t>Vida Care</t>
        </is>
      </c>
      <c r="G702" s="35" t="inlineStr">
        <is>
          <t>Consulta</t>
        </is>
      </c>
      <c r="H702" s="35" t="inlineStr">
        <is>
          <t>Realizado</t>
        </is>
      </c>
      <c r="I702" s="35" t="inlineStr">
        <is>
          <t>Convênio</t>
        </is>
      </c>
      <c r="J702" s="35" t="n"/>
      <c r="K702" s="34" t="n"/>
      <c r="L702" s="26">
        <f>IF(A702="","",MONTH(A702))</f>
        <v>9</v>
      </c>
      <c r="M702" s="26">
        <f>IF(A702="","",YEAR(A702))</f>
        <v>2026</v>
      </c>
      <c r="N702" s="26" t="str">
        <f>IF(A702="","",CHOOSE(WEEKDAY(A702,2),"Segunda","Terça","Quarta","Quinta","Sexta","Sábado","Domingo"))</f>
        <v>Quinta</v>
      </c>
      <c r="O702" s="26" t="str">
        <f>IF(B702="","",IF(B702&lt;TIME(12,0,0),"Manhã",IF(B702&lt;TIME(18,0,0),"Tarde","Noite")))</f>
        <v>Manhã</v>
      </c>
      <c r="P702" s="32">
        <f>IF(G702="","",IFERROR(INDEX(Config!$I$5:$I$16,MATCH(G702,Config!$H$5:$H$16,0)),0))</f>
        <v>30</v>
      </c>
      <c r="Q702" s="30">
        <f>IF(OR(H702&lt;&gt;"Realizado",P702="",P702=0),"",A702+P702)</f>
        <v>46305.0</v>
      </c>
      <c r="R702" s="26" t="str">
        <f>IF(Q702="","",IF(COUNTIFS($E$5:$E$1204,E702,$A$5:$A$1204,"&gt;"&amp;A702,$H$5:$H$1204,"&lt;&gt;Falta",$H$5:$H$1204,"&lt;&gt;Cancelado",$H$5:$H$1204,"&lt;&gt;Remarcado")&gt;0,"Sim","Não"))</f>
        <v>Sim</v>
      </c>
      <c r="S702" s="32">
        <f>IF(R702&lt;&gt;"Não","",IF(Q702+Config!$B$9&lt;=Config!$B$8,Config!$B$8-Q702,""))</f>
        <v/>
      </c>
      <c r="T702" s="26">
        <f>IF(S702="","","Sim")</f>
        <v/>
      </c>
      <c r="U702" s="41">
        <f>IF(T702="Sim",S702+ROW()/100000,0)</f>
        <v>0</v>
      </c>
      <c r="V702" s="41">
        <f>IF(AND(H702="Falta",L702=Config!$B$7,M702=Config!$B$5,COUNTIFS($E$5:E702,E702,$H$5:H702,"Falta",$L$5:L702,Config!$B$7,$M$5:M702,Config!$B$5)=1),COUNTIFS($E$5:$E$1204,E702,$H$5:$H$1204,"Falta",$L$5:$L$1204,Config!$B$7,$M$5:$M$1204,Config!$B$5)*1000-ROW()/100000,0)</f>
        <v>0</v>
      </c>
    </row>
    <row r="703">
      <c r="A703" s="39" t="n">
        <v>46275</v>
      </c>
      <c r="B703" s="40" t="n">
        <v>0.4166666666666667</v>
      </c>
      <c r="C703" s="35" t="inlineStr">
        <is>
          <t>Dra. Carolina Mendes</t>
        </is>
      </c>
      <c r="D703" s="35" t="inlineStr">
        <is>
          <t>Sala 1</t>
        </is>
      </c>
      <c r="E703" s="34" t="inlineStr">
        <is>
          <t>Larissa Costa</t>
        </is>
      </c>
      <c r="F703" s="35" t="inlineStr">
        <is>
          <t>Particular</t>
        </is>
      </c>
      <c r="G703" s="35" t="inlineStr">
        <is>
          <t>Consulta</t>
        </is>
      </c>
      <c r="H703" s="35" t="inlineStr">
        <is>
          <t>Realizado</t>
        </is>
      </c>
      <c r="I703" s="35" t="inlineStr">
        <is>
          <t>A prazo</t>
        </is>
      </c>
      <c r="J703" s="35" t="n"/>
      <c r="K703" s="34" t="n"/>
      <c r="L703" s="26">
        <f>IF(A703="","",MONTH(A703))</f>
        <v>9</v>
      </c>
      <c r="M703" s="26">
        <f>IF(A703="","",YEAR(A703))</f>
        <v>2026</v>
      </c>
      <c r="N703" s="26" t="str">
        <f>IF(A703="","",CHOOSE(WEEKDAY(A703,2),"Segunda","Terça","Quarta","Quinta","Sexta","Sábado","Domingo"))</f>
        <v>Quinta</v>
      </c>
      <c r="O703" s="26" t="str">
        <f>IF(B703="","",IF(B703&lt;TIME(12,0,0),"Manhã",IF(B703&lt;TIME(18,0,0),"Tarde","Noite")))</f>
        <v>Manhã</v>
      </c>
      <c r="P703" s="32">
        <f>IF(G703="","",IFERROR(INDEX(Config!$I$5:$I$16,MATCH(G703,Config!$H$5:$H$16,0)),0))</f>
        <v>30</v>
      </c>
      <c r="Q703" s="30">
        <f>IF(OR(H703&lt;&gt;"Realizado",P703="",P703=0),"",A703+P703)</f>
        <v>46305.0</v>
      </c>
      <c r="R703" s="26" t="str">
        <f>IF(Q703="","",IF(COUNTIFS($E$5:$E$1204,E703,$A$5:$A$1204,"&gt;"&amp;A703,$H$5:$H$1204,"&lt;&gt;Falta",$H$5:$H$1204,"&lt;&gt;Cancelado",$H$5:$H$1204,"&lt;&gt;Remarcado")&gt;0,"Sim","Não"))</f>
        <v>Sim</v>
      </c>
      <c r="S703" s="32">
        <f>IF(R703&lt;&gt;"Não","",IF(Q703+Config!$B$9&lt;=Config!$B$8,Config!$B$8-Q703,""))</f>
        <v/>
      </c>
      <c r="T703" s="26">
        <f>IF(S703="","","Sim")</f>
        <v/>
      </c>
      <c r="U703" s="41">
        <f>IF(T703="Sim",S703+ROW()/100000,0)</f>
        <v>0</v>
      </c>
      <c r="V703" s="41">
        <f>IF(AND(H703="Falta",L703=Config!$B$7,M703=Config!$B$5,COUNTIFS($E$5:E703,E703,$H$5:H703,"Falta",$L$5:L703,Config!$B$7,$M$5:M703,Config!$B$5)=1),COUNTIFS($E$5:$E$1204,E703,$H$5:$H$1204,"Falta",$L$5:$L$1204,Config!$B$7,$M$5:$M$1204,Config!$B$5)*1000-ROW()/100000,0)</f>
        <v>0</v>
      </c>
    </row>
    <row r="704">
      <c r="A704" s="39" t="n">
        <v>46275</v>
      </c>
      <c r="B704" s="40" t="n">
        <v>0.4375</v>
      </c>
      <c r="C704" s="35" t="inlineStr">
        <is>
          <t>Dra. Carolina Mendes</t>
        </is>
      </c>
      <c r="D704" s="35" t="inlineStr">
        <is>
          <t>Sala 1</t>
        </is>
      </c>
      <c r="E704" s="34" t="inlineStr">
        <is>
          <t>Sérgio Batista</t>
        </is>
      </c>
      <c r="F704" s="35" t="inlineStr">
        <is>
          <t>MediPlan</t>
        </is>
      </c>
      <c r="G704" s="35" t="inlineStr">
        <is>
          <t>Consulta</t>
        </is>
      </c>
      <c r="H704" s="35" t="inlineStr">
        <is>
          <t>Realizado</t>
        </is>
      </c>
      <c r="I704" s="35" t="inlineStr">
        <is>
          <t>Convênio</t>
        </is>
      </c>
      <c r="J704" s="35" t="n"/>
      <c r="K704" s="34" t="n"/>
      <c r="L704" s="26">
        <f>IF(A704="","",MONTH(A704))</f>
        <v>9</v>
      </c>
      <c r="M704" s="26">
        <f>IF(A704="","",YEAR(A704))</f>
        <v>2026</v>
      </c>
      <c r="N704" s="26" t="str">
        <f>IF(A704="","",CHOOSE(WEEKDAY(A704,2),"Segunda","Terça","Quarta","Quinta","Sexta","Sábado","Domingo"))</f>
        <v>Quinta</v>
      </c>
      <c r="O704" s="26" t="str">
        <f>IF(B704="","",IF(B704&lt;TIME(12,0,0),"Manhã",IF(B704&lt;TIME(18,0,0),"Tarde","Noite")))</f>
        <v>Manhã</v>
      </c>
      <c r="P704" s="32">
        <f>IF(G704="","",IFERROR(INDEX(Config!$I$5:$I$16,MATCH(G704,Config!$H$5:$H$16,0)),0))</f>
        <v>30</v>
      </c>
      <c r="Q704" s="30">
        <f>IF(OR(H704&lt;&gt;"Realizado",P704="",P704=0),"",A704+P704)</f>
        <v>46305.0</v>
      </c>
      <c r="R704" s="26" t="str">
        <f>IF(Q704="","",IF(COUNTIFS($E$5:$E$1204,E704,$A$5:$A$1204,"&gt;"&amp;A704,$H$5:$H$1204,"&lt;&gt;Falta",$H$5:$H$1204,"&lt;&gt;Cancelado",$H$5:$H$1204,"&lt;&gt;Remarcado")&gt;0,"Sim","Não"))</f>
        <v>Sim</v>
      </c>
      <c r="S704" s="32">
        <f>IF(R704&lt;&gt;"Não","",IF(Q704+Config!$B$9&lt;=Config!$B$8,Config!$B$8-Q704,""))</f>
        <v/>
      </c>
      <c r="T704" s="26">
        <f>IF(S704="","","Sim")</f>
        <v/>
      </c>
      <c r="U704" s="41">
        <f>IF(T704="Sim",S704+ROW()/100000,0)</f>
        <v>0</v>
      </c>
      <c r="V704" s="41">
        <f>IF(AND(H704="Falta",L704=Config!$B$7,M704=Config!$B$5,COUNTIFS($E$5:E704,E704,$H$5:H704,"Falta",$L$5:L704,Config!$B$7,$M$5:M704,Config!$B$5)=1),COUNTIFS($E$5:$E$1204,E704,$H$5:$H$1204,"Falta",$L$5:$L$1204,Config!$B$7,$M$5:$M$1204,Config!$B$5)*1000-ROW()/100000,0)</f>
        <v>0</v>
      </c>
    </row>
    <row r="705">
      <c r="A705" s="39" t="n">
        <v>46275</v>
      </c>
      <c r="B705" s="40" t="n">
        <v>0.4583333333333333</v>
      </c>
      <c r="C705" s="35" t="inlineStr">
        <is>
          <t>Dra. Carolina Mendes</t>
        </is>
      </c>
      <c r="D705" s="35" t="inlineStr">
        <is>
          <t>Sala 1</t>
        </is>
      </c>
      <c r="E705" s="34" t="inlineStr">
        <is>
          <t>Mateus Lima</t>
        </is>
      </c>
      <c r="F705" s="35" t="inlineStr">
        <is>
          <t>MediPlan</t>
        </is>
      </c>
      <c r="G705" s="35" t="inlineStr">
        <is>
          <t>Consulta</t>
        </is>
      </c>
      <c r="H705" s="35" t="inlineStr">
        <is>
          <t>Realizado</t>
        </is>
      </c>
      <c r="I705" s="35" t="inlineStr">
        <is>
          <t>Convênio</t>
        </is>
      </c>
      <c r="J705" s="35" t="n"/>
      <c r="K705" s="34" t="n"/>
      <c r="L705" s="26">
        <f>IF(A705="","",MONTH(A705))</f>
        <v>9</v>
      </c>
      <c r="M705" s="26">
        <f>IF(A705="","",YEAR(A705))</f>
        <v>2026</v>
      </c>
      <c r="N705" s="26" t="str">
        <f>IF(A705="","",CHOOSE(WEEKDAY(A705,2),"Segunda","Terça","Quarta","Quinta","Sexta","Sábado","Domingo"))</f>
        <v>Quinta</v>
      </c>
      <c r="O705" s="26" t="str">
        <f>IF(B705="","",IF(B705&lt;TIME(12,0,0),"Manhã",IF(B705&lt;TIME(18,0,0),"Tarde","Noite")))</f>
        <v>Manhã</v>
      </c>
      <c r="P705" s="32">
        <f>IF(G705="","",IFERROR(INDEX(Config!$I$5:$I$16,MATCH(G705,Config!$H$5:$H$16,0)),0))</f>
        <v>30</v>
      </c>
      <c r="Q705" s="30">
        <f>IF(OR(H705&lt;&gt;"Realizado",P705="",P705=0),"",A705+P705)</f>
        <v>46305.0</v>
      </c>
      <c r="R705" s="26" t="str">
        <f>IF(Q705="","",IF(COUNTIFS($E$5:$E$1204,E705,$A$5:$A$1204,"&gt;"&amp;A705,$H$5:$H$1204,"&lt;&gt;Falta",$H$5:$H$1204,"&lt;&gt;Cancelado",$H$5:$H$1204,"&lt;&gt;Remarcado")&gt;0,"Sim","Não"))</f>
        <v>Sim</v>
      </c>
      <c r="S705" s="32">
        <f>IF(R705&lt;&gt;"Não","",IF(Q705+Config!$B$9&lt;=Config!$B$8,Config!$B$8-Q705,""))</f>
        <v/>
      </c>
      <c r="T705" s="26">
        <f>IF(S705="","","Sim")</f>
        <v/>
      </c>
      <c r="U705" s="41">
        <f>IF(T705="Sim",S705+ROW()/100000,0)</f>
        <v>0</v>
      </c>
      <c r="V705" s="41">
        <f>IF(AND(H705="Falta",L705=Config!$B$7,M705=Config!$B$5,COUNTIFS($E$5:E705,E705,$H$5:H705,"Falta",$L$5:L705,Config!$B$7,$M$5:M705,Config!$B$5)=1),COUNTIFS($E$5:$E$1204,E705,$H$5:$H$1204,"Falta",$L$5:$L$1204,Config!$B$7,$M$5:$M$1204,Config!$B$5)*1000-ROW()/100000,0)</f>
        <v>0</v>
      </c>
    </row>
    <row r="706">
      <c r="A706" s="39" t="n">
        <v>46275</v>
      </c>
      <c r="B706" s="40" t="n">
        <v>0.4791666666666667</v>
      </c>
      <c r="C706" s="35" t="inlineStr">
        <is>
          <t>Dra. Carolina Mendes</t>
        </is>
      </c>
      <c r="D706" s="35" t="inlineStr">
        <is>
          <t>Sala 1</t>
        </is>
      </c>
      <c r="E706" s="34" t="inlineStr">
        <is>
          <t>Mônica Batista</t>
        </is>
      </c>
      <c r="F706" s="35" t="inlineStr">
        <is>
          <t>MediPlan</t>
        </is>
      </c>
      <c r="G706" s="35" t="inlineStr">
        <is>
          <t>Consulta</t>
        </is>
      </c>
      <c r="H706" s="35" t="inlineStr">
        <is>
          <t>Realizado</t>
        </is>
      </c>
      <c r="I706" s="35" t="inlineStr">
        <is>
          <t>Convênio</t>
        </is>
      </c>
      <c r="J706" s="35" t="n"/>
      <c r="K706" s="34" t="n"/>
      <c r="L706" s="26">
        <f>IF(A706="","",MONTH(A706))</f>
        <v>9</v>
      </c>
      <c r="M706" s="26">
        <f>IF(A706="","",YEAR(A706))</f>
        <v>2026</v>
      </c>
      <c r="N706" s="26" t="str">
        <f>IF(A706="","",CHOOSE(WEEKDAY(A706,2),"Segunda","Terça","Quarta","Quinta","Sexta","Sábado","Domingo"))</f>
        <v>Quinta</v>
      </c>
      <c r="O706" s="26" t="str">
        <f>IF(B706="","",IF(B706&lt;TIME(12,0,0),"Manhã",IF(B706&lt;TIME(18,0,0),"Tarde","Noite")))</f>
        <v>Manhã</v>
      </c>
      <c r="P706" s="32">
        <f>IF(G706="","",IFERROR(INDEX(Config!$I$5:$I$16,MATCH(G706,Config!$H$5:$H$16,0)),0))</f>
        <v>30</v>
      </c>
      <c r="Q706" s="30">
        <f>IF(OR(H706&lt;&gt;"Realizado",P706="",P706=0),"",A706+P706)</f>
        <v>46305.0</v>
      </c>
      <c r="R706" s="26" t="str">
        <f>IF(Q706="","",IF(COUNTIFS($E$5:$E$1204,E706,$A$5:$A$1204,"&gt;"&amp;A706,$H$5:$H$1204,"&lt;&gt;Falta",$H$5:$H$1204,"&lt;&gt;Cancelado",$H$5:$H$1204,"&lt;&gt;Remarcado")&gt;0,"Sim","Não"))</f>
        <v>Sim</v>
      </c>
      <c r="S706" s="32">
        <f>IF(R706&lt;&gt;"Não","",IF(Q706+Config!$B$9&lt;=Config!$B$8,Config!$B$8-Q706,""))</f>
        <v/>
      </c>
      <c r="T706" s="26">
        <f>IF(S706="","","Sim")</f>
        <v/>
      </c>
      <c r="U706" s="41">
        <f>IF(T706="Sim",S706+ROW()/100000,0)</f>
        <v>0</v>
      </c>
      <c r="V706" s="41">
        <f>IF(AND(H706="Falta",L706=Config!$B$7,M706=Config!$B$5,COUNTIFS($E$5:E706,E706,$H$5:H706,"Falta",$L$5:L706,Config!$B$7,$M$5:M706,Config!$B$5)=1),COUNTIFS($E$5:$E$1204,E706,$H$5:$H$1204,"Falta",$L$5:$L$1204,Config!$B$7,$M$5:$M$1204,Config!$B$5)*1000-ROW()/100000,0)</f>
        <v>0</v>
      </c>
    </row>
    <row r="707">
      <c r="A707" s="39" t="n">
        <v>46275</v>
      </c>
      <c r="B707" s="40" t="n">
        <v>0.5833333333333334</v>
      </c>
      <c r="C707" s="35" t="inlineStr">
        <is>
          <t>Dra. Renata Sousa</t>
        </is>
      </c>
      <c r="D707" s="35" t="inlineStr">
        <is>
          <t>Sala 1</t>
        </is>
      </c>
      <c r="E707" s="34" t="inlineStr">
        <is>
          <t>Priscila Reis</t>
        </is>
      </c>
      <c r="F707" s="35" t="inlineStr">
        <is>
          <t>Particular</t>
        </is>
      </c>
      <c r="G707" s="35" t="inlineStr">
        <is>
          <t>Retorno</t>
        </is>
      </c>
      <c r="H707" s="35" t="inlineStr">
        <is>
          <t>Realizado</t>
        </is>
      </c>
      <c r="I707" s="35" t="inlineStr">
        <is>
          <t>Sem cobrança</t>
        </is>
      </c>
      <c r="J707" s="35" t="n"/>
      <c r="K707" s="34" t="n"/>
      <c r="L707" s="26">
        <f>IF(A707="","",MONTH(A707))</f>
        <v>9</v>
      </c>
      <c r="M707" s="26">
        <f>IF(A707="","",YEAR(A707))</f>
        <v>2026</v>
      </c>
      <c r="N707" s="26" t="str">
        <f>IF(A707="","",CHOOSE(WEEKDAY(A707,2),"Segunda","Terça","Quarta","Quinta","Sexta","Sábado","Domingo"))</f>
        <v>Quinta</v>
      </c>
      <c r="O707" s="26" t="str">
        <f>IF(B707="","",IF(B707&lt;TIME(12,0,0),"Manhã",IF(B707&lt;TIME(18,0,0),"Tarde","Noite")))</f>
        <v>Tarde</v>
      </c>
      <c r="P707" s="32">
        <f>IF(G707="","",IFERROR(INDEX(Config!$I$5:$I$16,MATCH(G707,Config!$H$5:$H$16,0)),0))</f>
        <v>0</v>
      </c>
      <c r="Q707" s="30">
        <f>IF(OR(H707&lt;&gt;"Realizado",P707="",P707=0),"",A707+P707)</f>
        <v/>
      </c>
      <c r="R707" s="26">
        <f>IF(Q707="","",IF(COUNTIFS($E$5:$E$1204,E707,$A$5:$A$1204,"&gt;"&amp;A707,$H$5:$H$1204,"&lt;&gt;Falta",$H$5:$H$1204,"&lt;&gt;Cancelado",$H$5:$H$1204,"&lt;&gt;Remarcado")&gt;0,"Sim","Não"))</f>
        <v/>
      </c>
      <c r="S707" s="32">
        <f>IF(R707&lt;&gt;"Não","",IF(Q707+Config!$B$9&lt;=Config!$B$8,Config!$B$8-Q707,""))</f>
        <v/>
      </c>
      <c r="T707" s="26">
        <f>IF(S707="","","Sim")</f>
        <v/>
      </c>
      <c r="U707" s="41">
        <f>IF(T707="Sim",S707+ROW()/100000,0)</f>
        <v>0</v>
      </c>
      <c r="V707" s="41">
        <f>IF(AND(H707="Falta",L707=Config!$B$7,M707=Config!$B$5,COUNTIFS($E$5:E707,E707,$H$5:H707,"Falta",$L$5:L707,Config!$B$7,$M$5:M707,Config!$B$5)=1),COUNTIFS($E$5:$E$1204,E707,$H$5:$H$1204,"Falta",$L$5:$L$1204,Config!$B$7,$M$5:$M$1204,Config!$B$5)*1000-ROW()/100000,0)</f>
        <v>0</v>
      </c>
    </row>
    <row r="708">
      <c r="A708" s="39" t="n">
        <v>46275</v>
      </c>
      <c r="B708" s="40" t="n">
        <v>0.5833333333333334</v>
      </c>
      <c r="C708" s="35" t="inlineStr">
        <is>
          <t>Dr. Paulo Andrade</t>
        </is>
      </c>
      <c r="D708" s="35" t="inlineStr">
        <is>
          <t>Sala 2</t>
        </is>
      </c>
      <c r="E708" s="34" t="inlineStr">
        <is>
          <t>Gabriel Vieira</t>
        </is>
      </c>
      <c r="F708" s="35" t="inlineStr">
        <is>
          <t>Vida Care</t>
        </is>
      </c>
      <c r="G708" s="35" t="inlineStr">
        <is>
          <t>Retorno</t>
        </is>
      </c>
      <c r="H708" s="35" t="inlineStr">
        <is>
          <t>Realizado</t>
        </is>
      </c>
      <c r="I708" s="35" t="inlineStr">
        <is>
          <t>Sem cobrança</t>
        </is>
      </c>
      <c r="J708" s="35" t="n"/>
      <c r="K708" s="34" t="n"/>
      <c r="L708" s="26">
        <f>IF(A708="","",MONTH(A708))</f>
        <v>9</v>
      </c>
      <c r="M708" s="26">
        <f>IF(A708="","",YEAR(A708))</f>
        <v>2026</v>
      </c>
      <c r="N708" s="26" t="str">
        <f>IF(A708="","",CHOOSE(WEEKDAY(A708,2),"Segunda","Terça","Quarta","Quinta","Sexta","Sábado","Domingo"))</f>
        <v>Quinta</v>
      </c>
      <c r="O708" s="26" t="str">
        <f>IF(B708="","",IF(B708&lt;TIME(12,0,0),"Manhã",IF(B708&lt;TIME(18,0,0),"Tarde","Noite")))</f>
        <v>Tarde</v>
      </c>
      <c r="P708" s="32">
        <f>IF(G708="","",IFERROR(INDEX(Config!$I$5:$I$16,MATCH(G708,Config!$H$5:$H$16,0)),0))</f>
        <v>0</v>
      </c>
      <c r="Q708" s="30">
        <f>IF(OR(H708&lt;&gt;"Realizado",P708="",P708=0),"",A708+P708)</f>
        <v/>
      </c>
      <c r="R708" s="26">
        <f>IF(Q708="","",IF(COUNTIFS($E$5:$E$1204,E708,$A$5:$A$1204,"&gt;"&amp;A708,$H$5:$H$1204,"&lt;&gt;Falta",$H$5:$H$1204,"&lt;&gt;Cancelado",$H$5:$H$1204,"&lt;&gt;Remarcado")&gt;0,"Sim","Não"))</f>
        <v/>
      </c>
      <c r="S708" s="32">
        <f>IF(R708&lt;&gt;"Não","",IF(Q708+Config!$B$9&lt;=Config!$B$8,Config!$B$8-Q708,""))</f>
        <v/>
      </c>
      <c r="T708" s="26">
        <f>IF(S708="","","Sim")</f>
        <v/>
      </c>
      <c r="U708" s="41">
        <f>IF(T708="Sim",S708+ROW()/100000,0)</f>
        <v>0</v>
      </c>
      <c r="V708" s="41">
        <f>IF(AND(H708="Falta",L708=Config!$B$7,M708=Config!$B$5,COUNTIFS($E$5:E708,E708,$H$5:H708,"Falta",$L$5:L708,Config!$B$7,$M$5:M708,Config!$B$5)=1),COUNTIFS($E$5:$E$1204,E708,$H$5:$H$1204,"Falta",$L$5:$L$1204,Config!$B$7,$M$5:$M$1204,Config!$B$5)*1000-ROW()/100000,0)</f>
        <v>0</v>
      </c>
    </row>
    <row r="709">
      <c r="A709" s="39" t="n">
        <v>46275</v>
      </c>
      <c r="B709" s="40" t="n">
        <v>0.5972222222222222</v>
      </c>
      <c r="C709" s="35" t="inlineStr">
        <is>
          <t>Dra. Renata Sousa</t>
        </is>
      </c>
      <c r="D709" s="35" t="inlineStr">
        <is>
          <t>Sala 1</t>
        </is>
      </c>
      <c r="E709" s="34" t="inlineStr">
        <is>
          <t>Rodrigo Cardoso</t>
        </is>
      </c>
      <c r="F709" s="35" t="inlineStr">
        <is>
          <t>Saúde Total</t>
        </is>
      </c>
      <c r="G709" s="35" t="inlineStr">
        <is>
          <t>Avaliação endócrina</t>
        </is>
      </c>
      <c r="H709" s="35" t="inlineStr">
        <is>
          <t>Realizado</t>
        </is>
      </c>
      <c r="I709" s="35" t="inlineStr">
        <is>
          <t>Convênio</t>
        </is>
      </c>
      <c r="J709" s="35" t="n"/>
      <c r="K709" s="34" t="n"/>
      <c r="L709" s="26">
        <f>IF(A709="","",MONTH(A709))</f>
        <v>9</v>
      </c>
      <c r="M709" s="26">
        <f>IF(A709="","",YEAR(A709))</f>
        <v>2026</v>
      </c>
      <c r="N709" s="26" t="str">
        <f>IF(A709="","",CHOOSE(WEEKDAY(A709,2),"Segunda","Terça","Quarta","Quinta","Sexta","Sábado","Domingo"))</f>
        <v>Quinta</v>
      </c>
      <c r="O709" s="26" t="str">
        <f>IF(B709="","",IF(B709&lt;TIME(12,0,0),"Manhã",IF(B709&lt;TIME(18,0,0),"Tarde","Noite")))</f>
        <v>Tarde</v>
      </c>
      <c r="P709" s="32">
        <f>IF(G709="","",IFERROR(INDEX(Config!$I$5:$I$16,MATCH(G709,Config!$H$5:$H$16,0)),0))</f>
        <v>45</v>
      </c>
      <c r="Q709" s="30">
        <f>IF(OR(H709&lt;&gt;"Realizado",P709="",P709=0),"",A709+P709)</f>
        <v>46320.0</v>
      </c>
      <c r="R709" s="26" t="str">
        <f>IF(Q709="","",IF(COUNTIFS($E$5:$E$1204,E709,$A$5:$A$1204,"&gt;"&amp;A709,$H$5:$H$1204,"&lt;&gt;Falta",$H$5:$H$1204,"&lt;&gt;Cancelado",$H$5:$H$1204,"&lt;&gt;Remarcado")&gt;0,"Sim","Não"))</f>
        <v>Sim</v>
      </c>
      <c r="S709" s="32">
        <f>IF(R709&lt;&gt;"Não","",IF(Q709+Config!$B$9&lt;=Config!$B$8,Config!$B$8-Q709,""))</f>
        <v/>
      </c>
      <c r="T709" s="26">
        <f>IF(S709="","","Sim")</f>
        <v/>
      </c>
      <c r="U709" s="41">
        <f>IF(T709="Sim",S709+ROW()/100000,0)</f>
        <v>0</v>
      </c>
      <c r="V709" s="41">
        <f>IF(AND(H709="Falta",L709=Config!$B$7,M709=Config!$B$5,COUNTIFS($E$5:E709,E709,$H$5:H709,"Falta",$L$5:L709,Config!$B$7,$M$5:M709,Config!$B$5)=1),COUNTIFS($E$5:$E$1204,E709,$H$5:$H$1204,"Falta",$L$5:$L$1204,Config!$B$7,$M$5:$M$1204,Config!$B$5)*1000-ROW()/100000,0)</f>
        <v>0</v>
      </c>
    </row>
    <row r="710">
      <c r="A710" s="39" t="n">
        <v>46275</v>
      </c>
      <c r="B710" s="40" t="n">
        <v>0.625</v>
      </c>
      <c r="C710" s="35" t="inlineStr">
        <is>
          <t>Dra. Renata Sousa</t>
        </is>
      </c>
      <c r="D710" s="35" t="inlineStr">
        <is>
          <t>Sala 1</t>
        </is>
      </c>
      <c r="E710" s="34" t="inlineStr">
        <is>
          <t>Mônica Almeida</t>
        </is>
      </c>
      <c r="F710" s="35" t="inlineStr">
        <is>
          <t>Particular</t>
        </is>
      </c>
      <c r="G710" s="35" t="inlineStr">
        <is>
          <t>Avaliação endócrina</t>
        </is>
      </c>
      <c r="H710" s="35" t="inlineStr">
        <is>
          <t>Realizado</t>
        </is>
      </c>
      <c r="I710" s="35" t="inlineStr">
        <is>
          <t>Pix</t>
        </is>
      </c>
      <c r="J710" s="35" t="n"/>
      <c r="K710" s="34" t="n"/>
      <c r="L710" s="26">
        <f>IF(A710="","",MONTH(A710))</f>
        <v>9</v>
      </c>
      <c r="M710" s="26">
        <f>IF(A710="","",YEAR(A710))</f>
        <v>2026</v>
      </c>
      <c r="N710" s="26" t="str">
        <f>IF(A710="","",CHOOSE(WEEKDAY(A710,2),"Segunda","Terça","Quarta","Quinta","Sexta","Sábado","Domingo"))</f>
        <v>Quinta</v>
      </c>
      <c r="O710" s="26" t="str">
        <f>IF(B710="","",IF(B710&lt;TIME(12,0,0),"Manhã",IF(B710&lt;TIME(18,0,0),"Tarde","Noite")))</f>
        <v>Tarde</v>
      </c>
      <c r="P710" s="32">
        <f>IF(G710="","",IFERROR(INDEX(Config!$I$5:$I$16,MATCH(G710,Config!$H$5:$H$16,0)),0))</f>
        <v>45</v>
      </c>
      <c r="Q710" s="30">
        <f>IF(OR(H710&lt;&gt;"Realizado",P710="",P710=0),"",A710+P710)</f>
        <v>46320.0</v>
      </c>
      <c r="R710" s="26" t="str">
        <f>IF(Q710="","",IF(COUNTIFS($E$5:$E$1204,E710,$A$5:$A$1204,"&gt;"&amp;A710,$H$5:$H$1204,"&lt;&gt;Falta",$H$5:$H$1204,"&lt;&gt;Cancelado",$H$5:$H$1204,"&lt;&gt;Remarcado")&gt;0,"Sim","Não"))</f>
        <v>Sim</v>
      </c>
      <c r="S710" s="32">
        <f>IF(R710&lt;&gt;"Não","",IF(Q710+Config!$B$9&lt;=Config!$B$8,Config!$B$8-Q710,""))</f>
        <v/>
      </c>
      <c r="T710" s="26">
        <f>IF(S710="","","Sim")</f>
        <v/>
      </c>
      <c r="U710" s="41">
        <f>IF(T710="Sim",S710+ROW()/100000,0)</f>
        <v>0</v>
      </c>
      <c r="V710" s="41">
        <f>IF(AND(H710="Falta",L710=Config!$B$7,M710=Config!$B$5,COUNTIFS($E$5:E710,E710,$H$5:H710,"Falta",$L$5:L710,Config!$B$7,$M$5:M710,Config!$B$5)=1),COUNTIFS($E$5:$E$1204,E710,$H$5:$H$1204,"Falta",$L$5:$L$1204,Config!$B$7,$M$5:$M$1204,Config!$B$5)*1000-ROW()/100000,0)</f>
        <v>0</v>
      </c>
    </row>
    <row r="711">
      <c r="A711" s="39" t="n">
        <v>46275</v>
      </c>
      <c r="B711" s="40" t="n">
        <v>0.6527777777777778</v>
      </c>
      <c r="C711" s="35" t="inlineStr">
        <is>
          <t>Dra. Renata Sousa</t>
        </is>
      </c>
      <c r="D711" s="35" t="inlineStr">
        <is>
          <t>Sala 1</t>
        </is>
      </c>
      <c r="E711" s="34" t="inlineStr">
        <is>
          <t>Tatiana Macedo</t>
        </is>
      </c>
      <c r="F711" s="35" t="inlineStr">
        <is>
          <t>Particular</t>
        </is>
      </c>
      <c r="G711" s="35" t="inlineStr">
        <is>
          <t>Avaliação endócrina</t>
        </is>
      </c>
      <c r="H711" s="35" t="inlineStr">
        <is>
          <t>Realizado</t>
        </is>
      </c>
      <c r="I711" s="35" t="inlineStr">
        <is>
          <t>A prazo</t>
        </is>
      </c>
      <c r="J711" s="35" t="n"/>
      <c r="K711" s="34" t="n"/>
      <c r="L711" s="26">
        <f>IF(A711="","",MONTH(A711))</f>
        <v>9</v>
      </c>
      <c r="M711" s="26">
        <f>IF(A711="","",YEAR(A711))</f>
        <v>2026</v>
      </c>
      <c r="N711" s="26" t="str">
        <f>IF(A711="","",CHOOSE(WEEKDAY(A711,2),"Segunda","Terça","Quarta","Quinta","Sexta","Sábado","Domingo"))</f>
        <v>Quinta</v>
      </c>
      <c r="O711" s="26" t="str">
        <f>IF(B711="","",IF(B711&lt;TIME(12,0,0),"Manhã",IF(B711&lt;TIME(18,0,0),"Tarde","Noite")))</f>
        <v>Tarde</v>
      </c>
      <c r="P711" s="32">
        <f>IF(G711="","",IFERROR(INDEX(Config!$I$5:$I$16,MATCH(G711,Config!$H$5:$H$16,0)),0))</f>
        <v>45</v>
      </c>
      <c r="Q711" s="30">
        <f>IF(OR(H711&lt;&gt;"Realizado",P711="",P711=0),"",A711+P711)</f>
        <v>46320.0</v>
      </c>
      <c r="R711" s="26" t="str">
        <f>IF(Q711="","",IF(COUNTIFS($E$5:$E$1204,E711,$A$5:$A$1204,"&gt;"&amp;A711,$H$5:$H$1204,"&lt;&gt;Falta",$H$5:$H$1204,"&lt;&gt;Cancelado",$H$5:$H$1204,"&lt;&gt;Remarcado")&gt;0,"Sim","Não"))</f>
        <v>Sim</v>
      </c>
      <c r="S711" s="32">
        <f>IF(R711&lt;&gt;"Não","",IF(Q711+Config!$B$9&lt;=Config!$B$8,Config!$B$8-Q711,""))</f>
        <v/>
      </c>
      <c r="T711" s="26">
        <f>IF(S711="","","Sim")</f>
        <v/>
      </c>
      <c r="U711" s="41">
        <f>IF(T711="Sim",S711+ROW()/100000,0)</f>
        <v>0</v>
      </c>
      <c r="V711" s="41">
        <f>IF(AND(H711="Falta",L711=Config!$B$7,M711=Config!$B$5,COUNTIFS($E$5:E711,E711,$H$5:H711,"Falta",$L$5:L711,Config!$B$7,$M$5:M711,Config!$B$5)=1),COUNTIFS($E$5:$E$1204,E711,$H$5:$H$1204,"Falta",$L$5:$L$1204,Config!$B$7,$M$5:$M$1204,Config!$B$5)*1000-ROW()/100000,0)</f>
        <v>0</v>
      </c>
    </row>
    <row r="712">
      <c r="A712" s="39" t="n">
        <v>46275</v>
      </c>
      <c r="B712" s="40" t="n">
        <v>0.6805555555555556</v>
      </c>
      <c r="C712" s="35" t="inlineStr">
        <is>
          <t>Dra. Renata Sousa</t>
        </is>
      </c>
      <c r="D712" s="35" t="inlineStr">
        <is>
          <t>Sala 1</t>
        </is>
      </c>
      <c r="E712" s="34" t="inlineStr">
        <is>
          <t>Cláudia Melo</t>
        </is>
      </c>
      <c r="F712" s="35" t="inlineStr">
        <is>
          <t>Particular</t>
        </is>
      </c>
      <c r="G712" s="35" t="inlineStr">
        <is>
          <t>Avaliação endócrina</t>
        </is>
      </c>
      <c r="H712" s="35" t="inlineStr">
        <is>
          <t>Realizado</t>
        </is>
      </c>
      <c r="I712" s="35" t="inlineStr">
        <is>
          <t>Cartão de crédito</t>
        </is>
      </c>
      <c r="J712" s="35" t="n"/>
      <c r="K712" s="34" t="n"/>
      <c r="L712" s="26">
        <f>IF(A712="","",MONTH(A712))</f>
        <v>9</v>
      </c>
      <c r="M712" s="26">
        <f>IF(A712="","",YEAR(A712))</f>
        <v>2026</v>
      </c>
      <c r="N712" s="26" t="str">
        <f>IF(A712="","",CHOOSE(WEEKDAY(A712,2),"Segunda","Terça","Quarta","Quinta","Sexta","Sábado","Domingo"))</f>
        <v>Quinta</v>
      </c>
      <c r="O712" s="26" t="str">
        <f>IF(B712="","",IF(B712&lt;TIME(12,0,0),"Manhã",IF(B712&lt;TIME(18,0,0),"Tarde","Noite")))</f>
        <v>Tarde</v>
      </c>
      <c r="P712" s="32">
        <f>IF(G712="","",IFERROR(INDEX(Config!$I$5:$I$16,MATCH(G712,Config!$H$5:$H$16,0)),0))</f>
        <v>45</v>
      </c>
      <c r="Q712" s="30">
        <f>IF(OR(H712&lt;&gt;"Realizado",P712="",P712=0),"",A712+P712)</f>
        <v>46320.0</v>
      </c>
      <c r="R712" s="26" t="str">
        <f>IF(Q712="","",IF(COUNTIFS($E$5:$E$1204,E712,$A$5:$A$1204,"&gt;"&amp;A712,$H$5:$H$1204,"&lt;&gt;Falta",$H$5:$H$1204,"&lt;&gt;Cancelado",$H$5:$H$1204,"&lt;&gt;Remarcado")&gt;0,"Sim","Não"))</f>
        <v>Sim</v>
      </c>
      <c r="S712" s="32">
        <f>IF(R712&lt;&gt;"Não","",IF(Q712+Config!$B$9&lt;=Config!$B$8,Config!$B$8-Q712,""))</f>
        <v/>
      </c>
      <c r="T712" s="26">
        <f>IF(S712="","","Sim")</f>
        <v/>
      </c>
      <c r="U712" s="41">
        <f>IF(T712="Sim",S712+ROW()/100000,0)</f>
        <v>0</v>
      </c>
      <c r="V712" s="41">
        <f>IF(AND(H712="Falta",L712=Config!$B$7,M712=Config!$B$5,COUNTIFS($E$5:E712,E712,$H$5:H712,"Falta",$L$5:L712,Config!$B$7,$M$5:M712,Config!$B$5)=1),COUNTIFS($E$5:$E$1204,E712,$H$5:$H$1204,"Falta",$L$5:$L$1204,Config!$B$7,$M$5:$M$1204,Config!$B$5)*1000-ROW()/100000,0)</f>
        <v>0</v>
      </c>
    </row>
    <row r="713">
      <c r="A713" s="39" t="n">
        <v>46275</v>
      </c>
      <c r="B713" s="40" t="n">
        <v>0.7013888888888888</v>
      </c>
      <c r="C713" s="35" t="inlineStr">
        <is>
          <t>Dr. Paulo Andrade</t>
        </is>
      </c>
      <c r="D713" s="35" t="inlineStr">
        <is>
          <t>Sala 2</t>
        </is>
      </c>
      <c r="E713" s="34" t="inlineStr">
        <is>
          <t>Wagner Carvalho</t>
        </is>
      </c>
      <c r="F713" s="35" t="inlineStr">
        <is>
          <t>Vida Care</t>
        </is>
      </c>
      <c r="G713" s="35" t="inlineStr">
        <is>
          <t>Consulta</t>
        </is>
      </c>
      <c r="H713" s="35" t="inlineStr">
        <is>
          <t>Falta</t>
        </is>
      </c>
      <c r="I713" s="35" t="n"/>
      <c r="J713" s="35" t="n"/>
      <c r="K713" s="34" t="n"/>
      <c r="L713" s="26">
        <f>IF(A713="","",MONTH(A713))</f>
        <v>9</v>
      </c>
      <c r="M713" s="26">
        <f>IF(A713="","",YEAR(A713))</f>
        <v>2026</v>
      </c>
      <c r="N713" s="26" t="str">
        <f>IF(A713="","",CHOOSE(WEEKDAY(A713,2),"Segunda","Terça","Quarta","Quinta","Sexta","Sábado","Domingo"))</f>
        <v>Quinta</v>
      </c>
      <c r="O713" s="26" t="str">
        <f>IF(B713="","",IF(B713&lt;TIME(12,0,0),"Manhã",IF(B713&lt;TIME(18,0,0),"Tarde","Noite")))</f>
        <v>Tarde</v>
      </c>
      <c r="P713" s="32">
        <f>IF(G713="","",IFERROR(INDEX(Config!$I$5:$I$16,MATCH(G713,Config!$H$5:$H$16,0)),0))</f>
        <v>30</v>
      </c>
      <c r="Q713" s="30">
        <f>IF(OR(H713&lt;&gt;"Realizado",P713="",P713=0),"",A713+P713)</f>
        <v/>
      </c>
      <c r="R713" s="26">
        <f>IF(Q713="","",IF(COUNTIFS($E$5:$E$1204,E713,$A$5:$A$1204,"&gt;"&amp;A713,$H$5:$H$1204,"&lt;&gt;Falta",$H$5:$H$1204,"&lt;&gt;Cancelado",$H$5:$H$1204,"&lt;&gt;Remarcado")&gt;0,"Sim","Não"))</f>
        <v/>
      </c>
      <c r="S713" s="32">
        <f>IF(R713&lt;&gt;"Não","",IF(Q713+Config!$B$9&lt;=Config!$B$8,Config!$B$8-Q713,""))</f>
        <v/>
      </c>
      <c r="T713" s="26">
        <f>IF(S713="","","Sim")</f>
        <v/>
      </c>
      <c r="U713" s="41">
        <f>IF(T713="Sim",S713+ROW()/100000,0)</f>
        <v>0</v>
      </c>
      <c r="V713" s="41">
        <f>IF(AND(H713="Falta",L713=Config!$B$7,M713=Config!$B$5,COUNTIFS($E$5:E713,E713,$H$5:H713,"Falta",$L$5:L713,Config!$B$7,$M$5:M713,Config!$B$5)=1),COUNTIFS($E$5:$E$1204,E713,$H$5:$H$1204,"Falta",$L$5:$L$1204,Config!$B$7,$M$5:$M$1204,Config!$B$5)*1000-ROW()/100000,0)</f>
        <v>999.99287</v>
      </c>
    </row>
    <row r="714">
      <c r="A714" s="39" t="n">
        <v>46275</v>
      </c>
      <c r="B714" s="40" t="n">
        <v>0.7222222222222222</v>
      </c>
      <c r="C714" s="35" t="inlineStr">
        <is>
          <t>Dr. Paulo Andrade</t>
        </is>
      </c>
      <c r="D714" s="35" t="inlineStr">
        <is>
          <t>Sala 2</t>
        </is>
      </c>
      <c r="E714" s="34" t="inlineStr">
        <is>
          <t>Eduardo Lima</t>
        </is>
      </c>
      <c r="F714" s="35" t="inlineStr">
        <is>
          <t>Particular</t>
        </is>
      </c>
      <c r="G714" s="35" t="inlineStr">
        <is>
          <t>MAPA</t>
        </is>
      </c>
      <c r="H714" s="35" t="inlineStr">
        <is>
          <t>Realizado</t>
        </is>
      </c>
      <c r="I714" s="35" t="inlineStr">
        <is>
          <t>Cartão de débito</t>
        </is>
      </c>
      <c r="J714" s="35" t="n"/>
      <c r="K714" s="34" t="n"/>
      <c r="L714" s="26">
        <f>IF(A714="","",MONTH(A714))</f>
        <v>9</v>
      </c>
      <c r="M714" s="26">
        <f>IF(A714="","",YEAR(A714))</f>
        <v>2026</v>
      </c>
      <c r="N714" s="26" t="str">
        <f>IF(A714="","",CHOOSE(WEEKDAY(A714,2),"Segunda","Terça","Quarta","Quinta","Sexta","Sábado","Domingo"))</f>
        <v>Quinta</v>
      </c>
      <c r="O714" s="26" t="str">
        <f>IF(B714="","",IF(B714&lt;TIME(12,0,0),"Manhã",IF(B714&lt;TIME(18,0,0),"Tarde","Noite")))</f>
        <v>Tarde</v>
      </c>
      <c r="P714" s="32">
        <f>IF(G714="","",IFERROR(INDEX(Config!$I$5:$I$16,MATCH(G714,Config!$H$5:$H$16,0)),0))</f>
        <v>0</v>
      </c>
      <c r="Q714" s="30">
        <f>IF(OR(H714&lt;&gt;"Realizado",P714="",P714=0),"",A714+P714)</f>
        <v/>
      </c>
      <c r="R714" s="26">
        <f>IF(Q714="","",IF(COUNTIFS($E$5:$E$1204,E714,$A$5:$A$1204,"&gt;"&amp;A714,$H$5:$H$1204,"&lt;&gt;Falta",$H$5:$H$1204,"&lt;&gt;Cancelado",$H$5:$H$1204,"&lt;&gt;Remarcado")&gt;0,"Sim","Não"))</f>
        <v/>
      </c>
      <c r="S714" s="32">
        <f>IF(R714&lt;&gt;"Não","",IF(Q714+Config!$B$9&lt;=Config!$B$8,Config!$B$8-Q714,""))</f>
        <v/>
      </c>
      <c r="T714" s="26">
        <f>IF(S714="","","Sim")</f>
        <v/>
      </c>
      <c r="U714" s="41">
        <f>IF(T714="Sim",S714+ROW()/100000,0)</f>
        <v>0</v>
      </c>
      <c r="V714" s="41">
        <f>IF(AND(H714="Falta",L714=Config!$B$7,M714=Config!$B$5,COUNTIFS($E$5:E714,E714,$H$5:H714,"Falta",$L$5:L714,Config!$B$7,$M$5:M714,Config!$B$5)=1),COUNTIFS($E$5:$E$1204,E714,$H$5:$H$1204,"Falta",$L$5:$L$1204,Config!$B$7,$M$5:$M$1204,Config!$B$5)*1000-ROW()/100000,0)</f>
        <v>0</v>
      </c>
    </row>
    <row r="715">
      <c r="A715" s="39" t="n">
        <v>46275</v>
      </c>
      <c r="B715" s="40" t="n">
        <v>0.7291666666666666</v>
      </c>
      <c r="C715" s="35" t="inlineStr">
        <is>
          <t>Dra. Renata Sousa</t>
        </is>
      </c>
      <c r="D715" s="35" t="inlineStr">
        <is>
          <t>Sala 1</t>
        </is>
      </c>
      <c r="E715" s="34" t="inlineStr">
        <is>
          <t>Carlos Gonçalves</t>
        </is>
      </c>
      <c r="F715" s="35" t="inlineStr">
        <is>
          <t>Saúde Total</t>
        </is>
      </c>
      <c r="G715" s="35" t="inlineStr">
        <is>
          <t>Avaliação endócrina</t>
        </is>
      </c>
      <c r="H715" s="35" t="inlineStr">
        <is>
          <t>Realizado</t>
        </is>
      </c>
      <c r="I715" s="35" t="inlineStr">
        <is>
          <t>Convênio</t>
        </is>
      </c>
      <c r="J715" s="35" t="n"/>
      <c r="K715" s="34" t="n"/>
      <c r="L715" s="26">
        <f>IF(A715="","",MONTH(A715))</f>
        <v>9</v>
      </c>
      <c r="M715" s="26">
        <f>IF(A715="","",YEAR(A715))</f>
        <v>2026</v>
      </c>
      <c r="N715" s="26" t="str">
        <f>IF(A715="","",CHOOSE(WEEKDAY(A715,2),"Segunda","Terça","Quarta","Quinta","Sexta","Sábado","Domingo"))</f>
        <v>Quinta</v>
      </c>
      <c r="O715" s="26" t="str">
        <f>IF(B715="","",IF(B715&lt;TIME(12,0,0),"Manhã",IF(B715&lt;TIME(18,0,0),"Tarde","Noite")))</f>
        <v>Tarde</v>
      </c>
      <c r="P715" s="32">
        <f>IF(G715="","",IFERROR(INDEX(Config!$I$5:$I$16,MATCH(G715,Config!$H$5:$H$16,0)),0))</f>
        <v>45</v>
      </c>
      <c r="Q715" s="30">
        <f>IF(OR(H715&lt;&gt;"Realizado",P715="",P715=0),"",A715+P715)</f>
        <v>46320.0</v>
      </c>
      <c r="R715" s="26" t="str">
        <f>IF(Q715="","",IF(COUNTIFS($E$5:$E$1204,E715,$A$5:$A$1204,"&gt;"&amp;A715,$H$5:$H$1204,"&lt;&gt;Falta",$H$5:$H$1204,"&lt;&gt;Cancelado",$H$5:$H$1204,"&lt;&gt;Remarcado")&gt;0,"Sim","Não"))</f>
        <v>Sim</v>
      </c>
      <c r="S715" s="32">
        <f>IF(R715&lt;&gt;"Não","",IF(Q715+Config!$B$9&lt;=Config!$B$8,Config!$B$8-Q715,""))</f>
        <v/>
      </c>
      <c r="T715" s="26">
        <f>IF(S715="","","Sim")</f>
        <v/>
      </c>
      <c r="U715" s="41">
        <f>IF(T715="Sim",S715+ROW()/100000,0)</f>
        <v>0</v>
      </c>
      <c r="V715" s="41">
        <f>IF(AND(H715="Falta",L715=Config!$B$7,M715=Config!$B$5,COUNTIFS($E$5:E715,E715,$H$5:H715,"Falta",$L$5:L715,Config!$B$7,$M$5:M715,Config!$B$5)=1),COUNTIFS($E$5:$E$1204,E715,$H$5:$H$1204,"Falta",$L$5:$L$1204,Config!$B$7,$M$5:$M$1204,Config!$B$5)*1000-ROW()/100000,0)</f>
        <v>0</v>
      </c>
    </row>
    <row r="716">
      <c r="A716" s="39" t="n">
        <v>46275</v>
      </c>
      <c r="B716" s="40" t="n">
        <v>0.7361111111111112</v>
      </c>
      <c r="C716" s="35" t="inlineStr">
        <is>
          <t>Dr. Paulo Andrade</t>
        </is>
      </c>
      <c r="D716" s="35" t="inlineStr">
        <is>
          <t>Sala 2</t>
        </is>
      </c>
      <c r="E716" s="34" t="inlineStr">
        <is>
          <t>Juliana Silva</t>
        </is>
      </c>
      <c r="F716" s="35" t="inlineStr">
        <is>
          <t>Vida Care</t>
        </is>
      </c>
      <c r="G716" s="35" t="inlineStr">
        <is>
          <t>MAPA</t>
        </is>
      </c>
      <c r="H716" s="35" t="inlineStr">
        <is>
          <t>Realizado</t>
        </is>
      </c>
      <c r="I716" s="35" t="inlineStr">
        <is>
          <t>Convênio</t>
        </is>
      </c>
      <c r="J716" s="35" t="n"/>
      <c r="K716" s="34" t="n"/>
      <c r="L716" s="26">
        <f>IF(A716="","",MONTH(A716))</f>
        <v>9</v>
      </c>
      <c r="M716" s="26">
        <f>IF(A716="","",YEAR(A716))</f>
        <v>2026</v>
      </c>
      <c r="N716" s="26" t="str">
        <f>IF(A716="","",CHOOSE(WEEKDAY(A716,2),"Segunda","Terça","Quarta","Quinta","Sexta","Sábado","Domingo"))</f>
        <v>Quinta</v>
      </c>
      <c r="O716" s="26" t="str">
        <f>IF(B716="","",IF(B716&lt;TIME(12,0,0),"Manhã",IF(B716&lt;TIME(18,0,0),"Tarde","Noite")))</f>
        <v>Tarde</v>
      </c>
      <c r="P716" s="32">
        <f>IF(G716="","",IFERROR(INDEX(Config!$I$5:$I$16,MATCH(G716,Config!$H$5:$H$16,0)),0))</f>
        <v>0</v>
      </c>
      <c r="Q716" s="30">
        <f>IF(OR(H716&lt;&gt;"Realizado",P716="",P716=0),"",A716+P716)</f>
        <v/>
      </c>
      <c r="R716" s="26">
        <f>IF(Q716="","",IF(COUNTIFS($E$5:$E$1204,E716,$A$5:$A$1204,"&gt;"&amp;A716,$H$5:$H$1204,"&lt;&gt;Falta",$H$5:$H$1204,"&lt;&gt;Cancelado",$H$5:$H$1204,"&lt;&gt;Remarcado")&gt;0,"Sim","Não"))</f>
        <v/>
      </c>
      <c r="S716" s="32">
        <f>IF(R716&lt;&gt;"Não","",IF(Q716+Config!$B$9&lt;=Config!$B$8,Config!$B$8-Q716,""))</f>
        <v/>
      </c>
      <c r="T716" s="26">
        <f>IF(S716="","","Sim")</f>
        <v/>
      </c>
      <c r="U716" s="41">
        <f>IF(T716="Sim",S716+ROW()/100000,0)</f>
        <v>0</v>
      </c>
      <c r="V716" s="41">
        <f>IF(AND(H716="Falta",L716=Config!$B$7,M716=Config!$B$5,COUNTIFS($E$5:E716,E716,$H$5:H716,"Falta",$L$5:L716,Config!$B$7,$M$5:M716,Config!$B$5)=1),COUNTIFS($E$5:$E$1204,E716,$H$5:$H$1204,"Falta",$L$5:$L$1204,Config!$B$7,$M$5:$M$1204,Config!$B$5)*1000-ROW()/100000,0)</f>
        <v>0</v>
      </c>
    </row>
    <row r="717">
      <c r="A717" s="39" t="n">
        <v>46276</v>
      </c>
      <c r="B717" s="40" t="n">
        <v>0.3333333333333333</v>
      </c>
      <c r="C717" s="35" t="inlineStr">
        <is>
          <t>Dr. Paulo Andrade</t>
        </is>
      </c>
      <c r="D717" s="35" t="inlineStr">
        <is>
          <t>Sala 2</t>
        </is>
      </c>
      <c r="E717" s="34" t="inlineStr">
        <is>
          <t>Fernanda Nunes</t>
        </is>
      </c>
      <c r="F717" s="35" t="inlineStr">
        <is>
          <t>MediPlan</t>
        </is>
      </c>
      <c r="G717" s="35" t="inlineStr">
        <is>
          <t>Consulta</t>
        </is>
      </c>
      <c r="H717" s="35" t="inlineStr">
        <is>
          <t>Realizado</t>
        </is>
      </c>
      <c r="I717" s="35" t="inlineStr">
        <is>
          <t>Convênio</t>
        </is>
      </c>
      <c r="J717" s="35" t="n"/>
      <c r="K717" s="34" t="n"/>
      <c r="L717" s="26">
        <f>IF(A717="","",MONTH(A717))</f>
        <v>9</v>
      </c>
      <c r="M717" s="26">
        <f>IF(A717="","",YEAR(A717))</f>
        <v>2026</v>
      </c>
      <c r="N717" s="26" t="str">
        <f>IF(A717="","",CHOOSE(WEEKDAY(A717,2),"Segunda","Terça","Quarta","Quinta","Sexta","Sábado","Domingo"))</f>
        <v>Sexta</v>
      </c>
      <c r="O717" s="26" t="str">
        <f>IF(B717="","",IF(B717&lt;TIME(12,0,0),"Manhã",IF(B717&lt;TIME(18,0,0),"Tarde","Noite")))</f>
        <v>Manhã</v>
      </c>
      <c r="P717" s="32">
        <f>IF(G717="","",IFERROR(INDEX(Config!$I$5:$I$16,MATCH(G717,Config!$H$5:$H$16,0)),0))</f>
        <v>30</v>
      </c>
      <c r="Q717" s="30">
        <f>IF(OR(H717&lt;&gt;"Realizado",P717="",P717=0),"",A717+P717)</f>
        <v>46306.0</v>
      </c>
      <c r="R717" s="26" t="str">
        <f>IF(Q717="","",IF(COUNTIFS($E$5:$E$1204,E717,$A$5:$A$1204,"&gt;"&amp;A717,$H$5:$H$1204,"&lt;&gt;Falta",$H$5:$H$1204,"&lt;&gt;Cancelado",$H$5:$H$1204,"&lt;&gt;Remarcado")&gt;0,"Sim","Não"))</f>
        <v>Sim</v>
      </c>
      <c r="S717" s="32">
        <f>IF(R717&lt;&gt;"Não","",IF(Q717+Config!$B$9&lt;=Config!$B$8,Config!$B$8-Q717,""))</f>
        <v/>
      </c>
      <c r="T717" s="26">
        <f>IF(S717="","","Sim")</f>
        <v/>
      </c>
      <c r="U717" s="41">
        <f>IF(T717="Sim",S717+ROW()/100000,0)</f>
        <v>0</v>
      </c>
      <c r="V717" s="41">
        <f>IF(AND(H717="Falta",L717=Config!$B$7,M717=Config!$B$5,COUNTIFS($E$5:E717,E717,$H$5:H717,"Falta",$L$5:L717,Config!$B$7,$M$5:M717,Config!$B$5)=1),COUNTIFS($E$5:$E$1204,E717,$H$5:$H$1204,"Falta",$L$5:$L$1204,Config!$B$7,$M$5:$M$1204,Config!$B$5)*1000-ROW()/100000,0)</f>
        <v>0</v>
      </c>
    </row>
    <row r="718">
      <c r="A718" s="39" t="n">
        <v>46276</v>
      </c>
      <c r="B718" s="40" t="n">
        <v>0.375</v>
      </c>
      <c r="C718" s="35" t="inlineStr">
        <is>
          <t>Dr. Paulo Andrade</t>
        </is>
      </c>
      <c r="D718" s="35" t="inlineStr">
        <is>
          <t>Sala 2</t>
        </is>
      </c>
      <c r="E718" s="34" t="inlineStr">
        <is>
          <t>Mônica Pinto</t>
        </is>
      </c>
      <c r="F718" s="35" t="inlineStr">
        <is>
          <t>Saúde Total</t>
        </is>
      </c>
      <c r="G718" s="35" t="inlineStr">
        <is>
          <t>Holter</t>
        </is>
      </c>
      <c r="H718" s="35" t="inlineStr">
        <is>
          <t>Realizado</t>
        </is>
      </c>
      <c r="I718" s="35" t="inlineStr">
        <is>
          <t>Convênio</t>
        </is>
      </c>
      <c r="J718" s="35" t="n"/>
      <c r="K718" s="34" t="n"/>
      <c r="L718" s="26">
        <f>IF(A718="","",MONTH(A718))</f>
        <v>9</v>
      </c>
      <c r="M718" s="26">
        <f>IF(A718="","",YEAR(A718))</f>
        <v>2026</v>
      </c>
      <c r="N718" s="26" t="str">
        <f>IF(A718="","",CHOOSE(WEEKDAY(A718,2),"Segunda","Terça","Quarta","Quinta","Sexta","Sábado","Domingo"))</f>
        <v>Sexta</v>
      </c>
      <c r="O718" s="26" t="str">
        <f>IF(B718="","",IF(B718&lt;TIME(12,0,0),"Manhã",IF(B718&lt;TIME(18,0,0),"Tarde","Noite")))</f>
        <v>Manhã</v>
      </c>
      <c r="P718" s="32">
        <f>IF(G718="","",IFERROR(INDEX(Config!$I$5:$I$16,MATCH(G718,Config!$H$5:$H$16,0)),0))</f>
        <v>0</v>
      </c>
      <c r="Q718" s="30">
        <f>IF(OR(H718&lt;&gt;"Realizado",P718="",P718=0),"",A718+P718)</f>
        <v/>
      </c>
      <c r="R718" s="26">
        <f>IF(Q718="","",IF(COUNTIFS($E$5:$E$1204,E718,$A$5:$A$1204,"&gt;"&amp;A718,$H$5:$H$1204,"&lt;&gt;Falta",$H$5:$H$1204,"&lt;&gt;Cancelado",$H$5:$H$1204,"&lt;&gt;Remarcado")&gt;0,"Sim","Não"))</f>
        <v/>
      </c>
      <c r="S718" s="32">
        <f>IF(R718&lt;&gt;"Não","",IF(Q718+Config!$B$9&lt;=Config!$B$8,Config!$B$8-Q718,""))</f>
        <v/>
      </c>
      <c r="T718" s="26">
        <f>IF(S718="","","Sim")</f>
        <v/>
      </c>
      <c r="U718" s="41">
        <f>IF(T718="Sim",S718+ROW()/100000,0)</f>
        <v>0</v>
      </c>
      <c r="V718" s="41">
        <f>IF(AND(H718="Falta",L718=Config!$B$7,M718=Config!$B$5,COUNTIFS($E$5:E718,E718,$H$5:H718,"Falta",$L$5:L718,Config!$B$7,$M$5:M718,Config!$B$5)=1),COUNTIFS($E$5:$E$1204,E718,$H$5:$H$1204,"Falta",$L$5:$L$1204,Config!$B$7,$M$5:$M$1204,Config!$B$5)*1000-ROW()/100000,0)</f>
        <v>0</v>
      </c>
    </row>
    <row r="719">
      <c r="A719" s="39" t="n">
        <v>46276</v>
      </c>
      <c r="B719" s="40" t="n">
        <v>0.3888888888888889</v>
      </c>
      <c r="C719" s="35" t="inlineStr">
        <is>
          <t>Dr. Paulo Andrade</t>
        </is>
      </c>
      <c r="D719" s="35" t="inlineStr">
        <is>
          <t>Sala 2</t>
        </is>
      </c>
      <c r="E719" s="34" t="inlineStr">
        <is>
          <t>Regina Duarte</t>
        </is>
      </c>
      <c r="F719" s="35" t="inlineStr">
        <is>
          <t>Particular</t>
        </is>
      </c>
      <c r="G719" s="35" t="inlineStr">
        <is>
          <t>ECG</t>
        </is>
      </c>
      <c r="H719" s="35" t="inlineStr">
        <is>
          <t>Realizado</t>
        </is>
      </c>
      <c r="I719" s="35" t="inlineStr">
        <is>
          <t>Cartão de crédito</t>
        </is>
      </c>
      <c r="J719" s="35" t="n"/>
      <c r="K719" s="34" t="n"/>
      <c r="L719" s="26">
        <f>IF(A719="","",MONTH(A719))</f>
        <v>9</v>
      </c>
      <c r="M719" s="26">
        <f>IF(A719="","",YEAR(A719))</f>
        <v>2026</v>
      </c>
      <c r="N719" s="26" t="str">
        <f>IF(A719="","",CHOOSE(WEEKDAY(A719,2),"Segunda","Terça","Quarta","Quinta","Sexta","Sábado","Domingo"))</f>
        <v>Sexta</v>
      </c>
      <c r="O719" s="26" t="str">
        <f>IF(B719="","",IF(B719&lt;TIME(12,0,0),"Manhã",IF(B719&lt;TIME(18,0,0),"Tarde","Noite")))</f>
        <v>Manhã</v>
      </c>
      <c r="P719" s="32">
        <f>IF(G719="","",IFERROR(INDEX(Config!$I$5:$I$16,MATCH(G719,Config!$H$5:$H$16,0)),0))</f>
        <v>0</v>
      </c>
      <c r="Q719" s="30">
        <f>IF(OR(H719&lt;&gt;"Realizado",P719="",P719=0),"",A719+P719)</f>
        <v/>
      </c>
      <c r="R719" s="26">
        <f>IF(Q719="","",IF(COUNTIFS($E$5:$E$1204,E719,$A$5:$A$1204,"&gt;"&amp;A719,$H$5:$H$1204,"&lt;&gt;Falta",$H$5:$H$1204,"&lt;&gt;Cancelado",$H$5:$H$1204,"&lt;&gt;Remarcado")&gt;0,"Sim","Não"))</f>
        <v/>
      </c>
      <c r="S719" s="32">
        <f>IF(R719&lt;&gt;"Não","",IF(Q719+Config!$B$9&lt;=Config!$B$8,Config!$B$8-Q719,""))</f>
        <v/>
      </c>
      <c r="T719" s="26">
        <f>IF(S719="","","Sim")</f>
        <v/>
      </c>
      <c r="U719" s="41">
        <f>IF(T719="Sim",S719+ROW()/100000,0)</f>
        <v>0</v>
      </c>
      <c r="V719" s="41">
        <f>IF(AND(H719="Falta",L719=Config!$B$7,M719=Config!$B$5,COUNTIFS($E$5:E719,E719,$H$5:H719,"Falta",$L$5:L719,Config!$B$7,$M$5:M719,Config!$B$5)=1),COUNTIFS($E$5:$E$1204,E719,$H$5:$H$1204,"Falta",$L$5:$L$1204,Config!$B$7,$M$5:$M$1204,Config!$B$5)*1000-ROW()/100000,0)</f>
        <v>0</v>
      </c>
    </row>
    <row r="720">
      <c r="A720" s="39" t="n">
        <v>46276</v>
      </c>
      <c r="B720" s="40" t="n">
        <v>0.4027777777777778</v>
      </c>
      <c r="C720" s="35" t="inlineStr">
        <is>
          <t>Dr. Paulo Andrade</t>
        </is>
      </c>
      <c r="D720" s="35" t="inlineStr">
        <is>
          <t>Sala 2</t>
        </is>
      </c>
      <c r="E720" s="34" t="inlineStr">
        <is>
          <t>Mônica Teixeira</t>
        </is>
      </c>
      <c r="F720" s="35" t="inlineStr">
        <is>
          <t>Vida Care</t>
        </is>
      </c>
      <c r="G720" s="35" t="inlineStr">
        <is>
          <t>Teste ergométrico</t>
        </is>
      </c>
      <c r="H720" s="35" t="inlineStr">
        <is>
          <t>Realizado</t>
        </is>
      </c>
      <c r="I720" s="35" t="inlineStr">
        <is>
          <t>Convênio</t>
        </is>
      </c>
      <c r="J720" s="35" t="n"/>
      <c r="K720" s="34" t="n"/>
      <c r="L720" s="26">
        <f>IF(A720="","",MONTH(A720))</f>
        <v>9</v>
      </c>
      <c r="M720" s="26">
        <f>IF(A720="","",YEAR(A720))</f>
        <v>2026</v>
      </c>
      <c r="N720" s="26" t="str">
        <f>IF(A720="","",CHOOSE(WEEKDAY(A720,2),"Segunda","Terça","Quarta","Quinta","Sexta","Sábado","Domingo"))</f>
        <v>Sexta</v>
      </c>
      <c r="O720" s="26" t="str">
        <f>IF(B720="","",IF(B720&lt;TIME(12,0,0),"Manhã",IF(B720&lt;TIME(18,0,0),"Tarde","Noite")))</f>
        <v>Manhã</v>
      </c>
      <c r="P720" s="32">
        <f>IF(G720="","",IFERROR(INDEX(Config!$I$5:$I$16,MATCH(G720,Config!$H$5:$H$16,0)),0))</f>
        <v>0</v>
      </c>
      <c r="Q720" s="30">
        <f>IF(OR(H720&lt;&gt;"Realizado",P720="",P720=0),"",A720+P720)</f>
        <v/>
      </c>
      <c r="R720" s="26">
        <f>IF(Q720="","",IF(COUNTIFS($E$5:$E$1204,E720,$A$5:$A$1204,"&gt;"&amp;A720,$H$5:$H$1204,"&lt;&gt;Falta",$H$5:$H$1204,"&lt;&gt;Cancelado",$H$5:$H$1204,"&lt;&gt;Remarcado")&gt;0,"Sim","Não"))</f>
        <v/>
      </c>
      <c r="S720" s="32">
        <f>IF(R720&lt;&gt;"Não","",IF(Q720+Config!$B$9&lt;=Config!$B$8,Config!$B$8-Q720,""))</f>
        <v/>
      </c>
      <c r="T720" s="26">
        <f>IF(S720="","","Sim")</f>
        <v/>
      </c>
      <c r="U720" s="41">
        <f>IF(T720="Sim",S720+ROW()/100000,0)</f>
        <v>0</v>
      </c>
      <c r="V720" s="41">
        <f>IF(AND(H720="Falta",L720=Config!$B$7,M720=Config!$B$5,COUNTIFS($E$5:E720,E720,$H$5:H720,"Falta",$L$5:L720,Config!$B$7,$M$5:M720,Config!$B$5)=1),COUNTIFS($E$5:$E$1204,E720,$H$5:$H$1204,"Falta",$L$5:$L$1204,Config!$B$7,$M$5:$M$1204,Config!$B$5)*1000-ROW()/100000,0)</f>
        <v>0</v>
      </c>
    </row>
    <row r="721">
      <c r="A721" s="39" t="n">
        <v>46276</v>
      </c>
      <c r="B721" s="40" t="n">
        <v>0.4513888888888889</v>
      </c>
      <c r="C721" s="35" t="inlineStr">
        <is>
          <t>Dr. Paulo Andrade</t>
        </is>
      </c>
      <c r="D721" s="35" t="inlineStr">
        <is>
          <t>Sala 2</t>
        </is>
      </c>
      <c r="E721" s="34" t="inlineStr">
        <is>
          <t>Leandro Cardoso</t>
        </is>
      </c>
      <c r="F721" s="35" t="inlineStr">
        <is>
          <t>MediPlan</t>
        </is>
      </c>
      <c r="G721" s="35" t="inlineStr">
        <is>
          <t>Consulta</t>
        </is>
      </c>
      <c r="H721" s="35" t="inlineStr">
        <is>
          <t>Cancelado</t>
        </is>
      </c>
      <c r="I721" s="35" t="n"/>
      <c r="J721" s="35" t="n"/>
      <c r="K721" s="34" t="n"/>
      <c r="L721" s="26">
        <f>IF(A721="","",MONTH(A721))</f>
        <v>9</v>
      </c>
      <c r="M721" s="26">
        <f>IF(A721="","",YEAR(A721))</f>
        <v>2026</v>
      </c>
      <c r="N721" s="26" t="str">
        <f>IF(A721="","",CHOOSE(WEEKDAY(A721,2),"Segunda","Terça","Quarta","Quinta","Sexta","Sábado","Domingo"))</f>
        <v>Sexta</v>
      </c>
      <c r="O721" s="26" t="str">
        <f>IF(B721="","",IF(B721&lt;TIME(12,0,0),"Manhã",IF(B721&lt;TIME(18,0,0),"Tarde","Noite")))</f>
        <v>Manhã</v>
      </c>
      <c r="P721" s="32">
        <f>IF(G721="","",IFERROR(INDEX(Config!$I$5:$I$16,MATCH(G721,Config!$H$5:$H$16,0)),0))</f>
        <v>30</v>
      </c>
      <c r="Q721" s="30">
        <f>IF(OR(H721&lt;&gt;"Realizado",P721="",P721=0),"",A721+P721)</f>
        <v/>
      </c>
      <c r="R721" s="26">
        <f>IF(Q721="","",IF(COUNTIFS($E$5:$E$1204,E721,$A$5:$A$1204,"&gt;"&amp;A721,$H$5:$H$1204,"&lt;&gt;Falta",$H$5:$H$1204,"&lt;&gt;Cancelado",$H$5:$H$1204,"&lt;&gt;Remarcado")&gt;0,"Sim","Não"))</f>
        <v/>
      </c>
      <c r="S721" s="32">
        <f>IF(R721&lt;&gt;"Não","",IF(Q721+Config!$B$9&lt;=Config!$B$8,Config!$B$8-Q721,""))</f>
        <v/>
      </c>
      <c r="T721" s="26">
        <f>IF(S721="","","Sim")</f>
        <v/>
      </c>
      <c r="U721" s="41">
        <f>IF(T721="Sim",S721+ROW()/100000,0)</f>
        <v>0</v>
      </c>
      <c r="V721" s="41">
        <f>IF(AND(H721="Falta",L721=Config!$B$7,M721=Config!$B$5,COUNTIFS($E$5:E721,E721,$H$5:H721,"Falta",$L$5:L721,Config!$B$7,$M$5:M721,Config!$B$5)=1),COUNTIFS($E$5:$E$1204,E721,$H$5:$H$1204,"Falta",$L$5:$L$1204,Config!$B$7,$M$5:$M$1204,Config!$B$5)*1000-ROW()/100000,0)</f>
        <v>0</v>
      </c>
    </row>
    <row r="722">
      <c r="A722" s="39">
        <f>TODAY()</f>
        <v>46279.0</v>
      </c>
      <c r="B722" s="40" t="n">
        <v>0.3333333333333333</v>
      </c>
      <c r="C722" s="35" t="inlineStr">
        <is>
          <t>Dra. Carolina Mendes</t>
        </is>
      </c>
      <c r="D722" s="35" t="inlineStr">
        <is>
          <t>Sala 1</t>
        </is>
      </c>
      <c r="E722" s="34" t="inlineStr">
        <is>
          <t>Juliana Silva</t>
        </is>
      </c>
      <c r="F722" s="35" t="inlineStr">
        <is>
          <t>Vida Care</t>
        </is>
      </c>
      <c r="G722" s="35" t="inlineStr">
        <is>
          <t>Consulta</t>
        </is>
      </c>
      <c r="H722" s="35" t="inlineStr">
        <is>
          <t>Agendado</t>
        </is>
      </c>
      <c r="I722" s="35" t="n"/>
      <c r="J722" s="35" t="n"/>
      <c r="K722" s="34" t="n"/>
      <c r="L722" s="26">
        <f>IF(A722="","",MONTH(A722))</f>
        <v>9</v>
      </c>
      <c r="M722" s="26">
        <f>IF(A722="","",YEAR(A722))</f>
        <v>2026</v>
      </c>
      <c r="N722" s="26" t="str">
        <f>IF(A722="","",CHOOSE(WEEKDAY(A722,2),"Segunda","Terça","Quarta","Quinta","Sexta","Sábado","Domingo"))</f>
        <v>Segunda</v>
      </c>
      <c r="O722" s="26" t="str">
        <f>IF(B722="","",IF(B722&lt;TIME(12,0,0),"Manhã",IF(B722&lt;TIME(18,0,0),"Tarde","Noite")))</f>
        <v>Manhã</v>
      </c>
      <c r="P722" s="32">
        <f>IF(G722="","",IFERROR(INDEX(Config!$I$5:$I$16,MATCH(G722,Config!$H$5:$H$16,0)),0))</f>
        <v>30</v>
      </c>
      <c r="Q722" s="30">
        <f>IF(OR(H722&lt;&gt;"Realizado",P722="",P722=0),"",A722+P722)</f>
        <v/>
      </c>
      <c r="R722" s="26">
        <f>IF(Q722="","",IF(COUNTIFS($E$5:$E$1204,E722,$A$5:$A$1204,"&gt;"&amp;A722,$H$5:$H$1204,"&lt;&gt;Falta",$H$5:$H$1204,"&lt;&gt;Cancelado",$H$5:$H$1204,"&lt;&gt;Remarcado")&gt;0,"Sim","Não"))</f>
        <v/>
      </c>
      <c r="S722" s="32">
        <f>IF(R722&lt;&gt;"Não","",IF(Q722+Config!$B$9&lt;=Config!$B$8,Config!$B$8-Q722,""))</f>
        <v/>
      </c>
      <c r="T722" s="26">
        <f>IF(S722="","","Sim")</f>
        <v/>
      </c>
      <c r="U722" s="41">
        <f>IF(T722="Sim",S722+ROW()/100000,0)</f>
        <v>0</v>
      </c>
      <c r="V722" s="41">
        <f>IF(AND(H722="Falta",L722=Config!$B$7,M722=Config!$B$5,COUNTIFS($E$5:E722,E722,$H$5:H722,"Falta",$L$5:L722,Config!$B$7,$M$5:M722,Config!$B$5)=1),COUNTIFS($E$5:$E$1204,E722,$H$5:$H$1204,"Falta",$L$5:$L$1204,Config!$B$7,$M$5:$M$1204,Config!$B$5)*1000-ROW()/100000,0)</f>
        <v>0</v>
      </c>
    </row>
    <row r="723">
      <c r="A723" s="39">
        <f>TODAY()</f>
        <v>46279.0</v>
      </c>
      <c r="B723" s="40" t="n">
        <v>0.3541666666666667</v>
      </c>
      <c r="C723" s="35" t="inlineStr">
        <is>
          <t>Dra. Carolina Mendes</t>
        </is>
      </c>
      <c r="D723" s="35" t="inlineStr">
        <is>
          <t>Sala 1</t>
        </is>
      </c>
      <c r="E723" s="34" t="inlineStr">
        <is>
          <t>Rodrigo Gomes</t>
        </is>
      </c>
      <c r="F723" s="35" t="inlineStr">
        <is>
          <t>Vida Care</t>
        </is>
      </c>
      <c r="G723" s="35" t="inlineStr">
        <is>
          <t>Consulta</t>
        </is>
      </c>
      <c r="H723" s="35" t="inlineStr">
        <is>
          <t>Confirmado</t>
        </is>
      </c>
      <c r="I723" s="35" t="n"/>
      <c r="J723" s="35" t="n"/>
      <c r="K723" s="34" t="n"/>
      <c r="L723" s="26">
        <f>IF(A723="","",MONTH(A723))</f>
        <v>9</v>
      </c>
      <c r="M723" s="26">
        <f>IF(A723="","",YEAR(A723))</f>
        <v>2026</v>
      </c>
      <c r="N723" s="26" t="str">
        <f>IF(A723="","",CHOOSE(WEEKDAY(A723,2),"Segunda","Terça","Quarta","Quinta","Sexta","Sábado","Domingo"))</f>
        <v>Segunda</v>
      </c>
      <c r="O723" s="26" t="str">
        <f>IF(B723="","",IF(B723&lt;TIME(12,0,0),"Manhã",IF(B723&lt;TIME(18,0,0),"Tarde","Noite")))</f>
        <v>Manhã</v>
      </c>
      <c r="P723" s="32">
        <f>IF(G723="","",IFERROR(INDEX(Config!$I$5:$I$16,MATCH(G723,Config!$H$5:$H$16,0)),0))</f>
        <v>30</v>
      </c>
      <c r="Q723" s="30">
        <f>IF(OR(H723&lt;&gt;"Realizado",P723="",P723=0),"",A723+P723)</f>
        <v/>
      </c>
      <c r="R723" s="26">
        <f>IF(Q723="","",IF(COUNTIFS($E$5:$E$1204,E723,$A$5:$A$1204,"&gt;"&amp;A723,$H$5:$H$1204,"&lt;&gt;Falta",$H$5:$H$1204,"&lt;&gt;Cancelado",$H$5:$H$1204,"&lt;&gt;Remarcado")&gt;0,"Sim","Não"))</f>
        <v/>
      </c>
      <c r="S723" s="32">
        <f>IF(R723&lt;&gt;"Não","",IF(Q723+Config!$B$9&lt;=Config!$B$8,Config!$B$8-Q723,""))</f>
        <v/>
      </c>
      <c r="T723" s="26">
        <f>IF(S723="","","Sim")</f>
        <v/>
      </c>
      <c r="U723" s="41">
        <f>IF(T723="Sim",S723+ROW()/100000,0)</f>
        <v>0</v>
      </c>
      <c r="V723" s="41">
        <f>IF(AND(H723="Falta",L723=Config!$B$7,M723=Config!$B$5,COUNTIFS($E$5:E723,E723,$H$5:H723,"Falta",$L$5:L723,Config!$B$7,$M$5:M723,Config!$B$5)=1),COUNTIFS($E$5:$E$1204,E723,$H$5:$H$1204,"Falta",$L$5:$L$1204,Config!$B$7,$M$5:$M$1204,Config!$B$5)*1000-ROW()/100000,0)</f>
        <v>0</v>
      </c>
    </row>
    <row r="724">
      <c r="A724" s="39">
        <f>TODAY()</f>
        <v>46279.0</v>
      </c>
      <c r="B724" s="40" t="n">
        <v>0.375</v>
      </c>
      <c r="C724" s="35" t="inlineStr">
        <is>
          <t>Dra. Carolina Mendes</t>
        </is>
      </c>
      <c r="D724" s="35" t="inlineStr">
        <is>
          <t>Sala 1</t>
        </is>
      </c>
      <c r="E724" s="34" t="inlineStr">
        <is>
          <t>Camila Batista</t>
        </is>
      </c>
      <c r="F724" s="35" t="inlineStr">
        <is>
          <t>MediPlan</t>
        </is>
      </c>
      <c r="G724" s="35" t="inlineStr">
        <is>
          <t>Consulta</t>
        </is>
      </c>
      <c r="H724" s="35" t="inlineStr">
        <is>
          <t>Confirmado</t>
        </is>
      </c>
      <c r="I724" s="35" t="n"/>
      <c r="J724" s="35" t="n"/>
      <c r="K724" s="34" t="n"/>
      <c r="L724" s="26">
        <f>IF(A724="","",MONTH(A724))</f>
        <v>9</v>
      </c>
      <c r="M724" s="26">
        <f>IF(A724="","",YEAR(A724))</f>
        <v>2026</v>
      </c>
      <c r="N724" s="26" t="str">
        <f>IF(A724="","",CHOOSE(WEEKDAY(A724,2),"Segunda","Terça","Quarta","Quinta","Sexta","Sábado","Domingo"))</f>
        <v>Segunda</v>
      </c>
      <c r="O724" s="26" t="str">
        <f>IF(B724="","",IF(B724&lt;TIME(12,0,0),"Manhã",IF(B724&lt;TIME(18,0,0),"Tarde","Noite")))</f>
        <v>Manhã</v>
      </c>
      <c r="P724" s="32">
        <f>IF(G724="","",IFERROR(INDEX(Config!$I$5:$I$16,MATCH(G724,Config!$H$5:$H$16,0)),0))</f>
        <v>30</v>
      </c>
      <c r="Q724" s="30">
        <f>IF(OR(H724&lt;&gt;"Realizado",P724="",P724=0),"",A724+P724)</f>
        <v/>
      </c>
      <c r="R724" s="26">
        <f>IF(Q724="","",IF(COUNTIFS($E$5:$E$1204,E724,$A$5:$A$1204,"&gt;"&amp;A724,$H$5:$H$1204,"&lt;&gt;Falta",$H$5:$H$1204,"&lt;&gt;Cancelado",$H$5:$H$1204,"&lt;&gt;Remarcado")&gt;0,"Sim","Não"))</f>
        <v/>
      </c>
      <c r="S724" s="32">
        <f>IF(R724&lt;&gt;"Não","",IF(Q724+Config!$B$9&lt;=Config!$B$8,Config!$B$8-Q724,""))</f>
        <v/>
      </c>
      <c r="T724" s="26">
        <f>IF(S724="","","Sim")</f>
        <v/>
      </c>
      <c r="U724" s="41">
        <f>IF(T724="Sim",S724+ROW()/100000,0)</f>
        <v>0</v>
      </c>
      <c r="V724" s="41">
        <f>IF(AND(H724="Falta",L724=Config!$B$7,M724=Config!$B$5,COUNTIFS($E$5:E724,E724,$H$5:H724,"Falta",$L$5:L724,Config!$B$7,$M$5:M724,Config!$B$5)=1),COUNTIFS($E$5:$E$1204,E724,$H$5:$H$1204,"Falta",$L$5:$L$1204,Config!$B$7,$M$5:$M$1204,Config!$B$5)*1000-ROW()/100000,0)</f>
        <v>0</v>
      </c>
    </row>
    <row r="725">
      <c r="A725" s="39">
        <f>TODAY()</f>
        <v>46279.0</v>
      </c>
      <c r="B725" s="40" t="n">
        <v>0.3958333333333333</v>
      </c>
      <c r="C725" s="35" t="inlineStr">
        <is>
          <t>Dra. Carolina Mendes</t>
        </is>
      </c>
      <c r="D725" s="35" t="inlineStr">
        <is>
          <t>Sala 1</t>
        </is>
      </c>
      <c r="E725" s="34" t="inlineStr">
        <is>
          <t>Gisele Xavier</t>
        </is>
      </c>
      <c r="F725" s="35" t="inlineStr">
        <is>
          <t>Particular</t>
        </is>
      </c>
      <c r="G725" s="35" t="inlineStr">
        <is>
          <t>Consulta</t>
        </is>
      </c>
      <c r="H725" s="35" t="inlineStr">
        <is>
          <t>Confirmado</t>
        </is>
      </c>
      <c r="I725" s="35" t="n"/>
      <c r="J725" s="35" t="n"/>
      <c r="K725" s="34" t="n"/>
      <c r="L725" s="26">
        <f>IF(A725="","",MONTH(A725))</f>
        <v>9</v>
      </c>
      <c r="M725" s="26">
        <f>IF(A725="","",YEAR(A725))</f>
        <v>2026</v>
      </c>
      <c r="N725" s="26" t="str">
        <f>IF(A725="","",CHOOSE(WEEKDAY(A725,2),"Segunda","Terça","Quarta","Quinta","Sexta","Sábado","Domingo"))</f>
        <v>Segunda</v>
      </c>
      <c r="O725" s="26" t="str">
        <f>IF(B725="","",IF(B725&lt;TIME(12,0,0),"Manhã",IF(B725&lt;TIME(18,0,0),"Tarde","Noite")))</f>
        <v>Manhã</v>
      </c>
      <c r="P725" s="32">
        <f>IF(G725="","",IFERROR(INDEX(Config!$I$5:$I$16,MATCH(G725,Config!$H$5:$H$16,0)),0))</f>
        <v>30</v>
      </c>
      <c r="Q725" s="30">
        <f>IF(OR(H725&lt;&gt;"Realizado",P725="",P725=0),"",A725+P725)</f>
        <v/>
      </c>
      <c r="R725" s="26">
        <f>IF(Q725="","",IF(COUNTIFS($E$5:$E$1204,E725,$A$5:$A$1204,"&gt;"&amp;A725,$H$5:$H$1204,"&lt;&gt;Falta",$H$5:$H$1204,"&lt;&gt;Cancelado",$H$5:$H$1204,"&lt;&gt;Remarcado")&gt;0,"Sim","Não"))</f>
        <v/>
      </c>
      <c r="S725" s="32">
        <f>IF(R725&lt;&gt;"Não","",IF(Q725+Config!$B$9&lt;=Config!$B$8,Config!$B$8-Q725,""))</f>
        <v/>
      </c>
      <c r="T725" s="26">
        <f>IF(S725="","","Sim")</f>
        <v/>
      </c>
      <c r="U725" s="41">
        <f>IF(T725="Sim",S725+ROW()/100000,0)</f>
        <v>0</v>
      </c>
      <c r="V725" s="41">
        <f>IF(AND(H725="Falta",L725=Config!$B$7,M725=Config!$B$5,COUNTIFS($E$5:E725,E725,$H$5:H725,"Falta",$L$5:L725,Config!$B$7,$M$5:M725,Config!$B$5)=1),COUNTIFS($E$5:$E$1204,E725,$H$5:$H$1204,"Falta",$L$5:$L$1204,Config!$B$7,$M$5:$M$1204,Config!$B$5)*1000-ROW()/100000,0)</f>
        <v>0</v>
      </c>
    </row>
    <row r="726">
      <c r="A726" s="39">
        <f>TODAY()</f>
        <v>46279.0</v>
      </c>
      <c r="B726" s="40" t="n">
        <v>0.4166666666666667</v>
      </c>
      <c r="C726" s="35" t="inlineStr">
        <is>
          <t>Dra. Carolina Mendes</t>
        </is>
      </c>
      <c r="D726" s="35" t="inlineStr">
        <is>
          <t>Sala 1</t>
        </is>
      </c>
      <c r="E726" s="34" t="inlineStr">
        <is>
          <t>Renato Dias</t>
        </is>
      </c>
      <c r="F726" s="35" t="inlineStr">
        <is>
          <t>Particular</t>
        </is>
      </c>
      <c r="G726" s="35" t="inlineStr">
        <is>
          <t>Retorno</t>
        </is>
      </c>
      <c r="H726" s="35" t="inlineStr">
        <is>
          <t>Confirmado</t>
        </is>
      </c>
      <c r="I726" s="35" t="n"/>
      <c r="J726" s="35" t="n"/>
      <c r="K726" s="34" t="n"/>
      <c r="L726" s="26">
        <f>IF(A726="","",MONTH(A726))</f>
        <v>9</v>
      </c>
      <c r="M726" s="26">
        <f>IF(A726="","",YEAR(A726))</f>
        <v>2026</v>
      </c>
      <c r="N726" s="26" t="str">
        <f>IF(A726="","",CHOOSE(WEEKDAY(A726,2),"Segunda","Terça","Quarta","Quinta","Sexta","Sábado","Domingo"))</f>
        <v>Segunda</v>
      </c>
      <c r="O726" s="26" t="str">
        <f>IF(B726="","",IF(B726&lt;TIME(12,0,0),"Manhã",IF(B726&lt;TIME(18,0,0),"Tarde","Noite")))</f>
        <v>Manhã</v>
      </c>
      <c r="P726" s="32">
        <f>IF(G726="","",IFERROR(INDEX(Config!$I$5:$I$16,MATCH(G726,Config!$H$5:$H$16,0)),0))</f>
        <v>0</v>
      </c>
      <c r="Q726" s="30">
        <f>IF(OR(H726&lt;&gt;"Realizado",P726="",P726=0),"",A726+P726)</f>
        <v/>
      </c>
      <c r="R726" s="26">
        <f>IF(Q726="","",IF(COUNTIFS($E$5:$E$1204,E726,$A$5:$A$1204,"&gt;"&amp;A726,$H$5:$H$1204,"&lt;&gt;Falta",$H$5:$H$1204,"&lt;&gt;Cancelado",$H$5:$H$1204,"&lt;&gt;Remarcado")&gt;0,"Sim","Não"))</f>
        <v/>
      </c>
      <c r="S726" s="32">
        <f>IF(R726&lt;&gt;"Não","",IF(Q726+Config!$B$9&lt;=Config!$B$8,Config!$B$8-Q726,""))</f>
        <v/>
      </c>
      <c r="T726" s="26">
        <f>IF(S726="","","Sim")</f>
        <v/>
      </c>
      <c r="U726" s="41">
        <f>IF(T726="Sim",S726+ROW()/100000,0)</f>
        <v>0</v>
      </c>
      <c r="V726" s="41">
        <f>IF(AND(H726="Falta",L726=Config!$B$7,M726=Config!$B$5,COUNTIFS($E$5:E726,E726,$H$5:H726,"Falta",$L$5:L726,Config!$B$7,$M$5:M726,Config!$B$5)=1),COUNTIFS($E$5:$E$1204,E726,$H$5:$H$1204,"Falta",$L$5:$L$1204,Config!$B$7,$M$5:$M$1204,Config!$B$5)*1000-ROW()/100000,0)</f>
        <v>0</v>
      </c>
    </row>
    <row r="727">
      <c r="A727" s="39">
        <f>TODAY()</f>
        <v>46279.0</v>
      </c>
      <c r="B727" s="40" t="n">
        <v>0.4305555555555556</v>
      </c>
      <c r="C727" s="35" t="inlineStr">
        <is>
          <t>Dra. Carolina Mendes</t>
        </is>
      </c>
      <c r="D727" s="35" t="inlineStr">
        <is>
          <t>Sala 1</t>
        </is>
      </c>
      <c r="E727" s="34" t="inlineStr">
        <is>
          <t>Marcelo Santos</t>
        </is>
      </c>
      <c r="F727" s="35" t="inlineStr">
        <is>
          <t>Particular</t>
        </is>
      </c>
      <c r="G727" s="35" t="inlineStr">
        <is>
          <t>Consulta</t>
        </is>
      </c>
      <c r="H727" s="35" t="inlineStr">
        <is>
          <t>Confirmado</t>
        </is>
      </c>
      <c r="I727" s="35" t="n"/>
      <c r="J727" s="35" t="n"/>
      <c r="K727" s="34" t="n"/>
      <c r="L727" s="26">
        <f>IF(A727="","",MONTH(A727))</f>
        <v>9</v>
      </c>
      <c r="M727" s="26">
        <f>IF(A727="","",YEAR(A727))</f>
        <v>2026</v>
      </c>
      <c r="N727" s="26" t="str">
        <f>IF(A727="","",CHOOSE(WEEKDAY(A727,2),"Segunda","Terça","Quarta","Quinta","Sexta","Sábado","Domingo"))</f>
        <v>Segunda</v>
      </c>
      <c r="O727" s="26" t="str">
        <f>IF(B727="","",IF(B727&lt;TIME(12,0,0),"Manhã",IF(B727&lt;TIME(18,0,0),"Tarde","Noite")))</f>
        <v>Manhã</v>
      </c>
      <c r="P727" s="32">
        <f>IF(G727="","",IFERROR(INDEX(Config!$I$5:$I$16,MATCH(G727,Config!$H$5:$H$16,0)),0))</f>
        <v>30</v>
      </c>
      <c r="Q727" s="30">
        <f>IF(OR(H727&lt;&gt;"Realizado",P727="",P727=0),"",A727+P727)</f>
        <v/>
      </c>
      <c r="R727" s="26">
        <f>IF(Q727="","",IF(COUNTIFS($E$5:$E$1204,E727,$A$5:$A$1204,"&gt;"&amp;A727,$H$5:$H$1204,"&lt;&gt;Falta",$H$5:$H$1204,"&lt;&gt;Cancelado",$H$5:$H$1204,"&lt;&gt;Remarcado")&gt;0,"Sim","Não"))</f>
        <v/>
      </c>
      <c r="S727" s="32">
        <f>IF(R727&lt;&gt;"Não","",IF(Q727+Config!$B$9&lt;=Config!$B$8,Config!$B$8-Q727,""))</f>
        <v/>
      </c>
      <c r="T727" s="26">
        <f>IF(S727="","","Sim")</f>
        <v/>
      </c>
      <c r="U727" s="41">
        <f>IF(T727="Sim",S727+ROW()/100000,0)</f>
        <v>0</v>
      </c>
      <c r="V727" s="41">
        <f>IF(AND(H727="Falta",L727=Config!$B$7,M727=Config!$B$5,COUNTIFS($E$5:E727,E727,$H$5:H727,"Falta",$L$5:L727,Config!$B$7,$M$5:M727,Config!$B$5)=1),COUNTIFS($E$5:$E$1204,E727,$H$5:$H$1204,"Falta",$L$5:$L$1204,Config!$B$7,$M$5:$M$1204,Config!$B$5)*1000-ROW()/100000,0)</f>
        <v>0</v>
      </c>
    </row>
    <row r="728">
      <c r="A728" s="39">
        <f>TODAY()</f>
        <v>46279.0</v>
      </c>
      <c r="B728" s="40" t="n">
        <v>0.4513888888888889</v>
      </c>
      <c r="C728" s="35" t="inlineStr">
        <is>
          <t>Dra. Carolina Mendes</t>
        </is>
      </c>
      <c r="D728" s="35" t="inlineStr">
        <is>
          <t>Sala 1</t>
        </is>
      </c>
      <c r="E728" s="34" t="inlineStr">
        <is>
          <t>Eduardo Nunes</t>
        </is>
      </c>
      <c r="F728" s="35" t="inlineStr">
        <is>
          <t>MediPlan</t>
        </is>
      </c>
      <c r="G728" s="35" t="inlineStr">
        <is>
          <t>Consulta</t>
        </is>
      </c>
      <c r="H728" s="35" t="inlineStr">
        <is>
          <t>Agendado</t>
        </is>
      </c>
      <c r="I728" s="35" t="n"/>
      <c r="J728" s="35" t="n"/>
      <c r="K728" s="34" t="n"/>
      <c r="L728" s="26">
        <f>IF(A728="","",MONTH(A728))</f>
        <v>9</v>
      </c>
      <c r="M728" s="26">
        <f>IF(A728="","",YEAR(A728))</f>
        <v>2026</v>
      </c>
      <c r="N728" s="26" t="str">
        <f>IF(A728="","",CHOOSE(WEEKDAY(A728,2),"Segunda","Terça","Quarta","Quinta","Sexta","Sábado","Domingo"))</f>
        <v>Segunda</v>
      </c>
      <c r="O728" s="26" t="str">
        <f>IF(B728="","",IF(B728&lt;TIME(12,0,0),"Manhã",IF(B728&lt;TIME(18,0,0),"Tarde","Noite")))</f>
        <v>Manhã</v>
      </c>
      <c r="P728" s="32">
        <f>IF(G728="","",IFERROR(INDEX(Config!$I$5:$I$16,MATCH(G728,Config!$H$5:$H$16,0)),0))</f>
        <v>30</v>
      </c>
      <c r="Q728" s="30">
        <f>IF(OR(H728&lt;&gt;"Realizado",P728="",P728=0),"",A728+P728)</f>
        <v/>
      </c>
      <c r="R728" s="26">
        <f>IF(Q728="","",IF(COUNTIFS($E$5:$E$1204,E728,$A$5:$A$1204,"&gt;"&amp;A728,$H$5:$H$1204,"&lt;&gt;Falta",$H$5:$H$1204,"&lt;&gt;Cancelado",$H$5:$H$1204,"&lt;&gt;Remarcado")&gt;0,"Sim","Não"))</f>
        <v/>
      </c>
      <c r="S728" s="32">
        <f>IF(R728&lt;&gt;"Não","",IF(Q728+Config!$B$9&lt;=Config!$B$8,Config!$B$8-Q728,""))</f>
        <v/>
      </c>
      <c r="T728" s="26">
        <f>IF(S728="","","Sim")</f>
        <v/>
      </c>
      <c r="U728" s="41">
        <f>IF(T728="Sim",S728+ROW()/100000,0)</f>
        <v>0</v>
      </c>
      <c r="V728" s="41">
        <f>IF(AND(H728="Falta",L728=Config!$B$7,M728=Config!$B$5,COUNTIFS($E$5:E728,E728,$H$5:H728,"Falta",$L$5:L728,Config!$B$7,$M$5:M728,Config!$B$5)=1),COUNTIFS($E$5:$E$1204,E728,$H$5:$H$1204,"Falta",$L$5:$L$1204,Config!$B$7,$M$5:$M$1204,Config!$B$5)*1000-ROW()/100000,0)</f>
        <v>0</v>
      </c>
    </row>
    <row r="729">
      <c r="A729" s="39">
        <f>TODAY()</f>
        <v>46279.0</v>
      </c>
      <c r="B729" s="40" t="n">
        <v>0.4722222222222222</v>
      </c>
      <c r="C729" s="35" t="inlineStr">
        <is>
          <t>Dra. Carolina Mendes</t>
        </is>
      </c>
      <c r="D729" s="35" t="inlineStr">
        <is>
          <t>Sala 1</t>
        </is>
      </c>
      <c r="E729" s="34" t="inlineStr">
        <is>
          <t>Regina Duarte</t>
        </is>
      </c>
      <c r="F729" s="35" t="inlineStr">
        <is>
          <t>Particular</t>
        </is>
      </c>
      <c r="G729" s="35" t="inlineStr">
        <is>
          <t>Consulta</t>
        </is>
      </c>
      <c r="H729" s="35" t="inlineStr">
        <is>
          <t>Confirmado</t>
        </is>
      </c>
      <c r="I729" s="35" t="n"/>
      <c r="J729" s="35" t="n"/>
      <c r="K729" s="34" t="n"/>
      <c r="L729" s="26">
        <f>IF(A729="","",MONTH(A729))</f>
        <v>9</v>
      </c>
      <c r="M729" s="26">
        <f>IF(A729="","",YEAR(A729))</f>
        <v>2026</v>
      </c>
      <c r="N729" s="26" t="str">
        <f>IF(A729="","",CHOOSE(WEEKDAY(A729,2),"Segunda","Terça","Quarta","Quinta","Sexta","Sábado","Domingo"))</f>
        <v>Segunda</v>
      </c>
      <c r="O729" s="26" t="str">
        <f>IF(B729="","",IF(B729&lt;TIME(12,0,0),"Manhã",IF(B729&lt;TIME(18,0,0),"Tarde","Noite")))</f>
        <v>Manhã</v>
      </c>
      <c r="P729" s="32">
        <f>IF(G729="","",IFERROR(INDEX(Config!$I$5:$I$16,MATCH(G729,Config!$H$5:$H$16,0)),0))</f>
        <v>30</v>
      </c>
      <c r="Q729" s="30">
        <f>IF(OR(H729&lt;&gt;"Realizado",P729="",P729=0),"",A729+P729)</f>
        <v/>
      </c>
      <c r="R729" s="26">
        <f>IF(Q729="","",IF(COUNTIFS($E$5:$E$1204,E729,$A$5:$A$1204,"&gt;"&amp;A729,$H$5:$H$1204,"&lt;&gt;Falta",$H$5:$H$1204,"&lt;&gt;Cancelado",$H$5:$H$1204,"&lt;&gt;Remarcado")&gt;0,"Sim","Não"))</f>
        <v/>
      </c>
      <c r="S729" s="32">
        <f>IF(R729&lt;&gt;"Não","",IF(Q729+Config!$B$9&lt;=Config!$B$8,Config!$B$8-Q729,""))</f>
        <v/>
      </c>
      <c r="T729" s="26">
        <f>IF(S729="","","Sim")</f>
        <v/>
      </c>
      <c r="U729" s="41">
        <f>IF(T729="Sim",S729+ROW()/100000,0)</f>
        <v>0</v>
      </c>
      <c r="V729" s="41">
        <f>IF(AND(H729="Falta",L729=Config!$B$7,M729=Config!$B$5,COUNTIFS($E$5:E729,E729,$H$5:H729,"Falta",$L$5:L729,Config!$B$7,$M$5:M729,Config!$B$5)=1),COUNTIFS($E$5:$E$1204,E729,$H$5:$H$1204,"Falta",$L$5:$L$1204,Config!$B$7,$M$5:$M$1204,Config!$B$5)*1000-ROW()/100000,0)</f>
        <v>0</v>
      </c>
    </row>
    <row r="730">
      <c r="A730" s="39">
        <f>TODAY()</f>
        <v>46279.0</v>
      </c>
      <c r="B730" s="40" t="n">
        <v>0.5833333333333334</v>
      </c>
      <c r="C730" s="35" t="inlineStr">
        <is>
          <t>Dr. Paulo Andrade</t>
        </is>
      </c>
      <c r="D730" s="35" t="inlineStr">
        <is>
          <t>Sala 2</t>
        </is>
      </c>
      <c r="E730" s="34" t="inlineStr">
        <is>
          <t>Bruno Carvalho</t>
        </is>
      </c>
      <c r="F730" s="35" t="inlineStr">
        <is>
          <t>Saúde Total</t>
        </is>
      </c>
      <c r="G730" s="35" t="inlineStr">
        <is>
          <t>Retorno</t>
        </is>
      </c>
      <c r="H730" s="35" t="inlineStr">
        <is>
          <t>Confirmado</t>
        </is>
      </c>
      <c r="I730" s="35" t="n"/>
      <c r="J730" s="35" t="n"/>
      <c r="K730" s="34" t="n"/>
      <c r="L730" s="26">
        <f>IF(A730="","",MONTH(A730))</f>
        <v>9</v>
      </c>
      <c r="M730" s="26">
        <f>IF(A730="","",YEAR(A730))</f>
        <v>2026</v>
      </c>
      <c r="N730" s="26" t="str">
        <f>IF(A730="","",CHOOSE(WEEKDAY(A730,2),"Segunda","Terça","Quarta","Quinta","Sexta","Sábado","Domingo"))</f>
        <v>Segunda</v>
      </c>
      <c r="O730" s="26" t="str">
        <f>IF(B730="","",IF(B730&lt;TIME(12,0,0),"Manhã",IF(B730&lt;TIME(18,0,0),"Tarde","Noite")))</f>
        <v>Tarde</v>
      </c>
      <c r="P730" s="32">
        <f>IF(G730="","",IFERROR(INDEX(Config!$I$5:$I$16,MATCH(G730,Config!$H$5:$H$16,0)),0))</f>
        <v>0</v>
      </c>
      <c r="Q730" s="30">
        <f>IF(OR(H730&lt;&gt;"Realizado",P730="",P730=0),"",A730+P730)</f>
        <v/>
      </c>
      <c r="R730" s="26">
        <f>IF(Q730="","",IF(COUNTIFS($E$5:$E$1204,E730,$A$5:$A$1204,"&gt;"&amp;A730,$H$5:$H$1204,"&lt;&gt;Falta",$H$5:$H$1204,"&lt;&gt;Cancelado",$H$5:$H$1204,"&lt;&gt;Remarcado")&gt;0,"Sim","Não"))</f>
        <v/>
      </c>
      <c r="S730" s="32">
        <f>IF(R730&lt;&gt;"Não","",IF(Q730+Config!$B$9&lt;=Config!$B$8,Config!$B$8-Q730,""))</f>
        <v/>
      </c>
      <c r="T730" s="26">
        <f>IF(S730="","","Sim")</f>
        <v/>
      </c>
      <c r="U730" s="41">
        <f>IF(T730="Sim",S730+ROW()/100000,0)</f>
        <v>0</v>
      </c>
      <c r="V730" s="41">
        <f>IF(AND(H730="Falta",L730=Config!$B$7,M730=Config!$B$5,COUNTIFS($E$5:E730,E730,$H$5:H730,"Falta",$L$5:L730,Config!$B$7,$M$5:M730,Config!$B$5)=1),COUNTIFS($E$5:$E$1204,E730,$H$5:$H$1204,"Falta",$L$5:$L$1204,Config!$B$7,$M$5:$M$1204,Config!$B$5)*1000-ROW()/100000,0)</f>
        <v>0</v>
      </c>
    </row>
    <row r="731">
      <c r="A731" s="39">
        <f>TODAY()</f>
        <v>46279.0</v>
      </c>
      <c r="B731" s="40" t="n">
        <v>0.6180555555555556</v>
      </c>
      <c r="C731" s="35" t="inlineStr">
        <is>
          <t>Dr. Paulo Andrade</t>
        </is>
      </c>
      <c r="D731" s="35" t="inlineStr">
        <is>
          <t>Sala 2</t>
        </is>
      </c>
      <c r="E731" s="34" t="inlineStr">
        <is>
          <t>Henrique Ribeiro</t>
        </is>
      </c>
      <c r="F731" s="35" t="inlineStr">
        <is>
          <t>Particular</t>
        </is>
      </c>
      <c r="G731" s="35" t="inlineStr">
        <is>
          <t>Retorno</t>
        </is>
      </c>
      <c r="H731" s="35" t="inlineStr">
        <is>
          <t>Agendado</t>
        </is>
      </c>
      <c r="I731" s="35" t="n"/>
      <c r="J731" s="35" t="n"/>
      <c r="K731" s="34" t="n"/>
      <c r="L731" s="26">
        <f>IF(A731="","",MONTH(A731))</f>
        <v>9</v>
      </c>
      <c r="M731" s="26">
        <f>IF(A731="","",YEAR(A731))</f>
        <v>2026</v>
      </c>
      <c r="N731" s="26" t="str">
        <f>IF(A731="","",CHOOSE(WEEKDAY(A731,2),"Segunda","Terça","Quarta","Quinta","Sexta","Sábado","Domingo"))</f>
        <v>Segunda</v>
      </c>
      <c r="O731" s="26" t="str">
        <f>IF(B731="","",IF(B731&lt;TIME(12,0,0),"Manhã",IF(B731&lt;TIME(18,0,0),"Tarde","Noite")))</f>
        <v>Tarde</v>
      </c>
      <c r="P731" s="32">
        <f>IF(G731="","",IFERROR(INDEX(Config!$I$5:$I$16,MATCH(G731,Config!$H$5:$H$16,0)),0))</f>
        <v>0</v>
      </c>
      <c r="Q731" s="30">
        <f>IF(OR(H731&lt;&gt;"Realizado",P731="",P731=0),"",A731+P731)</f>
        <v/>
      </c>
      <c r="R731" s="26">
        <f>IF(Q731="","",IF(COUNTIFS($E$5:$E$1204,E731,$A$5:$A$1204,"&gt;"&amp;A731,$H$5:$H$1204,"&lt;&gt;Falta",$H$5:$H$1204,"&lt;&gt;Cancelado",$H$5:$H$1204,"&lt;&gt;Remarcado")&gt;0,"Sim","Não"))</f>
        <v/>
      </c>
      <c r="S731" s="32">
        <f>IF(R731&lt;&gt;"Não","",IF(Q731+Config!$B$9&lt;=Config!$B$8,Config!$B$8-Q731,""))</f>
        <v/>
      </c>
      <c r="T731" s="26">
        <f>IF(S731="","","Sim")</f>
        <v/>
      </c>
      <c r="U731" s="41">
        <f>IF(T731="Sim",S731+ROW()/100000,0)</f>
        <v>0</v>
      </c>
      <c r="V731" s="41">
        <f>IF(AND(H731="Falta",L731=Config!$B$7,M731=Config!$B$5,COUNTIFS($E$5:E731,E731,$H$5:H731,"Falta",$L$5:L731,Config!$B$7,$M$5:M731,Config!$B$5)=1),COUNTIFS($E$5:$E$1204,E731,$H$5:$H$1204,"Falta",$L$5:$L$1204,Config!$B$7,$M$5:$M$1204,Config!$B$5)*1000-ROW()/100000,0)</f>
        <v>0</v>
      </c>
    </row>
    <row r="732">
      <c r="A732" s="39">
        <f>TODAY()</f>
        <v>46279.0</v>
      </c>
      <c r="B732" s="40" t="n">
        <v>0.6319444444444444</v>
      </c>
      <c r="C732" s="35" t="inlineStr">
        <is>
          <t>Dr. Paulo Andrade</t>
        </is>
      </c>
      <c r="D732" s="35" t="inlineStr">
        <is>
          <t>Sala 2</t>
        </is>
      </c>
      <c r="E732" s="34" t="inlineStr">
        <is>
          <t>Regina Castro</t>
        </is>
      </c>
      <c r="F732" s="35" t="inlineStr">
        <is>
          <t>Vida Care</t>
        </is>
      </c>
      <c r="G732" s="35" t="inlineStr">
        <is>
          <t>Teste ergométrico</t>
        </is>
      </c>
      <c r="H732" s="35" t="inlineStr">
        <is>
          <t>Confirmado</t>
        </is>
      </c>
      <c r="I732" s="35" t="n"/>
      <c r="J732" s="35" t="n"/>
      <c r="K732" s="34" t="n"/>
      <c r="L732" s="26">
        <f>IF(A732="","",MONTH(A732))</f>
        <v>9</v>
      </c>
      <c r="M732" s="26">
        <f>IF(A732="","",YEAR(A732))</f>
        <v>2026</v>
      </c>
      <c r="N732" s="26" t="str">
        <f>IF(A732="","",CHOOSE(WEEKDAY(A732,2),"Segunda","Terça","Quarta","Quinta","Sexta","Sábado","Domingo"))</f>
        <v>Segunda</v>
      </c>
      <c r="O732" s="26" t="str">
        <f>IF(B732="","",IF(B732&lt;TIME(12,0,0),"Manhã",IF(B732&lt;TIME(18,0,0),"Tarde","Noite")))</f>
        <v>Tarde</v>
      </c>
      <c r="P732" s="32">
        <f>IF(G732="","",IFERROR(INDEX(Config!$I$5:$I$16,MATCH(G732,Config!$H$5:$H$16,0)),0))</f>
        <v>0</v>
      </c>
      <c r="Q732" s="30">
        <f>IF(OR(H732&lt;&gt;"Realizado",P732="",P732=0),"",A732+P732)</f>
        <v/>
      </c>
      <c r="R732" s="26">
        <f>IF(Q732="","",IF(COUNTIFS($E$5:$E$1204,E732,$A$5:$A$1204,"&gt;"&amp;A732,$H$5:$H$1204,"&lt;&gt;Falta",$H$5:$H$1204,"&lt;&gt;Cancelado",$H$5:$H$1204,"&lt;&gt;Remarcado")&gt;0,"Sim","Não"))</f>
        <v/>
      </c>
      <c r="S732" s="32">
        <f>IF(R732&lt;&gt;"Não","",IF(Q732+Config!$B$9&lt;=Config!$B$8,Config!$B$8-Q732,""))</f>
        <v/>
      </c>
      <c r="T732" s="26">
        <f>IF(S732="","","Sim")</f>
        <v/>
      </c>
      <c r="U732" s="41">
        <f>IF(T732="Sim",S732+ROW()/100000,0)</f>
        <v>0</v>
      </c>
      <c r="V732" s="41">
        <f>IF(AND(H732="Falta",L732=Config!$B$7,M732=Config!$B$5,COUNTIFS($E$5:E732,E732,$H$5:H732,"Falta",$L$5:L732,Config!$B$7,$M$5:M732,Config!$B$5)=1),COUNTIFS($E$5:$E$1204,E732,$H$5:$H$1204,"Falta",$L$5:$L$1204,Config!$B$7,$M$5:$M$1204,Config!$B$5)*1000-ROW()/100000,0)</f>
        <v>0</v>
      </c>
    </row>
    <row r="733">
      <c r="A733" s="39">
        <f>TODAY()</f>
        <v>46279.0</v>
      </c>
      <c r="B733" s="40" t="n">
        <v>0.6805555555555556</v>
      </c>
      <c r="C733" s="35" t="inlineStr">
        <is>
          <t>Dr. Paulo Andrade</t>
        </is>
      </c>
      <c r="D733" s="35" t="inlineStr">
        <is>
          <t>Sala 2</t>
        </is>
      </c>
      <c r="E733" s="34" t="inlineStr">
        <is>
          <t>Mariana Nascimento</t>
        </is>
      </c>
      <c r="F733" s="35" t="inlineStr">
        <is>
          <t>Particular</t>
        </is>
      </c>
      <c r="G733" s="35" t="inlineStr">
        <is>
          <t>ECG</t>
        </is>
      </c>
      <c r="H733" s="35" t="inlineStr">
        <is>
          <t>Agendado</t>
        </is>
      </c>
      <c r="I733" s="35" t="n"/>
      <c r="J733" s="35" t="n"/>
      <c r="K733" s="34" t="n"/>
      <c r="L733" s="26">
        <f>IF(A733="","",MONTH(A733))</f>
        <v>9</v>
      </c>
      <c r="M733" s="26">
        <f>IF(A733="","",YEAR(A733))</f>
        <v>2026</v>
      </c>
      <c r="N733" s="26" t="str">
        <f>IF(A733="","",CHOOSE(WEEKDAY(A733,2),"Segunda","Terça","Quarta","Quinta","Sexta","Sábado","Domingo"))</f>
        <v>Segunda</v>
      </c>
      <c r="O733" s="26" t="str">
        <f>IF(B733="","",IF(B733&lt;TIME(12,0,0),"Manhã",IF(B733&lt;TIME(18,0,0),"Tarde","Noite")))</f>
        <v>Tarde</v>
      </c>
      <c r="P733" s="32">
        <f>IF(G733="","",IFERROR(INDEX(Config!$I$5:$I$16,MATCH(G733,Config!$H$5:$H$16,0)),0))</f>
        <v>0</v>
      </c>
      <c r="Q733" s="30">
        <f>IF(OR(H733&lt;&gt;"Realizado",P733="",P733=0),"",A733+P733)</f>
        <v/>
      </c>
      <c r="R733" s="26">
        <f>IF(Q733="","",IF(COUNTIFS($E$5:$E$1204,E733,$A$5:$A$1204,"&gt;"&amp;A733,$H$5:$H$1204,"&lt;&gt;Falta",$H$5:$H$1204,"&lt;&gt;Cancelado",$H$5:$H$1204,"&lt;&gt;Remarcado")&gt;0,"Sim","Não"))</f>
        <v/>
      </c>
      <c r="S733" s="32">
        <f>IF(R733&lt;&gt;"Não","",IF(Q733+Config!$B$9&lt;=Config!$B$8,Config!$B$8-Q733,""))</f>
        <v/>
      </c>
      <c r="T733" s="26">
        <f>IF(S733="","","Sim")</f>
        <v/>
      </c>
      <c r="U733" s="41">
        <f>IF(T733="Sim",S733+ROW()/100000,0)</f>
        <v>0</v>
      </c>
      <c r="V733" s="41">
        <f>IF(AND(H733="Falta",L733=Config!$B$7,M733=Config!$B$5,COUNTIFS($E$5:E733,E733,$H$5:H733,"Falta",$L$5:L733,Config!$B$7,$M$5:M733,Config!$B$5)=1),COUNTIFS($E$5:$E$1204,E733,$H$5:$H$1204,"Falta",$L$5:$L$1204,Config!$B$7,$M$5:$M$1204,Config!$B$5)*1000-ROW()/100000,0)</f>
        <v>0</v>
      </c>
    </row>
    <row r="734">
      <c r="A734" s="39">
        <f>TODAY()</f>
        <v>46279.0</v>
      </c>
      <c r="B734" s="40" t="n">
        <v>0.6944444444444444</v>
      </c>
      <c r="C734" s="35" t="inlineStr">
        <is>
          <t>Dr. Paulo Andrade</t>
        </is>
      </c>
      <c r="D734" s="35" t="inlineStr">
        <is>
          <t>Sala 2</t>
        </is>
      </c>
      <c r="E734" s="34" t="inlineStr">
        <is>
          <t>Mateus Martins</t>
        </is>
      </c>
      <c r="F734" s="35" t="inlineStr">
        <is>
          <t>Vida Care</t>
        </is>
      </c>
      <c r="G734" s="35" t="inlineStr">
        <is>
          <t>Retorno</t>
        </is>
      </c>
      <c r="H734" s="35" t="inlineStr">
        <is>
          <t>Confirmado</t>
        </is>
      </c>
      <c r="I734" s="35" t="n"/>
      <c r="J734" s="35" t="n"/>
      <c r="K734" s="34" t="n"/>
      <c r="L734" s="26">
        <f>IF(A734="","",MONTH(A734))</f>
        <v>9</v>
      </c>
      <c r="M734" s="26">
        <f>IF(A734="","",YEAR(A734))</f>
        <v>2026</v>
      </c>
      <c r="N734" s="26" t="str">
        <f>IF(A734="","",CHOOSE(WEEKDAY(A734,2),"Segunda","Terça","Quarta","Quinta","Sexta","Sábado","Domingo"))</f>
        <v>Segunda</v>
      </c>
      <c r="O734" s="26" t="str">
        <f>IF(B734="","",IF(B734&lt;TIME(12,0,0),"Manhã",IF(B734&lt;TIME(18,0,0),"Tarde","Noite")))</f>
        <v>Tarde</v>
      </c>
      <c r="P734" s="32">
        <f>IF(G734="","",IFERROR(INDEX(Config!$I$5:$I$16,MATCH(G734,Config!$H$5:$H$16,0)),0))</f>
        <v>0</v>
      </c>
      <c r="Q734" s="30">
        <f>IF(OR(H734&lt;&gt;"Realizado",P734="",P734=0),"",A734+P734)</f>
        <v/>
      </c>
      <c r="R734" s="26">
        <f>IF(Q734="","",IF(COUNTIFS($E$5:$E$1204,E734,$A$5:$A$1204,"&gt;"&amp;A734,$H$5:$H$1204,"&lt;&gt;Falta",$H$5:$H$1204,"&lt;&gt;Cancelado",$H$5:$H$1204,"&lt;&gt;Remarcado")&gt;0,"Sim","Não"))</f>
        <v/>
      </c>
      <c r="S734" s="32">
        <f>IF(R734&lt;&gt;"Não","",IF(Q734+Config!$B$9&lt;=Config!$B$8,Config!$B$8-Q734,""))</f>
        <v/>
      </c>
      <c r="T734" s="26">
        <f>IF(S734="","","Sim")</f>
        <v/>
      </c>
      <c r="U734" s="41">
        <f>IF(T734="Sim",S734+ROW()/100000,0)</f>
        <v>0</v>
      </c>
      <c r="V734" s="41">
        <f>IF(AND(H734="Falta",L734=Config!$B$7,M734=Config!$B$5,COUNTIFS($E$5:E734,E734,$H$5:H734,"Falta",$L$5:L734,Config!$B$7,$M$5:M734,Config!$B$5)=1),COUNTIFS($E$5:$E$1204,E734,$H$5:$H$1204,"Falta",$L$5:$L$1204,Config!$B$7,$M$5:$M$1204,Config!$B$5)*1000-ROW()/100000,0)</f>
        <v>0</v>
      </c>
    </row>
    <row r="735">
      <c r="A735" s="39">
        <f>TODAY()</f>
        <v>46279.0</v>
      </c>
      <c r="B735" s="40" t="n">
        <v>0.7083333333333334</v>
      </c>
      <c r="C735" s="35" t="inlineStr">
        <is>
          <t>Dr. Paulo Andrade</t>
        </is>
      </c>
      <c r="D735" s="35" t="inlineStr">
        <is>
          <t>Sala 2</t>
        </is>
      </c>
      <c r="E735" s="34" t="inlineStr">
        <is>
          <t>Priscila Carvalho</t>
        </is>
      </c>
      <c r="F735" s="35" t="inlineStr">
        <is>
          <t>Vida Care</t>
        </is>
      </c>
      <c r="G735" s="35" t="inlineStr">
        <is>
          <t>ECG</t>
        </is>
      </c>
      <c r="H735" s="35" t="inlineStr">
        <is>
          <t>Confirmado</t>
        </is>
      </c>
      <c r="I735" s="35" t="n"/>
      <c r="J735" s="35" t="n"/>
      <c r="K735" s="34" t="n"/>
      <c r="L735" s="26">
        <f>IF(A735="","",MONTH(A735))</f>
        <v>9</v>
      </c>
      <c r="M735" s="26">
        <f>IF(A735="","",YEAR(A735))</f>
        <v>2026</v>
      </c>
      <c r="N735" s="26" t="str">
        <f>IF(A735="","",CHOOSE(WEEKDAY(A735,2),"Segunda","Terça","Quarta","Quinta","Sexta","Sábado","Domingo"))</f>
        <v>Segunda</v>
      </c>
      <c r="O735" s="26" t="str">
        <f>IF(B735="","",IF(B735&lt;TIME(12,0,0),"Manhã",IF(B735&lt;TIME(18,0,0),"Tarde","Noite")))</f>
        <v>Tarde</v>
      </c>
      <c r="P735" s="32">
        <f>IF(G735="","",IFERROR(INDEX(Config!$I$5:$I$16,MATCH(G735,Config!$H$5:$H$16,0)),0))</f>
        <v>0</v>
      </c>
      <c r="Q735" s="30">
        <f>IF(OR(H735&lt;&gt;"Realizado",P735="",P735=0),"",A735+P735)</f>
        <v/>
      </c>
      <c r="R735" s="26">
        <f>IF(Q735="","",IF(COUNTIFS($E$5:$E$1204,E735,$A$5:$A$1204,"&gt;"&amp;A735,$H$5:$H$1204,"&lt;&gt;Falta",$H$5:$H$1204,"&lt;&gt;Cancelado",$H$5:$H$1204,"&lt;&gt;Remarcado")&gt;0,"Sim","Não"))</f>
        <v/>
      </c>
      <c r="S735" s="32">
        <f>IF(R735&lt;&gt;"Não","",IF(Q735+Config!$B$9&lt;=Config!$B$8,Config!$B$8-Q735,""))</f>
        <v/>
      </c>
      <c r="T735" s="26">
        <f>IF(S735="","","Sim")</f>
        <v/>
      </c>
      <c r="U735" s="41">
        <f>IF(T735="Sim",S735+ROW()/100000,0)</f>
        <v>0</v>
      </c>
      <c r="V735" s="41">
        <f>IF(AND(H735="Falta",L735=Config!$B$7,M735=Config!$B$5,COUNTIFS($E$5:E735,E735,$H$5:H735,"Falta",$L$5:L735,Config!$B$7,$M$5:M735,Config!$B$5)=1),COUNTIFS($E$5:$E$1204,E735,$H$5:$H$1204,"Falta",$L$5:$L$1204,Config!$B$7,$M$5:$M$1204,Config!$B$5)*1000-ROW()/100000,0)</f>
        <v>0</v>
      </c>
    </row>
    <row r="736">
      <c r="A736" s="39">
        <f>TODAY()</f>
        <v>46279.0</v>
      </c>
      <c r="B736" s="40" t="n">
        <v>0.7222222222222222</v>
      </c>
      <c r="C736" s="35" t="inlineStr">
        <is>
          <t>Dr. Paulo Andrade</t>
        </is>
      </c>
      <c r="D736" s="35" t="inlineStr">
        <is>
          <t>Sala 2</t>
        </is>
      </c>
      <c r="E736" s="34" t="inlineStr">
        <is>
          <t>Priscila Rocha</t>
        </is>
      </c>
      <c r="F736" s="35" t="inlineStr">
        <is>
          <t>MediPlan</t>
        </is>
      </c>
      <c r="G736" s="35" t="inlineStr">
        <is>
          <t>Consulta</t>
        </is>
      </c>
      <c r="H736" s="35" t="inlineStr">
        <is>
          <t>Confirmado</t>
        </is>
      </c>
      <c r="I736" s="35" t="n"/>
      <c r="J736" s="35" t="n"/>
      <c r="K736" s="34" t="n"/>
      <c r="L736" s="26">
        <f>IF(A736="","",MONTH(A736))</f>
        <v>9</v>
      </c>
      <c r="M736" s="26">
        <f>IF(A736="","",YEAR(A736))</f>
        <v>2026</v>
      </c>
      <c r="N736" s="26" t="str">
        <f>IF(A736="","",CHOOSE(WEEKDAY(A736,2),"Segunda","Terça","Quarta","Quinta","Sexta","Sábado","Domingo"))</f>
        <v>Segunda</v>
      </c>
      <c r="O736" s="26" t="str">
        <f>IF(B736="","",IF(B736&lt;TIME(12,0,0),"Manhã",IF(B736&lt;TIME(18,0,0),"Tarde","Noite")))</f>
        <v>Tarde</v>
      </c>
      <c r="P736" s="32">
        <f>IF(G736="","",IFERROR(INDEX(Config!$I$5:$I$16,MATCH(G736,Config!$H$5:$H$16,0)),0))</f>
        <v>30</v>
      </c>
      <c r="Q736" s="30">
        <f>IF(OR(H736&lt;&gt;"Realizado",P736="",P736=0),"",A736+P736)</f>
        <v/>
      </c>
      <c r="R736" s="26">
        <f>IF(Q736="","",IF(COUNTIFS($E$5:$E$1204,E736,$A$5:$A$1204,"&gt;"&amp;A736,$H$5:$H$1204,"&lt;&gt;Falta",$H$5:$H$1204,"&lt;&gt;Cancelado",$H$5:$H$1204,"&lt;&gt;Remarcado")&gt;0,"Sim","Não"))</f>
        <v/>
      </c>
      <c r="S736" s="32">
        <f>IF(R736&lt;&gt;"Não","",IF(Q736+Config!$B$9&lt;=Config!$B$8,Config!$B$8-Q736,""))</f>
        <v/>
      </c>
      <c r="T736" s="26">
        <f>IF(S736="","","Sim")</f>
        <v/>
      </c>
      <c r="U736" s="41">
        <f>IF(T736="Sim",S736+ROW()/100000,0)</f>
        <v>0</v>
      </c>
      <c r="V736" s="41">
        <f>IF(AND(H736="Falta",L736=Config!$B$7,M736=Config!$B$5,COUNTIFS($E$5:E736,E736,$H$5:H736,"Falta",$L$5:L736,Config!$B$7,$M$5:M736,Config!$B$5)=1),COUNTIFS($E$5:$E$1204,E736,$H$5:$H$1204,"Falta",$L$5:$L$1204,Config!$B$7,$M$5:$M$1204,Config!$B$5)*1000-ROW()/100000,0)</f>
        <v>0</v>
      </c>
    </row>
    <row r="737">
      <c r="A737" s="39">
        <f>TODAY()+1</f>
        <v>46280.0</v>
      </c>
      <c r="B737" s="40" t="n">
        <v>0.3333333333333333</v>
      </c>
      <c r="C737" s="35" t="inlineStr">
        <is>
          <t>Dra. Carolina Mendes</t>
        </is>
      </c>
      <c r="D737" s="35" t="inlineStr">
        <is>
          <t>Sala 1</t>
        </is>
      </c>
      <c r="E737" s="34" t="inlineStr">
        <is>
          <t>Gustavo Ferreira</t>
        </is>
      </c>
      <c r="F737" s="35" t="inlineStr">
        <is>
          <t>Particular</t>
        </is>
      </c>
      <c r="G737" s="35" t="inlineStr">
        <is>
          <t>Retorno</t>
        </is>
      </c>
      <c r="H737" s="35" t="inlineStr">
        <is>
          <t>Confirmado</t>
        </is>
      </c>
      <c r="I737" s="35" t="n"/>
      <c r="J737" s="35" t="n"/>
      <c r="K737" s="34" t="n"/>
      <c r="L737" s="26">
        <f>IF(A737="","",MONTH(A737))</f>
        <v>9</v>
      </c>
      <c r="M737" s="26">
        <f>IF(A737="","",YEAR(A737))</f>
        <v>2026</v>
      </c>
      <c r="N737" s="26" t="str">
        <f>IF(A737="","",CHOOSE(WEEKDAY(A737,2),"Segunda","Terça","Quarta","Quinta","Sexta","Sábado","Domingo"))</f>
        <v>Terça</v>
      </c>
      <c r="O737" s="26" t="str">
        <f>IF(B737="","",IF(B737&lt;TIME(12,0,0),"Manhã",IF(B737&lt;TIME(18,0,0),"Tarde","Noite")))</f>
        <v>Manhã</v>
      </c>
      <c r="P737" s="32">
        <f>IF(G737="","",IFERROR(INDEX(Config!$I$5:$I$16,MATCH(G737,Config!$H$5:$H$16,0)),0))</f>
        <v>0</v>
      </c>
      <c r="Q737" s="30">
        <f>IF(OR(H737&lt;&gt;"Realizado",P737="",P737=0),"",A737+P737)</f>
        <v/>
      </c>
      <c r="R737" s="26">
        <f>IF(Q737="","",IF(COUNTIFS($E$5:$E$1204,E737,$A$5:$A$1204,"&gt;"&amp;A737,$H$5:$H$1204,"&lt;&gt;Falta",$H$5:$H$1204,"&lt;&gt;Cancelado",$H$5:$H$1204,"&lt;&gt;Remarcado")&gt;0,"Sim","Não"))</f>
        <v/>
      </c>
      <c r="S737" s="32">
        <f>IF(R737&lt;&gt;"Não","",IF(Q737+Config!$B$9&lt;=Config!$B$8,Config!$B$8-Q737,""))</f>
        <v/>
      </c>
      <c r="T737" s="26">
        <f>IF(S737="","","Sim")</f>
        <v/>
      </c>
      <c r="U737" s="41">
        <f>IF(T737="Sim",S737+ROW()/100000,0)</f>
        <v>0</v>
      </c>
      <c r="V737" s="41">
        <f>IF(AND(H737="Falta",L737=Config!$B$7,M737=Config!$B$5,COUNTIFS($E$5:E737,E737,$H$5:H737,"Falta",$L$5:L737,Config!$B$7,$M$5:M737,Config!$B$5)=1),COUNTIFS($E$5:$E$1204,E737,$H$5:$H$1204,"Falta",$L$5:$L$1204,Config!$B$7,$M$5:$M$1204,Config!$B$5)*1000-ROW()/100000,0)</f>
        <v>0</v>
      </c>
    </row>
    <row r="738">
      <c r="A738" s="39">
        <f>TODAY()+1</f>
        <v>46280.0</v>
      </c>
      <c r="B738" s="40" t="n">
        <v>0.3472222222222222</v>
      </c>
      <c r="C738" s="35" t="inlineStr">
        <is>
          <t>Dra. Carolina Mendes</t>
        </is>
      </c>
      <c r="D738" s="35" t="inlineStr">
        <is>
          <t>Sala 1</t>
        </is>
      </c>
      <c r="E738" s="34" t="inlineStr">
        <is>
          <t>Mônica Teixeira</t>
        </is>
      </c>
      <c r="F738" s="35" t="inlineStr">
        <is>
          <t>Vida Care</t>
        </is>
      </c>
      <c r="G738" s="35" t="inlineStr">
        <is>
          <t>Consulta</t>
        </is>
      </c>
      <c r="H738" s="35" t="inlineStr">
        <is>
          <t>Agendado</t>
        </is>
      </c>
      <c r="I738" s="35" t="n"/>
      <c r="J738" s="35" t="n"/>
      <c r="K738" s="34" t="n"/>
      <c r="L738" s="26">
        <f>IF(A738="","",MONTH(A738))</f>
        <v>9</v>
      </c>
      <c r="M738" s="26">
        <f>IF(A738="","",YEAR(A738))</f>
        <v>2026</v>
      </c>
      <c r="N738" s="26" t="str">
        <f>IF(A738="","",CHOOSE(WEEKDAY(A738,2),"Segunda","Terça","Quarta","Quinta","Sexta","Sábado","Domingo"))</f>
        <v>Terça</v>
      </c>
      <c r="O738" s="26" t="str">
        <f>IF(B738="","",IF(B738&lt;TIME(12,0,0),"Manhã",IF(B738&lt;TIME(18,0,0),"Tarde","Noite")))</f>
        <v>Manhã</v>
      </c>
      <c r="P738" s="32">
        <f>IF(G738="","",IFERROR(INDEX(Config!$I$5:$I$16,MATCH(G738,Config!$H$5:$H$16,0)),0))</f>
        <v>30</v>
      </c>
      <c r="Q738" s="30">
        <f>IF(OR(H738&lt;&gt;"Realizado",P738="",P738=0),"",A738+P738)</f>
        <v/>
      </c>
      <c r="R738" s="26">
        <f>IF(Q738="","",IF(COUNTIFS($E$5:$E$1204,E738,$A$5:$A$1204,"&gt;"&amp;A738,$H$5:$H$1204,"&lt;&gt;Falta",$H$5:$H$1204,"&lt;&gt;Cancelado",$H$5:$H$1204,"&lt;&gt;Remarcado")&gt;0,"Sim","Não"))</f>
        <v/>
      </c>
      <c r="S738" s="32">
        <f>IF(R738&lt;&gt;"Não","",IF(Q738+Config!$B$9&lt;=Config!$B$8,Config!$B$8-Q738,""))</f>
        <v/>
      </c>
      <c r="T738" s="26">
        <f>IF(S738="","","Sim")</f>
        <v/>
      </c>
      <c r="U738" s="41">
        <f>IF(T738="Sim",S738+ROW()/100000,0)</f>
        <v>0</v>
      </c>
      <c r="V738" s="41">
        <f>IF(AND(H738="Falta",L738=Config!$B$7,M738=Config!$B$5,COUNTIFS($E$5:E738,E738,$H$5:H738,"Falta",$L$5:L738,Config!$B$7,$M$5:M738,Config!$B$5)=1),COUNTIFS($E$5:$E$1204,E738,$H$5:$H$1204,"Falta",$L$5:$L$1204,Config!$B$7,$M$5:$M$1204,Config!$B$5)*1000-ROW()/100000,0)</f>
        <v>0</v>
      </c>
    </row>
    <row r="739">
      <c r="A739" s="39">
        <f>TODAY()+1</f>
        <v>46280.0</v>
      </c>
      <c r="B739" s="40" t="n">
        <v>0.3680555555555556</v>
      </c>
      <c r="C739" s="35" t="inlineStr">
        <is>
          <t>Dra. Carolina Mendes</t>
        </is>
      </c>
      <c r="D739" s="35" t="inlineStr">
        <is>
          <t>Sala 1</t>
        </is>
      </c>
      <c r="E739" s="34" t="inlineStr">
        <is>
          <t>Gustavo Barbosa</t>
        </is>
      </c>
      <c r="F739" s="35" t="inlineStr">
        <is>
          <t>Saúde Total</t>
        </is>
      </c>
      <c r="G739" s="35" t="inlineStr">
        <is>
          <t>Consulta</t>
        </is>
      </c>
      <c r="H739" s="35" t="inlineStr">
        <is>
          <t>Agendado</t>
        </is>
      </c>
      <c r="I739" s="35" t="n"/>
      <c r="J739" s="35" t="n"/>
      <c r="K739" s="34" t="n"/>
      <c r="L739" s="26">
        <f>IF(A739="","",MONTH(A739))</f>
        <v>9</v>
      </c>
      <c r="M739" s="26">
        <f>IF(A739="","",YEAR(A739))</f>
        <v>2026</v>
      </c>
      <c r="N739" s="26" t="str">
        <f>IF(A739="","",CHOOSE(WEEKDAY(A739,2),"Segunda","Terça","Quarta","Quinta","Sexta","Sábado","Domingo"))</f>
        <v>Terça</v>
      </c>
      <c r="O739" s="26" t="str">
        <f>IF(B739="","",IF(B739&lt;TIME(12,0,0),"Manhã",IF(B739&lt;TIME(18,0,0),"Tarde","Noite")))</f>
        <v>Manhã</v>
      </c>
      <c r="P739" s="32">
        <f>IF(G739="","",IFERROR(INDEX(Config!$I$5:$I$16,MATCH(G739,Config!$H$5:$H$16,0)),0))</f>
        <v>30</v>
      </c>
      <c r="Q739" s="30">
        <f>IF(OR(H739&lt;&gt;"Realizado",P739="",P739=0),"",A739+P739)</f>
        <v/>
      </c>
      <c r="R739" s="26">
        <f>IF(Q739="","",IF(COUNTIFS($E$5:$E$1204,E739,$A$5:$A$1204,"&gt;"&amp;A739,$H$5:$H$1204,"&lt;&gt;Falta",$H$5:$H$1204,"&lt;&gt;Cancelado",$H$5:$H$1204,"&lt;&gt;Remarcado")&gt;0,"Sim","Não"))</f>
        <v/>
      </c>
      <c r="S739" s="32">
        <f>IF(R739&lt;&gt;"Não","",IF(Q739+Config!$B$9&lt;=Config!$B$8,Config!$B$8-Q739,""))</f>
        <v/>
      </c>
      <c r="T739" s="26">
        <f>IF(S739="","","Sim")</f>
        <v/>
      </c>
      <c r="U739" s="41">
        <f>IF(T739="Sim",S739+ROW()/100000,0)</f>
        <v>0</v>
      </c>
      <c r="V739" s="41">
        <f>IF(AND(H739="Falta",L739=Config!$B$7,M739=Config!$B$5,COUNTIFS($E$5:E739,E739,$H$5:H739,"Falta",$L$5:L739,Config!$B$7,$M$5:M739,Config!$B$5)=1),COUNTIFS($E$5:$E$1204,E739,$H$5:$H$1204,"Falta",$L$5:$L$1204,Config!$B$7,$M$5:$M$1204,Config!$B$5)*1000-ROW()/100000,0)</f>
        <v>0</v>
      </c>
    </row>
    <row r="740">
      <c r="A740" s="39">
        <f>TODAY()+1</f>
        <v>46280.0</v>
      </c>
      <c r="B740" s="40" t="n">
        <v>0.3888888888888889</v>
      </c>
      <c r="C740" s="35" t="inlineStr">
        <is>
          <t>Dra. Carolina Mendes</t>
        </is>
      </c>
      <c r="D740" s="35" t="inlineStr">
        <is>
          <t>Sala 1</t>
        </is>
      </c>
      <c r="E740" s="34" t="inlineStr">
        <is>
          <t>Otávio Nascimento</t>
        </is>
      </c>
      <c r="F740" s="35" t="inlineStr">
        <is>
          <t>Particular</t>
        </is>
      </c>
      <c r="G740" s="35" t="inlineStr">
        <is>
          <t>Retorno</t>
        </is>
      </c>
      <c r="H740" s="35" t="inlineStr">
        <is>
          <t>Agendado</t>
        </is>
      </c>
      <c r="I740" s="35" t="n"/>
      <c r="J740" s="35" t="n"/>
      <c r="K740" s="34" t="n"/>
      <c r="L740" s="26">
        <f>IF(A740="","",MONTH(A740))</f>
        <v>9</v>
      </c>
      <c r="M740" s="26">
        <f>IF(A740="","",YEAR(A740))</f>
        <v>2026</v>
      </c>
      <c r="N740" s="26" t="str">
        <f>IF(A740="","",CHOOSE(WEEKDAY(A740,2),"Segunda","Terça","Quarta","Quinta","Sexta","Sábado","Domingo"))</f>
        <v>Terça</v>
      </c>
      <c r="O740" s="26" t="str">
        <f>IF(B740="","",IF(B740&lt;TIME(12,0,0),"Manhã",IF(B740&lt;TIME(18,0,0),"Tarde","Noite")))</f>
        <v>Manhã</v>
      </c>
      <c r="P740" s="32">
        <f>IF(G740="","",IFERROR(INDEX(Config!$I$5:$I$16,MATCH(G740,Config!$H$5:$H$16,0)),0))</f>
        <v>0</v>
      </c>
      <c r="Q740" s="30">
        <f>IF(OR(H740&lt;&gt;"Realizado",P740="",P740=0),"",A740+P740)</f>
        <v/>
      </c>
      <c r="R740" s="26">
        <f>IF(Q740="","",IF(COUNTIFS($E$5:$E$1204,E740,$A$5:$A$1204,"&gt;"&amp;A740,$H$5:$H$1204,"&lt;&gt;Falta",$H$5:$H$1204,"&lt;&gt;Cancelado",$H$5:$H$1204,"&lt;&gt;Remarcado")&gt;0,"Sim","Não"))</f>
        <v/>
      </c>
      <c r="S740" s="32">
        <f>IF(R740&lt;&gt;"Não","",IF(Q740+Config!$B$9&lt;=Config!$B$8,Config!$B$8-Q740,""))</f>
        <v/>
      </c>
      <c r="T740" s="26">
        <f>IF(S740="","","Sim")</f>
        <v/>
      </c>
      <c r="U740" s="41">
        <f>IF(T740="Sim",S740+ROW()/100000,0)</f>
        <v>0</v>
      </c>
      <c r="V740" s="41">
        <f>IF(AND(H740="Falta",L740=Config!$B$7,M740=Config!$B$5,COUNTIFS($E$5:E740,E740,$H$5:H740,"Falta",$L$5:L740,Config!$B$7,$M$5:M740,Config!$B$5)=1),COUNTIFS($E$5:$E$1204,E740,$H$5:$H$1204,"Falta",$L$5:$L$1204,Config!$B$7,$M$5:$M$1204,Config!$B$5)*1000-ROW()/100000,0)</f>
        <v>0</v>
      </c>
    </row>
    <row r="741">
      <c r="A741" s="39">
        <f>TODAY()+1</f>
        <v>46280.0</v>
      </c>
      <c r="B741" s="40" t="n">
        <v>0.4027777777777778</v>
      </c>
      <c r="C741" s="35" t="inlineStr">
        <is>
          <t>Dra. Carolina Mendes</t>
        </is>
      </c>
      <c r="D741" s="35" t="inlineStr">
        <is>
          <t>Sala 1</t>
        </is>
      </c>
      <c r="E741" s="34" t="inlineStr">
        <is>
          <t>Eduardo Nunes</t>
        </is>
      </c>
      <c r="F741" s="35" t="inlineStr">
        <is>
          <t>MediPlan</t>
        </is>
      </c>
      <c r="G741" s="35" t="inlineStr">
        <is>
          <t>Retorno</t>
        </is>
      </c>
      <c r="H741" s="35" t="inlineStr">
        <is>
          <t>Confirmado</t>
        </is>
      </c>
      <c r="I741" s="35" t="n"/>
      <c r="J741" s="35" t="n"/>
      <c r="K741" s="34" t="n"/>
      <c r="L741" s="26">
        <f>IF(A741="","",MONTH(A741))</f>
        <v>9</v>
      </c>
      <c r="M741" s="26">
        <f>IF(A741="","",YEAR(A741))</f>
        <v>2026</v>
      </c>
      <c r="N741" s="26" t="str">
        <f>IF(A741="","",CHOOSE(WEEKDAY(A741,2),"Segunda","Terça","Quarta","Quinta","Sexta","Sábado","Domingo"))</f>
        <v>Terça</v>
      </c>
      <c r="O741" s="26" t="str">
        <f>IF(B741="","",IF(B741&lt;TIME(12,0,0),"Manhã",IF(B741&lt;TIME(18,0,0),"Tarde","Noite")))</f>
        <v>Manhã</v>
      </c>
      <c r="P741" s="32">
        <f>IF(G741="","",IFERROR(INDEX(Config!$I$5:$I$16,MATCH(G741,Config!$H$5:$H$16,0)),0))</f>
        <v>0</v>
      </c>
      <c r="Q741" s="30">
        <f>IF(OR(H741&lt;&gt;"Realizado",P741="",P741=0),"",A741+P741)</f>
        <v/>
      </c>
      <c r="R741" s="26">
        <f>IF(Q741="","",IF(COUNTIFS($E$5:$E$1204,E741,$A$5:$A$1204,"&gt;"&amp;A741,$H$5:$H$1204,"&lt;&gt;Falta",$H$5:$H$1204,"&lt;&gt;Cancelado",$H$5:$H$1204,"&lt;&gt;Remarcado")&gt;0,"Sim","Não"))</f>
        <v/>
      </c>
      <c r="S741" s="32">
        <f>IF(R741&lt;&gt;"Não","",IF(Q741+Config!$B$9&lt;=Config!$B$8,Config!$B$8-Q741,""))</f>
        <v/>
      </c>
      <c r="T741" s="26">
        <f>IF(S741="","","Sim")</f>
        <v/>
      </c>
      <c r="U741" s="41">
        <f>IF(T741="Sim",S741+ROW()/100000,0)</f>
        <v>0</v>
      </c>
      <c r="V741" s="41">
        <f>IF(AND(H741="Falta",L741=Config!$B$7,M741=Config!$B$5,COUNTIFS($E$5:E741,E741,$H$5:H741,"Falta",$L$5:L741,Config!$B$7,$M$5:M741,Config!$B$5)=1),COUNTIFS($E$5:$E$1204,E741,$H$5:$H$1204,"Falta",$L$5:$L$1204,Config!$B$7,$M$5:$M$1204,Config!$B$5)*1000-ROW()/100000,0)</f>
        <v>0</v>
      </c>
    </row>
    <row r="742">
      <c r="A742" s="39">
        <f>TODAY()+1</f>
        <v>46280.0</v>
      </c>
      <c r="B742" s="40" t="n">
        <v>0.4166666666666667</v>
      </c>
      <c r="C742" s="35" t="inlineStr">
        <is>
          <t>Dra. Carolina Mendes</t>
        </is>
      </c>
      <c r="D742" s="35" t="inlineStr">
        <is>
          <t>Sala 1</t>
        </is>
      </c>
      <c r="E742" s="34" t="inlineStr">
        <is>
          <t>Mariana Nascimento</t>
        </is>
      </c>
      <c r="F742" s="35" t="inlineStr">
        <is>
          <t>Particular</t>
        </is>
      </c>
      <c r="G742" s="35" t="inlineStr">
        <is>
          <t>Consulta</t>
        </is>
      </c>
      <c r="H742" s="35" t="inlineStr">
        <is>
          <t>Confirmado</t>
        </is>
      </c>
      <c r="I742" s="35" t="n"/>
      <c r="J742" s="35" t="n"/>
      <c r="K742" s="34" t="n"/>
      <c r="L742" s="26">
        <f>IF(A742="","",MONTH(A742))</f>
        <v>9</v>
      </c>
      <c r="M742" s="26">
        <f>IF(A742="","",YEAR(A742))</f>
        <v>2026</v>
      </c>
      <c r="N742" s="26" t="str">
        <f>IF(A742="","",CHOOSE(WEEKDAY(A742,2),"Segunda","Terça","Quarta","Quinta","Sexta","Sábado","Domingo"))</f>
        <v>Terça</v>
      </c>
      <c r="O742" s="26" t="str">
        <f>IF(B742="","",IF(B742&lt;TIME(12,0,0),"Manhã",IF(B742&lt;TIME(18,0,0),"Tarde","Noite")))</f>
        <v>Manhã</v>
      </c>
      <c r="P742" s="32">
        <f>IF(G742="","",IFERROR(INDEX(Config!$I$5:$I$16,MATCH(G742,Config!$H$5:$H$16,0)),0))</f>
        <v>30</v>
      </c>
      <c r="Q742" s="30">
        <f>IF(OR(H742&lt;&gt;"Realizado",P742="",P742=0),"",A742+P742)</f>
        <v/>
      </c>
      <c r="R742" s="26">
        <f>IF(Q742="","",IF(COUNTIFS($E$5:$E$1204,E742,$A$5:$A$1204,"&gt;"&amp;A742,$H$5:$H$1204,"&lt;&gt;Falta",$H$5:$H$1204,"&lt;&gt;Cancelado",$H$5:$H$1204,"&lt;&gt;Remarcado")&gt;0,"Sim","Não"))</f>
        <v/>
      </c>
      <c r="S742" s="32">
        <f>IF(R742&lt;&gt;"Não","",IF(Q742+Config!$B$9&lt;=Config!$B$8,Config!$B$8-Q742,""))</f>
        <v/>
      </c>
      <c r="T742" s="26">
        <f>IF(S742="","","Sim")</f>
        <v/>
      </c>
      <c r="U742" s="41">
        <f>IF(T742="Sim",S742+ROW()/100000,0)</f>
        <v>0</v>
      </c>
      <c r="V742" s="41">
        <f>IF(AND(H742="Falta",L742=Config!$B$7,M742=Config!$B$5,COUNTIFS($E$5:E742,E742,$H$5:H742,"Falta",$L$5:L742,Config!$B$7,$M$5:M742,Config!$B$5)=1),COUNTIFS($E$5:$E$1204,E742,$H$5:$H$1204,"Falta",$L$5:$L$1204,Config!$B$7,$M$5:$M$1204,Config!$B$5)*1000-ROW()/100000,0)</f>
        <v>0</v>
      </c>
    </row>
    <row r="743">
      <c r="A743" s="39">
        <f>TODAY()+1</f>
        <v>46280.0</v>
      </c>
      <c r="B743" s="40" t="n">
        <v>0.4375</v>
      </c>
      <c r="C743" s="35" t="inlineStr">
        <is>
          <t>Dra. Carolina Mendes</t>
        </is>
      </c>
      <c r="D743" s="35" t="inlineStr">
        <is>
          <t>Sala 1</t>
        </is>
      </c>
      <c r="E743" s="34" t="inlineStr">
        <is>
          <t>Wagner Lima</t>
        </is>
      </c>
      <c r="F743" s="35" t="inlineStr">
        <is>
          <t>Particular</t>
        </is>
      </c>
      <c r="G743" s="35" t="inlineStr">
        <is>
          <t>Consulta</t>
        </is>
      </c>
      <c r="H743" s="35" t="inlineStr">
        <is>
          <t>Confirmado</t>
        </is>
      </c>
      <c r="I743" s="35" t="n"/>
      <c r="J743" s="35" t="n"/>
      <c r="K743" s="34" t="n"/>
      <c r="L743" s="26">
        <f>IF(A743="","",MONTH(A743))</f>
        <v>9</v>
      </c>
      <c r="M743" s="26">
        <f>IF(A743="","",YEAR(A743))</f>
        <v>2026</v>
      </c>
      <c r="N743" s="26" t="str">
        <f>IF(A743="","",CHOOSE(WEEKDAY(A743,2),"Segunda","Terça","Quarta","Quinta","Sexta","Sábado","Domingo"))</f>
        <v>Terça</v>
      </c>
      <c r="O743" s="26" t="str">
        <f>IF(B743="","",IF(B743&lt;TIME(12,0,0),"Manhã",IF(B743&lt;TIME(18,0,0),"Tarde","Noite")))</f>
        <v>Manhã</v>
      </c>
      <c r="P743" s="32">
        <f>IF(G743="","",IFERROR(INDEX(Config!$I$5:$I$16,MATCH(G743,Config!$H$5:$H$16,0)),0))</f>
        <v>30</v>
      </c>
      <c r="Q743" s="30">
        <f>IF(OR(H743&lt;&gt;"Realizado",P743="",P743=0),"",A743+P743)</f>
        <v/>
      </c>
      <c r="R743" s="26">
        <f>IF(Q743="","",IF(COUNTIFS($E$5:$E$1204,E743,$A$5:$A$1204,"&gt;"&amp;A743,$H$5:$H$1204,"&lt;&gt;Falta",$H$5:$H$1204,"&lt;&gt;Cancelado",$H$5:$H$1204,"&lt;&gt;Remarcado")&gt;0,"Sim","Não"))</f>
        <v/>
      </c>
      <c r="S743" s="32">
        <f>IF(R743&lt;&gt;"Não","",IF(Q743+Config!$B$9&lt;=Config!$B$8,Config!$B$8-Q743,""))</f>
        <v/>
      </c>
      <c r="T743" s="26">
        <f>IF(S743="","","Sim")</f>
        <v/>
      </c>
      <c r="U743" s="41">
        <f>IF(T743="Sim",S743+ROW()/100000,0)</f>
        <v>0</v>
      </c>
      <c r="V743" s="41">
        <f>IF(AND(H743="Falta",L743=Config!$B$7,M743=Config!$B$5,COUNTIFS($E$5:E743,E743,$H$5:H743,"Falta",$L$5:L743,Config!$B$7,$M$5:M743,Config!$B$5)=1),COUNTIFS($E$5:$E$1204,E743,$H$5:$H$1204,"Falta",$L$5:$L$1204,Config!$B$7,$M$5:$M$1204,Config!$B$5)*1000-ROW()/100000,0)</f>
        <v>0</v>
      </c>
    </row>
    <row r="744">
      <c r="A744" s="39">
        <f>TODAY()+1</f>
        <v>46280.0</v>
      </c>
      <c r="B744" s="40" t="n">
        <v>0.4583333333333333</v>
      </c>
      <c r="C744" s="35" t="inlineStr">
        <is>
          <t>Dra. Carolina Mendes</t>
        </is>
      </c>
      <c r="D744" s="35" t="inlineStr">
        <is>
          <t>Sala 1</t>
        </is>
      </c>
      <c r="E744" s="34" t="inlineStr">
        <is>
          <t>Carlos Barros</t>
        </is>
      </c>
      <c r="F744" s="35" t="inlineStr">
        <is>
          <t>MediPlan</t>
        </is>
      </c>
      <c r="G744" s="35" t="inlineStr">
        <is>
          <t>Consulta</t>
        </is>
      </c>
      <c r="H744" s="35" t="inlineStr">
        <is>
          <t>Confirmado</t>
        </is>
      </c>
      <c r="I744" s="35" t="n"/>
      <c r="J744" s="35" t="n"/>
      <c r="K744" s="34" t="n"/>
      <c r="L744" s="26">
        <f>IF(A744="","",MONTH(A744))</f>
        <v>9</v>
      </c>
      <c r="M744" s="26">
        <f>IF(A744="","",YEAR(A744))</f>
        <v>2026</v>
      </c>
      <c r="N744" s="26" t="str">
        <f>IF(A744="","",CHOOSE(WEEKDAY(A744,2),"Segunda","Terça","Quarta","Quinta","Sexta","Sábado","Domingo"))</f>
        <v>Terça</v>
      </c>
      <c r="O744" s="26" t="str">
        <f>IF(B744="","",IF(B744&lt;TIME(12,0,0),"Manhã",IF(B744&lt;TIME(18,0,0),"Tarde","Noite")))</f>
        <v>Manhã</v>
      </c>
      <c r="P744" s="32">
        <f>IF(G744="","",IFERROR(INDEX(Config!$I$5:$I$16,MATCH(G744,Config!$H$5:$H$16,0)),0))</f>
        <v>30</v>
      </c>
      <c r="Q744" s="30">
        <f>IF(OR(H744&lt;&gt;"Realizado",P744="",P744=0),"",A744+P744)</f>
        <v/>
      </c>
      <c r="R744" s="26">
        <f>IF(Q744="","",IF(COUNTIFS($E$5:$E$1204,E744,$A$5:$A$1204,"&gt;"&amp;A744,$H$5:$H$1204,"&lt;&gt;Falta",$H$5:$H$1204,"&lt;&gt;Cancelado",$H$5:$H$1204,"&lt;&gt;Remarcado")&gt;0,"Sim","Não"))</f>
        <v/>
      </c>
      <c r="S744" s="32">
        <f>IF(R744&lt;&gt;"Não","",IF(Q744+Config!$B$9&lt;=Config!$B$8,Config!$B$8-Q744,""))</f>
        <v/>
      </c>
      <c r="T744" s="26">
        <f>IF(S744="","","Sim")</f>
        <v/>
      </c>
      <c r="U744" s="41">
        <f>IF(T744="Sim",S744+ROW()/100000,0)</f>
        <v>0</v>
      </c>
      <c r="V744" s="41">
        <f>IF(AND(H744="Falta",L744=Config!$B$7,M744=Config!$B$5,COUNTIFS($E$5:E744,E744,$H$5:H744,"Falta",$L$5:L744,Config!$B$7,$M$5:M744,Config!$B$5)=1),COUNTIFS($E$5:$E$1204,E744,$H$5:$H$1204,"Falta",$L$5:$L$1204,Config!$B$7,$M$5:$M$1204,Config!$B$5)*1000-ROW()/100000,0)</f>
        <v>0</v>
      </c>
    </row>
    <row r="745">
      <c r="A745" s="39">
        <f>TODAY()+1</f>
        <v>46280.0</v>
      </c>
      <c r="B745" s="40" t="n">
        <v>0.4791666666666667</v>
      </c>
      <c r="C745" s="35" t="inlineStr">
        <is>
          <t>Dra. Carolina Mendes</t>
        </is>
      </c>
      <c r="D745" s="35" t="inlineStr">
        <is>
          <t>Sala 1</t>
        </is>
      </c>
      <c r="E745" s="34" t="inlineStr">
        <is>
          <t>Otávio Cardoso</t>
        </is>
      </c>
      <c r="F745" s="35" t="inlineStr">
        <is>
          <t>Particular</t>
        </is>
      </c>
      <c r="G745" s="35" t="inlineStr">
        <is>
          <t>Consulta</t>
        </is>
      </c>
      <c r="H745" s="35" t="inlineStr">
        <is>
          <t>Confirmado</t>
        </is>
      </c>
      <c r="I745" s="35" t="n"/>
      <c r="J745" s="35" t="n"/>
      <c r="K745" s="34" t="n"/>
      <c r="L745" s="26">
        <f>IF(A745="","",MONTH(A745))</f>
        <v>9</v>
      </c>
      <c r="M745" s="26">
        <f>IF(A745="","",YEAR(A745))</f>
        <v>2026</v>
      </c>
      <c r="N745" s="26" t="str">
        <f>IF(A745="","",CHOOSE(WEEKDAY(A745,2),"Segunda","Terça","Quarta","Quinta","Sexta","Sábado","Domingo"))</f>
        <v>Terça</v>
      </c>
      <c r="O745" s="26" t="str">
        <f>IF(B745="","",IF(B745&lt;TIME(12,0,0),"Manhã",IF(B745&lt;TIME(18,0,0),"Tarde","Noite")))</f>
        <v>Manhã</v>
      </c>
      <c r="P745" s="32">
        <f>IF(G745="","",IFERROR(INDEX(Config!$I$5:$I$16,MATCH(G745,Config!$H$5:$H$16,0)),0))</f>
        <v>30</v>
      </c>
      <c r="Q745" s="30">
        <f>IF(OR(H745&lt;&gt;"Realizado",P745="",P745=0),"",A745+P745)</f>
        <v/>
      </c>
      <c r="R745" s="26">
        <f>IF(Q745="","",IF(COUNTIFS($E$5:$E$1204,E745,$A$5:$A$1204,"&gt;"&amp;A745,$H$5:$H$1204,"&lt;&gt;Falta",$H$5:$H$1204,"&lt;&gt;Cancelado",$H$5:$H$1204,"&lt;&gt;Remarcado")&gt;0,"Sim","Não"))</f>
        <v/>
      </c>
      <c r="S745" s="32">
        <f>IF(R745&lt;&gt;"Não","",IF(Q745+Config!$B$9&lt;=Config!$B$8,Config!$B$8-Q745,""))</f>
        <v/>
      </c>
      <c r="T745" s="26">
        <f>IF(S745="","","Sim")</f>
        <v/>
      </c>
      <c r="U745" s="41">
        <f>IF(T745="Sim",S745+ROW()/100000,0)</f>
        <v>0</v>
      </c>
      <c r="V745" s="41">
        <f>IF(AND(H745="Falta",L745=Config!$B$7,M745=Config!$B$5,COUNTIFS($E$5:E745,E745,$H$5:H745,"Falta",$L$5:L745,Config!$B$7,$M$5:M745,Config!$B$5)=1),COUNTIFS($E$5:$E$1204,E745,$H$5:$H$1204,"Falta",$L$5:$L$1204,Config!$B$7,$M$5:$M$1204,Config!$B$5)*1000-ROW()/100000,0)</f>
        <v>0</v>
      </c>
    </row>
    <row r="746">
      <c r="A746" s="39">
        <f>TODAY()+1</f>
        <v>46280.0</v>
      </c>
      <c r="B746" s="40" t="n">
        <v>0.5833333333333334</v>
      </c>
      <c r="C746" s="35" t="inlineStr">
        <is>
          <t>Dra. Renata Sousa</t>
        </is>
      </c>
      <c r="D746" s="35" t="inlineStr">
        <is>
          <t>Sala 1</t>
        </is>
      </c>
      <c r="E746" s="34" t="inlineStr">
        <is>
          <t>Thiago Melo</t>
        </is>
      </c>
      <c r="F746" s="35" t="inlineStr">
        <is>
          <t>Particular</t>
        </is>
      </c>
      <c r="G746" s="35" t="inlineStr">
        <is>
          <t>Avaliação endócrina</t>
        </is>
      </c>
      <c r="H746" s="35" t="inlineStr">
        <is>
          <t>Confirmado</t>
        </is>
      </c>
      <c r="I746" s="35" t="n"/>
      <c r="J746" s="35" t="n"/>
      <c r="K746" s="34" t="n"/>
      <c r="L746" s="26">
        <f>IF(A746="","",MONTH(A746))</f>
        <v>9</v>
      </c>
      <c r="M746" s="26">
        <f>IF(A746="","",YEAR(A746))</f>
        <v>2026</v>
      </c>
      <c r="N746" s="26" t="str">
        <f>IF(A746="","",CHOOSE(WEEKDAY(A746,2),"Segunda","Terça","Quarta","Quinta","Sexta","Sábado","Domingo"))</f>
        <v>Terça</v>
      </c>
      <c r="O746" s="26" t="str">
        <f>IF(B746="","",IF(B746&lt;TIME(12,0,0),"Manhã",IF(B746&lt;TIME(18,0,0),"Tarde","Noite")))</f>
        <v>Tarde</v>
      </c>
      <c r="P746" s="32">
        <f>IF(G746="","",IFERROR(INDEX(Config!$I$5:$I$16,MATCH(G746,Config!$H$5:$H$16,0)),0))</f>
        <v>45</v>
      </c>
      <c r="Q746" s="30">
        <f>IF(OR(H746&lt;&gt;"Realizado",P746="",P746=0),"",A746+P746)</f>
        <v/>
      </c>
      <c r="R746" s="26">
        <f>IF(Q746="","",IF(COUNTIFS($E$5:$E$1204,E746,$A$5:$A$1204,"&gt;"&amp;A746,$H$5:$H$1204,"&lt;&gt;Falta",$H$5:$H$1204,"&lt;&gt;Cancelado",$H$5:$H$1204,"&lt;&gt;Remarcado")&gt;0,"Sim","Não"))</f>
        <v/>
      </c>
      <c r="S746" s="32">
        <f>IF(R746&lt;&gt;"Não","",IF(Q746+Config!$B$9&lt;=Config!$B$8,Config!$B$8-Q746,""))</f>
        <v/>
      </c>
      <c r="T746" s="26">
        <f>IF(S746="","","Sim")</f>
        <v/>
      </c>
      <c r="U746" s="41">
        <f>IF(T746="Sim",S746+ROW()/100000,0)</f>
        <v>0</v>
      </c>
      <c r="V746" s="41">
        <f>IF(AND(H746="Falta",L746=Config!$B$7,M746=Config!$B$5,COUNTIFS($E$5:E746,E746,$H$5:H746,"Falta",$L$5:L746,Config!$B$7,$M$5:M746,Config!$B$5)=1),COUNTIFS($E$5:$E$1204,E746,$H$5:$H$1204,"Falta",$L$5:$L$1204,Config!$B$7,$M$5:$M$1204,Config!$B$5)*1000-ROW()/100000,0)</f>
        <v>0</v>
      </c>
    </row>
    <row r="747">
      <c r="A747" s="39">
        <f>TODAY()+1</f>
        <v>46280.0</v>
      </c>
      <c r="B747" s="40" t="n">
        <v>0.5833333333333334</v>
      </c>
      <c r="C747" s="35" t="inlineStr">
        <is>
          <t>Dr. Paulo Andrade</t>
        </is>
      </c>
      <c r="D747" s="35" t="inlineStr">
        <is>
          <t>Sala 2</t>
        </is>
      </c>
      <c r="E747" s="34" t="inlineStr">
        <is>
          <t>Letícia Vieira</t>
        </is>
      </c>
      <c r="F747" s="35" t="inlineStr">
        <is>
          <t>Saúde Total</t>
        </is>
      </c>
      <c r="G747" s="35" t="inlineStr">
        <is>
          <t>ECG</t>
        </is>
      </c>
      <c r="H747" s="35" t="inlineStr">
        <is>
          <t>Confirmado</t>
        </is>
      </c>
      <c r="I747" s="35" t="n"/>
      <c r="J747" s="35" t="n"/>
      <c r="K747" s="34" t="n"/>
      <c r="L747" s="26">
        <f>IF(A747="","",MONTH(A747))</f>
        <v>9</v>
      </c>
      <c r="M747" s="26">
        <f>IF(A747="","",YEAR(A747))</f>
        <v>2026</v>
      </c>
      <c r="N747" s="26" t="str">
        <f>IF(A747="","",CHOOSE(WEEKDAY(A747,2),"Segunda","Terça","Quarta","Quinta","Sexta","Sábado","Domingo"))</f>
        <v>Terça</v>
      </c>
      <c r="O747" s="26" t="str">
        <f>IF(B747="","",IF(B747&lt;TIME(12,0,0),"Manhã",IF(B747&lt;TIME(18,0,0),"Tarde","Noite")))</f>
        <v>Tarde</v>
      </c>
      <c r="P747" s="32">
        <f>IF(G747="","",IFERROR(INDEX(Config!$I$5:$I$16,MATCH(G747,Config!$H$5:$H$16,0)),0))</f>
        <v>0</v>
      </c>
      <c r="Q747" s="30">
        <f>IF(OR(H747&lt;&gt;"Realizado",P747="",P747=0),"",A747+P747)</f>
        <v/>
      </c>
      <c r="R747" s="26">
        <f>IF(Q747="","",IF(COUNTIFS($E$5:$E$1204,E747,$A$5:$A$1204,"&gt;"&amp;A747,$H$5:$H$1204,"&lt;&gt;Falta",$H$5:$H$1204,"&lt;&gt;Cancelado",$H$5:$H$1204,"&lt;&gt;Remarcado")&gt;0,"Sim","Não"))</f>
        <v/>
      </c>
      <c r="S747" s="32">
        <f>IF(R747&lt;&gt;"Não","",IF(Q747+Config!$B$9&lt;=Config!$B$8,Config!$B$8-Q747,""))</f>
        <v/>
      </c>
      <c r="T747" s="26">
        <f>IF(S747="","","Sim")</f>
        <v/>
      </c>
      <c r="U747" s="41">
        <f>IF(T747="Sim",S747+ROW()/100000,0)</f>
        <v>0</v>
      </c>
      <c r="V747" s="41">
        <f>IF(AND(H747="Falta",L747=Config!$B$7,M747=Config!$B$5,COUNTIFS($E$5:E747,E747,$H$5:H747,"Falta",$L$5:L747,Config!$B$7,$M$5:M747,Config!$B$5)=1),COUNTIFS($E$5:$E$1204,E747,$H$5:$H$1204,"Falta",$L$5:$L$1204,Config!$B$7,$M$5:$M$1204,Config!$B$5)*1000-ROW()/100000,0)</f>
        <v>0</v>
      </c>
    </row>
    <row r="748">
      <c r="A748" s="39">
        <f>TODAY()+1</f>
        <v>46280.0</v>
      </c>
      <c r="B748" s="40" t="n">
        <v>0.5972222222222222</v>
      </c>
      <c r="C748" s="35" t="inlineStr">
        <is>
          <t>Dr. Paulo Andrade</t>
        </is>
      </c>
      <c r="D748" s="35" t="inlineStr">
        <is>
          <t>Sala 2</t>
        </is>
      </c>
      <c r="E748" s="34" t="inlineStr">
        <is>
          <t>Sérgio Batista</t>
        </is>
      </c>
      <c r="F748" s="35" t="inlineStr">
        <is>
          <t>MediPlan</t>
        </is>
      </c>
      <c r="G748" s="35" t="inlineStr">
        <is>
          <t>ECG</t>
        </is>
      </c>
      <c r="H748" s="35" t="inlineStr">
        <is>
          <t>Confirmado</t>
        </is>
      </c>
      <c r="I748" s="35" t="n"/>
      <c r="J748" s="35" t="n"/>
      <c r="K748" s="34" t="n"/>
      <c r="L748" s="26">
        <f>IF(A748="","",MONTH(A748))</f>
        <v>9</v>
      </c>
      <c r="M748" s="26">
        <f>IF(A748="","",YEAR(A748))</f>
        <v>2026</v>
      </c>
      <c r="N748" s="26" t="str">
        <f>IF(A748="","",CHOOSE(WEEKDAY(A748,2),"Segunda","Terça","Quarta","Quinta","Sexta","Sábado","Domingo"))</f>
        <v>Terça</v>
      </c>
      <c r="O748" s="26" t="str">
        <f>IF(B748="","",IF(B748&lt;TIME(12,0,0),"Manhã",IF(B748&lt;TIME(18,0,0),"Tarde","Noite")))</f>
        <v>Tarde</v>
      </c>
      <c r="P748" s="32">
        <f>IF(G748="","",IFERROR(INDEX(Config!$I$5:$I$16,MATCH(G748,Config!$H$5:$H$16,0)),0))</f>
        <v>0</v>
      </c>
      <c r="Q748" s="30">
        <f>IF(OR(H748&lt;&gt;"Realizado",P748="",P748=0),"",A748+P748)</f>
        <v/>
      </c>
      <c r="R748" s="26">
        <f>IF(Q748="","",IF(COUNTIFS($E$5:$E$1204,E748,$A$5:$A$1204,"&gt;"&amp;A748,$H$5:$H$1204,"&lt;&gt;Falta",$H$5:$H$1204,"&lt;&gt;Cancelado",$H$5:$H$1204,"&lt;&gt;Remarcado")&gt;0,"Sim","Não"))</f>
        <v/>
      </c>
      <c r="S748" s="32">
        <f>IF(R748&lt;&gt;"Não","",IF(Q748+Config!$B$9&lt;=Config!$B$8,Config!$B$8-Q748,""))</f>
        <v/>
      </c>
      <c r="T748" s="26">
        <f>IF(S748="","","Sim")</f>
        <v/>
      </c>
      <c r="U748" s="41">
        <f>IF(T748="Sim",S748+ROW()/100000,0)</f>
        <v>0</v>
      </c>
      <c r="V748" s="41">
        <f>IF(AND(H748="Falta",L748=Config!$B$7,M748=Config!$B$5,COUNTIFS($E$5:E748,E748,$H$5:H748,"Falta",$L$5:L748,Config!$B$7,$M$5:M748,Config!$B$5)=1),COUNTIFS($E$5:$E$1204,E748,$H$5:$H$1204,"Falta",$L$5:$L$1204,Config!$B$7,$M$5:$M$1204,Config!$B$5)*1000-ROW()/100000,0)</f>
        <v>0</v>
      </c>
    </row>
    <row r="749">
      <c r="A749" s="39">
        <f>TODAY()+1</f>
        <v>46280.0</v>
      </c>
      <c r="B749" s="40" t="n">
        <v>0.6111111111111112</v>
      </c>
      <c r="C749" s="35" t="inlineStr">
        <is>
          <t>Dra. Renata Sousa</t>
        </is>
      </c>
      <c r="D749" s="35" t="inlineStr">
        <is>
          <t>Sala 1</t>
        </is>
      </c>
      <c r="E749" s="34" t="inlineStr">
        <is>
          <t>Isabela Xavier</t>
        </is>
      </c>
      <c r="F749" s="35" t="inlineStr">
        <is>
          <t>Particular</t>
        </is>
      </c>
      <c r="G749" s="35" t="inlineStr">
        <is>
          <t>Retorno</t>
        </is>
      </c>
      <c r="H749" s="35" t="inlineStr">
        <is>
          <t>Agendado</t>
        </is>
      </c>
      <c r="I749" s="35" t="n"/>
      <c r="J749" s="35" t="n"/>
      <c r="K749" s="34" t="n"/>
      <c r="L749" s="26">
        <f>IF(A749="","",MONTH(A749))</f>
        <v>9</v>
      </c>
      <c r="M749" s="26">
        <f>IF(A749="","",YEAR(A749))</f>
        <v>2026</v>
      </c>
      <c r="N749" s="26" t="str">
        <f>IF(A749="","",CHOOSE(WEEKDAY(A749,2),"Segunda","Terça","Quarta","Quinta","Sexta","Sábado","Domingo"))</f>
        <v>Terça</v>
      </c>
      <c r="O749" s="26" t="str">
        <f>IF(B749="","",IF(B749&lt;TIME(12,0,0),"Manhã",IF(B749&lt;TIME(18,0,0),"Tarde","Noite")))</f>
        <v>Tarde</v>
      </c>
      <c r="P749" s="32">
        <f>IF(G749="","",IFERROR(INDEX(Config!$I$5:$I$16,MATCH(G749,Config!$H$5:$H$16,0)),0))</f>
        <v>0</v>
      </c>
      <c r="Q749" s="30">
        <f>IF(OR(H749&lt;&gt;"Realizado",P749="",P749=0),"",A749+P749)</f>
        <v/>
      </c>
      <c r="R749" s="26">
        <f>IF(Q749="","",IF(COUNTIFS($E$5:$E$1204,E749,$A$5:$A$1204,"&gt;"&amp;A749,$H$5:$H$1204,"&lt;&gt;Falta",$H$5:$H$1204,"&lt;&gt;Cancelado",$H$5:$H$1204,"&lt;&gt;Remarcado")&gt;0,"Sim","Não"))</f>
        <v/>
      </c>
      <c r="S749" s="32">
        <f>IF(R749&lt;&gt;"Não","",IF(Q749+Config!$B$9&lt;=Config!$B$8,Config!$B$8-Q749,""))</f>
        <v/>
      </c>
      <c r="T749" s="26">
        <f>IF(S749="","","Sim")</f>
        <v/>
      </c>
      <c r="U749" s="41">
        <f>IF(T749="Sim",S749+ROW()/100000,0)</f>
        <v>0</v>
      </c>
      <c r="V749" s="41">
        <f>IF(AND(H749="Falta",L749=Config!$B$7,M749=Config!$B$5,COUNTIFS($E$5:E749,E749,$H$5:H749,"Falta",$L$5:L749,Config!$B$7,$M$5:M749,Config!$B$5)=1),COUNTIFS($E$5:$E$1204,E749,$H$5:$H$1204,"Falta",$L$5:$L$1204,Config!$B$7,$M$5:$M$1204,Config!$B$5)*1000-ROW()/100000,0)</f>
        <v>0</v>
      </c>
    </row>
    <row r="750">
      <c r="A750" s="39">
        <f>TODAY()+1</f>
        <v>46280.0</v>
      </c>
      <c r="B750" s="40" t="n">
        <v>0.6111111111111112</v>
      </c>
      <c r="C750" s="35" t="inlineStr">
        <is>
          <t>Dr. Paulo Andrade</t>
        </is>
      </c>
      <c r="D750" s="35" t="inlineStr">
        <is>
          <t>Sala 2</t>
        </is>
      </c>
      <c r="E750" s="34" t="inlineStr">
        <is>
          <t>Lucas Cardoso</t>
        </is>
      </c>
      <c r="F750" s="35" t="inlineStr">
        <is>
          <t>Particular</t>
        </is>
      </c>
      <c r="G750" s="35" t="inlineStr">
        <is>
          <t>Retorno</t>
        </is>
      </c>
      <c r="H750" s="35" t="inlineStr">
        <is>
          <t>Confirmado</t>
        </is>
      </c>
      <c r="I750" s="35" t="n"/>
      <c r="J750" s="35" t="n"/>
      <c r="K750" s="34" t="n"/>
      <c r="L750" s="26">
        <f>IF(A750="","",MONTH(A750))</f>
        <v>9</v>
      </c>
      <c r="M750" s="26">
        <f>IF(A750="","",YEAR(A750))</f>
        <v>2026</v>
      </c>
      <c r="N750" s="26" t="str">
        <f>IF(A750="","",CHOOSE(WEEKDAY(A750,2),"Segunda","Terça","Quarta","Quinta","Sexta","Sábado","Domingo"))</f>
        <v>Terça</v>
      </c>
      <c r="O750" s="26" t="str">
        <f>IF(B750="","",IF(B750&lt;TIME(12,0,0),"Manhã",IF(B750&lt;TIME(18,0,0),"Tarde","Noite")))</f>
        <v>Tarde</v>
      </c>
      <c r="P750" s="32">
        <f>IF(G750="","",IFERROR(INDEX(Config!$I$5:$I$16,MATCH(G750,Config!$H$5:$H$16,0)),0))</f>
        <v>0</v>
      </c>
      <c r="Q750" s="30">
        <f>IF(OR(H750&lt;&gt;"Realizado",P750="",P750=0),"",A750+P750)</f>
        <v/>
      </c>
      <c r="R750" s="26">
        <f>IF(Q750="","",IF(COUNTIFS($E$5:$E$1204,E750,$A$5:$A$1204,"&gt;"&amp;A750,$H$5:$H$1204,"&lt;&gt;Falta",$H$5:$H$1204,"&lt;&gt;Cancelado",$H$5:$H$1204,"&lt;&gt;Remarcado")&gt;0,"Sim","Não"))</f>
        <v/>
      </c>
      <c r="S750" s="32">
        <f>IF(R750&lt;&gt;"Não","",IF(Q750+Config!$B$9&lt;=Config!$B$8,Config!$B$8-Q750,""))</f>
        <v/>
      </c>
      <c r="T750" s="26">
        <f>IF(S750="","","Sim")</f>
        <v/>
      </c>
      <c r="U750" s="41">
        <f>IF(T750="Sim",S750+ROW()/100000,0)</f>
        <v>0</v>
      </c>
      <c r="V750" s="41">
        <f>IF(AND(H750="Falta",L750=Config!$B$7,M750=Config!$B$5,COUNTIFS($E$5:E750,E750,$H$5:H750,"Falta",$L$5:L750,Config!$B$7,$M$5:M750,Config!$B$5)=1),COUNTIFS($E$5:$E$1204,E750,$H$5:$H$1204,"Falta",$L$5:$L$1204,Config!$B$7,$M$5:$M$1204,Config!$B$5)*1000-ROW()/100000,0)</f>
        <v>0</v>
      </c>
    </row>
    <row r="751">
      <c r="A751" s="39">
        <f>TODAY()+1</f>
        <v>46280.0</v>
      </c>
      <c r="B751" s="40" t="n">
        <v>0.625</v>
      </c>
      <c r="C751" s="35" t="inlineStr">
        <is>
          <t>Dra. Renata Sousa</t>
        </is>
      </c>
      <c r="D751" s="35" t="inlineStr">
        <is>
          <t>Sala 1</t>
        </is>
      </c>
      <c r="E751" s="34" t="inlineStr">
        <is>
          <t>Beatriz Gomes</t>
        </is>
      </c>
      <c r="F751" s="35" t="inlineStr">
        <is>
          <t>Particular</t>
        </is>
      </c>
      <c r="G751" s="35" t="inlineStr">
        <is>
          <t>Avaliação endócrina</t>
        </is>
      </c>
      <c r="H751" s="35" t="inlineStr">
        <is>
          <t>Confirmado</t>
        </is>
      </c>
      <c r="I751" s="35" t="n"/>
      <c r="J751" s="35" t="n"/>
      <c r="K751" s="34" t="n"/>
      <c r="L751" s="26">
        <f>IF(A751="","",MONTH(A751))</f>
        <v>9</v>
      </c>
      <c r="M751" s="26">
        <f>IF(A751="","",YEAR(A751))</f>
        <v>2026</v>
      </c>
      <c r="N751" s="26" t="str">
        <f>IF(A751="","",CHOOSE(WEEKDAY(A751,2),"Segunda","Terça","Quarta","Quinta","Sexta","Sábado","Domingo"))</f>
        <v>Terça</v>
      </c>
      <c r="O751" s="26" t="str">
        <f>IF(B751="","",IF(B751&lt;TIME(12,0,0),"Manhã",IF(B751&lt;TIME(18,0,0),"Tarde","Noite")))</f>
        <v>Tarde</v>
      </c>
      <c r="P751" s="32">
        <f>IF(G751="","",IFERROR(INDEX(Config!$I$5:$I$16,MATCH(G751,Config!$H$5:$H$16,0)),0))</f>
        <v>45</v>
      </c>
      <c r="Q751" s="30">
        <f>IF(OR(H751&lt;&gt;"Realizado",P751="",P751=0),"",A751+P751)</f>
        <v/>
      </c>
      <c r="R751" s="26">
        <f>IF(Q751="","",IF(COUNTIFS($E$5:$E$1204,E751,$A$5:$A$1204,"&gt;"&amp;A751,$H$5:$H$1204,"&lt;&gt;Falta",$H$5:$H$1204,"&lt;&gt;Cancelado",$H$5:$H$1204,"&lt;&gt;Remarcado")&gt;0,"Sim","Não"))</f>
        <v/>
      </c>
      <c r="S751" s="32">
        <f>IF(R751&lt;&gt;"Não","",IF(Q751+Config!$B$9&lt;=Config!$B$8,Config!$B$8-Q751,""))</f>
        <v/>
      </c>
      <c r="T751" s="26">
        <f>IF(S751="","","Sim")</f>
        <v/>
      </c>
      <c r="U751" s="41">
        <f>IF(T751="Sim",S751+ROW()/100000,0)</f>
        <v>0</v>
      </c>
      <c r="V751" s="41">
        <f>IF(AND(H751="Falta",L751=Config!$B$7,M751=Config!$B$5,COUNTIFS($E$5:E751,E751,$H$5:H751,"Falta",$L$5:L751,Config!$B$7,$M$5:M751,Config!$B$5)=1),COUNTIFS($E$5:$E$1204,E751,$H$5:$H$1204,"Falta",$L$5:$L$1204,Config!$B$7,$M$5:$M$1204,Config!$B$5)*1000-ROW()/100000,0)</f>
        <v>0</v>
      </c>
    </row>
    <row r="752">
      <c r="A752" s="39">
        <f>TODAY()+1</f>
        <v>46280.0</v>
      </c>
      <c r="B752" s="40" t="n">
        <v>0.625</v>
      </c>
      <c r="C752" s="35" t="inlineStr">
        <is>
          <t>Dr. Paulo Andrade</t>
        </is>
      </c>
      <c r="D752" s="35" t="inlineStr">
        <is>
          <t>Sala 2</t>
        </is>
      </c>
      <c r="E752" s="34" t="inlineStr">
        <is>
          <t>Carlos Oliveira</t>
        </is>
      </c>
      <c r="F752" s="35" t="inlineStr">
        <is>
          <t>Particular</t>
        </is>
      </c>
      <c r="G752" s="35" t="inlineStr">
        <is>
          <t>Consulta</t>
        </is>
      </c>
      <c r="H752" s="35" t="inlineStr">
        <is>
          <t>Confirmado</t>
        </is>
      </c>
      <c r="I752" s="35" t="n"/>
      <c r="J752" s="35" t="n"/>
      <c r="K752" s="34" t="n"/>
      <c r="L752" s="26">
        <f>IF(A752="","",MONTH(A752))</f>
        <v>9</v>
      </c>
      <c r="M752" s="26">
        <f>IF(A752="","",YEAR(A752))</f>
        <v>2026</v>
      </c>
      <c r="N752" s="26" t="str">
        <f>IF(A752="","",CHOOSE(WEEKDAY(A752,2),"Segunda","Terça","Quarta","Quinta","Sexta","Sábado","Domingo"))</f>
        <v>Terça</v>
      </c>
      <c r="O752" s="26" t="str">
        <f>IF(B752="","",IF(B752&lt;TIME(12,0,0),"Manhã",IF(B752&lt;TIME(18,0,0),"Tarde","Noite")))</f>
        <v>Tarde</v>
      </c>
      <c r="P752" s="32">
        <f>IF(G752="","",IFERROR(INDEX(Config!$I$5:$I$16,MATCH(G752,Config!$H$5:$H$16,0)),0))</f>
        <v>30</v>
      </c>
      <c r="Q752" s="30">
        <f>IF(OR(H752&lt;&gt;"Realizado",P752="",P752=0),"",A752+P752)</f>
        <v/>
      </c>
      <c r="R752" s="26">
        <f>IF(Q752="","",IF(COUNTIFS($E$5:$E$1204,E752,$A$5:$A$1204,"&gt;"&amp;A752,$H$5:$H$1204,"&lt;&gt;Falta",$H$5:$H$1204,"&lt;&gt;Cancelado",$H$5:$H$1204,"&lt;&gt;Remarcado")&gt;0,"Sim","Não"))</f>
        <v/>
      </c>
      <c r="S752" s="32">
        <f>IF(R752&lt;&gt;"Não","",IF(Q752+Config!$B$9&lt;=Config!$B$8,Config!$B$8-Q752,""))</f>
        <v/>
      </c>
      <c r="T752" s="26">
        <f>IF(S752="","","Sim")</f>
        <v/>
      </c>
      <c r="U752" s="41">
        <f>IF(T752="Sim",S752+ROW()/100000,0)</f>
        <v>0</v>
      </c>
      <c r="V752" s="41">
        <f>IF(AND(H752="Falta",L752=Config!$B$7,M752=Config!$B$5,COUNTIFS($E$5:E752,E752,$H$5:H752,"Falta",$L$5:L752,Config!$B$7,$M$5:M752,Config!$B$5)=1),COUNTIFS($E$5:$E$1204,E752,$H$5:$H$1204,"Falta",$L$5:$L$1204,Config!$B$7,$M$5:$M$1204,Config!$B$5)*1000-ROW()/100000,0)</f>
        <v>0</v>
      </c>
    </row>
    <row r="753">
      <c r="A753" s="39">
        <f>TODAY()+1</f>
        <v>46280.0</v>
      </c>
      <c r="B753" s="40" t="n">
        <v>0.6458333333333334</v>
      </c>
      <c r="C753" s="35" t="inlineStr">
        <is>
          <t>Dr. Paulo Andrade</t>
        </is>
      </c>
      <c r="D753" s="35" t="inlineStr">
        <is>
          <t>Sala 2</t>
        </is>
      </c>
      <c r="E753" s="34" t="inlineStr">
        <is>
          <t>Rafael Correia</t>
        </is>
      </c>
      <c r="F753" s="35" t="inlineStr">
        <is>
          <t>Particular</t>
        </is>
      </c>
      <c r="G753" s="35" t="inlineStr">
        <is>
          <t>Consulta</t>
        </is>
      </c>
      <c r="H753" s="35" t="inlineStr">
        <is>
          <t>Confirmado</t>
        </is>
      </c>
      <c r="I753" s="35" t="n"/>
      <c r="J753" s="35" t="n"/>
      <c r="K753" s="34" t="n"/>
      <c r="L753" s="26">
        <f>IF(A753="","",MONTH(A753))</f>
        <v>9</v>
      </c>
      <c r="M753" s="26">
        <f>IF(A753="","",YEAR(A753))</f>
        <v>2026</v>
      </c>
      <c r="N753" s="26" t="str">
        <f>IF(A753="","",CHOOSE(WEEKDAY(A753,2),"Segunda","Terça","Quarta","Quinta","Sexta","Sábado","Domingo"))</f>
        <v>Terça</v>
      </c>
      <c r="O753" s="26" t="str">
        <f>IF(B753="","",IF(B753&lt;TIME(12,0,0),"Manhã",IF(B753&lt;TIME(18,0,0),"Tarde","Noite")))</f>
        <v>Tarde</v>
      </c>
      <c r="P753" s="32">
        <f>IF(G753="","",IFERROR(INDEX(Config!$I$5:$I$16,MATCH(G753,Config!$H$5:$H$16,0)),0))</f>
        <v>30</v>
      </c>
      <c r="Q753" s="30">
        <f>IF(OR(H753&lt;&gt;"Realizado",P753="",P753=0),"",A753+P753)</f>
        <v/>
      </c>
      <c r="R753" s="26">
        <f>IF(Q753="","",IF(COUNTIFS($E$5:$E$1204,E753,$A$5:$A$1204,"&gt;"&amp;A753,$H$5:$H$1204,"&lt;&gt;Falta",$H$5:$H$1204,"&lt;&gt;Cancelado",$H$5:$H$1204,"&lt;&gt;Remarcado")&gt;0,"Sim","Não"))</f>
        <v/>
      </c>
      <c r="S753" s="32">
        <f>IF(R753&lt;&gt;"Não","",IF(Q753+Config!$B$9&lt;=Config!$B$8,Config!$B$8-Q753,""))</f>
        <v/>
      </c>
      <c r="T753" s="26">
        <f>IF(S753="","","Sim")</f>
        <v/>
      </c>
      <c r="U753" s="41">
        <f>IF(T753="Sim",S753+ROW()/100000,0)</f>
        <v>0</v>
      </c>
      <c r="V753" s="41">
        <f>IF(AND(H753="Falta",L753=Config!$B$7,M753=Config!$B$5,COUNTIFS($E$5:E753,E753,$H$5:H753,"Falta",$L$5:L753,Config!$B$7,$M$5:M753,Config!$B$5)=1),COUNTIFS($E$5:$E$1204,E753,$H$5:$H$1204,"Falta",$L$5:$L$1204,Config!$B$7,$M$5:$M$1204,Config!$B$5)*1000-ROW()/100000,0)</f>
        <v>0</v>
      </c>
    </row>
    <row r="754">
      <c r="A754" s="39">
        <f>TODAY()+1</f>
        <v>46280.0</v>
      </c>
      <c r="B754" s="40" t="n">
        <v>0.6527777777777778</v>
      </c>
      <c r="C754" s="35" t="inlineStr">
        <is>
          <t>Dra. Renata Sousa</t>
        </is>
      </c>
      <c r="D754" s="35" t="inlineStr">
        <is>
          <t>Sala 1</t>
        </is>
      </c>
      <c r="E754" s="34" t="inlineStr">
        <is>
          <t>Fábio Gomes</t>
        </is>
      </c>
      <c r="F754" s="35" t="inlineStr">
        <is>
          <t>Particular</t>
        </is>
      </c>
      <c r="G754" s="35" t="inlineStr">
        <is>
          <t>Avaliação endócrina</t>
        </is>
      </c>
      <c r="H754" s="35" t="inlineStr">
        <is>
          <t>Agendado</t>
        </is>
      </c>
      <c r="I754" s="35" t="n"/>
      <c r="J754" s="35" t="n"/>
      <c r="K754" s="34" t="n"/>
      <c r="L754" s="26">
        <f>IF(A754="","",MONTH(A754))</f>
        <v>9</v>
      </c>
      <c r="M754" s="26">
        <f>IF(A754="","",YEAR(A754))</f>
        <v>2026</v>
      </c>
      <c r="N754" s="26" t="str">
        <f>IF(A754="","",CHOOSE(WEEKDAY(A754,2),"Segunda","Terça","Quarta","Quinta","Sexta","Sábado","Domingo"))</f>
        <v>Terça</v>
      </c>
      <c r="O754" s="26" t="str">
        <f>IF(B754="","",IF(B754&lt;TIME(12,0,0),"Manhã",IF(B754&lt;TIME(18,0,0),"Tarde","Noite")))</f>
        <v>Tarde</v>
      </c>
      <c r="P754" s="32">
        <f>IF(G754="","",IFERROR(INDEX(Config!$I$5:$I$16,MATCH(G754,Config!$H$5:$H$16,0)),0))</f>
        <v>45</v>
      </c>
      <c r="Q754" s="30">
        <f>IF(OR(H754&lt;&gt;"Realizado",P754="",P754=0),"",A754+P754)</f>
        <v/>
      </c>
      <c r="R754" s="26">
        <f>IF(Q754="","",IF(COUNTIFS($E$5:$E$1204,E754,$A$5:$A$1204,"&gt;"&amp;A754,$H$5:$H$1204,"&lt;&gt;Falta",$H$5:$H$1204,"&lt;&gt;Cancelado",$H$5:$H$1204,"&lt;&gt;Remarcado")&gt;0,"Sim","Não"))</f>
        <v/>
      </c>
      <c r="S754" s="32">
        <f>IF(R754&lt;&gt;"Não","",IF(Q754+Config!$B$9&lt;=Config!$B$8,Config!$B$8-Q754,""))</f>
        <v/>
      </c>
      <c r="T754" s="26">
        <f>IF(S754="","","Sim")</f>
        <v/>
      </c>
      <c r="U754" s="41">
        <f>IF(T754="Sim",S754+ROW()/100000,0)</f>
        <v>0</v>
      </c>
      <c r="V754" s="41">
        <f>IF(AND(H754="Falta",L754=Config!$B$7,M754=Config!$B$5,COUNTIFS($E$5:E754,E754,$H$5:H754,"Falta",$L$5:L754,Config!$B$7,$M$5:M754,Config!$B$5)=1),COUNTIFS($E$5:$E$1204,E754,$H$5:$H$1204,"Falta",$L$5:$L$1204,Config!$B$7,$M$5:$M$1204,Config!$B$5)*1000-ROW()/100000,0)</f>
        <v>0</v>
      </c>
    </row>
    <row r="755">
      <c r="A755" s="39">
        <f>TODAY()+1</f>
        <v>46280.0</v>
      </c>
      <c r="B755" s="40" t="n">
        <v>0.6666666666666666</v>
      </c>
      <c r="C755" s="35" t="inlineStr">
        <is>
          <t>Dr. Paulo Andrade</t>
        </is>
      </c>
      <c r="D755" s="35" t="inlineStr">
        <is>
          <t>Sala 2</t>
        </is>
      </c>
      <c r="E755" s="34" t="inlineStr">
        <is>
          <t>Carlos Barros</t>
        </is>
      </c>
      <c r="F755" s="35" t="inlineStr">
        <is>
          <t>MediPlan</t>
        </is>
      </c>
      <c r="G755" s="35" t="inlineStr">
        <is>
          <t>ECG</t>
        </is>
      </c>
      <c r="H755" s="35" t="inlineStr">
        <is>
          <t>Confirmado</t>
        </is>
      </c>
      <c r="I755" s="35" t="n"/>
      <c r="J755" s="35" t="n"/>
      <c r="K755" s="34" t="n"/>
      <c r="L755" s="26">
        <f>IF(A755="","",MONTH(A755))</f>
        <v>9</v>
      </c>
      <c r="M755" s="26">
        <f>IF(A755="","",YEAR(A755))</f>
        <v>2026</v>
      </c>
      <c r="N755" s="26" t="str">
        <f>IF(A755="","",CHOOSE(WEEKDAY(A755,2),"Segunda","Terça","Quarta","Quinta","Sexta","Sábado","Domingo"))</f>
        <v>Terça</v>
      </c>
      <c r="O755" s="26" t="str">
        <f>IF(B755="","",IF(B755&lt;TIME(12,0,0),"Manhã",IF(B755&lt;TIME(18,0,0),"Tarde","Noite")))</f>
        <v>Tarde</v>
      </c>
      <c r="P755" s="32">
        <f>IF(G755="","",IFERROR(INDEX(Config!$I$5:$I$16,MATCH(G755,Config!$H$5:$H$16,0)),0))</f>
        <v>0</v>
      </c>
      <c r="Q755" s="30">
        <f>IF(OR(H755&lt;&gt;"Realizado",P755="",P755=0),"",A755+P755)</f>
        <v/>
      </c>
      <c r="R755" s="26">
        <f>IF(Q755="","",IF(COUNTIFS($E$5:$E$1204,E755,$A$5:$A$1204,"&gt;"&amp;A755,$H$5:$H$1204,"&lt;&gt;Falta",$H$5:$H$1204,"&lt;&gt;Cancelado",$H$5:$H$1204,"&lt;&gt;Remarcado")&gt;0,"Sim","Não"))</f>
        <v/>
      </c>
      <c r="S755" s="32">
        <f>IF(R755&lt;&gt;"Não","",IF(Q755+Config!$B$9&lt;=Config!$B$8,Config!$B$8-Q755,""))</f>
        <v/>
      </c>
      <c r="T755" s="26">
        <f>IF(S755="","","Sim")</f>
        <v/>
      </c>
      <c r="U755" s="41">
        <f>IF(T755="Sim",S755+ROW()/100000,0)</f>
        <v>0</v>
      </c>
      <c r="V755" s="41">
        <f>IF(AND(H755="Falta",L755=Config!$B$7,M755=Config!$B$5,COUNTIFS($E$5:E755,E755,$H$5:H755,"Falta",$L$5:L755,Config!$B$7,$M$5:M755,Config!$B$5)=1),COUNTIFS($E$5:$E$1204,E755,$H$5:$H$1204,"Falta",$L$5:$L$1204,Config!$B$7,$M$5:$M$1204,Config!$B$5)*1000-ROW()/100000,0)</f>
        <v>0</v>
      </c>
    </row>
    <row r="756">
      <c r="A756" s="39">
        <f>TODAY()+1</f>
        <v>46280.0</v>
      </c>
      <c r="B756" s="40" t="n">
        <v>0.6805555555555556</v>
      </c>
      <c r="C756" s="35" t="inlineStr">
        <is>
          <t>Dr. Paulo Andrade</t>
        </is>
      </c>
      <c r="D756" s="35" t="inlineStr">
        <is>
          <t>Sala 2</t>
        </is>
      </c>
      <c r="E756" s="34" t="inlineStr">
        <is>
          <t>Priscila Castro</t>
        </is>
      </c>
      <c r="F756" s="35" t="inlineStr">
        <is>
          <t>Saúde Total</t>
        </is>
      </c>
      <c r="G756" s="35" t="inlineStr">
        <is>
          <t>Teste ergométrico</t>
        </is>
      </c>
      <c r="H756" s="35" t="inlineStr">
        <is>
          <t>Confirmado</t>
        </is>
      </c>
      <c r="I756" s="35" t="n"/>
      <c r="J756" s="35" t="n"/>
      <c r="K756" s="34" t="n"/>
      <c r="L756" s="26">
        <f>IF(A756="","",MONTH(A756))</f>
        <v>9</v>
      </c>
      <c r="M756" s="26">
        <f>IF(A756="","",YEAR(A756))</f>
        <v>2026</v>
      </c>
      <c r="N756" s="26" t="str">
        <f>IF(A756="","",CHOOSE(WEEKDAY(A756,2),"Segunda","Terça","Quarta","Quinta","Sexta","Sábado","Domingo"))</f>
        <v>Terça</v>
      </c>
      <c r="O756" s="26" t="str">
        <f>IF(B756="","",IF(B756&lt;TIME(12,0,0),"Manhã",IF(B756&lt;TIME(18,0,0),"Tarde","Noite")))</f>
        <v>Tarde</v>
      </c>
      <c r="P756" s="32">
        <f>IF(G756="","",IFERROR(INDEX(Config!$I$5:$I$16,MATCH(G756,Config!$H$5:$H$16,0)),0))</f>
        <v>0</v>
      </c>
      <c r="Q756" s="30">
        <f>IF(OR(H756&lt;&gt;"Realizado",P756="",P756=0),"",A756+P756)</f>
        <v/>
      </c>
      <c r="R756" s="26">
        <f>IF(Q756="","",IF(COUNTIFS($E$5:$E$1204,E756,$A$5:$A$1204,"&gt;"&amp;A756,$H$5:$H$1204,"&lt;&gt;Falta",$H$5:$H$1204,"&lt;&gt;Cancelado",$H$5:$H$1204,"&lt;&gt;Remarcado")&gt;0,"Sim","Não"))</f>
        <v/>
      </c>
      <c r="S756" s="32">
        <f>IF(R756&lt;&gt;"Não","",IF(Q756+Config!$B$9&lt;=Config!$B$8,Config!$B$8-Q756,""))</f>
        <v/>
      </c>
      <c r="T756" s="26">
        <f>IF(S756="","","Sim")</f>
        <v/>
      </c>
      <c r="U756" s="41">
        <f>IF(T756="Sim",S756+ROW()/100000,0)</f>
        <v>0</v>
      </c>
      <c r="V756" s="41">
        <f>IF(AND(H756="Falta",L756=Config!$B$7,M756=Config!$B$5,COUNTIFS($E$5:E756,E756,$H$5:H756,"Falta",$L$5:L756,Config!$B$7,$M$5:M756,Config!$B$5)=1),COUNTIFS($E$5:$E$1204,E756,$H$5:$H$1204,"Falta",$L$5:$L$1204,Config!$B$7,$M$5:$M$1204,Config!$B$5)*1000-ROW()/100000,0)</f>
        <v>0</v>
      </c>
    </row>
    <row r="757">
      <c r="A757" s="39">
        <f>TODAY()+1</f>
        <v>46280.0</v>
      </c>
      <c r="B757" s="40" t="n">
        <v>0.7013888888888888</v>
      </c>
      <c r="C757" s="35" t="inlineStr">
        <is>
          <t>Dra. Renata Sousa</t>
        </is>
      </c>
      <c r="D757" s="35" t="inlineStr">
        <is>
          <t>Sala 1</t>
        </is>
      </c>
      <c r="E757" s="34" t="inlineStr">
        <is>
          <t>Gabriel Reis</t>
        </is>
      </c>
      <c r="F757" s="35" t="inlineStr">
        <is>
          <t>Particular</t>
        </is>
      </c>
      <c r="G757" s="35" t="inlineStr">
        <is>
          <t>Avaliação endócrina</t>
        </is>
      </c>
      <c r="H757" s="35" t="inlineStr">
        <is>
          <t>Confirmado</t>
        </is>
      </c>
      <c r="I757" s="35" t="n"/>
      <c r="J757" s="35" t="n"/>
      <c r="K757" s="34" t="n"/>
      <c r="L757" s="26">
        <f>IF(A757="","",MONTH(A757))</f>
        <v>9</v>
      </c>
      <c r="M757" s="26">
        <f>IF(A757="","",YEAR(A757))</f>
        <v>2026</v>
      </c>
      <c r="N757" s="26" t="str">
        <f>IF(A757="","",CHOOSE(WEEKDAY(A757,2),"Segunda","Terça","Quarta","Quinta","Sexta","Sábado","Domingo"))</f>
        <v>Terça</v>
      </c>
      <c r="O757" s="26" t="str">
        <f>IF(B757="","",IF(B757&lt;TIME(12,0,0),"Manhã",IF(B757&lt;TIME(18,0,0),"Tarde","Noite")))</f>
        <v>Tarde</v>
      </c>
      <c r="P757" s="32">
        <f>IF(G757="","",IFERROR(INDEX(Config!$I$5:$I$16,MATCH(G757,Config!$H$5:$H$16,0)),0))</f>
        <v>45</v>
      </c>
      <c r="Q757" s="30">
        <f>IF(OR(H757&lt;&gt;"Realizado",P757="",P757=0),"",A757+P757)</f>
        <v/>
      </c>
      <c r="R757" s="26">
        <f>IF(Q757="","",IF(COUNTIFS($E$5:$E$1204,E757,$A$5:$A$1204,"&gt;"&amp;A757,$H$5:$H$1204,"&lt;&gt;Falta",$H$5:$H$1204,"&lt;&gt;Cancelado",$H$5:$H$1204,"&lt;&gt;Remarcado")&gt;0,"Sim","Não"))</f>
        <v/>
      </c>
      <c r="S757" s="32">
        <f>IF(R757&lt;&gt;"Não","",IF(Q757+Config!$B$9&lt;=Config!$B$8,Config!$B$8-Q757,""))</f>
        <v/>
      </c>
      <c r="T757" s="26">
        <f>IF(S757="","","Sim")</f>
        <v/>
      </c>
      <c r="U757" s="41">
        <f>IF(T757="Sim",S757+ROW()/100000,0)</f>
        <v>0</v>
      </c>
      <c r="V757" s="41">
        <f>IF(AND(H757="Falta",L757=Config!$B$7,M757=Config!$B$5,COUNTIFS($E$5:E757,E757,$H$5:H757,"Falta",$L$5:L757,Config!$B$7,$M$5:M757,Config!$B$5)=1),COUNTIFS($E$5:$E$1204,E757,$H$5:$H$1204,"Falta",$L$5:$L$1204,Config!$B$7,$M$5:$M$1204,Config!$B$5)*1000-ROW()/100000,0)</f>
        <v>0</v>
      </c>
    </row>
    <row r="758">
      <c r="A758" s="39">
        <f>TODAY()+1</f>
        <v>46280.0</v>
      </c>
      <c r="B758" s="40" t="n">
        <v>0.7291666666666666</v>
      </c>
      <c r="C758" s="35" t="inlineStr">
        <is>
          <t>Dra. Renata Sousa</t>
        </is>
      </c>
      <c r="D758" s="35" t="inlineStr">
        <is>
          <t>Sala 1</t>
        </is>
      </c>
      <c r="E758" s="34" t="inlineStr">
        <is>
          <t>Gabriel Lopes</t>
        </is>
      </c>
      <c r="F758" s="35" t="inlineStr">
        <is>
          <t>Saúde Total</t>
        </is>
      </c>
      <c r="G758" s="35" t="inlineStr">
        <is>
          <t>Avaliação endócrina</t>
        </is>
      </c>
      <c r="H758" s="35" t="inlineStr">
        <is>
          <t>Confirmado</t>
        </is>
      </c>
      <c r="I758" s="35" t="n"/>
      <c r="J758" s="35" t="n"/>
      <c r="K758" s="34" t="n"/>
      <c r="L758" s="26">
        <f>IF(A758="","",MONTH(A758))</f>
        <v>9</v>
      </c>
      <c r="M758" s="26">
        <f>IF(A758="","",YEAR(A758))</f>
        <v>2026</v>
      </c>
      <c r="N758" s="26" t="str">
        <f>IF(A758="","",CHOOSE(WEEKDAY(A758,2),"Segunda","Terça","Quarta","Quinta","Sexta","Sábado","Domingo"))</f>
        <v>Terça</v>
      </c>
      <c r="O758" s="26" t="str">
        <f>IF(B758="","",IF(B758&lt;TIME(12,0,0),"Manhã",IF(B758&lt;TIME(18,0,0),"Tarde","Noite")))</f>
        <v>Tarde</v>
      </c>
      <c r="P758" s="32">
        <f>IF(G758="","",IFERROR(INDEX(Config!$I$5:$I$16,MATCH(G758,Config!$H$5:$H$16,0)),0))</f>
        <v>45</v>
      </c>
      <c r="Q758" s="30">
        <f>IF(OR(H758&lt;&gt;"Realizado",P758="",P758=0),"",A758+P758)</f>
        <v/>
      </c>
      <c r="R758" s="26">
        <f>IF(Q758="","",IF(COUNTIFS($E$5:$E$1204,E758,$A$5:$A$1204,"&gt;"&amp;A758,$H$5:$H$1204,"&lt;&gt;Falta",$H$5:$H$1204,"&lt;&gt;Cancelado",$H$5:$H$1204,"&lt;&gt;Remarcado")&gt;0,"Sim","Não"))</f>
        <v/>
      </c>
      <c r="S758" s="32">
        <f>IF(R758&lt;&gt;"Não","",IF(Q758+Config!$B$9&lt;=Config!$B$8,Config!$B$8-Q758,""))</f>
        <v/>
      </c>
      <c r="T758" s="26">
        <f>IF(S758="","","Sim")</f>
        <v/>
      </c>
      <c r="U758" s="41">
        <f>IF(T758="Sim",S758+ROW()/100000,0)</f>
        <v>0</v>
      </c>
      <c r="V758" s="41">
        <f>IF(AND(H758="Falta",L758=Config!$B$7,M758=Config!$B$5,COUNTIFS($E$5:E758,E758,$H$5:H758,"Falta",$L$5:L758,Config!$B$7,$M$5:M758,Config!$B$5)=1),COUNTIFS($E$5:$E$1204,E758,$H$5:$H$1204,"Falta",$L$5:$L$1204,Config!$B$7,$M$5:$M$1204,Config!$B$5)*1000-ROW()/100000,0)</f>
        <v>0</v>
      </c>
    </row>
    <row r="759">
      <c r="A759" s="39">
        <f>TODAY()+2</f>
        <v>46281.0</v>
      </c>
      <c r="B759" s="40" t="n">
        <v>0.5833333333333334</v>
      </c>
      <c r="C759" s="35" t="inlineStr">
        <is>
          <t>Dra. Carolina Mendes</t>
        </is>
      </c>
      <c r="D759" s="35" t="inlineStr">
        <is>
          <t>Sala 1</t>
        </is>
      </c>
      <c r="E759" s="34" t="inlineStr">
        <is>
          <t>Rafael Dias</t>
        </is>
      </c>
      <c r="F759" s="35" t="inlineStr">
        <is>
          <t>Particular</t>
        </is>
      </c>
      <c r="G759" s="35" t="inlineStr">
        <is>
          <t>Retorno</t>
        </is>
      </c>
      <c r="H759" s="35" t="inlineStr">
        <is>
          <t>Confirmado</t>
        </is>
      </c>
      <c r="I759" s="35" t="n"/>
      <c r="J759" s="35" t="n"/>
      <c r="K759" s="34" t="n"/>
      <c r="L759" s="26">
        <f>IF(A759="","",MONTH(A759))</f>
        <v>9</v>
      </c>
      <c r="M759" s="26">
        <f>IF(A759="","",YEAR(A759))</f>
        <v>2026</v>
      </c>
      <c r="N759" s="26" t="str">
        <f>IF(A759="","",CHOOSE(WEEKDAY(A759,2),"Segunda","Terça","Quarta","Quinta","Sexta","Sábado","Domingo"))</f>
        <v>Quarta</v>
      </c>
      <c r="O759" s="26" t="str">
        <f>IF(B759="","",IF(B759&lt;TIME(12,0,0),"Manhã",IF(B759&lt;TIME(18,0,0),"Tarde","Noite")))</f>
        <v>Tarde</v>
      </c>
      <c r="P759" s="32">
        <f>IF(G759="","",IFERROR(INDEX(Config!$I$5:$I$16,MATCH(G759,Config!$H$5:$H$16,0)),0))</f>
        <v>0</v>
      </c>
      <c r="Q759" s="30">
        <f>IF(OR(H759&lt;&gt;"Realizado",P759="",P759=0),"",A759+P759)</f>
        <v/>
      </c>
      <c r="R759" s="26">
        <f>IF(Q759="","",IF(COUNTIFS($E$5:$E$1204,E759,$A$5:$A$1204,"&gt;"&amp;A759,$H$5:$H$1204,"&lt;&gt;Falta",$H$5:$H$1204,"&lt;&gt;Cancelado",$H$5:$H$1204,"&lt;&gt;Remarcado")&gt;0,"Sim","Não"))</f>
        <v/>
      </c>
      <c r="S759" s="32">
        <f>IF(R759&lt;&gt;"Não","",IF(Q759+Config!$B$9&lt;=Config!$B$8,Config!$B$8-Q759,""))</f>
        <v/>
      </c>
      <c r="T759" s="26">
        <f>IF(S759="","","Sim")</f>
        <v/>
      </c>
      <c r="U759" s="41">
        <f>IF(T759="Sim",S759+ROW()/100000,0)</f>
        <v>0</v>
      </c>
      <c r="V759" s="41">
        <f>IF(AND(H759="Falta",L759=Config!$B$7,M759=Config!$B$5,COUNTIFS($E$5:E759,E759,$H$5:H759,"Falta",$L$5:L759,Config!$B$7,$M$5:M759,Config!$B$5)=1),COUNTIFS($E$5:$E$1204,E759,$H$5:$H$1204,"Falta",$L$5:$L$1204,Config!$B$7,$M$5:$M$1204,Config!$B$5)*1000-ROW()/100000,0)</f>
        <v>0</v>
      </c>
    </row>
    <row r="760">
      <c r="A760" s="39">
        <f>TODAY()+2</f>
        <v>46281.0</v>
      </c>
      <c r="B760" s="40" t="n">
        <v>0.6180555555555556</v>
      </c>
      <c r="C760" s="35" t="inlineStr">
        <is>
          <t>Dra. Carolina Mendes</t>
        </is>
      </c>
      <c r="D760" s="35" t="inlineStr">
        <is>
          <t>Sala 1</t>
        </is>
      </c>
      <c r="E760" s="34" t="inlineStr">
        <is>
          <t>Sandra Barros</t>
        </is>
      </c>
      <c r="F760" s="35" t="inlineStr">
        <is>
          <t>Saúde Total</t>
        </is>
      </c>
      <c r="G760" s="35" t="inlineStr">
        <is>
          <t>Consulta</t>
        </is>
      </c>
      <c r="H760" s="35" t="inlineStr">
        <is>
          <t>Confirmado</t>
        </is>
      </c>
      <c r="I760" s="35" t="n"/>
      <c r="J760" s="35" t="n"/>
      <c r="K760" s="34" t="n"/>
      <c r="L760" s="26">
        <f>IF(A760="","",MONTH(A760))</f>
        <v>9</v>
      </c>
      <c r="M760" s="26">
        <f>IF(A760="","",YEAR(A760))</f>
        <v>2026</v>
      </c>
      <c r="N760" s="26" t="str">
        <f>IF(A760="","",CHOOSE(WEEKDAY(A760,2),"Segunda","Terça","Quarta","Quinta","Sexta","Sábado","Domingo"))</f>
        <v>Quarta</v>
      </c>
      <c r="O760" s="26" t="str">
        <f>IF(B760="","",IF(B760&lt;TIME(12,0,0),"Manhã",IF(B760&lt;TIME(18,0,0),"Tarde","Noite")))</f>
        <v>Tarde</v>
      </c>
      <c r="P760" s="32">
        <f>IF(G760="","",IFERROR(INDEX(Config!$I$5:$I$16,MATCH(G760,Config!$H$5:$H$16,0)),0))</f>
        <v>30</v>
      </c>
      <c r="Q760" s="30">
        <f>IF(OR(H760&lt;&gt;"Realizado",P760="",P760=0),"",A760+P760)</f>
        <v/>
      </c>
      <c r="R760" s="26">
        <f>IF(Q760="","",IF(COUNTIFS($E$5:$E$1204,E760,$A$5:$A$1204,"&gt;"&amp;A760,$H$5:$H$1204,"&lt;&gt;Falta",$H$5:$H$1204,"&lt;&gt;Cancelado",$H$5:$H$1204,"&lt;&gt;Remarcado")&gt;0,"Sim","Não"))</f>
        <v/>
      </c>
      <c r="S760" s="32">
        <f>IF(R760&lt;&gt;"Não","",IF(Q760+Config!$B$9&lt;=Config!$B$8,Config!$B$8-Q760,""))</f>
        <v/>
      </c>
      <c r="T760" s="26">
        <f>IF(S760="","","Sim")</f>
        <v/>
      </c>
      <c r="U760" s="41">
        <f>IF(T760="Sim",S760+ROW()/100000,0)</f>
        <v>0</v>
      </c>
      <c r="V760" s="41">
        <f>IF(AND(H760="Falta",L760=Config!$B$7,M760=Config!$B$5,COUNTIFS($E$5:E760,E760,$H$5:H760,"Falta",$L$5:L760,Config!$B$7,$M$5:M760,Config!$B$5)=1),COUNTIFS($E$5:$E$1204,E760,$H$5:$H$1204,"Falta",$L$5:$L$1204,Config!$B$7,$M$5:$M$1204,Config!$B$5)*1000-ROW()/100000,0)</f>
        <v>0</v>
      </c>
    </row>
    <row r="761">
      <c r="A761" s="39">
        <f>TODAY()+2</f>
        <v>46281.0</v>
      </c>
      <c r="B761" s="40" t="n">
        <v>0.6388888888888888</v>
      </c>
      <c r="C761" s="35" t="inlineStr">
        <is>
          <t>Dra. Carolina Mendes</t>
        </is>
      </c>
      <c r="D761" s="35" t="inlineStr">
        <is>
          <t>Sala 1</t>
        </is>
      </c>
      <c r="E761" s="34" t="inlineStr">
        <is>
          <t>Cláudia Santos</t>
        </is>
      </c>
      <c r="F761" s="35" t="inlineStr">
        <is>
          <t>Particular</t>
        </is>
      </c>
      <c r="G761" s="35" t="inlineStr">
        <is>
          <t>Consulta</t>
        </is>
      </c>
      <c r="H761" s="35" t="inlineStr">
        <is>
          <t>Agendado</t>
        </is>
      </c>
      <c r="I761" s="35" t="n"/>
      <c r="J761" s="35" t="n"/>
      <c r="K761" s="34" t="n"/>
      <c r="L761" s="26">
        <f>IF(A761="","",MONTH(A761))</f>
        <v>9</v>
      </c>
      <c r="M761" s="26">
        <f>IF(A761="","",YEAR(A761))</f>
        <v>2026</v>
      </c>
      <c r="N761" s="26" t="str">
        <f>IF(A761="","",CHOOSE(WEEKDAY(A761,2),"Segunda","Terça","Quarta","Quinta","Sexta","Sábado","Domingo"))</f>
        <v>Quarta</v>
      </c>
      <c r="O761" s="26" t="str">
        <f>IF(B761="","",IF(B761&lt;TIME(12,0,0),"Manhã",IF(B761&lt;TIME(18,0,0),"Tarde","Noite")))</f>
        <v>Tarde</v>
      </c>
      <c r="P761" s="32">
        <f>IF(G761="","",IFERROR(INDEX(Config!$I$5:$I$16,MATCH(G761,Config!$H$5:$H$16,0)),0))</f>
        <v>30</v>
      </c>
      <c r="Q761" s="30">
        <f>IF(OR(H761&lt;&gt;"Realizado",P761="",P761=0),"",A761+P761)</f>
        <v/>
      </c>
      <c r="R761" s="26">
        <f>IF(Q761="","",IF(COUNTIFS($E$5:$E$1204,E761,$A$5:$A$1204,"&gt;"&amp;A761,$H$5:$H$1204,"&lt;&gt;Falta",$H$5:$H$1204,"&lt;&gt;Cancelado",$H$5:$H$1204,"&lt;&gt;Remarcado")&gt;0,"Sim","Não"))</f>
        <v/>
      </c>
      <c r="S761" s="32">
        <f>IF(R761&lt;&gt;"Não","",IF(Q761+Config!$B$9&lt;=Config!$B$8,Config!$B$8-Q761,""))</f>
        <v/>
      </c>
      <c r="T761" s="26">
        <f>IF(S761="","","Sim")</f>
        <v/>
      </c>
      <c r="U761" s="41">
        <f>IF(T761="Sim",S761+ROW()/100000,0)</f>
        <v>0</v>
      </c>
      <c r="V761" s="41">
        <f>IF(AND(H761="Falta",L761=Config!$B$7,M761=Config!$B$5,COUNTIFS($E$5:E761,E761,$H$5:H761,"Falta",$L$5:L761,Config!$B$7,$M$5:M761,Config!$B$5)=1),COUNTIFS($E$5:$E$1204,E761,$H$5:$H$1204,"Falta",$L$5:$L$1204,Config!$B$7,$M$5:$M$1204,Config!$B$5)*1000-ROW()/100000,0)</f>
        <v>0</v>
      </c>
    </row>
    <row r="762">
      <c r="A762" s="39">
        <f>TODAY()+2</f>
        <v>46281.0</v>
      </c>
      <c r="B762" s="40" t="n">
        <v>0.6597222222222222</v>
      </c>
      <c r="C762" s="35" t="inlineStr">
        <is>
          <t>Dra. Carolina Mendes</t>
        </is>
      </c>
      <c r="D762" s="35" t="inlineStr">
        <is>
          <t>Sala 1</t>
        </is>
      </c>
      <c r="E762" s="34" t="inlineStr">
        <is>
          <t>Simone Monteiro</t>
        </is>
      </c>
      <c r="F762" s="35" t="inlineStr">
        <is>
          <t>Vida Care</t>
        </is>
      </c>
      <c r="G762" s="35" t="inlineStr">
        <is>
          <t>Consulta</t>
        </is>
      </c>
      <c r="H762" s="35" t="inlineStr">
        <is>
          <t>Agendado</t>
        </is>
      </c>
      <c r="I762" s="35" t="n"/>
      <c r="J762" s="35" t="n"/>
      <c r="K762" s="34" t="n"/>
      <c r="L762" s="26">
        <f>IF(A762="","",MONTH(A762))</f>
        <v>9</v>
      </c>
      <c r="M762" s="26">
        <f>IF(A762="","",YEAR(A762))</f>
        <v>2026</v>
      </c>
      <c r="N762" s="26" t="str">
        <f>IF(A762="","",CHOOSE(WEEKDAY(A762,2),"Segunda","Terça","Quarta","Quinta","Sexta","Sábado","Domingo"))</f>
        <v>Quarta</v>
      </c>
      <c r="O762" s="26" t="str">
        <f>IF(B762="","",IF(B762&lt;TIME(12,0,0),"Manhã",IF(B762&lt;TIME(18,0,0),"Tarde","Noite")))</f>
        <v>Tarde</v>
      </c>
      <c r="P762" s="32">
        <f>IF(G762="","",IFERROR(INDEX(Config!$I$5:$I$16,MATCH(G762,Config!$H$5:$H$16,0)),0))</f>
        <v>30</v>
      </c>
      <c r="Q762" s="30">
        <f>IF(OR(H762&lt;&gt;"Realizado",P762="",P762=0),"",A762+P762)</f>
        <v/>
      </c>
      <c r="R762" s="26">
        <f>IF(Q762="","",IF(COUNTIFS($E$5:$E$1204,E762,$A$5:$A$1204,"&gt;"&amp;A762,$H$5:$H$1204,"&lt;&gt;Falta",$H$5:$H$1204,"&lt;&gt;Cancelado",$H$5:$H$1204,"&lt;&gt;Remarcado")&gt;0,"Sim","Não"))</f>
        <v/>
      </c>
      <c r="S762" s="32">
        <f>IF(R762&lt;&gt;"Não","",IF(Q762+Config!$B$9&lt;=Config!$B$8,Config!$B$8-Q762,""))</f>
        <v/>
      </c>
      <c r="T762" s="26">
        <f>IF(S762="","","Sim")</f>
        <v/>
      </c>
      <c r="U762" s="41">
        <f>IF(T762="Sim",S762+ROW()/100000,0)</f>
        <v>0</v>
      </c>
      <c r="V762" s="41">
        <f>IF(AND(H762="Falta",L762=Config!$B$7,M762=Config!$B$5,COUNTIFS($E$5:E762,E762,$H$5:H762,"Falta",$L$5:L762,Config!$B$7,$M$5:M762,Config!$B$5)=1),COUNTIFS($E$5:$E$1204,E762,$H$5:$H$1204,"Falta",$L$5:$L$1204,Config!$B$7,$M$5:$M$1204,Config!$B$5)*1000-ROW()/100000,0)</f>
        <v>0</v>
      </c>
    </row>
    <row r="763">
      <c r="A763" s="39">
        <f>TODAY()+2</f>
        <v>46281.0</v>
      </c>
      <c r="B763" s="40" t="n">
        <v>0.6805555555555556</v>
      </c>
      <c r="C763" s="35" t="inlineStr">
        <is>
          <t>Dra. Carolina Mendes</t>
        </is>
      </c>
      <c r="D763" s="35" t="inlineStr">
        <is>
          <t>Sala 1</t>
        </is>
      </c>
      <c r="E763" s="34" t="inlineStr">
        <is>
          <t>Mônica Teixeira</t>
        </is>
      </c>
      <c r="F763" s="35" t="inlineStr">
        <is>
          <t>Vida Care</t>
        </is>
      </c>
      <c r="G763" s="35" t="inlineStr">
        <is>
          <t>Retorno</t>
        </is>
      </c>
      <c r="H763" s="35" t="inlineStr">
        <is>
          <t>Confirmado</t>
        </is>
      </c>
      <c r="I763" s="35" t="n"/>
      <c r="J763" s="35" t="n"/>
      <c r="K763" s="34" t="n"/>
      <c r="L763" s="26">
        <f>IF(A763="","",MONTH(A763))</f>
        <v>9</v>
      </c>
      <c r="M763" s="26">
        <f>IF(A763="","",YEAR(A763))</f>
        <v>2026</v>
      </c>
      <c r="N763" s="26" t="str">
        <f>IF(A763="","",CHOOSE(WEEKDAY(A763,2),"Segunda","Terça","Quarta","Quinta","Sexta","Sábado","Domingo"))</f>
        <v>Quarta</v>
      </c>
      <c r="O763" s="26" t="str">
        <f>IF(B763="","",IF(B763&lt;TIME(12,0,0),"Manhã",IF(B763&lt;TIME(18,0,0),"Tarde","Noite")))</f>
        <v>Tarde</v>
      </c>
      <c r="P763" s="32">
        <f>IF(G763="","",IFERROR(INDEX(Config!$I$5:$I$16,MATCH(G763,Config!$H$5:$H$16,0)),0))</f>
        <v>0</v>
      </c>
      <c r="Q763" s="30">
        <f>IF(OR(H763&lt;&gt;"Realizado",P763="",P763=0),"",A763+P763)</f>
        <v/>
      </c>
      <c r="R763" s="26">
        <f>IF(Q763="","",IF(COUNTIFS($E$5:$E$1204,E763,$A$5:$A$1204,"&gt;"&amp;A763,$H$5:$H$1204,"&lt;&gt;Falta",$H$5:$H$1204,"&lt;&gt;Cancelado",$H$5:$H$1204,"&lt;&gt;Remarcado")&gt;0,"Sim","Não"))</f>
        <v/>
      </c>
      <c r="S763" s="32">
        <f>IF(R763&lt;&gt;"Não","",IF(Q763+Config!$B$9&lt;=Config!$B$8,Config!$B$8-Q763,""))</f>
        <v/>
      </c>
      <c r="T763" s="26">
        <f>IF(S763="","","Sim")</f>
        <v/>
      </c>
      <c r="U763" s="41">
        <f>IF(T763="Sim",S763+ROW()/100000,0)</f>
        <v>0</v>
      </c>
      <c r="V763" s="41">
        <f>IF(AND(H763="Falta",L763=Config!$B$7,M763=Config!$B$5,COUNTIFS($E$5:E763,E763,$H$5:H763,"Falta",$L$5:L763,Config!$B$7,$M$5:M763,Config!$B$5)=1),COUNTIFS($E$5:$E$1204,E763,$H$5:$H$1204,"Falta",$L$5:$L$1204,Config!$B$7,$M$5:$M$1204,Config!$B$5)*1000-ROW()/100000,0)</f>
        <v>0</v>
      </c>
    </row>
    <row r="764">
      <c r="A764" s="39">
        <f>TODAY()+2</f>
        <v>46281.0</v>
      </c>
      <c r="B764" s="40" t="n">
        <v>0.7152777777777778</v>
      </c>
      <c r="C764" s="35" t="inlineStr">
        <is>
          <t>Dra. Carolina Mendes</t>
        </is>
      </c>
      <c r="D764" s="35" t="inlineStr">
        <is>
          <t>Sala 1</t>
        </is>
      </c>
      <c r="E764" s="34" t="inlineStr">
        <is>
          <t>Camila Batista</t>
        </is>
      </c>
      <c r="F764" s="35" t="inlineStr">
        <is>
          <t>MediPlan</t>
        </is>
      </c>
      <c r="G764" s="35" t="inlineStr">
        <is>
          <t>Retorno</t>
        </is>
      </c>
      <c r="H764" s="35" t="inlineStr">
        <is>
          <t>Confirmado</t>
        </is>
      </c>
      <c r="I764" s="35" t="n"/>
      <c r="J764" s="35" t="n"/>
      <c r="K764" s="34" t="n"/>
      <c r="L764" s="26">
        <f>IF(A764="","",MONTH(A764))</f>
        <v>9</v>
      </c>
      <c r="M764" s="26">
        <f>IF(A764="","",YEAR(A764))</f>
        <v>2026</v>
      </c>
      <c r="N764" s="26" t="str">
        <f>IF(A764="","",CHOOSE(WEEKDAY(A764,2),"Segunda","Terça","Quarta","Quinta","Sexta","Sábado","Domingo"))</f>
        <v>Quarta</v>
      </c>
      <c r="O764" s="26" t="str">
        <f>IF(B764="","",IF(B764&lt;TIME(12,0,0),"Manhã",IF(B764&lt;TIME(18,0,0),"Tarde","Noite")))</f>
        <v>Tarde</v>
      </c>
      <c r="P764" s="32">
        <f>IF(G764="","",IFERROR(INDEX(Config!$I$5:$I$16,MATCH(G764,Config!$H$5:$H$16,0)),0))</f>
        <v>0</v>
      </c>
      <c r="Q764" s="30">
        <f>IF(OR(H764&lt;&gt;"Realizado",P764="",P764=0),"",A764+P764)</f>
        <v/>
      </c>
      <c r="R764" s="26">
        <f>IF(Q764="","",IF(COUNTIFS($E$5:$E$1204,E764,$A$5:$A$1204,"&gt;"&amp;A764,$H$5:$H$1204,"&lt;&gt;Falta",$H$5:$H$1204,"&lt;&gt;Cancelado",$H$5:$H$1204,"&lt;&gt;Remarcado")&gt;0,"Sim","Não"))</f>
        <v/>
      </c>
      <c r="S764" s="32">
        <f>IF(R764&lt;&gt;"Não","",IF(Q764+Config!$B$9&lt;=Config!$B$8,Config!$B$8-Q764,""))</f>
        <v/>
      </c>
      <c r="T764" s="26">
        <f>IF(S764="","","Sim")</f>
        <v/>
      </c>
      <c r="U764" s="41">
        <f>IF(T764="Sim",S764+ROW()/100000,0)</f>
        <v>0</v>
      </c>
      <c r="V764" s="41">
        <f>IF(AND(H764="Falta",L764=Config!$B$7,M764=Config!$B$5,COUNTIFS($E$5:E764,E764,$H$5:H764,"Falta",$L$5:L764,Config!$B$7,$M$5:M764,Config!$B$5)=1),COUNTIFS($E$5:$E$1204,E764,$H$5:$H$1204,"Falta",$L$5:$L$1204,Config!$B$7,$M$5:$M$1204,Config!$B$5)*1000-ROW()/100000,0)</f>
        <v>0</v>
      </c>
    </row>
    <row r="765">
      <c r="A765" s="39">
        <f>TODAY()+2</f>
        <v>46281.0</v>
      </c>
      <c r="B765" s="40" t="n">
        <v>0.7291666666666666</v>
      </c>
      <c r="C765" s="35" t="inlineStr">
        <is>
          <t>Dra. Carolina Mendes</t>
        </is>
      </c>
      <c r="D765" s="35" t="inlineStr">
        <is>
          <t>Sala 1</t>
        </is>
      </c>
      <c r="E765" s="34" t="inlineStr">
        <is>
          <t>Ana Costa</t>
        </is>
      </c>
      <c r="F765" s="35" t="inlineStr">
        <is>
          <t>Particular</t>
        </is>
      </c>
      <c r="G765" s="35" t="inlineStr">
        <is>
          <t>Consulta</t>
        </is>
      </c>
      <c r="H765" s="35" t="inlineStr">
        <is>
          <t>Confirmado</t>
        </is>
      </c>
      <c r="I765" s="35" t="n"/>
      <c r="J765" s="35" t="n"/>
      <c r="K765" s="34" t="n"/>
      <c r="L765" s="26">
        <f>IF(A765="","",MONTH(A765))</f>
        <v>9</v>
      </c>
      <c r="M765" s="26">
        <f>IF(A765="","",YEAR(A765))</f>
        <v>2026</v>
      </c>
      <c r="N765" s="26" t="str">
        <f>IF(A765="","",CHOOSE(WEEKDAY(A765,2),"Segunda","Terça","Quarta","Quinta","Sexta","Sábado","Domingo"))</f>
        <v>Quarta</v>
      </c>
      <c r="O765" s="26" t="str">
        <f>IF(B765="","",IF(B765&lt;TIME(12,0,0),"Manhã",IF(B765&lt;TIME(18,0,0),"Tarde","Noite")))</f>
        <v>Tarde</v>
      </c>
      <c r="P765" s="32">
        <f>IF(G765="","",IFERROR(INDEX(Config!$I$5:$I$16,MATCH(G765,Config!$H$5:$H$16,0)),0))</f>
        <v>30</v>
      </c>
      <c r="Q765" s="30">
        <f>IF(OR(H765&lt;&gt;"Realizado",P765="",P765=0),"",A765+P765)</f>
        <v/>
      </c>
      <c r="R765" s="26">
        <f>IF(Q765="","",IF(COUNTIFS($E$5:$E$1204,E765,$A$5:$A$1204,"&gt;"&amp;A765,$H$5:$H$1204,"&lt;&gt;Falta",$H$5:$H$1204,"&lt;&gt;Cancelado",$H$5:$H$1204,"&lt;&gt;Remarcado")&gt;0,"Sim","Não"))</f>
        <v/>
      </c>
      <c r="S765" s="32">
        <f>IF(R765&lt;&gt;"Não","",IF(Q765+Config!$B$9&lt;=Config!$B$8,Config!$B$8-Q765,""))</f>
        <v/>
      </c>
      <c r="T765" s="26">
        <f>IF(S765="","","Sim")</f>
        <v/>
      </c>
      <c r="U765" s="41">
        <f>IF(T765="Sim",S765+ROW()/100000,0)</f>
        <v>0</v>
      </c>
      <c r="V765" s="41">
        <f>IF(AND(H765="Falta",L765=Config!$B$7,M765=Config!$B$5,COUNTIFS($E$5:E765,E765,$H$5:H765,"Falta",$L$5:L765,Config!$B$7,$M$5:M765,Config!$B$5)=1),COUNTIFS($E$5:$E$1204,E765,$H$5:$H$1204,"Falta",$L$5:$L$1204,Config!$B$7,$M$5:$M$1204,Config!$B$5)*1000-ROW()/100000,0)</f>
        <v>0</v>
      </c>
    </row>
    <row r="766">
      <c r="A766" s="39">
        <f>TODAY()+3</f>
        <v>46282.0</v>
      </c>
      <c r="B766" s="40" t="n">
        <v>0.3333333333333333</v>
      </c>
      <c r="C766" s="35" t="inlineStr">
        <is>
          <t>Dra. Carolina Mendes</t>
        </is>
      </c>
      <c r="D766" s="35" t="inlineStr">
        <is>
          <t>Sala 1</t>
        </is>
      </c>
      <c r="E766" s="34" t="inlineStr">
        <is>
          <t>Larissa Costa</t>
        </is>
      </c>
      <c r="F766" s="35" t="inlineStr">
        <is>
          <t>Particular</t>
        </is>
      </c>
      <c r="G766" s="35" t="inlineStr">
        <is>
          <t>Retorno</t>
        </is>
      </c>
      <c r="H766" s="35" t="inlineStr">
        <is>
          <t>Agendado</t>
        </is>
      </c>
      <c r="I766" s="35" t="n"/>
      <c r="J766" s="35" t="n"/>
      <c r="K766" s="34" t="n"/>
      <c r="L766" s="26">
        <f>IF(A766="","",MONTH(A766))</f>
        <v>9</v>
      </c>
      <c r="M766" s="26">
        <f>IF(A766="","",YEAR(A766))</f>
        <v>2026</v>
      </c>
      <c r="N766" s="26" t="str">
        <f>IF(A766="","",CHOOSE(WEEKDAY(A766,2),"Segunda","Terça","Quarta","Quinta","Sexta","Sábado","Domingo"))</f>
        <v>Quinta</v>
      </c>
      <c r="O766" s="26" t="str">
        <f>IF(B766="","",IF(B766&lt;TIME(12,0,0),"Manhã",IF(B766&lt;TIME(18,0,0),"Tarde","Noite")))</f>
        <v>Manhã</v>
      </c>
      <c r="P766" s="32">
        <f>IF(G766="","",IFERROR(INDEX(Config!$I$5:$I$16,MATCH(G766,Config!$H$5:$H$16,0)),0))</f>
        <v>0</v>
      </c>
      <c r="Q766" s="30">
        <f>IF(OR(H766&lt;&gt;"Realizado",P766="",P766=0),"",A766+P766)</f>
        <v/>
      </c>
      <c r="R766" s="26">
        <f>IF(Q766="","",IF(COUNTIFS($E$5:$E$1204,E766,$A$5:$A$1204,"&gt;"&amp;A766,$H$5:$H$1204,"&lt;&gt;Falta",$H$5:$H$1204,"&lt;&gt;Cancelado",$H$5:$H$1204,"&lt;&gt;Remarcado")&gt;0,"Sim","Não"))</f>
        <v/>
      </c>
      <c r="S766" s="32">
        <f>IF(R766&lt;&gt;"Não","",IF(Q766+Config!$B$9&lt;=Config!$B$8,Config!$B$8-Q766,""))</f>
        <v/>
      </c>
      <c r="T766" s="26">
        <f>IF(S766="","","Sim")</f>
        <v/>
      </c>
      <c r="U766" s="41">
        <f>IF(T766="Sim",S766+ROW()/100000,0)</f>
        <v>0</v>
      </c>
      <c r="V766" s="41">
        <f>IF(AND(H766="Falta",L766=Config!$B$7,M766=Config!$B$5,COUNTIFS($E$5:E766,E766,$H$5:H766,"Falta",$L$5:L766,Config!$B$7,$M$5:M766,Config!$B$5)=1),COUNTIFS($E$5:$E$1204,E766,$H$5:$H$1204,"Falta",$L$5:$L$1204,Config!$B$7,$M$5:$M$1204,Config!$B$5)*1000-ROW()/100000,0)</f>
        <v>0</v>
      </c>
    </row>
    <row r="767">
      <c r="A767" s="39">
        <f>TODAY()+3</f>
        <v>46282.0</v>
      </c>
      <c r="B767" s="40" t="n">
        <v>0.3680555555555556</v>
      </c>
      <c r="C767" s="35" t="inlineStr">
        <is>
          <t>Dra. Carolina Mendes</t>
        </is>
      </c>
      <c r="D767" s="35" t="inlineStr">
        <is>
          <t>Sala 1</t>
        </is>
      </c>
      <c r="E767" s="34" t="inlineStr">
        <is>
          <t>Regina Duarte</t>
        </is>
      </c>
      <c r="F767" s="35" t="inlineStr">
        <is>
          <t>Particular</t>
        </is>
      </c>
      <c r="G767" s="35" t="inlineStr">
        <is>
          <t>Retorno</t>
        </is>
      </c>
      <c r="H767" s="35" t="inlineStr">
        <is>
          <t>Agendado</t>
        </is>
      </c>
      <c r="I767" s="35" t="n"/>
      <c r="J767" s="35" t="n"/>
      <c r="K767" s="34" t="n"/>
      <c r="L767" s="26">
        <f>IF(A767="","",MONTH(A767))</f>
        <v>9</v>
      </c>
      <c r="M767" s="26">
        <f>IF(A767="","",YEAR(A767))</f>
        <v>2026</v>
      </c>
      <c r="N767" s="26" t="str">
        <f>IF(A767="","",CHOOSE(WEEKDAY(A767,2),"Segunda","Terça","Quarta","Quinta","Sexta","Sábado","Domingo"))</f>
        <v>Quinta</v>
      </c>
      <c r="O767" s="26" t="str">
        <f>IF(B767="","",IF(B767&lt;TIME(12,0,0),"Manhã",IF(B767&lt;TIME(18,0,0),"Tarde","Noite")))</f>
        <v>Manhã</v>
      </c>
      <c r="P767" s="32">
        <f>IF(G767="","",IFERROR(INDEX(Config!$I$5:$I$16,MATCH(G767,Config!$H$5:$H$16,0)),0))</f>
        <v>0</v>
      </c>
      <c r="Q767" s="30">
        <f>IF(OR(H767&lt;&gt;"Realizado",P767="",P767=0),"",A767+P767)</f>
        <v/>
      </c>
      <c r="R767" s="26">
        <f>IF(Q767="","",IF(COUNTIFS($E$5:$E$1204,E767,$A$5:$A$1204,"&gt;"&amp;A767,$H$5:$H$1204,"&lt;&gt;Falta",$H$5:$H$1204,"&lt;&gt;Cancelado",$H$5:$H$1204,"&lt;&gt;Remarcado")&gt;0,"Sim","Não"))</f>
        <v/>
      </c>
      <c r="S767" s="32">
        <f>IF(R767&lt;&gt;"Não","",IF(Q767+Config!$B$9&lt;=Config!$B$8,Config!$B$8-Q767,""))</f>
        <v/>
      </c>
      <c r="T767" s="26">
        <f>IF(S767="","","Sim")</f>
        <v/>
      </c>
      <c r="U767" s="41">
        <f>IF(T767="Sim",S767+ROW()/100000,0)</f>
        <v>0</v>
      </c>
      <c r="V767" s="41">
        <f>IF(AND(H767="Falta",L767=Config!$B$7,M767=Config!$B$5,COUNTIFS($E$5:E767,E767,$H$5:H767,"Falta",$L$5:L767,Config!$B$7,$M$5:M767,Config!$B$5)=1),COUNTIFS($E$5:$E$1204,E767,$H$5:$H$1204,"Falta",$L$5:$L$1204,Config!$B$7,$M$5:$M$1204,Config!$B$5)*1000-ROW()/100000,0)</f>
        <v>0</v>
      </c>
    </row>
    <row r="768">
      <c r="A768" s="39">
        <f>TODAY()+3</f>
        <v>46282.0</v>
      </c>
      <c r="B768" s="40" t="n">
        <v>0.3819444444444444</v>
      </c>
      <c r="C768" s="35" t="inlineStr">
        <is>
          <t>Dra. Carolina Mendes</t>
        </is>
      </c>
      <c r="D768" s="35" t="inlineStr">
        <is>
          <t>Sala 1</t>
        </is>
      </c>
      <c r="E768" s="34" t="inlineStr">
        <is>
          <t>Mônica Batista</t>
        </is>
      </c>
      <c r="F768" s="35" t="inlineStr">
        <is>
          <t>MediPlan</t>
        </is>
      </c>
      <c r="G768" s="35" t="inlineStr">
        <is>
          <t>Consulta</t>
        </is>
      </c>
      <c r="H768" s="35" t="inlineStr">
        <is>
          <t>Agendado</t>
        </is>
      </c>
      <c r="I768" s="35" t="n"/>
      <c r="J768" s="35" t="n"/>
      <c r="K768" s="34" t="n"/>
      <c r="L768" s="26">
        <f>IF(A768="","",MONTH(A768))</f>
        <v>9</v>
      </c>
      <c r="M768" s="26">
        <f>IF(A768="","",YEAR(A768))</f>
        <v>2026</v>
      </c>
      <c r="N768" s="26" t="str">
        <f>IF(A768="","",CHOOSE(WEEKDAY(A768,2),"Segunda","Terça","Quarta","Quinta","Sexta","Sábado","Domingo"))</f>
        <v>Quinta</v>
      </c>
      <c r="O768" s="26" t="str">
        <f>IF(B768="","",IF(B768&lt;TIME(12,0,0),"Manhã",IF(B768&lt;TIME(18,0,0),"Tarde","Noite")))</f>
        <v>Manhã</v>
      </c>
      <c r="P768" s="32">
        <f>IF(G768="","",IFERROR(INDEX(Config!$I$5:$I$16,MATCH(G768,Config!$H$5:$H$16,0)),0))</f>
        <v>30</v>
      </c>
      <c r="Q768" s="30">
        <f>IF(OR(H768&lt;&gt;"Realizado",P768="",P768=0),"",A768+P768)</f>
        <v/>
      </c>
      <c r="R768" s="26">
        <f>IF(Q768="","",IF(COUNTIFS($E$5:$E$1204,E768,$A$5:$A$1204,"&gt;"&amp;A768,$H$5:$H$1204,"&lt;&gt;Falta",$H$5:$H$1204,"&lt;&gt;Cancelado",$H$5:$H$1204,"&lt;&gt;Remarcado")&gt;0,"Sim","Não"))</f>
        <v/>
      </c>
      <c r="S768" s="32">
        <f>IF(R768&lt;&gt;"Não","",IF(Q768+Config!$B$9&lt;=Config!$B$8,Config!$B$8-Q768,""))</f>
        <v/>
      </c>
      <c r="T768" s="26">
        <f>IF(S768="","","Sim")</f>
        <v/>
      </c>
      <c r="U768" s="41">
        <f>IF(T768="Sim",S768+ROW()/100000,0)</f>
        <v>0</v>
      </c>
      <c r="V768" s="41">
        <f>IF(AND(H768="Falta",L768=Config!$B$7,M768=Config!$B$5,COUNTIFS($E$5:E768,E768,$H$5:H768,"Falta",$L$5:L768,Config!$B$7,$M$5:M768,Config!$B$5)=1),COUNTIFS($E$5:$E$1204,E768,$H$5:$H$1204,"Falta",$L$5:$L$1204,Config!$B$7,$M$5:$M$1204,Config!$B$5)*1000-ROW()/100000,0)</f>
        <v>0</v>
      </c>
    </row>
    <row r="769">
      <c r="A769" s="39">
        <f>TODAY()+3</f>
        <v>46282.0</v>
      </c>
      <c r="B769" s="40" t="n">
        <v>0.4027777777777778</v>
      </c>
      <c r="C769" s="35" t="inlineStr">
        <is>
          <t>Dra. Carolina Mendes</t>
        </is>
      </c>
      <c r="D769" s="35" t="inlineStr">
        <is>
          <t>Sala 1</t>
        </is>
      </c>
      <c r="E769" s="34" t="inlineStr">
        <is>
          <t>Marcelo Santos</t>
        </is>
      </c>
      <c r="F769" s="35" t="inlineStr">
        <is>
          <t>Particular</t>
        </is>
      </c>
      <c r="G769" s="35" t="inlineStr">
        <is>
          <t>Retorno</t>
        </is>
      </c>
      <c r="H769" s="35" t="inlineStr">
        <is>
          <t>Agendado</t>
        </is>
      </c>
      <c r="I769" s="35" t="n"/>
      <c r="J769" s="35" t="n"/>
      <c r="K769" s="34" t="n"/>
      <c r="L769" s="26">
        <f>IF(A769="","",MONTH(A769))</f>
        <v>9</v>
      </c>
      <c r="M769" s="26">
        <f>IF(A769="","",YEAR(A769))</f>
        <v>2026</v>
      </c>
      <c r="N769" s="26" t="str">
        <f>IF(A769="","",CHOOSE(WEEKDAY(A769,2),"Segunda","Terça","Quarta","Quinta","Sexta","Sábado","Domingo"))</f>
        <v>Quinta</v>
      </c>
      <c r="O769" s="26" t="str">
        <f>IF(B769="","",IF(B769&lt;TIME(12,0,0),"Manhã",IF(B769&lt;TIME(18,0,0),"Tarde","Noite")))</f>
        <v>Manhã</v>
      </c>
      <c r="P769" s="32">
        <f>IF(G769="","",IFERROR(INDEX(Config!$I$5:$I$16,MATCH(G769,Config!$H$5:$H$16,0)),0))</f>
        <v>0</v>
      </c>
      <c r="Q769" s="30">
        <f>IF(OR(H769&lt;&gt;"Realizado",P769="",P769=0),"",A769+P769)</f>
        <v/>
      </c>
      <c r="R769" s="26">
        <f>IF(Q769="","",IF(COUNTIFS($E$5:$E$1204,E769,$A$5:$A$1204,"&gt;"&amp;A769,$H$5:$H$1204,"&lt;&gt;Falta",$H$5:$H$1204,"&lt;&gt;Cancelado",$H$5:$H$1204,"&lt;&gt;Remarcado")&gt;0,"Sim","Não"))</f>
        <v/>
      </c>
      <c r="S769" s="32">
        <f>IF(R769&lt;&gt;"Não","",IF(Q769+Config!$B$9&lt;=Config!$B$8,Config!$B$8-Q769,""))</f>
        <v/>
      </c>
      <c r="T769" s="26">
        <f>IF(S769="","","Sim")</f>
        <v/>
      </c>
      <c r="U769" s="41">
        <f>IF(T769="Sim",S769+ROW()/100000,0)</f>
        <v>0</v>
      </c>
      <c r="V769" s="41">
        <f>IF(AND(H769="Falta",L769=Config!$B$7,M769=Config!$B$5,COUNTIFS($E$5:E769,E769,$H$5:H769,"Falta",$L$5:L769,Config!$B$7,$M$5:M769,Config!$B$5)=1),COUNTIFS($E$5:$E$1204,E769,$H$5:$H$1204,"Falta",$L$5:$L$1204,Config!$B$7,$M$5:$M$1204,Config!$B$5)*1000-ROW()/100000,0)</f>
        <v>0</v>
      </c>
    </row>
    <row r="770">
      <c r="A770" s="39">
        <f>TODAY()+3</f>
        <v>46282.0</v>
      </c>
      <c r="B770" s="40" t="n">
        <v>0.4166666666666667</v>
      </c>
      <c r="C770" s="35" t="inlineStr">
        <is>
          <t>Dra. Carolina Mendes</t>
        </is>
      </c>
      <c r="D770" s="35" t="inlineStr">
        <is>
          <t>Sala 1</t>
        </is>
      </c>
      <c r="E770" s="34" t="inlineStr">
        <is>
          <t>Gisele Xavier</t>
        </is>
      </c>
      <c r="F770" s="35" t="inlineStr">
        <is>
          <t>Particular</t>
        </is>
      </c>
      <c r="G770" s="35" t="inlineStr">
        <is>
          <t>Retorno</t>
        </is>
      </c>
      <c r="H770" s="35" t="inlineStr">
        <is>
          <t>Agendado</t>
        </is>
      </c>
      <c r="I770" s="35" t="n"/>
      <c r="J770" s="35" t="n"/>
      <c r="K770" s="34" t="n"/>
      <c r="L770" s="26">
        <f>IF(A770="","",MONTH(A770))</f>
        <v>9</v>
      </c>
      <c r="M770" s="26">
        <f>IF(A770="","",YEAR(A770))</f>
        <v>2026</v>
      </c>
      <c r="N770" s="26" t="str">
        <f>IF(A770="","",CHOOSE(WEEKDAY(A770,2),"Segunda","Terça","Quarta","Quinta","Sexta","Sábado","Domingo"))</f>
        <v>Quinta</v>
      </c>
      <c r="O770" s="26" t="str">
        <f>IF(B770="","",IF(B770&lt;TIME(12,0,0),"Manhã",IF(B770&lt;TIME(18,0,0),"Tarde","Noite")))</f>
        <v>Manhã</v>
      </c>
      <c r="P770" s="32">
        <f>IF(G770="","",IFERROR(INDEX(Config!$I$5:$I$16,MATCH(G770,Config!$H$5:$H$16,0)),0))</f>
        <v>0</v>
      </c>
      <c r="Q770" s="30">
        <f>IF(OR(H770&lt;&gt;"Realizado",P770="",P770=0),"",A770+P770)</f>
        <v/>
      </c>
      <c r="R770" s="26">
        <f>IF(Q770="","",IF(COUNTIFS($E$5:$E$1204,E770,$A$5:$A$1204,"&gt;"&amp;A770,$H$5:$H$1204,"&lt;&gt;Falta",$H$5:$H$1204,"&lt;&gt;Cancelado",$H$5:$H$1204,"&lt;&gt;Remarcado")&gt;0,"Sim","Não"))</f>
        <v/>
      </c>
      <c r="S770" s="32">
        <f>IF(R770&lt;&gt;"Não","",IF(Q770+Config!$B$9&lt;=Config!$B$8,Config!$B$8-Q770,""))</f>
        <v/>
      </c>
      <c r="T770" s="26">
        <f>IF(S770="","","Sim")</f>
        <v/>
      </c>
      <c r="U770" s="41">
        <f>IF(T770="Sim",S770+ROW()/100000,0)</f>
        <v>0</v>
      </c>
      <c r="V770" s="41">
        <f>IF(AND(H770="Falta",L770=Config!$B$7,M770=Config!$B$5,COUNTIFS($E$5:E770,E770,$H$5:H770,"Falta",$L$5:L770,Config!$B$7,$M$5:M770,Config!$B$5)=1),COUNTIFS($E$5:$E$1204,E770,$H$5:$H$1204,"Falta",$L$5:$L$1204,Config!$B$7,$M$5:$M$1204,Config!$B$5)*1000-ROW()/100000,0)</f>
        <v>0</v>
      </c>
    </row>
    <row r="771">
      <c r="A771" s="39">
        <f>TODAY()+3</f>
        <v>46282.0</v>
      </c>
      <c r="B771" s="40" t="n">
        <v>0.4305555555555556</v>
      </c>
      <c r="C771" s="35" t="inlineStr">
        <is>
          <t>Dra. Carolina Mendes</t>
        </is>
      </c>
      <c r="D771" s="35" t="inlineStr">
        <is>
          <t>Sala 1</t>
        </is>
      </c>
      <c r="E771" s="34" t="inlineStr">
        <is>
          <t>Sérgio Batista</t>
        </is>
      </c>
      <c r="F771" s="35" t="inlineStr">
        <is>
          <t>MediPlan</t>
        </is>
      </c>
      <c r="G771" s="35" t="inlineStr">
        <is>
          <t>Consulta</t>
        </is>
      </c>
      <c r="H771" s="35" t="inlineStr">
        <is>
          <t>Agendado</t>
        </is>
      </c>
      <c r="I771" s="35" t="n"/>
      <c r="J771" s="35" t="n"/>
      <c r="K771" s="34" t="n"/>
      <c r="L771" s="26">
        <f>IF(A771="","",MONTH(A771))</f>
        <v>9</v>
      </c>
      <c r="M771" s="26">
        <f>IF(A771="","",YEAR(A771))</f>
        <v>2026</v>
      </c>
      <c r="N771" s="26" t="str">
        <f>IF(A771="","",CHOOSE(WEEKDAY(A771,2),"Segunda","Terça","Quarta","Quinta","Sexta","Sábado","Domingo"))</f>
        <v>Quinta</v>
      </c>
      <c r="O771" s="26" t="str">
        <f>IF(B771="","",IF(B771&lt;TIME(12,0,0),"Manhã",IF(B771&lt;TIME(18,0,0),"Tarde","Noite")))</f>
        <v>Manhã</v>
      </c>
      <c r="P771" s="32">
        <f>IF(G771="","",IFERROR(INDEX(Config!$I$5:$I$16,MATCH(G771,Config!$H$5:$H$16,0)),0))</f>
        <v>30</v>
      </c>
      <c r="Q771" s="30">
        <f>IF(OR(H771&lt;&gt;"Realizado",P771="",P771=0),"",A771+P771)</f>
        <v/>
      </c>
      <c r="R771" s="26">
        <f>IF(Q771="","",IF(COUNTIFS($E$5:$E$1204,E771,$A$5:$A$1204,"&gt;"&amp;A771,$H$5:$H$1204,"&lt;&gt;Falta",$H$5:$H$1204,"&lt;&gt;Cancelado",$H$5:$H$1204,"&lt;&gt;Remarcado")&gt;0,"Sim","Não"))</f>
        <v/>
      </c>
      <c r="S771" s="32">
        <f>IF(R771&lt;&gt;"Não","",IF(Q771+Config!$B$9&lt;=Config!$B$8,Config!$B$8-Q771,""))</f>
        <v/>
      </c>
      <c r="T771" s="26">
        <f>IF(S771="","","Sim")</f>
        <v/>
      </c>
      <c r="U771" s="41">
        <f>IF(T771="Sim",S771+ROW()/100000,0)</f>
        <v>0</v>
      </c>
      <c r="V771" s="41">
        <f>IF(AND(H771="Falta",L771=Config!$B$7,M771=Config!$B$5,COUNTIFS($E$5:E771,E771,$H$5:H771,"Falta",$L$5:L771,Config!$B$7,$M$5:M771,Config!$B$5)=1),COUNTIFS($E$5:$E$1204,E771,$H$5:$H$1204,"Falta",$L$5:$L$1204,Config!$B$7,$M$5:$M$1204,Config!$B$5)*1000-ROW()/100000,0)</f>
        <v>0</v>
      </c>
    </row>
    <row r="772">
      <c r="A772" s="39">
        <f>TODAY()+3</f>
        <v>46282.0</v>
      </c>
      <c r="B772" s="40" t="n">
        <v>0.4513888888888889</v>
      </c>
      <c r="C772" s="35" t="inlineStr">
        <is>
          <t>Dra. Carolina Mendes</t>
        </is>
      </c>
      <c r="D772" s="35" t="inlineStr">
        <is>
          <t>Sala 1</t>
        </is>
      </c>
      <c r="E772" s="34" t="inlineStr">
        <is>
          <t>Roberta Fernandes</t>
        </is>
      </c>
      <c r="F772" s="35" t="inlineStr">
        <is>
          <t>Saúde Total</t>
        </is>
      </c>
      <c r="G772" s="35" t="inlineStr">
        <is>
          <t>Consulta</t>
        </is>
      </c>
      <c r="H772" s="35" t="inlineStr">
        <is>
          <t>Agendado</t>
        </is>
      </c>
      <c r="I772" s="35" t="n"/>
      <c r="J772" s="35" t="n"/>
      <c r="K772" s="34" t="n"/>
      <c r="L772" s="26">
        <f>IF(A772="","",MONTH(A772))</f>
        <v>9</v>
      </c>
      <c r="M772" s="26">
        <f>IF(A772="","",YEAR(A772))</f>
        <v>2026</v>
      </c>
      <c r="N772" s="26" t="str">
        <f>IF(A772="","",CHOOSE(WEEKDAY(A772,2),"Segunda","Terça","Quarta","Quinta","Sexta","Sábado","Domingo"))</f>
        <v>Quinta</v>
      </c>
      <c r="O772" s="26" t="str">
        <f>IF(B772="","",IF(B772&lt;TIME(12,0,0),"Manhã",IF(B772&lt;TIME(18,0,0),"Tarde","Noite")))</f>
        <v>Manhã</v>
      </c>
      <c r="P772" s="32">
        <f>IF(G772="","",IFERROR(INDEX(Config!$I$5:$I$16,MATCH(G772,Config!$H$5:$H$16,0)),0))</f>
        <v>30</v>
      </c>
      <c r="Q772" s="30">
        <f>IF(OR(H772&lt;&gt;"Realizado",P772="",P772=0),"",A772+P772)</f>
        <v/>
      </c>
      <c r="R772" s="26">
        <f>IF(Q772="","",IF(COUNTIFS($E$5:$E$1204,E772,$A$5:$A$1204,"&gt;"&amp;A772,$H$5:$H$1204,"&lt;&gt;Falta",$H$5:$H$1204,"&lt;&gt;Cancelado",$H$5:$H$1204,"&lt;&gt;Remarcado")&gt;0,"Sim","Não"))</f>
        <v/>
      </c>
      <c r="S772" s="32">
        <f>IF(R772&lt;&gt;"Não","",IF(Q772+Config!$B$9&lt;=Config!$B$8,Config!$B$8-Q772,""))</f>
        <v/>
      </c>
      <c r="T772" s="26">
        <f>IF(S772="","","Sim")</f>
        <v/>
      </c>
      <c r="U772" s="41">
        <f>IF(T772="Sim",S772+ROW()/100000,0)</f>
        <v>0</v>
      </c>
      <c r="V772" s="41">
        <f>IF(AND(H772="Falta",L772=Config!$B$7,M772=Config!$B$5,COUNTIFS($E$5:E772,E772,$H$5:H772,"Falta",$L$5:L772,Config!$B$7,$M$5:M772,Config!$B$5)=1),COUNTIFS($E$5:$E$1204,E772,$H$5:$H$1204,"Falta",$L$5:$L$1204,Config!$B$7,$M$5:$M$1204,Config!$B$5)*1000-ROW()/100000,0)</f>
        <v>0</v>
      </c>
    </row>
    <row r="773">
      <c r="A773" s="39">
        <f>TODAY()+3</f>
        <v>46282.0</v>
      </c>
      <c r="B773" s="40" t="n">
        <v>0.4722222222222222</v>
      </c>
      <c r="C773" s="35" t="inlineStr">
        <is>
          <t>Dra. Carolina Mendes</t>
        </is>
      </c>
      <c r="D773" s="35" t="inlineStr">
        <is>
          <t>Sala 1</t>
        </is>
      </c>
      <c r="E773" s="34" t="inlineStr">
        <is>
          <t>Helena Moreira</t>
        </is>
      </c>
      <c r="F773" s="35" t="inlineStr">
        <is>
          <t>Particular</t>
        </is>
      </c>
      <c r="G773" s="35" t="inlineStr">
        <is>
          <t>Consulta</t>
        </is>
      </c>
      <c r="H773" s="35" t="inlineStr">
        <is>
          <t>Agendado</t>
        </is>
      </c>
      <c r="I773" s="35" t="n"/>
      <c r="J773" s="35" t="n"/>
      <c r="K773" s="34" t="n"/>
      <c r="L773" s="26">
        <f>IF(A773="","",MONTH(A773))</f>
        <v>9</v>
      </c>
      <c r="M773" s="26">
        <f>IF(A773="","",YEAR(A773))</f>
        <v>2026</v>
      </c>
      <c r="N773" s="26" t="str">
        <f>IF(A773="","",CHOOSE(WEEKDAY(A773,2),"Segunda","Terça","Quarta","Quinta","Sexta","Sábado","Domingo"))</f>
        <v>Quinta</v>
      </c>
      <c r="O773" s="26" t="str">
        <f>IF(B773="","",IF(B773&lt;TIME(12,0,0),"Manhã",IF(B773&lt;TIME(18,0,0),"Tarde","Noite")))</f>
        <v>Manhã</v>
      </c>
      <c r="P773" s="32">
        <f>IF(G773="","",IFERROR(INDEX(Config!$I$5:$I$16,MATCH(G773,Config!$H$5:$H$16,0)),0))</f>
        <v>30</v>
      </c>
      <c r="Q773" s="30">
        <f>IF(OR(H773&lt;&gt;"Realizado",P773="",P773=0),"",A773+P773)</f>
        <v/>
      </c>
      <c r="R773" s="26">
        <f>IF(Q773="","",IF(COUNTIFS($E$5:$E$1204,E773,$A$5:$A$1204,"&gt;"&amp;A773,$H$5:$H$1204,"&lt;&gt;Falta",$H$5:$H$1204,"&lt;&gt;Cancelado",$H$5:$H$1204,"&lt;&gt;Remarcado")&gt;0,"Sim","Não"))</f>
        <v/>
      </c>
      <c r="S773" s="32">
        <f>IF(R773&lt;&gt;"Não","",IF(Q773+Config!$B$9&lt;=Config!$B$8,Config!$B$8-Q773,""))</f>
        <v/>
      </c>
      <c r="T773" s="26">
        <f>IF(S773="","","Sim")</f>
        <v/>
      </c>
      <c r="U773" s="41">
        <f>IF(T773="Sim",S773+ROW()/100000,0)</f>
        <v>0</v>
      </c>
      <c r="V773" s="41">
        <f>IF(AND(H773="Falta",L773=Config!$B$7,M773=Config!$B$5,COUNTIFS($E$5:E773,E773,$H$5:H773,"Falta",$L$5:L773,Config!$B$7,$M$5:M773,Config!$B$5)=1),COUNTIFS($E$5:$E$1204,E773,$H$5:$H$1204,"Falta",$L$5:$L$1204,Config!$B$7,$M$5:$M$1204,Config!$B$5)*1000-ROW()/100000,0)</f>
        <v>0</v>
      </c>
    </row>
    <row r="774">
      <c r="A774" s="39">
        <f>TODAY()+3</f>
        <v>46282.0</v>
      </c>
      <c r="B774" s="40" t="n">
        <v>0.5833333333333334</v>
      </c>
      <c r="C774" s="35" t="inlineStr">
        <is>
          <t>Dra. Renata Sousa</t>
        </is>
      </c>
      <c r="D774" s="35" t="inlineStr">
        <is>
          <t>Sala 1</t>
        </is>
      </c>
      <c r="E774" s="34" t="inlineStr">
        <is>
          <t>Rodrigo Cardoso</t>
        </is>
      </c>
      <c r="F774" s="35" t="inlineStr">
        <is>
          <t>Saúde Total</t>
        </is>
      </c>
      <c r="G774" s="35" t="inlineStr">
        <is>
          <t>Avaliação endócrina</t>
        </is>
      </c>
      <c r="H774" s="35" t="inlineStr">
        <is>
          <t>Agendado</t>
        </is>
      </c>
      <c r="I774" s="35" t="n"/>
      <c r="J774" s="35" t="n"/>
      <c r="K774" s="34" t="n"/>
      <c r="L774" s="26">
        <f>IF(A774="","",MONTH(A774))</f>
        <v>9</v>
      </c>
      <c r="M774" s="26">
        <f>IF(A774="","",YEAR(A774))</f>
        <v>2026</v>
      </c>
      <c r="N774" s="26" t="str">
        <f>IF(A774="","",CHOOSE(WEEKDAY(A774,2),"Segunda","Terça","Quarta","Quinta","Sexta","Sábado","Domingo"))</f>
        <v>Quinta</v>
      </c>
      <c r="O774" s="26" t="str">
        <f>IF(B774="","",IF(B774&lt;TIME(12,0,0),"Manhã",IF(B774&lt;TIME(18,0,0),"Tarde","Noite")))</f>
        <v>Tarde</v>
      </c>
      <c r="P774" s="32">
        <f>IF(G774="","",IFERROR(INDEX(Config!$I$5:$I$16,MATCH(G774,Config!$H$5:$H$16,0)),0))</f>
        <v>45</v>
      </c>
      <c r="Q774" s="30">
        <f>IF(OR(H774&lt;&gt;"Realizado",P774="",P774=0),"",A774+P774)</f>
        <v/>
      </c>
      <c r="R774" s="26">
        <f>IF(Q774="","",IF(COUNTIFS($E$5:$E$1204,E774,$A$5:$A$1204,"&gt;"&amp;A774,$H$5:$H$1204,"&lt;&gt;Falta",$H$5:$H$1204,"&lt;&gt;Cancelado",$H$5:$H$1204,"&lt;&gt;Remarcado")&gt;0,"Sim","Não"))</f>
        <v/>
      </c>
      <c r="S774" s="32">
        <f>IF(R774&lt;&gt;"Não","",IF(Q774+Config!$B$9&lt;=Config!$B$8,Config!$B$8-Q774,""))</f>
        <v/>
      </c>
      <c r="T774" s="26">
        <f>IF(S774="","","Sim")</f>
        <v/>
      </c>
      <c r="U774" s="41">
        <f>IF(T774="Sim",S774+ROW()/100000,0)</f>
        <v>0</v>
      </c>
      <c r="V774" s="41">
        <f>IF(AND(H774="Falta",L774=Config!$B$7,M774=Config!$B$5,COUNTIFS($E$5:E774,E774,$H$5:H774,"Falta",$L$5:L774,Config!$B$7,$M$5:M774,Config!$B$5)=1),COUNTIFS($E$5:$E$1204,E774,$H$5:$H$1204,"Falta",$L$5:$L$1204,Config!$B$7,$M$5:$M$1204,Config!$B$5)*1000-ROW()/100000,0)</f>
        <v>0</v>
      </c>
    </row>
    <row r="775">
      <c r="A775" s="39">
        <f>TODAY()+3</f>
        <v>46282.0</v>
      </c>
      <c r="B775" s="40" t="n">
        <v>0.6111111111111112</v>
      </c>
      <c r="C775" s="35" t="inlineStr">
        <is>
          <t>Dra. Renata Sousa</t>
        </is>
      </c>
      <c r="D775" s="35" t="inlineStr">
        <is>
          <t>Sala 1</t>
        </is>
      </c>
      <c r="E775" s="34" t="inlineStr">
        <is>
          <t>Carlos Gonçalves</t>
        </is>
      </c>
      <c r="F775" s="35" t="inlineStr">
        <is>
          <t>Saúde Total</t>
        </is>
      </c>
      <c r="G775" s="35" t="inlineStr">
        <is>
          <t>Avaliação endócrina</t>
        </is>
      </c>
      <c r="H775" s="35" t="inlineStr">
        <is>
          <t>Agendado</t>
        </is>
      </c>
      <c r="I775" s="35" t="n"/>
      <c r="J775" s="35" t="n"/>
      <c r="K775" s="34" t="n"/>
      <c r="L775" s="26">
        <f>IF(A775="","",MONTH(A775))</f>
        <v>9</v>
      </c>
      <c r="M775" s="26">
        <f>IF(A775="","",YEAR(A775))</f>
        <v>2026</v>
      </c>
      <c r="N775" s="26" t="str">
        <f>IF(A775="","",CHOOSE(WEEKDAY(A775,2),"Segunda","Terça","Quarta","Quinta","Sexta","Sábado","Domingo"))</f>
        <v>Quinta</v>
      </c>
      <c r="O775" s="26" t="str">
        <f>IF(B775="","",IF(B775&lt;TIME(12,0,0),"Manhã",IF(B775&lt;TIME(18,0,0),"Tarde","Noite")))</f>
        <v>Tarde</v>
      </c>
      <c r="P775" s="32">
        <f>IF(G775="","",IFERROR(INDEX(Config!$I$5:$I$16,MATCH(G775,Config!$H$5:$H$16,0)),0))</f>
        <v>45</v>
      </c>
      <c r="Q775" s="30">
        <f>IF(OR(H775&lt;&gt;"Realizado",P775="",P775=0),"",A775+P775)</f>
        <v/>
      </c>
      <c r="R775" s="26">
        <f>IF(Q775="","",IF(COUNTIFS($E$5:$E$1204,E775,$A$5:$A$1204,"&gt;"&amp;A775,$H$5:$H$1204,"&lt;&gt;Falta",$H$5:$H$1204,"&lt;&gt;Cancelado",$H$5:$H$1204,"&lt;&gt;Remarcado")&gt;0,"Sim","Não"))</f>
        <v/>
      </c>
      <c r="S775" s="32">
        <f>IF(R775&lt;&gt;"Não","",IF(Q775+Config!$B$9&lt;=Config!$B$8,Config!$B$8-Q775,""))</f>
        <v/>
      </c>
      <c r="T775" s="26">
        <f>IF(S775="","","Sim")</f>
        <v/>
      </c>
      <c r="U775" s="41">
        <f>IF(T775="Sim",S775+ROW()/100000,0)</f>
        <v>0</v>
      </c>
      <c r="V775" s="41">
        <f>IF(AND(H775="Falta",L775=Config!$B$7,M775=Config!$B$5,COUNTIFS($E$5:E775,E775,$H$5:H775,"Falta",$L$5:L775,Config!$B$7,$M$5:M775,Config!$B$5)=1),COUNTIFS($E$5:$E$1204,E775,$H$5:$H$1204,"Falta",$L$5:$L$1204,Config!$B$7,$M$5:$M$1204,Config!$B$5)*1000-ROW()/100000,0)</f>
        <v>0</v>
      </c>
    </row>
    <row r="776">
      <c r="A776" s="39">
        <f>TODAY()+3</f>
        <v>46282.0</v>
      </c>
      <c r="B776" s="40" t="n">
        <v>0.625</v>
      </c>
      <c r="C776" s="35" t="inlineStr">
        <is>
          <t>Dr. Paulo Andrade</t>
        </is>
      </c>
      <c r="D776" s="35" t="inlineStr">
        <is>
          <t>Sala 2</t>
        </is>
      </c>
      <c r="E776" s="34" t="inlineStr">
        <is>
          <t>Sérgio Teixeira</t>
        </is>
      </c>
      <c r="F776" s="35" t="inlineStr">
        <is>
          <t>MediPlan</t>
        </is>
      </c>
      <c r="G776" s="35" t="inlineStr">
        <is>
          <t>Retorno</t>
        </is>
      </c>
      <c r="H776" s="35" t="inlineStr">
        <is>
          <t>Agendado</t>
        </is>
      </c>
      <c r="I776" s="35" t="n"/>
      <c r="J776" s="35" t="n"/>
      <c r="K776" s="34" t="n"/>
      <c r="L776" s="26">
        <f>IF(A776="","",MONTH(A776))</f>
        <v>9</v>
      </c>
      <c r="M776" s="26">
        <f>IF(A776="","",YEAR(A776))</f>
        <v>2026</v>
      </c>
      <c r="N776" s="26" t="str">
        <f>IF(A776="","",CHOOSE(WEEKDAY(A776,2),"Segunda","Terça","Quarta","Quinta","Sexta","Sábado","Domingo"))</f>
        <v>Quinta</v>
      </c>
      <c r="O776" s="26" t="str">
        <f>IF(B776="","",IF(B776&lt;TIME(12,0,0),"Manhã",IF(B776&lt;TIME(18,0,0),"Tarde","Noite")))</f>
        <v>Tarde</v>
      </c>
      <c r="P776" s="32">
        <f>IF(G776="","",IFERROR(INDEX(Config!$I$5:$I$16,MATCH(G776,Config!$H$5:$H$16,0)),0))</f>
        <v>0</v>
      </c>
      <c r="Q776" s="30">
        <f>IF(OR(H776&lt;&gt;"Realizado",P776="",P776=0),"",A776+P776)</f>
        <v/>
      </c>
      <c r="R776" s="26">
        <f>IF(Q776="","",IF(COUNTIFS($E$5:$E$1204,E776,$A$5:$A$1204,"&gt;"&amp;A776,$H$5:$H$1204,"&lt;&gt;Falta",$H$5:$H$1204,"&lt;&gt;Cancelado",$H$5:$H$1204,"&lt;&gt;Remarcado")&gt;0,"Sim","Não"))</f>
        <v/>
      </c>
      <c r="S776" s="32">
        <f>IF(R776&lt;&gt;"Não","",IF(Q776+Config!$B$9&lt;=Config!$B$8,Config!$B$8-Q776,""))</f>
        <v/>
      </c>
      <c r="T776" s="26">
        <f>IF(S776="","","Sim")</f>
        <v/>
      </c>
      <c r="U776" s="41">
        <f>IF(T776="Sim",S776+ROW()/100000,0)</f>
        <v>0</v>
      </c>
      <c r="V776" s="41">
        <f>IF(AND(H776="Falta",L776=Config!$B$7,M776=Config!$B$5,COUNTIFS($E$5:E776,E776,$H$5:H776,"Falta",$L$5:L776,Config!$B$7,$M$5:M776,Config!$B$5)=1),COUNTIFS($E$5:$E$1204,E776,$H$5:$H$1204,"Falta",$L$5:$L$1204,Config!$B$7,$M$5:$M$1204,Config!$B$5)*1000-ROW()/100000,0)</f>
        <v>0</v>
      </c>
    </row>
    <row r="777">
      <c r="A777" s="39">
        <f>TODAY()+3</f>
        <v>46282.0</v>
      </c>
      <c r="B777" s="40" t="n">
        <v>0.6388888888888888</v>
      </c>
      <c r="C777" s="35" t="inlineStr">
        <is>
          <t>Dr. Paulo Andrade</t>
        </is>
      </c>
      <c r="D777" s="35" t="inlineStr">
        <is>
          <t>Sala 2</t>
        </is>
      </c>
      <c r="E777" s="34" t="inlineStr">
        <is>
          <t>Renato Pereira</t>
        </is>
      </c>
      <c r="F777" s="35" t="inlineStr">
        <is>
          <t>MediPlan</t>
        </is>
      </c>
      <c r="G777" s="35" t="inlineStr">
        <is>
          <t>Consulta</t>
        </is>
      </c>
      <c r="H777" s="35" t="inlineStr">
        <is>
          <t>Agendado</t>
        </is>
      </c>
      <c r="I777" s="35" t="n"/>
      <c r="J777" s="35" t="n"/>
      <c r="K777" s="34" t="n"/>
      <c r="L777" s="26">
        <f>IF(A777="","",MONTH(A777))</f>
        <v>9</v>
      </c>
      <c r="M777" s="26">
        <f>IF(A777="","",YEAR(A777))</f>
        <v>2026</v>
      </c>
      <c r="N777" s="26" t="str">
        <f>IF(A777="","",CHOOSE(WEEKDAY(A777,2),"Segunda","Terça","Quarta","Quinta","Sexta","Sábado","Domingo"))</f>
        <v>Quinta</v>
      </c>
      <c r="O777" s="26" t="str">
        <f>IF(B777="","",IF(B777&lt;TIME(12,0,0),"Manhã",IF(B777&lt;TIME(18,0,0),"Tarde","Noite")))</f>
        <v>Tarde</v>
      </c>
      <c r="P777" s="32">
        <f>IF(G777="","",IFERROR(INDEX(Config!$I$5:$I$16,MATCH(G777,Config!$H$5:$H$16,0)),0))</f>
        <v>30</v>
      </c>
      <c r="Q777" s="30">
        <f>IF(OR(H777&lt;&gt;"Realizado",P777="",P777=0),"",A777+P777)</f>
        <v/>
      </c>
      <c r="R777" s="26">
        <f>IF(Q777="","",IF(COUNTIFS($E$5:$E$1204,E777,$A$5:$A$1204,"&gt;"&amp;A777,$H$5:$H$1204,"&lt;&gt;Falta",$H$5:$H$1204,"&lt;&gt;Cancelado",$H$5:$H$1204,"&lt;&gt;Remarcado")&gt;0,"Sim","Não"))</f>
        <v/>
      </c>
      <c r="S777" s="32">
        <f>IF(R777&lt;&gt;"Não","",IF(Q777+Config!$B$9&lt;=Config!$B$8,Config!$B$8-Q777,""))</f>
        <v/>
      </c>
      <c r="T777" s="26">
        <f>IF(S777="","","Sim")</f>
        <v/>
      </c>
      <c r="U777" s="41">
        <f>IF(T777="Sim",S777+ROW()/100000,0)</f>
        <v>0</v>
      </c>
      <c r="V777" s="41">
        <f>IF(AND(H777="Falta",L777=Config!$B$7,M777=Config!$B$5,COUNTIFS($E$5:E777,E777,$H$5:H777,"Falta",$L$5:L777,Config!$B$7,$M$5:M777,Config!$B$5)=1),COUNTIFS($E$5:$E$1204,E777,$H$5:$H$1204,"Falta",$L$5:$L$1204,Config!$B$7,$M$5:$M$1204,Config!$B$5)*1000-ROW()/100000,0)</f>
        <v>0</v>
      </c>
    </row>
    <row r="778">
      <c r="A778" s="39">
        <f>TODAY()+3</f>
        <v>46282.0</v>
      </c>
      <c r="B778" s="40" t="n">
        <v>0.6597222222222222</v>
      </c>
      <c r="C778" s="35" t="inlineStr">
        <is>
          <t>Dra. Renata Sousa</t>
        </is>
      </c>
      <c r="D778" s="35" t="inlineStr">
        <is>
          <t>Sala 1</t>
        </is>
      </c>
      <c r="E778" s="34" t="inlineStr">
        <is>
          <t>Mônica Almeida</t>
        </is>
      </c>
      <c r="F778" s="35" t="inlineStr">
        <is>
          <t>Particular</t>
        </is>
      </c>
      <c r="G778" s="35" t="inlineStr">
        <is>
          <t>Avaliação endócrina</t>
        </is>
      </c>
      <c r="H778" s="35" t="inlineStr">
        <is>
          <t>Agendado</t>
        </is>
      </c>
      <c r="I778" s="35" t="n"/>
      <c r="J778" s="35" t="n"/>
      <c r="K778" s="34" t="n"/>
      <c r="L778" s="26">
        <f>IF(A778="","",MONTH(A778))</f>
        <v>9</v>
      </c>
      <c r="M778" s="26">
        <f>IF(A778="","",YEAR(A778))</f>
        <v>2026</v>
      </c>
      <c r="N778" s="26" t="str">
        <f>IF(A778="","",CHOOSE(WEEKDAY(A778,2),"Segunda","Terça","Quarta","Quinta","Sexta","Sábado","Domingo"))</f>
        <v>Quinta</v>
      </c>
      <c r="O778" s="26" t="str">
        <f>IF(B778="","",IF(B778&lt;TIME(12,0,0),"Manhã",IF(B778&lt;TIME(18,0,0),"Tarde","Noite")))</f>
        <v>Tarde</v>
      </c>
      <c r="P778" s="32">
        <f>IF(G778="","",IFERROR(INDEX(Config!$I$5:$I$16,MATCH(G778,Config!$H$5:$H$16,0)),0))</f>
        <v>45</v>
      </c>
      <c r="Q778" s="30">
        <f>IF(OR(H778&lt;&gt;"Realizado",P778="",P778=0),"",A778+P778)</f>
        <v/>
      </c>
      <c r="R778" s="26">
        <f>IF(Q778="","",IF(COUNTIFS($E$5:$E$1204,E778,$A$5:$A$1204,"&gt;"&amp;A778,$H$5:$H$1204,"&lt;&gt;Falta",$H$5:$H$1204,"&lt;&gt;Cancelado",$H$5:$H$1204,"&lt;&gt;Remarcado")&gt;0,"Sim","Não"))</f>
        <v/>
      </c>
      <c r="S778" s="32">
        <f>IF(R778&lt;&gt;"Não","",IF(Q778+Config!$B$9&lt;=Config!$B$8,Config!$B$8-Q778,""))</f>
        <v/>
      </c>
      <c r="T778" s="26">
        <f>IF(S778="","","Sim")</f>
        <v/>
      </c>
      <c r="U778" s="41">
        <f>IF(T778="Sim",S778+ROW()/100000,0)</f>
        <v>0</v>
      </c>
      <c r="V778" s="41">
        <f>IF(AND(H778="Falta",L778=Config!$B$7,M778=Config!$B$5,COUNTIFS($E$5:E778,E778,$H$5:H778,"Falta",$L$5:L778,Config!$B$7,$M$5:M778,Config!$B$5)=1),COUNTIFS($E$5:$E$1204,E778,$H$5:$H$1204,"Falta",$L$5:$L$1204,Config!$B$7,$M$5:$M$1204,Config!$B$5)*1000-ROW()/100000,0)</f>
        <v>0</v>
      </c>
    </row>
    <row r="779">
      <c r="A779" s="39">
        <f>TODAY()+3</f>
        <v>46282.0</v>
      </c>
      <c r="B779" s="40" t="n">
        <v>0.6597222222222222</v>
      </c>
      <c r="C779" s="35" t="inlineStr">
        <is>
          <t>Dr. Paulo Andrade</t>
        </is>
      </c>
      <c r="D779" s="35" t="inlineStr">
        <is>
          <t>Sala 2</t>
        </is>
      </c>
      <c r="E779" s="34" t="inlineStr">
        <is>
          <t>Viviane Duarte</t>
        </is>
      </c>
      <c r="F779" s="35" t="inlineStr">
        <is>
          <t>MediPlan</t>
        </is>
      </c>
      <c r="G779" s="35" t="inlineStr">
        <is>
          <t>Retorno</t>
        </is>
      </c>
      <c r="H779" s="35" t="inlineStr">
        <is>
          <t>Agendado</t>
        </is>
      </c>
      <c r="I779" s="35" t="n"/>
      <c r="J779" s="35" t="n"/>
      <c r="K779" s="34" t="n"/>
      <c r="L779" s="26">
        <f>IF(A779="","",MONTH(A779))</f>
        <v>9</v>
      </c>
      <c r="M779" s="26">
        <f>IF(A779="","",YEAR(A779))</f>
        <v>2026</v>
      </c>
      <c r="N779" s="26" t="str">
        <f>IF(A779="","",CHOOSE(WEEKDAY(A779,2),"Segunda","Terça","Quarta","Quinta","Sexta","Sábado","Domingo"))</f>
        <v>Quinta</v>
      </c>
      <c r="O779" s="26" t="str">
        <f>IF(B779="","",IF(B779&lt;TIME(12,0,0),"Manhã",IF(B779&lt;TIME(18,0,0),"Tarde","Noite")))</f>
        <v>Tarde</v>
      </c>
      <c r="P779" s="32">
        <f>IF(G779="","",IFERROR(INDEX(Config!$I$5:$I$16,MATCH(G779,Config!$H$5:$H$16,0)),0))</f>
        <v>0</v>
      </c>
      <c r="Q779" s="30">
        <f>IF(OR(H779&lt;&gt;"Realizado",P779="",P779=0),"",A779+P779)</f>
        <v/>
      </c>
      <c r="R779" s="26">
        <f>IF(Q779="","",IF(COUNTIFS($E$5:$E$1204,E779,$A$5:$A$1204,"&gt;"&amp;A779,$H$5:$H$1204,"&lt;&gt;Falta",$H$5:$H$1204,"&lt;&gt;Cancelado",$H$5:$H$1204,"&lt;&gt;Remarcado")&gt;0,"Sim","Não"))</f>
        <v/>
      </c>
      <c r="S779" s="32">
        <f>IF(R779&lt;&gt;"Não","",IF(Q779+Config!$B$9&lt;=Config!$B$8,Config!$B$8-Q779,""))</f>
        <v/>
      </c>
      <c r="T779" s="26">
        <f>IF(S779="","","Sim")</f>
        <v/>
      </c>
      <c r="U779" s="41">
        <f>IF(T779="Sim",S779+ROW()/100000,0)</f>
        <v>0</v>
      </c>
      <c r="V779" s="41">
        <f>IF(AND(H779="Falta",L779=Config!$B$7,M779=Config!$B$5,COUNTIFS($E$5:E779,E779,$H$5:H779,"Falta",$L$5:L779,Config!$B$7,$M$5:M779,Config!$B$5)=1),COUNTIFS($E$5:$E$1204,E779,$H$5:$H$1204,"Falta",$L$5:$L$1204,Config!$B$7,$M$5:$M$1204,Config!$B$5)*1000-ROW()/100000,0)</f>
        <v>0</v>
      </c>
    </row>
    <row r="780">
      <c r="A780" s="39">
        <f>TODAY()+3</f>
        <v>46282.0</v>
      </c>
      <c r="B780" s="40" t="n">
        <v>0.6736111111111112</v>
      </c>
      <c r="C780" s="35" t="inlineStr">
        <is>
          <t>Dr. Paulo Andrade</t>
        </is>
      </c>
      <c r="D780" s="35" t="inlineStr">
        <is>
          <t>Sala 2</t>
        </is>
      </c>
      <c r="E780" s="34" t="inlineStr">
        <is>
          <t>Natália Martins</t>
        </is>
      </c>
      <c r="F780" s="35" t="inlineStr">
        <is>
          <t>Particular</t>
        </is>
      </c>
      <c r="G780" s="35" t="inlineStr">
        <is>
          <t>Consulta</t>
        </is>
      </c>
      <c r="H780" s="35" t="inlineStr">
        <is>
          <t>Agendado</t>
        </is>
      </c>
      <c r="I780" s="35" t="n"/>
      <c r="J780" s="35" t="n"/>
      <c r="K780" s="34" t="n"/>
      <c r="L780" s="26">
        <f>IF(A780="","",MONTH(A780))</f>
        <v>9</v>
      </c>
      <c r="M780" s="26">
        <f>IF(A780="","",YEAR(A780))</f>
        <v>2026</v>
      </c>
      <c r="N780" s="26" t="str">
        <f>IF(A780="","",CHOOSE(WEEKDAY(A780,2),"Segunda","Terça","Quarta","Quinta","Sexta","Sábado","Domingo"))</f>
        <v>Quinta</v>
      </c>
      <c r="O780" s="26" t="str">
        <f>IF(B780="","",IF(B780&lt;TIME(12,0,0),"Manhã",IF(B780&lt;TIME(18,0,0),"Tarde","Noite")))</f>
        <v>Tarde</v>
      </c>
      <c r="P780" s="32">
        <f>IF(G780="","",IFERROR(INDEX(Config!$I$5:$I$16,MATCH(G780,Config!$H$5:$H$16,0)),0))</f>
        <v>30</v>
      </c>
      <c r="Q780" s="30">
        <f>IF(OR(H780&lt;&gt;"Realizado",P780="",P780=0),"",A780+P780)</f>
        <v/>
      </c>
      <c r="R780" s="26">
        <f>IF(Q780="","",IF(COUNTIFS($E$5:$E$1204,E780,$A$5:$A$1204,"&gt;"&amp;A780,$H$5:$H$1204,"&lt;&gt;Falta",$H$5:$H$1204,"&lt;&gt;Cancelado",$H$5:$H$1204,"&lt;&gt;Remarcado")&gt;0,"Sim","Não"))</f>
        <v/>
      </c>
      <c r="S780" s="32">
        <f>IF(R780&lt;&gt;"Não","",IF(Q780+Config!$B$9&lt;=Config!$B$8,Config!$B$8-Q780,""))</f>
        <v/>
      </c>
      <c r="T780" s="26">
        <f>IF(S780="","","Sim")</f>
        <v/>
      </c>
      <c r="U780" s="41">
        <f>IF(T780="Sim",S780+ROW()/100000,0)</f>
        <v>0</v>
      </c>
      <c r="V780" s="41">
        <f>IF(AND(H780="Falta",L780=Config!$B$7,M780=Config!$B$5,COUNTIFS($E$5:E780,E780,$H$5:H780,"Falta",$L$5:L780,Config!$B$7,$M$5:M780,Config!$B$5)=1),COUNTIFS($E$5:$E$1204,E780,$H$5:$H$1204,"Falta",$L$5:$L$1204,Config!$B$7,$M$5:$M$1204,Config!$B$5)*1000-ROW()/100000,0)</f>
        <v>0</v>
      </c>
    </row>
    <row r="781">
      <c r="A781" s="39">
        <f>TODAY()+3</f>
        <v>46282.0</v>
      </c>
      <c r="B781" s="40" t="n">
        <v>0.6875</v>
      </c>
      <c r="C781" s="35" t="inlineStr">
        <is>
          <t>Dra. Renata Sousa</t>
        </is>
      </c>
      <c r="D781" s="35" t="inlineStr">
        <is>
          <t>Sala 1</t>
        </is>
      </c>
      <c r="E781" s="34" t="inlineStr">
        <is>
          <t>Tatiana Macedo</t>
        </is>
      </c>
      <c r="F781" s="35" t="inlineStr">
        <is>
          <t>Particular</t>
        </is>
      </c>
      <c r="G781" s="35" t="inlineStr">
        <is>
          <t>Avaliação endócrina</t>
        </is>
      </c>
      <c r="H781" s="35" t="inlineStr">
        <is>
          <t>Agendado</t>
        </is>
      </c>
      <c r="I781" s="35" t="n"/>
      <c r="J781" s="35" t="n"/>
      <c r="K781" s="34" t="n"/>
      <c r="L781" s="26">
        <f>IF(A781="","",MONTH(A781))</f>
        <v>9</v>
      </c>
      <c r="M781" s="26">
        <f>IF(A781="","",YEAR(A781))</f>
        <v>2026</v>
      </c>
      <c r="N781" s="26" t="str">
        <f>IF(A781="","",CHOOSE(WEEKDAY(A781,2),"Segunda","Terça","Quarta","Quinta","Sexta","Sábado","Domingo"))</f>
        <v>Quinta</v>
      </c>
      <c r="O781" s="26" t="str">
        <f>IF(B781="","",IF(B781&lt;TIME(12,0,0),"Manhã",IF(B781&lt;TIME(18,0,0),"Tarde","Noite")))</f>
        <v>Tarde</v>
      </c>
      <c r="P781" s="32">
        <f>IF(G781="","",IFERROR(INDEX(Config!$I$5:$I$16,MATCH(G781,Config!$H$5:$H$16,0)),0))</f>
        <v>45</v>
      </c>
      <c r="Q781" s="30">
        <f>IF(OR(H781&lt;&gt;"Realizado",P781="",P781=0),"",A781+P781)</f>
        <v/>
      </c>
      <c r="R781" s="26">
        <f>IF(Q781="","",IF(COUNTIFS($E$5:$E$1204,E781,$A$5:$A$1204,"&gt;"&amp;A781,$H$5:$H$1204,"&lt;&gt;Falta",$H$5:$H$1204,"&lt;&gt;Cancelado",$H$5:$H$1204,"&lt;&gt;Remarcado")&gt;0,"Sim","Não"))</f>
        <v/>
      </c>
      <c r="S781" s="32">
        <f>IF(R781&lt;&gt;"Não","",IF(Q781+Config!$B$9&lt;=Config!$B$8,Config!$B$8-Q781,""))</f>
        <v/>
      </c>
      <c r="T781" s="26">
        <f>IF(S781="","","Sim")</f>
        <v/>
      </c>
      <c r="U781" s="41">
        <f>IF(T781="Sim",S781+ROW()/100000,0)</f>
        <v>0</v>
      </c>
      <c r="V781" s="41">
        <f>IF(AND(H781="Falta",L781=Config!$B$7,M781=Config!$B$5,COUNTIFS($E$5:E781,E781,$H$5:H781,"Falta",$L$5:L781,Config!$B$7,$M$5:M781,Config!$B$5)=1),COUNTIFS($E$5:$E$1204,E781,$H$5:$H$1204,"Falta",$L$5:$L$1204,Config!$B$7,$M$5:$M$1204,Config!$B$5)*1000-ROW()/100000,0)</f>
        <v>0</v>
      </c>
    </row>
    <row r="782">
      <c r="A782" s="39">
        <f>TODAY()+3</f>
        <v>46282.0</v>
      </c>
      <c r="B782" s="40" t="n">
        <v>0.7152777777777778</v>
      </c>
      <c r="C782" s="35" t="inlineStr">
        <is>
          <t>Dra. Renata Sousa</t>
        </is>
      </c>
      <c r="D782" s="35" t="inlineStr">
        <is>
          <t>Sala 1</t>
        </is>
      </c>
      <c r="E782" s="34" t="inlineStr">
        <is>
          <t>Cláudia Melo</t>
        </is>
      </c>
      <c r="F782" s="35" t="inlineStr">
        <is>
          <t>Particular</t>
        </is>
      </c>
      <c r="G782" s="35" t="inlineStr">
        <is>
          <t>Avaliação endócrina</t>
        </is>
      </c>
      <c r="H782" s="35" t="inlineStr">
        <is>
          <t>Agendado</t>
        </is>
      </c>
      <c r="I782" s="35" t="n"/>
      <c r="J782" s="35" t="n"/>
      <c r="K782" s="34" t="n"/>
      <c r="L782" s="26">
        <f>IF(A782="","",MONTH(A782))</f>
        <v>9</v>
      </c>
      <c r="M782" s="26">
        <f>IF(A782="","",YEAR(A782))</f>
        <v>2026</v>
      </c>
      <c r="N782" s="26" t="str">
        <f>IF(A782="","",CHOOSE(WEEKDAY(A782,2),"Segunda","Terça","Quarta","Quinta","Sexta","Sábado","Domingo"))</f>
        <v>Quinta</v>
      </c>
      <c r="O782" s="26" t="str">
        <f>IF(B782="","",IF(B782&lt;TIME(12,0,0),"Manhã",IF(B782&lt;TIME(18,0,0),"Tarde","Noite")))</f>
        <v>Tarde</v>
      </c>
      <c r="P782" s="32">
        <f>IF(G782="","",IFERROR(INDEX(Config!$I$5:$I$16,MATCH(G782,Config!$H$5:$H$16,0)),0))</f>
        <v>45</v>
      </c>
      <c r="Q782" s="30">
        <f>IF(OR(H782&lt;&gt;"Realizado",P782="",P782=0),"",A782+P782)</f>
        <v/>
      </c>
      <c r="R782" s="26">
        <f>IF(Q782="","",IF(COUNTIFS($E$5:$E$1204,E782,$A$5:$A$1204,"&gt;"&amp;A782,$H$5:$H$1204,"&lt;&gt;Falta",$H$5:$H$1204,"&lt;&gt;Cancelado",$H$5:$H$1204,"&lt;&gt;Remarcado")&gt;0,"Sim","Não"))</f>
        <v/>
      </c>
      <c r="S782" s="32">
        <f>IF(R782&lt;&gt;"Não","",IF(Q782+Config!$B$9&lt;=Config!$B$8,Config!$B$8-Q782,""))</f>
        <v/>
      </c>
      <c r="T782" s="26">
        <f>IF(S782="","","Sim")</f>
        <v/>
      </c>
      <c r="U782" s="41">
        <f>IF(T782="Sim",S782+ROW()/100000,0)</f>
        <v>0</v>
      </c>
      <c r="V782" s="41">
        <f>IF(AND(H782="Falta",L782=Config!$B$7,M782=Config!$B$5,COUNTIFS($E$5:E782,E782,$H$5:H782,"Falta",$L$5:L782,Config!$B$7,$M$5:M782,Config!$B$5)=1),COUNTIFS($E$5:$E$1204,E782,$H$5:$H$1204,"Falta",$L$5:$L$1204,Config!$B$7,$M$5:$M$1204,Config!$B$5)*1000-ROW()/100000,0)</f>
        <v>0</v>
      </c>
    </row>
    <row r="783">
      <c r="A783" s="39">
        <f>TODAY()+3</f>
        <v>46282.0</v>
      </c>
      <c r="B783" s="40" t="n">
        <v>0.7152777777777778</v>
      </c>
      <c r="C783" s="35" t="inlineStr">
        <is>
          <t>Dr. Paulo Andrade</t>
        </is>
      </c>
      <c r="D783" s="35" t="inlineStr">
        <is>
          <t>Sala 2</t>
        </is>
      </c>
      <c r="E783" s="34" t="inlineStr">
        <is>
          <t>Vinícius Cardoso</t>
        </is>
      </c>
      <c r="F783" s="35" t="inlineStr">
        <is>
          <t>MediPlan</t>
        </is>
      </c>
      <c r="G783" s="35" t="inlineStr">
        <is>
          <t>Consulta</t>
        </is>
      </c>
      <c r="H783" s="35" t="inlineStr">
        <is>
          <t>Agendado</t>
        </is>
      </c>
      <c r="I783" s="35" t="n"/>
      <c r="J783" s="35" t="n"/>
      <c r="K783" s="34" t="n"/>
      <c r="L783" s="26">
        <f>IF(A783="","",MONTH(A783))</f>
        <v>9</v>
      </c>
      <c r="M783" s="26">
        <f>IF(A783="","",YEAR(A783))</f>
        <v>2026</v>
      </c>
      <c r="N783" s="26" t="str">
        <f>IF(A783="","",CHOOSE(WEEKDAY(A783,2),"Segunda","Terça","Quarta","Quinta","Sexta","Sábado","Domingo"))</f>
        <v>Quinta</v>
      </c>
      <c r="O783" s="26" t="str">
        <f>IF(B783="","",IF(B783&lt;TIME(12,0,0),"Manhã",IF(B783&lt;TIME(18,0,0),"Tarde","Noite")))</f>
        <v>Tarde</v>
      </c>
      <c r="P783" s="32">
        <f>IF(G783="","",IFERROR(INDEX(Config!$I$5:$I$16,MATCH(G783,Config!$H$5:$H$16,0)),0))</f>
        <v>30</v>
      </c>
      <c r="Q783" s="30">
        <f>IF(OR(H783&lt;&gt;"Realizado",P783="",P783=0),"",A783+P783)</f>
        <v/>
      </c>
      <c r="R783" s="26">
        <f>IF(Q783="","",IF(COUNTIFS($E$5:$E$1204,E783,$A$5:$A$1204,"&gt;"&amp;A783,$H$5:$H$1204,"&lt;&gt;Falta",$H$5:$H$1204,"&lt;&gt;Cancelado",$H$5:$H$1204,"&lt;&gt;Remarcado")&gt;0,"Sim","Não"))</f>
        <v/>
      </c>
      <c r="S783" s="32">
        <f>IF(R783&lt;&gt;"Não","",IF(Q783+Config!$B$9&lt;=Config!$B$8,Config!$B$8-Q783,""))</f>
        <v/>
      </c>
      <c r="T783" s="26">
        <f>IF(S783="","","Sim")</f>
        <v/>
      </c>
      <c r="U783" s="41">
        <f>IF(T783="Sim",S783+ROW()/100000,0)</f>
        <v>0</v>
      </c>
      <c r="V783" s="41">
        <f>IF(AND(H783="Falta",L783=Config!$B$7,M783=Config!$B$5,COUNTIFS($E$5:E783,E783,$H$5:H783,"Falta",$L$5:L783,Config!$B$7,$M$5:M783,Config!$B$5)=1),COUNTIFS($E$5:$E$1204,E783,$H$5:$H$1204,"Falta",$L$5:$L$1204,Config!$B$7,$M$5:$M$1204,Config!$B$5)*1000-ROW()/100000,0)</f>
        <v>0</v>
      </c>
    </row>
    <row r="784">
      <c r="A784" s="39">
        <f>TODAY()+3</f>
        <v>46282.0</v>
      </c>
      <c r="B784" s="40" t="n">
        <v>0.7361111111111112</v>
      </c>
      <c r="C784" s="35" t="inlineStr">
        <is>
          <t>Dr. Paulo Andrade</t>
        </is>
      </c>
      <c r="D784" s="35" t="inlineStr">
        <is>
          <t>Sala 2</t>
        </is>
      </c>
      <c r="E784" s="34" t="inlineStr">
        <is>
          <t>Paulo Reis</t>
        </is>
      </c>
      <c r="F784" s="35" t="inlineStr">
        <is>
          <t>Particular</t>
        </is>
      </c>
      <c r="G784" s="35" t="inlineStr">
        <is>
          <t>Holter</t>
        </is>
      </c>
      <c r="H784" s="35" t="inlineStr">
        <is>
          <t>Agendado</t>
        </is>
      </c>
      <c r="I784" s="35" t="n"/>
      <c r="J784" s="35" t="n"/>
      <c r="K784" s="34" t="n"/>
      <c r="L784" s="26">
        <f>IF(A784="","",MONTH(A784))</f>
        <v>9</v>
      </c>
      <c r="M784" s="26">
        <f>IF(A784="","",YEAR(A784))</f>
        <v>2026</v>
      </c>
      <c r="N784" s="26" t="str">
        <f>IF(A784="","",CHOOSE(WEEKDAY(A784,2),"Segunda","Terça","Quarta","Quinta","Sexta","Sábado","Domingo"))</f>
        <v>Quinta</v>
      </c>
      <c r="O784" s="26" t="str">
        <f>IF(B784="","",IF(B784&lt;TIME(12,0,0),"Manhã",IF(B784&lt;TIME(18,0,0),"Tarde","Noite")))</f>
        <v>Tarde</v>
      </c>
      <c r="P784" s="32">
        <f>IF(G784="","",IFERROR(INDEX(Config!$I$5:$I$16,MATCH(G784,Config!$H$5:$H$16,0)),0))</f>
        <v>0</v>
      </c>
      <c r="Q784" s="30">
        <f>IF(OR(H784&lt;&gt;"Realizado",P784="",P784=0),"",A784+P784)</f>
        <v/>
      </c>
      <c r="R784" s="26">
        <f>IF(Q784="","",IF(COUNTIFS($E$5:$E$1204,E784,$A$5:$A$1204,"&gt;"&amp;A784,$H$5:$H$1204,"&lt;&gt;Falta",$H$5:$H$1204,"&lt;&gt;Cancelado",$H$5:$H$1204,"&lt;&gt;Remarcado")&gt;0,"Sim","Não"))</f>
        <v/>
      </c>
      <c r="S784" s="32">
        <f>IF(R784&lt;&gt;"Não","",IF(Q784+Config!$B$9&lt;=Config!$B$8,Config!$B$8-Q784,""))</f>
        <v/>
      </c>
      <c r="T784" s="26">
        <f>IF(S784="","","Sim")</f>
        <v/>
      </c>
      <c r="U784" s="41">
        <f>IF(T784="Sim",S784+ROW()/100000,0)</f>
        <v>0</v>
      </c>
      <c r="V784" s="41">
        <f>IF(AND(H784="Falta",L784=Config!$B$7,M784=Config!$B$5,COUNTIFS($E$5:E784,E784,$H$5:H784,"Falta",$L$5:L784,Config!$B$7,$M$5:M784,Config!$B$5)=1),COUNTIFS($E$5:$E$1204,E784,$H$5:$H$1204,"Falta",$L$5:$L$1204,Config!$B$7,$M$5:$M$1204,Config!$B$5)*1000-ROW()/100000,0)</f>
        <v>0</v>
      </c>
    </row>
    <row r="785">
      <c r="A785" s="39">
        <f>TODAY()+4</f>
        <v>46283.0</v>
      </c>
      <c r="B785" s="40" t="n">
        <v>0.3333333333333333</v>
      </c>
      <c r="C785" s="35" t="inlineStr">
        <is>
          <t>Dr. Paulo Andrade</t>
        </is>
      </c>
      <c r="D785" s="35" t="inlineStr">
        <is>
          <t>Sala 2</t>
        </is>
      </c>
      <c r="E785" s="34" t="inlineStr">
        <is>
          <t>Vanessa Carvalho</t>
        </is>
      </c>
      <c r="F785" s="35" t="inlineStr">
        <is>
          <t>Saúde Total</t>
        </is>
      </c>
      <c r="G785" s="35" t="inlineStr">
        <is>
          <t>Retorno</t>
        </is>
      </c>
      <c r="H785" s="35" t="inlineStr">
        <is>
          <t>Agendado</t>
        </is>
      </c>
      <c r="I785" s="35" t="n"/>
      <c r="J785" s="35" t="n"/>
      <c r="K785" s="34" t="n"/>
      <c r="L785" s="26">
        <f>IF(A785="","",MONTH(A785))</f>
        <v>9</v>
      </c>
      <c r="M785" s="26">
        <f>IF(A785="","",YEAR(A785))</f>
        <v>2026</v>
      </c>
      <c r="N785" s="26" t="str">
        <f>IF(A785="","",CHOOSE(WEEKDAY(A785,2),"Segunda","Terça","Quarta","Quinta","Sexta","Sábado","Domingo"))</f>
        <v>Sexta</v>
      </c>
      <c r="O785" s="26" t="str">
        <f>IF(B785="","",IF(B785&lt;TIME(12,0,0),"Manhã",IF(B785&lt;TIME(18,0,0),"Tarde","Noite")))</f>
        <v>Manhã</v>
      </c>
      <c r="P785" s="32">
        <f>IF(G785="","",IFERROR(INDEX(Config!$I$5:$I$16,MATCH(G785,Config!$H$5:$H$16,0)),0))</f>
        <v>0</v>
      </c>
      <c r="Q785" s="30">
        <f>IF(OR(H785&lt;&gt;"Realizado",P785="",P785=0),"",A785+P785)</f>
        <v/>
      </c>
      <c r="R785" s="26">
        <f>IF(Q785="","",IF(COUNTIFS($E$5:$E$1204,E785,$A$5:$A$1204,"&gt;"&amp;A785,$H$5:$H$1204,"&lt;&gt;Falta",$H$5:$H$1204,"&lt;&gt;Cancelado",$H$5:$H$1204,"&lt;&gt;Remarcado")&gt;0,"Sim","Não"))</f>
        <v/>
      </c>
      <c r="S785" s="32">
        <f>IF(R785&lt;&gt;"Não","",IF(Q785+Config!$B$9&lt;=Config!$B$8,Config!$B$8-Q785,""))</f>
        <v/>
      </c>
      <c r="T785" s="26">
        <f>IF(S785="","","Sim")</f>
        <v/>
      </c>
      <c r="U785" s="41">
        <f>IF(T785="Sim",S785+ROW()/100000,0)</f>
        <v>0</v>
      </c>
      <c r="V785" s="41">
        <f>IF(AND(H785="Falta",L785=Config!$B$7,M785=Config!$B$5,COUNTIFS($E$5:E785,E785,$H$5:H785,"Falta",$L$5:L785,Config!$B$7,$M$5:M785,Config!$B$5)=1),COUNTIFS($E$5:$E$1204,E785,$H$5:$H$1204,"Falta",$L$5:$L$1204,Config!$B$7,$M$5:$M$1204,Config!$B$5)*1000-ROW()/100000,0)</f>
        <v>0</v>
      </c>
    </row>
    <row r="786">
      <c r="A786" s="39">
        <f>TODAY()+4</f>
        <v>46283.0</v>
      </c>
      <c r="B786" s="40" t="n">
        <v>0.3472222222222222</v>
      </c>
      <c r="C786" s="35" t="inlineStr">
        <is>
          <t>Dr. Paulo Andrade</t>
        </is>
      </c>
      <c r="D786" s="35" t="inlineStr">
        <is>
          <t>Sala 2</t>
        </is>
      </c>
      <c r="E786" s="34" t="inlineStr">
        <is>
          <t>Helena Ribeiro</t>
        </is>
      </c>
      <c r="F786" s="35" t="inlineStr">
        <is>
          <t>MediPlan</t>
        </is>
      </c>
      <c r="G786" s="35" t="inlineStr">
        <is>
          <t>ECG</t>
        </is>
      </c>
      <c r="H786" s="35" t="inlineStr">
        <is>
          <t>Agendado</t>
        </is>
      </c>
      <c r="I786" s="35" t="n"/>
      <c r="J786" s="35" t="n"/>
      <c r="K786" s="34" t="n"/>
      <c r="L786" s="26">
        <f>IF(A786="","",MONTH(A786))</f>
        <v>9</v>
      </c>
      <c r="M786" s="26">
        <f>IF(A786="","",YEAR(A786))</f>
        <v>2026</v>
      </c>
      <c r="N786" s="26" t="str">
        <f>IF(A786="","",CHOOSE(WEEKDAY(A786,2),"Segunda","Terça","Quarta","Quinta","Sexta","Sábado","Domingo"))</f>
        <v>Sexta</v>
      </c>
      <c r="O786" s="26" t="str">
        <f>IF(B786="","",IF(B786&lt;TIME(12,0,0),"Manhã",IF(B786&lt;TIME(18,0,0),"Tarde","Noite")))</f>
        <v>Manhã</v>
      </c>
      <c r="P786" s="32">
        <f>IF(G786="","",IFERROR(INDEX(Config!$I$5:$I$16,MATCH(G786,Config!$H$5:$H$16,0)),0))</f>
        <v>0</v>
      </c>
      <c r="Q786" s="30">
        <f>IF(OR(H786&lt;&gt;"Realizado",P786="",P786=0),"",A786+P786)</f>
        <v/>
      </c>
      <c r="R786" s="26">
        <f>IF(Q786="","",IF(COUNTIFS($E$5:$E$1204,E786,$A$5:$A$1204,"&gt;"&amp;A786,$H$5:$H$1204,"&lt;&gt;Falta",$H$5:$H$1204,"&lt;&gt;Cancelado",$H$5:$H$1204,"&lt;&gt;Remarcado")&gt;0,"Sim","Não"))</f>
        <v/>
      </c>
      <c r="S786" s="32">
        <f>IF(R786&lt;&gt;"Não","",IF(Q786+Config!$B$9&lt;=Config!$B$8,Config!$B$8-Q786,""))</f>
        <v/>
      </c>
      <c r="T786" s="26">
        <f>IF(S786="","","Sim")</f>
        <v/>
      </c>
      <c r="U786" s="41">
        <f>IF(T786="Sim",S786+ROW()/100000,0)</f>
        <v>0</v>
      </c>
      <c r="V786" s="41">
        <f>IF(AND(H786="Falta",L786=Config!$B$7,M786=Config!$B$5,COUNTIFS($E$5:E786,E786,$H$5:H786,"Falta",$L$5:L786,Config!$B$7,$M$5:M786,Config!$B$5)=1),COUNTIFS($E$5:$E$1204,E786,$H$5:$H$1204,"Falta",$L$5:$L$1204,Config!$B$7,$M$5:$M$1204,Config!$B$5)*1000-ROW()/100000,0)</f>
        <v>0</v>
      </c>
    </row>
    <row r="787">
      <c r="A787" s="39">
        <f>TODAY()+4</f>
        <v>46283.0</v>
      </c>
      <c r="B787" s="40" t="n">
        <v>0.3611111111111111</v>
      </c>
      <c r="C787" s="35" t="inlineStr">
        <is>
          <t>Dr. Paulo Andrade</t>
        </is>
      </c>
      <c r="D787" s="35" t="inlineStr">
        <is>
          <t>Sala 2</t>
        </is>
      </c>
      <c r="E787" s="34" t="inlineStr">
        <is>
          <t>Daniel Almeida</t>
        </is>
      </c>
      <c r="F787" s="35" t="inlineStr">
        <is>
          <t>Saúde Total</t>
        </is>
      </c>
      <c r="G787" s="35" t="inlineStr">
        <is>
          <t>ECG</t>
        </is>
      </c>
      <c r="H787" s="35" t="inlineStr">
        <is>
          <t>Agendado</t>
        </is>
      </c>
      <c r="I787" s="35" t="n"/>
      <c r="J787" s="35" t="n"/>
      <c r="K787" s="34" t="n"/>
      <c r="L787" s="26">
        <f>IF(A787="","",MONTH(A787))</f>
        <v>9</v>
      </c>
      <c r="M787" s="26">
        <f>IF(A787="","",YEAR(A787))</f>
        <v>2026</v>
      </c>
      <c r="N787" s="26" t="str">
        <f>IF(A787="","",CHOOSE(WEEKDAY(A787,2),"Segunda","Terça","Quarta","Quinta","Sexta","Sábado","Domingo"))</f>
        <v>Sexta</v>
      </c>
      <c r="O787" s="26" t="str">
        <f>IF(B787="","",IF(B787&lt;TIME(12,0,0),"Manhã",IF(B787&lt;TIME(18,0,0),"Tarde","Noite")))</f>
        <v>Manhã</v>
      </c>
      <c r="P787" s="32">
        <f>IF(G787="","",IFERROR(INDEX(Config!$I$5:$I$16,MATCH(G787,Config!$H$5:$H$16,0)),0))</f>
        <v>0</v>
      </c>
      <c r="Q787" s="30">
        <f>IF(OR(H787&lt;&gt;"Realizado",P787="",P787=0),"",A787+P787)</f>
        <v/>
      </c>
      <c r="R787" s="26">
        <f>IF(Q787="","",IF(COUNTIFS($E$5:$E$1204,E787,$A$5:$A$1204,"&gt;"&amp;A787,$H$5:$H$1204,"&lt;&gt;Falta",$H$5:$H$1204,"&lt;&gt;Cancelado",$H$5:$H$1204,"&lt;&gt;Remarcado")&gt;0,"Sim","Não"))</f>
        <v/>
      </c>
      <c r="S787" s="32">
        <f>IF(R787&lt;&gt;"Não","",IF(Q787+Config!$B$9&lt;=Config!$B$8,Config!$B$8-Q787,""))</f>
        <v/>
      </c>
      <c r="T787" s="26">
        <f>IF(S787="","","Sim")</f>
        <v/>
      </c>
      <c r="U787" s="41">
        <f>IF(T787="Sim",S787+ROW()/100000,0)</f>
        <v>0</v>
      </c>
      <c r="V787" s="41">
        <f>IF(AND(H787="Falta",L787=Config!$B$7,M787=Config!$B$5,COUNTIFS($E$5:E787,E787,$H$5:H787,"Falta",$L$5:L787,Config!$B$7,$M$5:M787,Config!$B$5)=1),COUNTIFS($E$5:$E$1204,E787,$H$5:$H$1204,"Falta",$L$5:$L$1204,Config!$B$7,$M$5:$M$1204,Config!$B$5)*1000-ROW()/100000,0)</f>
        <v>0</v>
      </c>
    </row>
    <row r="788">
      <c r="A788" s="39">
        <f>TODAY()+4</f>
        <v>46283.0</v>
      </c>
      <c r="B788" s="40" t="n">
        <v>0.3958333333333333</v>
      </c>
      <c r="C788" s="35" t="inlineStr">
        <is>
          <t>Dr. Paulo Andrade</t>
        </is>
      </c>
      <c r="D788" s="35" t="inlineStr">
        <is>
          <t>Sala 2</t>
        </is>
      </c>
      <c r="E788" s="34" t="inlineStr">
        <is>
          <t>Leandro Cardoso</t>
        </is>
      </c>
      <c r="F788" s="35" t="inlineStr">
        <is>
          <t>MediPlan</t>
        </is>
      </c>
      <c r="G788" s="35" t="inlineStr">
        <is>
          <t>Retorno</t>
        </is>
      </c>
      <c r="H788" s="35" t="inlineStr">
        <is>
          <t>Agendado</t>
        </is>
      </c>
      <c r="I788" s="35" t="n"/>
      <c r="J788" s="35" t="n"/>
      <c r="K788" s="34" t="n"/>
      <c r="L788" s="26">
        <f>IF(A788="","",MONTH(A788))</f>
        <v>9</v>
      </c>
      <c r="M788" s="26">
        <f>IF(A788="","",YEAR(A788))</f>
        <v>2026</v>
      </c>
      <c r="N788" s="26" t="str">
        <f>IF(A788="","",CHOOSE(WEEKDAY(A788,2),"Segunda","Terça","Quarta","Quinta","Sexta","Sábado","Domingo"))</f>
        <v>Sexta</v>
      </c>
      <c r="O788" s="26" t="str">
        <f>IF(B788="","",IF(B788&lt;TIME(12,0,0),"Manhã",IF(B788&lt;TIME(18,0,0),"Tarde","Noite")))</f>
        <v>Manhã</v>
      </c>
      <c r="P788" s="32">
        <f>IF(G788="","",IFERROR(INDEX(Config!$I$5:$I$16,MATCH(G788,Config!$H$5:$H$16,0)),0))</f>
        <v>0</v>
      </c>
      <c r="Q788" s="30">
        <f>IF(OR(H788&lt;&gt;"Realizado",P788="",P788=0),"",A788+P788)</f>
        <v/>
      </c>
      <c r="R788" s="26">
        <f>IF(Q788="","",IF(COUNTIFS($E$5:$E$1204,E788,$A$5:$A$1204,"&gt;"&amp;A788,$H$5:$H$1204,"&lt;&gt;Falta",$H$5:$H$1204,"&lt;&gt;Cancelado",$H$5:$H$1204,"&lt;&gt;Remarcado")&gt;0,"Sim","Não"))</f>
        <v/>
      </c>
      <c r="S788" s="32">
        <f>IF(R788&lt;&gt;"Não","",IF(Q788+Config!$B$9&lt;=Config!$B$8,Config!$B$8-Q788,""))</f>
        <v/>
      </c>
      <c r="T788" s="26">
        <f>IF(S788="","","Sim")</f>
        <v/>
      </c>
      <c r="U788" s="41">
        <f>IF(T788="Sim",S788+ROW()/100000,0)</f>
        <v>0</v>
      </c>
      <c r="V788" s="41">
        <f>IF(AND(H788="Falta",L788=Config!$B$7,M788=Config!$B$5,COUNTIFS($E$5:E788,E788,$H$5:H788,"Falta",$L$5:L788,Config!$B$7,$M$5:M788,Config!$B$5)=1),COUNTIFS($E$5:$E$1204,E788,$H$5:$H$1204,"Falta",$L$5:$L$1204,Config!$B$7,$M$5:$M$1204,Config!$B$5)*1000-ROW()/100000,0)</f>
        <v>0</v>
      </c>
    </row>
    <row r="789">
      <c r="A789" s="39">
        <f>TODAY()+4</f>
        <v>46283.0</v>
      </c>
      <c r="B789" s="40" t="n">
        <v>0.4097222222222222</v>
      </c>
      <c r="C789" s="35" t="inlineStr">
        <is>
          <t>Dr. Paulo Andrade</t>
        </is>
      </c>
      <c r="D789" s="35" t="inlineStr">
        <is>
          <t>Sala 2</t>
        </is>
      </c>
      <c r="E789" s="34" t="inlineStr">
        <is>
          <t>Patrícia Fernandes</t>
        </is>
      </c>
      <c r="F789" s="35" t="inlineStr">
        <is>
          <t>Particular</t>
        </is>
      </c>
      <c r="G789" s="35" t="inlineStr">
        <is>
          <t>ECG</t>
        </is>
      </c>
      <c r="H789" s="35" t="inlineStr">
        <is>
          <t>Agendado</t>
        </is>
      </c>
      <c r="I789" s="35" t="n"/>
      <c r="J789" s="35" t="n"/>
      <c r="K789" s="34" t="n"/>
      <c r="L789" s="26">
        <f>IF(A789="","",MONTH(A789))</f>
        <v>9</v>
      </c>
      <c r="M789" s="26">
        <f>IF(A789="","",YEAR(A789))</f>
        <v>2026</v>
      </c>
      <c r="N789" s="26" t="str">
        <f>IF(A789="","",CHOOSE(WEEKDAY(A789,2),"Segunda","Terça","Quarta","Quinta","Sexta","Sábado","Domingo"))</f>
        <v>Sexta</v>
      </c>
      <c r="O789" s="26" t="str">
        <f>IF(B789="","",IF(B789&lt;TIME(12,0,0),"Manhã",IF(B789&lt;TIME(18,0,0),"Tarde","Noite")))</f>
        <v>Manhã</v>
      </c>
      <c r="P789" s="32">
        <f>IF(G789="","",IFERROR(INDEX(Config!$I$5:$I$16,MATCH(G789,Config!$H$5:$H$16,0)),0))</f>
        <v>0</v>
      </c>
      <c r="Q789" s="30">
        <f>IF(OR(H789&lt;&gt;"Realizado",P789="",P789=0),"",A789+P789)</f>
        <v/>
      </c>
      <c r="R789" s="26">
        <f>IF(Q789="","",IF(COUNTIFS($E$5:$E$1204,E789,$A$5:$A$1204,"&gt;"&amp;A789,$H$5:$H$1204,"&lt;&gt;Falta",$H$5:$H$1204,"&lt;&gt;Cancelado",$H$5:$H$1204,"&lt;&gt;Remarcado")&gt;0,"Sim","Não"))</f>
        <v/>
      </c>
      <c r="S789" s="32">
        <f>IF(R789&lt;&gt;"Não","",IF(Q789+Config!$B$9&lt;=Config!$B$8,Config!$B$8-Q789,""))</f>
        <v/>
      </c>
      <c r="T789" s="26">
        <f>IF(S789="","","Sim")</f>
        <v/>
      </c>
      <c r="U789" s="41">
        <f>IF(T789="Sim",S789+ROW()/100000,0)</f>
        <v>0</v>
      </c>
      <c r="V789" s="41">
        <f>IF(AND(H789="Falta",L789=Config!$B$7,M789=Config!$B$5,COUNTIFS($E$5:E789,E789,$H$5:H789,"Falta",$L$5:L789,Config!$B$7,$M$5:M789,Config!$B$5)=1),COUNTIFS($E$5:$E$1204,E789,$H$5:$H$1204,"Falta",$L$5:$L$1204,Config!$B$7,$M$5:$M$1204,Config!$B$5)*1000-ROW()/100000,0)</f>
        <v>0</v>
      </c>
    </row>
    <row r="790">
      <c r="A790" s="39">
        <f>TODAY()+4</f>
        <v>46283.0</v>
      </c>
      <c r="B790" s="40" t="n">
        <v>0.4236111111111111</v>
      </c>
      <c r="C790" s="35" t="inlineStr">
        <is>
          <t>Dr. Paulo Andrade</t>
        </is>
      </c>
      <c r="D790" s="35" t="inlineStr">
        <is>
          <t>Sala 2</t>
        </is>
      </c>
      <c r="E790" s="34" t="inlineStr">
        <is>
          <t>Regina Macedo</t>
        </is>
      </c>
      <c r="F790" s="35" t="inlineStr">
        <is>
          <t>Particular</t>
        </is>
      </c>
      <c r="G790" s="35" t="inlineStr">
        <is>
          <t>ECG</t>
        </is>
      </c>
      <c r="H790" s="35" t="inlineStr">
        <is>
          <t>Agendado</t>
        </is>
      </c>
      <c r="I790" s="35" t="n"/>
      <c r="J790" s="35" t="n"/>
      <c r="K790" s="34" t="n"/>
      <c r="L790" s="26">
        <f>IF(A790="","",MONTH(A790))</f>
        <v>9</v>
      </c>
      <c r="M790" s="26">
        <f>IF(A790="","",YEAR(A790))</f>
        <v>2026</v>
      </c>
      <c r="N790" s="26" t="str">
        <f>IF(A790="","",CHOOSE(WEEKDAY(A790,2),"Segunda","Terça","Quarta","Quinta","Sexta","Sábado","Domingo"))</f>
        <v>Sexta</v>
      </c>
      <c r="O790" s="26" t="str">
        <f>IF(B790="","",IF(B790&lt;TIME(12,0,0),"Manhã",IF(B790&lt;TIME(18,0,0),"Tarde","Noite")))</f>
        <v>Manhã</v>
      </c>
      <c r="P790" s="32">
        <f>IF(G790="","",IFERROR(INDEX(Config!$I$5:$I$16,MATCH(G790,Config!$H$5:$H$16,0)),0))</f>
        <v>0</v>
      </c>
      <c r="Q790" s="30">
        <f>IF(OR(H790&lt;&gt;"Realizado",P790="",P790=0),"",A790+P790)</f>
        <v/>
      </c>
      <c r="R790" s="26">
        <f>IF(Q790="","",IF(COUNTIFS($E$5:$E$1204,E790,$A$5:$A$1204,"&gt;"&amp;A790,$H$5:$H$1204,"&lt;&gt;Falta",$H$5:$H$1204,"&lt;&gt;Cancelado",$H$5:$H$1204,"&lt;&gt;Remarcado")&gt;0,"Sim","Não"))</f>
        <v/>
      </c>
      <c r="S790" s="32">
        <f>IF(R790&lt;&gt;"Não","",IF(Q790+Config!$B$9&lt;=Config!$B$8,Config!$B$8-Q790,""))</f>
        <v/>
      </c>
      <c r="T790" s="26">
        <f>IF(S790="","","Sim")</f>
        <v/>
      </c>
      <c r="U790" s="41">
        <f>IF(T790="Sim",S790+ROW()/100000,0)</f>
        <v>0</v>
      </c>
      <c r="V790" s="41">
        <f>IF(AND(H790="Falta",L790=Config!$B$7,M790=Config!$B$5,COUNTIFS($E$5:E790,E790,$H$5:H790,"Falta",$L$5:L790,Config!$B$7,$M$5:M790,Config!$B$5)=1),COUNTIFS($E$5:$E$1204,E790,$H$5:$H$1204,"Falta",$L$5:$L$1204,Config!$B$7,$M$5:$M$1204,Config!$B$5)*1000-ROW()/100000,0)</f>
        <v>0</v>
      </c>
    </row>
    <row r="791">
      <c r="A791" s="39">
        <f>TODAY()+4</f>
        <v>46283.0</v>
      </c>
      <c r="B791" s="40" t="n">
        <v>0.4375</v>
      </c>
      <c r="C791" s="35" t="inlineStr">
        <is>
          <t>Dr. Paulo Andrade</t>
        </is>
      </c>
      <c r="D791" s="35" t="inlineStr">
        <is>
          <t>Sala 2</t>
        </is>
      </c>
      <c r="E791" s="34" t="inlineStr">
        <is>
          <t>Marcelo Ferreira</t>
        </is>
      </c>
      <c r="F791" s="35" t="inlineStr">
        <is>
          <t>Particular</t>
        </is>
      </c>
      <c r="G791" s="35" t="inlineStr">
        <is>
          <t>Consulta</t>
        </is>
      </c>
      <c r="H791" s="35" t="inlineStr">
        <is>
          <t>Agendado</t>
        </is>
      </c>
      <c r="I791" s="35" t="n"/>
      <c r="J791" s="35" t="n"/>
      <c r="K791" s="34" t="n"/>
      <c r="L791" s="26">
        <f>IF(A791="","",MONTH(A791))</f>
        <v>9</v>
      </c>
      <c r="M791" s="26">
        <f>IF(A791="","",YEAR(A791))</f>
        <v>2026</v>
      </c>
      <c r="N791" s="26" t="str">
        <f>IF(A791="","",CHOOSE(WEEKDAY(A791,2),"Segunda","Terça","Quarta","Quinta","Sexta","Sábado","Domingo"))</f>
        <v>Sexta</v>
      </c>
      <c r="O791" s="26" t="str">
        <f>IF(B791="","",IF(B791&lt;TIME(12,0,0),"Manhã",IF(B791&lt;TIME(18,0,0),"Tarde","Noite")))</f>
        <v>Manhã</v>
      </c>
      <c r="P791" s="32">
        <f>IF(G791="","",IFERROR(INDEX(Config!$I$5:$I$16,MATCH(G791,Config!$H$5:$H$16,0)),0))</f>
        <v>30</v>
      </c>
      <c r="Q791" s="30">
        <f>IF(OR(H791&lt;&gt;"Realizado",P791="",P791=0),"",A791+P791)</f>
        <v/>
      </c>
      <c r="R791" s="26">
        <f>IF(Q791="","",IF(COUNTIFS($E$5:$E$1204,E791,$A$5:$A$1204,"&gt;"&amp;A791,$H$5:$H$1204,"&lt;&gt;Falta",$H$5:$H$1204,"&lt;&gt;Cancelado",$H$5:$H$1204,"&lt;&gt;Remarcado")&gt;0,"Sim","Não"))</f>
        <v/>
      </c>
      <c r="S791" s="32">
        <f>IF(R791&lt;&gt;"Não","",IF(Q791+Config!$B$9&lt;=Config!$B$8,Config!$B$8-Q791,""))</f>
        <v/>
      </c>
      <c r="T791" s="26">
        <f>IF(S791="","","Sim")</f>
        <v/>
      </c>
      <c r="U791" s="41">
        <f>IF(T791="Sim",S791+ROW()/100000,0)</f>
        <v>0</v>
      </c>
      <c r="V791" s="41">
        <f>IF(AND(H791="Falta",L791=Config!$B$7,M791=Config!$B$5,COUNTIFS($E$5:E791,E791,$H$5:H791,"Falta",$L$5:L791,Config!$B$7,$M$5:M791,Config!$B$5)=1),COUNTIFS($E$5:$E$1204,E791,$H$5:$H$1204,"Falta",$L$5:$L$1204,Config!$B$7,$M$5:$M$1204,Config!$B$5)*1000-ROW()/100000,0)</f>
        <v>0</v>
      </c>
    </row>
    <row r="792">
      <c r="A792" s="39">
        <f>TODAY()+4</f>
        <v>46283.0</v>
      </c>
      <c r="B792" s="40" t="n">
        <v>0.4583333333333333</v>
      </c>
      <c r="C792" s="35" t="inlineStr">
        <is>
          <t>Dr. Paulo Andrade</t>
        </is>
      </c>
      <c r="D792" s="35" t="inlineStr">
        <is>
          <t>Sala 2</t>
        </is>
      </c>
      <c r="E792" s="34" t="inlineStr">
        <is>
          <t>Thiago Duarte</t>
        </is>
      </c>
      <c r="F792" s="35" t="inlineStr">
        <is>
          <t>Saúde Total</t>
        </is>
      </c>
      <c r="G792" s="35" t="inlineStr">
        <is>
          <t>Teste ergométrico</t>
        </is>
      </c>
      <c r="H792" s="35" t="inlineStr">
        <is>
          <t>Agendado</t>
        </is>
      </c>
      <c r="I792" s="35" t="n"/>
      <c r="J792" s="35" t="n"/>
      <c r="K792" s="34" t="n"/>
      <c r="L792" s="26">
        <f>IF(A792="","",MONTH(A792))</f>
        <v>9</v>
      </c>
      <c r="M792" s="26">
        <f>IF(A792="","",YEAR(A792))</f>
        <v>2026</v>
      </c>
      <c r="N792" s="26" t="str">
        <f>IF(A792="","",CHOOSE(WEEKDAY(A792,2),"Segunda","Terça","Quarta","Quinta","Sexta","Sábado","Domingo"))</f>
        <v>Sexta</v>
      </c>
      <c r="O792" s="26" t="str">
        <f>IF(B792="","",IF(B792&lt;TIME(12,0,0),"Manhã",IF(B792&lt;TIME(18,0,0),"Tarde","Noite")))</f>
        <v>Manhã</v>
      </c>
      <c r="P792" s="32">
        <f>IF(G792="","",IFERROR(INDEX(Config!$I$5:$I$16,MATCH(G792,Config!$H$5:$H$16,0)),0))</f>
        <v>0</v>
      </c>
      <c r="Q792" s="30">
        <f>IF(OR(H792&lt;&gt;"Realizado",P792="",P792=0),"",A792+P792)</f>
        <v/>
      </c>
      <c r="R792" s="26">
        <f>IF(Q792="","",IF(COUNTIFS($E$5:$E$1204,E792,$A$5:$A$1204,"&gt;"&amp;A792,$H$5:$H$1204,"&lt;&gt;Falta",$H$5:$H$1204,"&lt;&gt;Cancelado",$H$5:$H$1204,"&lt;&gt;Remarcado")&gt;0,"Sim","Não"))</f>
        <v/>
      </c>
      <c r="S792" s="32">
        <f>IF(R792&lt;&gt;"Não","",IF(Q792+Config!$B$9&lt;=Config!$B$8,Config!$B$8-Q792,""))</f>
        <v/>
      </c>
      <c r="T792" s="26">
        <f>IF(S792="","","Sim")</f>
        <v/>
      </c>
      <c r="U792" s="41">
        <f>IF(T792="Sim",S792+ROW()/100000,0)</f>
        <v>0</v>
      </c>
      <c r="V792" s="41">
        <f>IF(AND(H792="Falta",L792=Config!$B$7,M792=Config!$B$5,COUNTIFS($E$5:E792,E792,$H$5:H792,"Falta",$L$5:L792,Config!$B$7,$M$5:M792,Config!$B$5)=1),COUNTIFS($E$5:$E$1204,E792,$H$5:$H$1204,"Falta",$L$5:$L$1204,Config!$B$7,$M$5:$M$1204,Config!$B$5)*1000-ROW()/100000,0)</f>
        <v>0</v>
      </c>
    </row>
    <row r="793">
      <c r="A793" s="39">
        <f>TODAY()+4</f>
        <v>46283.0</v>
      </c>
      <c r="B793" s="40" t="n">
        <v>0.4861111111111111</v>
      </c>
      <c r="C793" s="35" t="inlineStr">
        <is>
          <t>Dr. Paulo Andrade</t>
        </is>
      </c>
      <c r="D793" s="35" t="inlineStr">
        <is>
          <t>Sala 2</t>
        </is>
      </c>
      <c r="E793" s="34" t="inlineStr">
        <is>
          <t>Vinícius Cardoso</t>
        </is>
      </c>
      <c r="F793" s="35" t="inlineStr">
        <is>
          <t>MediPlan</t>
        </is>
      </c>
      <c r="G793" s="35" t="inlineStr">
        <is>
          <t>Retorno</t>
        </is>
      </c>
      <c r="H793" s="35" t="inlineStr">
        <is>
          <t>Agendado</t>
        </is>
      </c>
      <c r="I793" s="35" t="n"/>
      <c r="J793" s="35" t="n"/>
      <c r="K793" s="34" t="n"/>
      <c r="L793" s="26">
        <f>IF(A793="","",MONTH(A793))</f>
        <v>9</v>
      </c>
      <c r="M793" s="26">
        <f>IF(A793="","",YEAR(A793))</f>
        <v>2026</v>
      </c>
      <c r="N793" s="26" t="str">
        <f>IF(A793="","",CHOOSE(WEEKDAY(A793,2),"Segunda","Terça","Quarta","Quinta","Sexta","Sábado","Domingo"))</f>
        <v>Sexta</v>
      </c>
      <c r="O793" s="26" t="str">
        <f>IF(B793="","",IF(B793&lt;TIME(12,0,0),"Manhã",IF(B793&lt;TIME(18,0,0),"Tarde","Noite")))</f>
        <v>Manhã</v>
      </c>
      <c r="P793" s="32">
        <f>IF(G793="","",IFERROR(INDEX(Config!$I$5:$I$16,MATCH(G793,Config!$H$5:$H$16,0)),0))</f>
        <v>0</v>
      </c>
      <c r="Q793" s="30">
        <f>IF(OR(H793&lt;&gt;"Realizado",P793="",P793=0),"",A793+P793)</f>
        <v/>
      </c>
      <c r="R793" s="26">
        <f>IF(Q793="","",IF(COUNTIFS($E$5:$E$1204,E793,$A$5:$A$1204,"&gt;"&amp;A793,$H$5:$H$1204,"&lt;&gt;Falta",$H$5:$H$1204,"&lt;&gt;Cancelado",$H$5:$H$1204,"&lt;&gt;Remarcado")&gt;0,"Sim","Não"))</f>
        <v/>
      </c>
      <c r="S793" s="32">
        <f>IF(R793&lt;&gt;"Não","",IF(Q793+Config!$B$9&lt;=Config!$B$8,Config!$B$8-Q793,""))</f>
        <v/>
      </c>
      <c r="T793" s="26">
        <f>IF(S793="","","Sim")</f>
        <v/>
      </c>
      <c r="U793" s="41">
        <f>IF(T793="Sim",S793+ROW()/100000,0)</f>
        <v>0</v>
      </c>
      <c r="V793" s="41">
        <f>IF(AND(H793="Falta",L793=Config!$B$7,M793=Config!$B$5,COUNTIFS($E$5:E793,E793,$H$5:H793,"Falta",$L$5:L793,Config!$B$7,$M$5:M793,Config!$B$5)=1),COUNTIFS($E$5:$E$1204,E793,$H$5:$H$1204,"Falta",$L$5:$L$1204,Config!$B$7,$M$5:$M$1204,Config!$B$5)*1000-ROW()/100000,0)</f>
        <v>0</v>
      </c>
    </row>
    <row r="794">
      <c r="A794" s="39">
        <f>TODAY()+7</f>
        <v>46286.0</v>
      </c>
      <c r="B794" s="40" t="n">
        <v>0.3333333333333333</v>
      </c>
      <c r="C794" s="35" t="inlineStr">
        <is>
          <t>Dra. Carolina Mendes</t>
        </is>
      </c>
      <c r="D794" s="35" t="inlineStr">
        <is>
          <t>Sala 1</t>
        </is>
      </c>
      <c r="E794" s="34" t="inlineStr">
        <is>
          <t>Sérgio Martins</t>
        </is>
      </c>
      <c r="F794" s="35" t="inlineStr">
        <is>
          <t>Particular</t>
        </is>
      </c>
      <c r="G794" s="35" t="inlineStr">
        <is>
          <t>Consulta</t>
        </is>
      </c>
      <c r="H794" s="35" t="inlineStr">
        <is>
          <t>Agendado</t>
        </is>
      </c>
      <c r="I794" s="35" t="n"/>
      <c r="J794" s="35" t="n"/>
      <c r="K794" s="34" t="n"/>
      <c r="L794" s="26">
        <f>IF(A794="","",MONTH(A794))</f>
        <v>9</v>
      </c>
      <c r="M794" s="26">
        <f>IF(A794="","",YEAR(A794))</f>
        <v>2026</v>
      </c>
      <c r="N794" s="26" t="str">
        <f>IF(A794="","",CHOOSE(WEEKDAY(A794,2),"Segunda","Terça","Quarta","Quinta","Sexta","Sábado","Domingo"))</f>
        <v>Segunda</v>
      </c>
      <c r="O794" s="26" t="str">
        <f>IF(B794="","",IF(B794&lt;TIME(12,0,0),"Manhã",IF(B794&lt;TIME(18,0,0),"Tarde","Noite")))</f>
        <v>Manhã</v>
      </c>
      <c r="P794" s="32">
        <f>IF(G794="","",IFERROR(INDEX(Config!$I$5:$I$16,MATCH(G794,Config!$H$5:$H$16,0)),0))</f>
        <v>30</v>
      </c>
      <c r="Q794" s="30">
        <f>IF(OR(H794&lt;&gt;"Realizado",P794="",P794=0),"",A794+P794)</f>
        <v/>
      </c>
      <c r="R794" s="26">
        <f>IF(Q794="","",IF(COUNTIFS($E$5:$E$1204,E794,$A$5:$A$1204,"&gt;"&amp;A794,$H$5:$H$1204,"&lt;&gt;Falta",$H$5:$H$1204,"&lt;&gt;Cancelado",$H$5:$H$1204,"&lt;&gt;Remarcado")&gt;0,"Sim","Não"))</f>
        <v/>
      </c>
      <c r="S794" s="32">
        <f>IF(R794&lt;&gt;"Não","",IF(Q794+Config!$B$9&lt;=Config!$B$8,Config!$B$8-Q794,""))</f>
        <v/>
      </c>
      <c r="T794" s="26">
        <f>IF(S794="","","Sim")</f>
        <v/>
      </c>
      <c r="U794" s="41">
        <f>IF(T794="Sim",S794+ROW()/100000,0)</f>
        <v>0</v>
      </c>
      <c r="V794" s="41">
        <f>IF(AND(H794="Falta",L794=Config!$B$7,M794=Config!$B$5,COUNTIFS($E$5:E794,E794,$H$5:H794,"Falta",$L$5:L794,Config!$B$7,$M$5:M794,Config!$B$5)=1),COUNTIFS($E$5:$E$1204,E794,$H$5:$H$1204,"Falta",$L$5:$L$1204,Config!$B$7,$M$5:$M$1204,Config!$B$5)*1000-ROW()/100000,0)</f>
        <v>0</v>
      </c>
    </row>
    <row r="795">
      <c r="A795" s="39">
        <f>TODAY()+7</f>
        <v>46286.0</v>
      </c>
      <c r="B795" s="40" t="n">
        <v>0.3541666666666667</v>
      </c>
      <c r="C795" s="35" t="inlineStr">
        <is>
          <t>Dra. Carolina Mendes</t>
        </is>
      </c>
      <c r="D795" s="35" t="inlineStr">
        <is>
          <t>Sala 1</t>
        </is>
      </c>
      <c r="E795" s="34" t="inlineStr">
        <is>
          <t>Gisele Ribeiro</t>
        </is>
      </c>
      <c r="F795" s="35" t="inlineStr">
        <is>
          <t>Particular</t>
        </is>
      </c>
      <c r="G795" s="35" t="inlineStr">
        <is>
          <t>Consulta</t>
        </is>
      </c>
      <c r="H795" s="35" t="inlineStr">
        <is>
          <t>Agendado</t>
        </is>
      </c>
      <c r="I795" s="35" t="n"/>
      <c r="J795" s="35" t="n"/>
      <c r="K795" s="34" t="n"/>
      <c r="L795" s="26">
        <f>IF(A795="","",MONTH(A795))</f>
        <v>9</v>
      </c>
      <c r="M795" s="26">
        <f>IF(A795="","",YEAR(A795))</f>
        <v>2026</v>
      </c>
      <c r="N795" s="26" t="str">
        <f>IF(A795="","",CHOOSE(WEEKDAY(A795,2),"Segunda","Terça","Quarta","Quinta","Sexta","Sábado","Domingo"))</f>
        <v>Segunda</v>
      </c>
      <c r="O795" s="26" t="str">
        <f>IF(B795="","",IF(B795&lt;TIME(12,0,0),"Manhã",IF(B795&lt;TIME(18,0,0),"Tarde","Noite")))</f>
        <v>Manhã</v>
      </c>
      <c r="P795" s="32">
        <f>IF(G795="","",IFERROR(INDEX(Config!$I$5:$I$16,MATCH(G795,Config!$H$5:$H$16,0)),0))</f>
        <v>30</v>
      </c>
      <c r="Q795" s="30">
        <f>IF(OR(H795&lt;&gt;"Realizado",P795="",P795=0),"",A795+P795)</f>
        <v/>
      </c>
      <c r="R795" s="26">
        <f>IF(Q795="","",IF(COUNTIFS($E$5:$E$1204,E795,$A$5:$A$1204,"&gt;"&amp;A795,$H$5:$H$1204,"&lt;&gt;Falta",$H$5:$H$1204,"&lt;&gt;Cancelado",$H$5:$H$1204,"&lt;&gt;Remarcado")&gt;0,"Sim","Não"))</f>
        <v/>
      </c>
      <c r="S795" s="32">
        <f>IF(R795&lt;&gt;"Não","",IF(Q795+Config!$B$9&lt;=Config!$B$8,Config!$B$8-Q795,""))</f>
        <v/>
      </c>
      <c r="T795" s="26">
        <f>IF(S795="","","Sim")</f>
        <v/>
      </c>
      <c r="U795" s="41">
        <f>IF(T795="Sim",S795+ROW()/100000,0)</f>
        <v>0</v>
      </c>
      <c r="V795" s="41">
        <f>IF(AND(H795="Falta",L795=Config!$B$7,M795=Config!$B$5,COUNTIFS($E$5:E795,E795,$H$5:H795,"Falta",$L$5:L795,Config!$B$7,$M$5:M795,Config!$B$5)=1),COUNTIFS($E$5:$E$1204,E795,$H$5:$H$1204,"Falta",$L$5:$L$1204,Config!$B$7,$M$5:$M$1204,Config!$B$5)*1000-ROW()/100000,0)</f>
        <v>0</v>
      </c>
    </row>
    <row r="796">
      <c r="A796" s="39">
        <f>TODAY()+7</f>
        <v>46286.0</v>
      </c>
      <c r="B796" s="40" t="n">
        <v>0.3958333333333333</v>
      </c>
      <c r="C796" s="35" t="inlineStr">
        <is>
          <t>Dra. Carolina Mendes</t>
        </is>
      </c>
      <c r="D796" s="35" t="inlineStr">
        <is>
          <t>Sala 1</t>
        </is>
      </c>
      <c r="E796" s="34" t="inlineStr">
        <is>
          <t>Regina Macedo</t>
        </is>
      </c>
      <c r="F796" s="35" t="inlineStr">
        <is>
          <t>Particular</t>
        </is>
      </c>
      <c r="G796" s="35" t="inlineStr">
        <is>
          <t>Consulta</t>
        </is>
      </c>
      <c r="H796" s="35" t="inlineStr">
        <is>
          <t>Agendado</t>
        </is>
      </c>
      <c r="I796" s="35" t="n"/>
      <c r="J796" s="35" t="n"/>
      <c r="K796" s="34" t="n"/>
      <c r="L796" s="26">
        <f>IF(A796="","",MONTH(A796))</f>
        <v>9</v>
      </c>
      <c r="M796" s="26">
        <f>IF(A796="","",YEAR(A796))</f>
        <v>2026</v>
      </c>
      <c r="N796" s="26" t="str">
        <f>IF(A796="","",CHOOSE(WEEKDAY(A796,2),"Segunda","Terça","Quarta","Quinta","Sexta","Sábado","Domingo"))</f>
        <v>Segunda</v>
      </c>
      <c r="O796" s="26" t="str">
        <f>IF(B796="","",IF(B796&lt;TIME(12,0,0),"Manhã",IF(B796&lt;TIME(18,0,0),"Tarde","Noite")))</f>
        <v>Manhã</v>
      </c>
      <c r="P796" s="32">
        <f>IF(G796="","",IFERROR(INDEX(Config!$I$5:$I$16,MATCH(G796,Config!$H$5:$H$16,0)),0))</f>
        <v>30</v>
      </c>
      <c r="Q796" s="30">
        <f>IF(OR(H796&lt;&gt;"Realizado",P796="",P796=0),"",A796+P796)</f>
        <v/>
      </c>
      <c r="R796" s="26">
        <f>IF(Q796="","",IF(COUNTIFS($E$5:$E$1204,E796,$A$5:$A$1204,"&gt;"&amp;A796,$H$5:$H$1204,"&lt;&gt;Falta",$H$5:$H$1204,"&lt;&gt;Cancelado",$H$5:$H$1204,"&lt;&gt;Remarcado")&gt;0,"Sim","Não"))</f>
        <v/>
      </c>
      <c r="S796" s="32">
        <f>IF(R796&lt;&gt;"Não","",IF(Q796+Config!$B$9&lt;=Config!$B$8,Config!$B$8-Q796,""))</f>
        <v/>
      </c>
      <c r="T796" s="26">
        <f>IF(S796="","","Sim")</f>
        <v/>
      </c>
      <c r="U796" s="41">
        <f>IF(T796="Sim",S796+ROW()/100000,0)</f>
        <v>0</v>
      </c>
      <c r="V796" s="41">
        <f>IF(AND(H796="Falta",L796=Config!$B$7,M796=Config!$B$5,COUNTIFS($E$5:E796,E796,$H$5:H796,"Falta",$L$5:L796,Config!$B$7,$M$5:M796,Config!$B$5)=1),COUNTIFS($E$5:$E$1204,E796,$H$5:$H$1204,"Falta",$L$5:$L$1204,Config!$B$7,$M$5:$M$1204,Config!$B$5)*1000-ROW()/100000,0)</f>
        <v>0</v>
      </c>
    </row>
    <row r="797">
      <c r="A797" s="39">
        <f>TODAY()+7</f>
        <v>46286.0</v>
      </c>
      <c r="B797" s="40" t="n">
        <v>0.4166666666666667</v>
      </c>
      <c r="C797" s="35" t="inlineStr">
        <is>
          <t>Dra. Carolina Mendes</t>
        </is>
      </c>
      <c r="D797" s="35" t="inlineStr">
        <is>
          <t>Sala 1</t>
        </is>
      </c>
      <c r="E797" s="34" t="inlineStr">
        <is>
          <t>Mateus Lima</t>
        </is>
      </c>
      <c r="F797" s="35" t="inlineStr">
        <is>
          <t>MediPlan</t>
        </is>
      </c>
      <c r="G797" s="35" t="inlineStr">
        <is>
          <t>Consulta</t>
        </is>
      </c>
      <c r="H797" s="35" t="inlineStr">
        <is>
          <t>Agendado</t>
        </is>
      </c>
      <c r="I797" s="35" t="n"/>
      <c r="J797" s="35" t="n"/>
      <c r="K797" s="34" t="n"/>
      <c r="L797" s="26">
        <f>IF(A797="","",MONTH(A797))</f>
        <v>9</v>
      </c>
      <c r="M797" s="26">
        <f>IF(A797="","",YEAR(A797))</f>
        <v>2026</v>
      </c>
      <c r="N797" s="26" t="str">
        <f>IF(A797="","",CHOOSE(WEEKDAY(A797,2),"Segunda","Terça","Quarta","Quinta","Sexta","Sábado","Domingo"))</f>
        <v>Segunda</v>
      </c>
      <c r="O797" s="26" t="str">
        <f>IF(B797="","",IF(B797&lt;TIME(12,0,0),"Manhã",IF(B797&lt;TIME(18,0,0),"Tarde","Noite")))</f>
        <v>Manhã</v>
      </c>
      <c r="P797" s="32">
        <f>IF(G797="","",IFERROR(INDEX(Config!$I$5:$I$16,MATCH(G797,Config!$H$5:$H$16,0)),0))</f>
        <v>30</v>
      </c>
      <c r="Q797" s="30">
        <f>IF(OR(H797&lt;&gt;"Realizado",P797="",P797=0),"",A797+P797)</f>
        <v/>
      </c>
      <c r="R797" s="26">
        <f>IF(Q797="","",IF(COUNTIFS($E$5:$E$1204,E797,$A$5:$A$1204,"&gt;"&amp;A797,$H$5:$H$1204,"&lt;&gt;Falta",$H$5:$H$1204,"&lt;&gt;Cancelado",$H$5:$H$1204,"&lt;&gt;Remarcado")&gt;0,"Sim","Não"))</f>
        <v/>
      </c>
      <c r="S797" s="32">
        <f>IF(R797&lt;&gt;"Não","",IF(Q797+Config!$B$9&lt;=Config!$B$8,Config!$B$8-Q797,""))</f>
        <v/>
      </c>
      <c r="T797" s="26">
        <f>IF(S797="","","Sim")</f>
        <v/>
      </c>
      <c r="U797" s="41">
        <f>IF(T797="Sim",S797+ROW()/100000,0)</f>
        <v>0</v>
      </c>
      <c r="V797" s="41">
        <f>IF(AND(H797="Falta",L797=Config!$B$7,M797=Config!$B$5,COUNTIFS($E$5:E797,E797,$H$5:H797,"Falta",$L$5:L797,Config!$B$7,$M$5:M797,Config!$B$5)=1),COUNTIFS($E$5:$E$1204,E797,$H$5:$H$1204,"Falta",$L$5:$L$1204,Config!$B$7,$M$5:$M$1204,Config!$B$5)*1000-ROW()/100000,0)</f>
        <v>0</v>
      </c>
    </row>
    <row r="798">
      <c r="A798" s="39">
        <f>TODAY()+7</f>
        <v>46286.0</v>
      </c>
      <c r="B798" s="40" t="n">
        <v>0.4375</v>
      </c>
      <c r="C798" s="35" t="inlineStr">
        <is>
          <t>Dra. Carolina Mendes</t>
        </is>
      </c>
      <c r="D798" s="35" t="inlineStr">
        <is>
          <t>Sala 1</t>
        </is>
      </c>
      <c r="E798" s="34" t="inlineStr">
        <is>
          <t>Rodrigo Gomes</t>
        </is>
      </c>
      <c r="F798" s="35" t="inlineStr">
        <is>
          <t>Vida Care</t>
        </is>
      </c>
      <c r="G798" s="35" t="inlineStr">
        <is>
          <t>Consulta</t>
        </is>
      </c>
      <c r="H798" s="35" t="inlineStr">
        <is>
          <t>Agendado</t>
        </is>
      </c>
      <c r="I798" s="35" t="n"/>
      <c r="J798" s="35" t="n"/>
      <c r="K798" s="34" t="n"/>
      <c r="L798" s="26">
        <f>IF(A798="","",MONTH(A798))</f>
        <v>9</v>
      </c>
      <c r="M798" s="26">
        <f>IF(A798="","",YEAR(A798))</f>
        <v>2026</v>
      </c>
      <c r="N798" s="26" t="str">
        <f>IF(A798="","",CHOOSE(WEEKDAY(A798,2),"Segunda","Terça","Quarta","Quinta","Sexta","Sábado","Domingo"))</f>
        <v>Segunda</v>
      </c>
      <c r="O798" s="26" t="str">
        <f>IF(B798="","",IF(B798&lt;TIME(12,0,0),"Manhã",IF(B798&lt;TIME(18,0,0),"Tarde","Noite")))</f>
        <v>Manhã</v>
      </c>
      <c r="P798" s="32">
        <f>IF(G798="","",IFERROR(INDEX(Config!$I$5:$I$16,MATCH(G798,Config!$H$5:$H$16,0)),0))</f>
        <v>30</v>
      </c>
      <c r="Q798" s="30">
        <f>IF(OR(H798&lt;&gt;"Realizado",P798="",P798=0),"",A798+P798)</f>
        <v/>
      </c>
      <c r="R798" s="26">
        <f>IF(Q798="","",IF(COUNTIFS($E$5:$E$1204,E798,$A$5:$A$1204,"&gt;"&amp;A798,$H$5:$H$1204,"&lt;&gt;Falta",$H$5:$H$1204,"&lt;&gt;Cancelado",$H$5:$H$1204,"&lt;&gt;Remarcado")&gt;0,"Sim","Não"))</f>
        <v/>
      </c>
      <c r="S798" s="32">
        <f>IF(R798&lt;&gt;"Não","",IF(Q798+Config!$B$9&lt;=Config!$B$8,Config!$B$8-Q798,""))</f>
        <v/>
      </c>
      <c r="T798" s="26">
        <f>IF(S798="","","Sim")</f>
        <v/>
      </c>
      <c r="U798" s="41">
        <f>IF(T798="Sim",S798+ROW()/100000,0)</f>
        <v>0</v>
      </c>
      <c r="V798" s="41">
        <f>IF(AND(H798="Falta",L798=Config!$B$7,M798=Config!$B$5,COUNTIFS($E$5:E798,E798,$H$5:H798,"Falta",$L$5:L798,Config!$B$7,$M$5:M798,Config!$B$5)=1),COUNTIFS($E$5:$E$1204,E798,$H$5:$H$1204,"Falta",$L$5:$L$1204,Config!$B$7,$M$5:$M$1204,Config!$B$5)*1000-ROW()/100000,0)</f>
        <v>0</v>
      </c>
    </row>
    <row r="799">
      <c r="A799" s="39">
        <f>TODAY()+7</f>
        <v>46286.0</v>
      </c>
      <c r="B799" s="40" t="n">
        <v>0.4583333333333333</v>
      </c>
      <c r="C799" s="35" t="inlineStr">
        <is>
          <t>Dra. Carolina Mendes</t>
        </is>
      </c>
      <c r="D799" s="35" t="inlineStr">
        <is>
          <t>Sala 1</t>
        </is>
      </c>
      <c r="E799" s="34" t="inlineStr">
        <is>
          <t>Isabela Nascimento</t>
        </is>
      </c>
      <c r="F799" s="35" t="inlineStr">
        <is>
          <t>Vida Care</t>
        </is>
      </c>
      <c r="G799" s="35" t="inlineStr">
        <is>
          <t>Consulta</t>
        </is>
      </c>
      <c r="H799" s="35" t="inlineStr">
        <is>
          <t>Agendado</t>
        </is>
      </c>
      <c r="I799" s="35" t="n"/>
      <c r="J799" s="35" t="n"/>
      <c r="K799" s="34" t="n"/>
      <c r="L799" s="26">
        <f>IF(A799="","",MONTH(A799))</f>
        <v>9</v>
      </c>
      <c r="M799" s="26">
        <f>IF(A799="","",YEAR(A799))</f>
        <v>2026</v>
      </c>
      <c r="N799" s="26" t="str">
        <f>IF(A799="","",CHOOSE(WEEKDAY(A799,2),"Segunda","Terça","Quarta","Quinta","Sexta","Sábado","Domingo"))</f>
        <v>Segunda</v>
      </c>
      <c r="O799" s="26" t="str">
        <f>IF(B799="","",IF(B799&lt;TIME(12,0,0),"Manhã",IF(B799&lt;TIME(18,0,0),"Tarde","Noite")))</f>
        <v>Manhã</v>
      </c>
      <c r="P799" s="32">
        <f>IF(G799="","",IFERROR(INDEX(Config!$I$5:$I$16,MATCH(G799,Config!$H$5:$H$16,0)),0))</f>
        <v>30</v>
      </c>
      <c r="Q799" s="30">
        <f>IF(OR(H799&lt;&gt;"Realizado",P799="",P799=0),"",A799+P799)</f>
        <v/>
      </c>
      <c r="R799" s="26">
        <f>IF(Q799="","",IF(COUNTIFS($E$5:$E$1204,E799,$A$5:$A$1204,"&gt;"&amp;A799,$H$5:$H$1204,"&lt;&gt;Falta",$H$5:$H$1204,"&lt;&gt;Cancelado",$H$5:$H$1204,"&lt;&gt;Remarcado")&gt;0,"Sim","Não"))</f>
        <v/>
      </c>
      <c r="S799" s="32">
        <f>IF(R799&lt;&gt;"Não","",IF(Q799+Config!$B$9&lt;=Config!$B$8,Config!$B$8-Q799,""))</f>
        <v/>
      </c>
      <c r="T799" s="26">
        <f>IF(S799="","","Sim")</f>
        <v/>
      </c>
      <c r="U799" s="41">
        <f>IF(T799="Sim",S799+ROW()/100000,0)</f>
        <v>0</v>
      </c>
      <c r="V799" s="41">
        <f>IF(AND(H799="Falta",L799=Config!$B$7,M799=Config!$B$5,COUNTIFS($E$5:E799,E799,$H$5:H799,"Falta",$L$5:L799,Config!$B$7,$M$5:M799,Config!$B$5)=1),COUNTIFS($E$5:$E$1204,E799,$H$5:$H$1204,"Falta",$L$5:$L$1204,Config!$B$7,$M$5:$M$1204,Config!$B$5)*1000-ROW()/100000,0)</f>
        <v>0</v>
      </c>
    </row>
    <row r="800">
      <c r="A800" s="39">
        <f>TODAY()+7</f>
        <v>46286.0</v>
      </c>
      <c r="B800" s="40" t="n">
        <v>0.4791666666666667</v>
      </c>
      <c r="C800" s="35" t="inlineStr">
        <is>
          <t>Dra. Carolina Mendes</t>
        </is>
      </c>
      <c r="D800" s="35" t="inlineStr">
        <is>
          <t>Sala 1</t>
        </is>
      </c>
      <c r="E800" s="34" t="inlineStr">
        <is>
          <t>Juliana Silva</t>
        </is>
      </c>
      <c r="F800" s="35" t="inlineStr">
        <is>
          <t>Vida Care</t>
        </is>
      </c>
      <c r="G800" s="35" t="inlineStr">
        <is>
          <t>Consulta</t>
        </is>
      </c>
      <c r="H800" s="35" t="inlineStr">
        <is>
          <t>Agendado</t>
        </is>
      </c>
      <c r="I800" s="35" t="n"/>
      <c r="J800" s="35" t="n"/>
      <c r="K800" s="34" t="n"/>
      <c r="L800" s="26">
        <f>IF(A800="","",MONTH(A800))</f>
        <v>9</v>
      </c>
      <c r="M800" s="26">
        <f>IF(A800="","",YEAR(A800))</f>
        <v>2026</v>
      </c>
      <c r="N800" s="26" t="str">
        <f>IF(A800="","",CHOOSE(WEEKDAY(A800,2),"Segunda","Terça","Quarta","Quinta","Sexta","Sábado","Domingo"))</f>
        <v>Segunda</v>
      </c>
      <c r="O800" s="26" t="str">
        <f>IF(B800="","",IF(B800&lt;TIME(12,0,0),"Manhã",IF(B800&lt;TIME(18,0,0),"Tarde","Noite")))</f>
        <v>Manhã</v>
      </c>
      <c r="P800" s="32">
        <f>IF(G800="","",IFERROR(INDEX(Config!$I$5:$I$16,MATCH(G800,Config!$H$5:$H$16,0)),0))</f>
        <v>30</v>
      </c>
      <c r="Q800" s="30">
        <f>IF(OR(H800&lt;&gt;"Realizado",P800="",P800=0),"",A800+P800)</f>
        <v/>
      </c>
      <c r="R800" s="26">
        <f>IF(Q800="","",IF(COUNTIFS($E$5:$E$1204,E800,$A$5:$A$1204,"&gt;"&amp;A800,$H$5:$H$1204,"&lt;&gt;Falta",$H$5:$H$1204,"&lt;&gt;Cancelado",$H$5:$H$1204,"&lt;&gt;Remarcado")&gt;0,"Sim","Não"))</f>
        <v/>
      </c>
      <c r="S800" s="32">
        <f>IF(R800&lt;&gt;"Não","",IF(Q800+Config!$B$9&lt;=Config!$B$8,Config!$B$8-Q800,""))</f>
        <v/>
      </c>
      <c r="T800" s="26">
        <f>IF(S800="","","Sim")</f>
        <v/>
      </c>
      <c r="U800" s="41">
        <f>IF(T800="Sim",S800+ROW()/100000,0)</f>
        <v>0</v>
      </c>
      <c r="V800" s="41">
        <f>IF(AND(H800="Falta",L800=Config!$B$7,M800=Config!$B$5,COUNTIFS($E$5:E800,E800,$H$5:H800,"Falta",$L$5:L800,Config!$B$7,$M$5:M800,Config!$B$5)=1),COUNTIFS($E$5:$E$1204,E800,$H$5:$H$1204,"Falta",$L$5:$L$1204,Config!$B$7,$M$5:$M$1204,Config!$B$5)*1000-ROW()/100000,0)</f>
        <v>0</v>
      </c>
    </row>
    <row r="801">
      <c r="A801" s="39">
        <f>TODAY()+7</f>
        <v>46286.0</v>
      </c>
      <c r="B801" s="40" t="n">
        <v>0.5833333333333334</v>
      </c>
      <c r="C801" s="35" t="inlineStr">
        <is>
          <t>Dr. Paulo Andrade</t>
        </is>
      </c>
      <c r="D801" s="35" t="inlineStr">
        <is>
          <t>Sala 2</t>
        </is>
      </c>
      <c r="E801" s="34" t="inlineStr">
        <is>
          <t>Priscila Rocha</t>
        </is>
      </c>
      <c r="F801" s="35" t="inlineStr">
        <is>
          <t>MediPlan</t>
        </is>
      </c>
      <c r="G801" s="35" t="inlineStr">
        <is>
          <t>Teste ergométrico</t>
        </is>
      </c>
      <c r="H801" s="35" t="inlineStr">
        <is>
          <t>Agendado</t>
        </is>
      </c>
      <c r="I801" s="35" t="n"/>
      <c r="J801" s="35" t="n"/>
      <c r="K801" s="34" t="n"/>
      <c r="L801" s="26">
        <f>IF(A801="","",MONTH(A801))</f>
        <v>9</v>
      </c>
      <c r="M801" s="26">
        <f>IF(A801="","",YEAR(A801))</f>
        <v>2026</v>
      </c>
      <c r="N801" s="26" t="str">
        <f>IF(A801="","",CHOOSE(WEEKDAY(A801,2),"Segunda","Terça","Quarta","Quinta","Sexta","Sábado","Domingo"))</f>
        <v>Segunda</v>
      </c>
      <c r="O801" s="26" t="str">
        <f>IF(B801="","",IF(B801&lt;TIME(12,0,0),"Manhã",IF(B801&lt;TIME(18,0,0),"Tarde","Noite")))</f>
        <v>Tarde</v>
      </c>
      <c r="P801" s="32">
        <f>IF(G801="","",IFERROR(INDEX(Config!$I$5:$I$16,MATCH(G801,Config!$H$5:$H$16,0)),0))</f>
        <v>0</v>
      </c>
      <c r="Q801" s="30">
        <f>IF(OR(H801&lt;&gt;"Realizado",P801="",P801=0),"",A801+P801)</f>
        <v/>
      </c>
      <c r="R801" s="26">
        <f>IF(Q801="","",IF(COUNTIFS($E$5:$E$1204,E801,$A$5:$A$1204,"&gt;"&amp;A801,$H$5:$H$1204,"&lt;&gt;Falta",$H$5:$H$1204,"&lt;&gt;Cancelado",$H$5:$H$1204,"&lt;&gt;Remarcado")&gt;0,"Sim","Não"))</f>
        <v/>
      </c>
      <c r="S801" s="32">
        <f>IF(R801&lt;&gt;"Não","",IF(Q801+Config!$B$9&lt;=Config!$B$8,Config!$B$8-Q801,""))</f>
        <v/>
      </c>
      <c r="T801" s="26">
        <f>IF(S801="","","Sim")</f>
        <v/>
      </c>
      <c r="U801" s="41">
        <f>IF(T801="Sim",S801+ROW()/100000,0)</f>
        <v>0</v>
      </c>
      <c r="V801" s="41">
        <f>IF(AND(H801="Falta",L801=Config!$B$7,M801=Config!$B$5,COUNTIFS($E$5:E801,E801,$H$5:H801,"Falta",$L$5:L801,Config!$B$7,$M$5:M801,Config!$B$5)=1),COUNTIFS($E$5:$E$1204,E801,$H$5:$H$1204,"Falta",$L$5:$L$1204,Config!$B$7,$M$5:$M$1204,Config!$B$5)*1000-ROW()/100000,0)</f>
        <v>0</v>
      </c>
    </row>
    <row r="802">
      <c r="A802" s="39">
        <f>TODAY()+7</f>
        <v>46286.0</v>
      </c>
      <c r="B802" s="40" t="n">
        <v>0.6111111111111112</v>
      </c>
      <c r="C802" s="35" t="inlineStr">
        <is>
          <t>Dr. Paulo Andrade</t>
        </is>
      </c>
      <c r="D802" s="35" t="inlineStr">
        <is>
          <t>Sala 2</t>
        </is>
      </c>
      <c r="E802" s="34" t="inlineStr">
        <is>
          <t>Otávio Martins</t>
        </is>
      </c>
      <c r="F802" s="35" t="inlineStr">
        <is>
          <t>MediPlan</t>
        </is>
      </c>
      <c r="G802" s="35" t="inlineStr">
        <is>
          <t>Consulta</t>
        </is>
      </c>
      <c r="H802" s="35" t="inlineStr">
        <is>
          <t>Agendado</t>
        </is>
      </c>
      <c r="I802" s="35" t="n"/>
      <c r="J802" s="35" t="n"/>
      <c r="K802" s="34" t="n"/>
      <c r="L802" s="26">
        <f>IF(A802="","",MONTH(A802))</f>
        <v>9</v>
      </c>
      <c r="M802" s="26">
        <f>IF(A802="","",YEAR(A802))</f>
        <v>2026</v>
      </c>
      <c r="N802" s="26" t="str">
        <f>IF(A802="","",CHOOSE(WEEKDAY(A802,2),"Segunda","Terça","Quarta","Quinta","Sexta","Sábado","Domingo"))</f>
        <v>Segunda</v>
      </c>
      <c r="O802" s="26" t="str">
        <f>IF(B802="","",IF(B802&lt;TIME(12,0,0),"Manhã",IF(B802&lt;TIME(18,0,0),"Tarde","Noite")))</f>
        <v>Tarde</v>
      </c>
      <c r="P802" s="32">
        <f>IF(G802="","",IFERROR(INDEX(Config!$I$5:$I$16,MATCH(G802,Config!$H$5:$H$16,0)),0))</f>
        <v>30</v>
      </c>
      <c r="Q802" s="30">
        <f>IF(OR(H802&lt;&gt;"Realizado",P802="",P802=0),"",A802+P802)</f>
        <v/>
      </c>
      <c r="R802" s="26">
        <f>IF(Q802="","",IF(COUNTIFS($E$5:$E$1204,E802,$A$5:$A$1204,"&gt;"&amp;A802,$H$5:$H$1204,"&lt;&gt;Falta",$H$5:$H$1204,"&lt;&gt;Cancelado",$H$5:$H$1204,"&lt;&gt;Remarcado")&gt;0,"Sim","Não"))</f>
        <v/>
      </c>
      <c r="S802" s="32">
        <f>IF(R802&lt;&gt;"Não","",IF(Q802+Config!$B$9&lt;=Config!$B$8,Config!$B$8-Q802,""))</f>
        <v/>
      </c>
      <c r="T802" s="26">
        <f>IF(S802="","","Sim")</f>
        <v/>
      </c>
      <c r="U802" s="41">
        <f>IF(T802="Sim",S802+ROW()/100000,0)</f>
        <v>0</v>
      </c>
      <c r="V802" s="41">
        <f>IF(AND(H802="Falta",L802=Config!$B$7,M802=Config!$B$5,COUNTIFS($E$5:E802,E802,$H$5:H802,"Falta",$L$5:L802,Config!$B$7,$M$5:M802,Config!$B$5)=1),COUNTIFS($E$5:$E$1204,E802,$H$5:$H$1204,"Falta",$L$5:$L$1204,Config!$B$7,$M$5:$M$1204,Config!$B$5)*1000-ROW()/100000,0)</f>
        <v>0</v>
      </c>
    </row>
    <row r="803">
      <c r="A803" s="39">
        <f>TODAY()+7</f>
        <v>46286.0</v>
      </c>
      <c r="B803" s="40" t="n">
        <v>0.6319444444444444</v>
      </c>
      <c r="C803" s="35" t="inlineStr">
        <is>
          <t>Dr. Paulo Andrade</t>
        </is>
      </c>
      <c r="D803" s="35" t="inlineStr">
        <is>
          <t>Sala 2</t>
        </is>
      </c>
      <c r="E803" s="34" t="inlineStr">
        <is>
          <t>Débora Moreira</t>
        </is>
      </c>
      <c r="F803" s="35" t="inlineStr">
        <is>
          <t>Particular</t>
        </is>
      </c>
      <c r="G803" s="35" t="inlineStr">
        <is>
          <t>Consulta</t>
        </is>
      </c>
      <c r="H803" s="35" t="inlineStr">
        <is>
          <t>Agendado</t>
        </is>
      </c>
      <c r="I803" s="35" t="n"/>
      <c r="J803" s="35" t="n"/>
      <c r="K803" s="34" t="n"/>
      <c r="L803" s="26">
        <f>IF(A803="","",MONTH(A803))</f>
        <v>9</v>
      </c>
      <c r="M803" s="26">
        <f>IF(A803="","",YEAR(A803))</f>
        <v>2026</v>
      </c>
      <c r="N803" s="26" t="str">
        <f>IF(A803="","",CHOOSE(WEEKDAY(A803,2),"Segunda","Terça","Quarta","Quinta","Sexta","Sábado","Domingo"))</f>
        <v>Segunda</v>
      </c>
      <c r="O803" s="26" t="str">
        <f>IF(B803="","",IF(B803&lt;TIME(12,0,0),"Manhã",IF(B803&lt;TIME(18,0,0),"Tarde","Noite")))</f>
        <v>Tarde</v>
      </c>
      <c r="P803" s="32">
        <f>IF(G803="","",IFERROR(INDEX(Config!$I$5:$I$16,MATCH(G803,Config!$H$5:$H$16,0)),0))</f>
        <v>30</v>
      </c>
      <c r="Q803" s="30">
        <f>IF(OR(H803&lt;&gt;"Realizado",P803="",P803=0),"",A803+P803)</f>
        <v/>
      </c>
      <c r="R803" s="26">
        <f>IF(Q803="","",IF(COUNTIFS($E$5:$E$1204,E803,$A$5:$A$1204,"&gt;"&amp;A803,$H$5:$H$1204,"&lt;&gt;Falta",$H$5:$H$1204,"&lt;&gt;Cancelado",$H$5:$H$1204,"&lt;&gt;Remarcado")&gt;0,"Sim","Não"))</f>
        <v/>
      </c>
      <c r="S803" s="32">
        <f>IF(R803&lt;&gt;"Não","",IF(Q803+Config!$B$9&lt;=Config!$B$8,Config!$B$8-Q803,""))</f>
        <v/>
      </c>
      <c r="T803" s="26">
        <f>IF(S803="","","Sim")</f>
        <v/>
      </c>
      <c r="U803" s="41">
        <f>IF(T803="Sim",S803+ROW()/100000,0)</f>
        <v>0</v>
      </c>
      <c r="V803" s="41">
        <f>IF(AND(H803="Falta",L803=Config!$B$7,M803=Config!$B$5,COUNTIFS($E$5:E803,E803,$H$5:H803,"Falta",$L$5:L803,Config!$B$7,$M$5:M803,Config!$B$5)=1),COUNTIFS($E$5:$E$1204,E803,$H$5:$H$1204,"Falta",$L$5:$L$1204,Config!$B$7,$M$5:$M$1204,Config!$B$5)*1000-ROW()/100000,0)</f>
        <v>0</v>
      </c>
    </row>
    <row r="804">
      <c r="A804" s="39">
        <f>TODAY()+7</f>
        <v>46286.0</v>
      </c>
      <c r="B804" s="40" t="n">
        <v>0.6736111111111112</v>
      </c>
      <c r="C804" s="35" t="inlineStr">
        <is>
          <t>Dr. Paulo Andrade</t>
        </is>
      </c>
      <c r="D804" s="35" t="inlineStr">
        <is>
          <t>Sala 2</t>
        </is>
      </c>
      <c r="E804" s="34" t="inlineStr">
        <is>
          <t>Ana Costa</t>
        </is>
      </c>
      <c r="F804" s="35" t="inlineStr">
        <is>
          <t>Particular</t>
        </is>
      </c>
      <c r="G804" s="35" t="inlineStr">
        <is>
          <t>Holter</t>
        </is>
      </c>
      <c r="H804" s="35" t="inlineStr">
        <is>
          <t>Agendado</t>
        </is>
      </c>
      <c r="I804" s="35" t="n"/>
      <c r="J804" s="35" t="n"/>
      <c r="K804" s="34" t="n"/>
      <c r="L804" s="26">
        <f>IF(A804="","",MONTH(A804))</f>
        <v>9</v>
      </c>
      <c r="M804" s="26">
        <f>IF(A804="","",YEAR(A804))</f>
        <v>2026</v>
      </c>
      <c r="N804" s="26" t="str">
        <f>IF(A804="","",CHOOSE(WEEKDAY(A804,2),"Segunda","Terça","Quarta","Quinta","Sexta","Sábado","Domingo"))</f>
        <v>Segunda</v>
      </c>
      <c r="O804" s="26" t="str">
        <f>IF(B804="","",IF(B804&lt;TIME(12,0,0),"Manhã",IF(B804&lt;TIME(18,0,0),"Tarde","Noite")))</f>
        <v>Tarde</v>
      </c>
      <c r="P804" s="32">
        <f>IF(G804="","",IFERROR(INDEX(Config!$I$5:$I$16,MATCH(G804,Config!$H$5:$H$16,0)),0))</f>
        <v>0</v>
      </c>
      <c r="Q804" s="30">
        <f>IF(OR(H804&lt;&gt;"Realizado",P804="",P804=0),"",A804+P804)</f>
        <v/>
      </c>
      <c r="R804" s="26">
        <f>IF(Q804="","",IF(COUNTIFS($E$5:$E$1204,E804,$A$5:$A$1204,"&gt;"&amp;A804,$H$5:$H$1204,"&lt;&gt;Falta",$H$5:$H$1204,"&lt;&gt;Cancelado",$H$5:$H$1204,"&lt;&gt;Remarcado")&gt;0,"Sim","Não"))</f>
        <v/>
      </c>
      <c r="S804" s="32">
        <f>IF(R804&lt;&gt;"Não","",IF(Q804+Config!$B$9&lt;=Config!$B$8,Config!$B$8-Q804,""))</f>
        <v/>
      </c>
      <c r="T804" s="26">
        <f>IF(S804="","","Sim")</f>
        <v/>
      </c>
      <c r="U804" s="41">
        <f>IF(T804="Sim",S804+ROW()/100000,0)</f>
        <v>0</v>
      </c>
      <c r="V804" s="41">
        <f>IF(AND(H804="Falta",L804=Config!$B$7,M804=Config!$B$5,COUNTIFS($E$5:E804,E804,$H$5:H804,"Falta",$L$5:L804,Config!$B$7,$M$5:M804,Config!$B$5)=1),COUNTIFS($E$5:$E$1204,E804,$H$5:$H$1204,"Falta",$L$5:$L$1204,Config!$B$7,$M$5:$M$1204,Config!$B$5)*1000-ROW()/100000,0)</f>
        <v>0</v>
      </c>
    </row>
    <row r="805">
      <c r="A805" s="39">
        <f>TODAY()+7</f>
        <v>46286.0</v>
      </c>
      <c r="B805" s="40" t="n">
        <v>0.6875</v>
      </c>
      <c r="C805" s="35" t="inlineStr">
        <is>
          <t>Dr. Paulo Andrade</t>
        </is>
      </c>
      <c r="D805" s="35" t="inlineStr">
        <is>
          <t>Sala 2</t>
        </is>
      </c>
      <c r="E805" s="34" t="inlineStr">
        <is>
          <t>Tatiana Gonçalves</t>
        </is>
      </c>
      <c r="F805" s="35" t="inlineStr">
        <is>
          <t>Saúde Total</t>
        </is>
      </c>
      <c r="G805" s="35" t="inlineStr">
        <is>
          <t>Consulta</t>
        </is>
      </c>
      <c r="H805" s="35" t="inlineStr">
        <is>
          <t>Agendado</t>
        </is>
      </c>
      <c r="I805" s="35" t="n"/>
      <c r="J805" s="35" t="n"/>
      <c r="K805" s="34" t="n"/>
      <c r="L805" s="26">
        <f>IF(A805="","",MONTH(A805))</f>
        <v>9</v>
      </c>
      <c r="M805" s="26">
        <f>IF(A805="","",YEAR(A805))</f>
        <v>2026</v>
      </c>
      <c r="N805" s="26" t="str">
        <f>IF(A805="","",CHOOSE(WEEKDAY(A805,2),"Segunda","Terça","Quarta","Quinta","Sexta","Sábado","Domingo"))</f>
        <v>Segunda</v>
      </c>
      <c r="O805" s="26" t="str">
        <f>IF(B805="","",IF(B805&lt;TIME(12,0,0),"Manhã",IF(B805&lt;TIME(18,0,0),"Tarde","Noite")))</f>
        <v>Tarde</v>
      </c>
      <c r="P805" s="32">
        <f>IF(G805="","",IFERROR(INDEX(Config!$I$5:$I$16,MATCH(G805,Config!$H$5:$H$16,0)),0))</f>
        <v>30</v>
      </c>
      <c r="Q805" s="30">
        <f>IF(OR(H805&lt;&gt;"Realizado",P805="",P805=0),"",A805+P805)</f>
        <v/>
      </c>
      <c r="R805" s="26">
        <f>IF(Q805="","",IF(COUNTIFS($E$5:$E$1204,E805,$A$5:$A$1204,"&gt;"&amp;A805,$H$5:$H$1204,"&lt;&gt;Falta",$H$5:$H$1204,"&lt;&gt;Cancelado",$H$5:$H$1204,"&lt;&gt;Remarcado")&gt;0,"Sim","Não"))</f>
        <v/>
      </c>
      <c r="S805" s="32">
        <f>IF(R805&lt;&gt;"Não","",IF(Q805+Config!$B$9&lt;=Config!$B$8,Config!$B$8-Q805,""))</f>
        <v/>
      </c>
      <c r="T805" s="26">
        <f>IF(S805="","","Sim")</f>
        <v/>
      </c>
      <c r="U805" s="41">
        <f>IF(T805="Sim",S805+ROW()/100000,0)</f>
        <v>0</v>
      </c>
      <c r="V805" s="41">
        <f>IF(AND(H805="Falta",L805=Config!$B$7,M805=Config!$B$5,COUNTIFS($E$5:E805,E805,$H$5:H805,"Falta",$L$5:L805,Config!$B$7,$M$5:M805,Config!$B$5)=1),COUNTIFS($E$5:$E$1204,E805,$H$5:$H$1204,"Falta",$L$5:$L$1204,Config!$B$7,$M$5:$M$1204,Config!$B$5)*1000-ROW()/100000,0)</f>
        <v>0</v>
      </c>
    </row>
    <row r="806">
      <c r="A806" s="39">
        <f>TODAY()+7</f>
        <v>46286.0</v>
      </c>
      <c r="B806" s="40" t="n">
        <v>0.7083333333333334</v>
      </c>
      <c r="C806" s="35" t="inlineStr">
        <is>
          <t>Dr. Paulo Andrade</t>
        </is>
      </c>
      <c r="D806" s="35" t="inlineStr">
        <is>
          <t>Sala 2</t>
        </is>
      </c>
      <c r="E806" s="34" t="inlineStr">
        <is>
          <t>Paulo Nascimento</t>
        </is>
      </c>
      <c r="F806" s="35" t="inlineStr">
        <is>
          <t>MediPlan</t>
        </is>
      </c>
      <c r="G806" s="35" t="inlineStr">
        <is>
          <t>Consulta</t>
        </is>
      </c>
      <c r="H806" s="35" t="inlineStr">
        <is>
          <t>Agendado</t>
        </is>
      </c>
      <c r="I806" s="35" t="n"/>
      <c r="J806" s="35" t="n"/>
      <c r="K806" s="34" t="n"/>
      <c r="L806" s="26">
        <f>IF(A806="","",MONTH(A806))</f>
        <v>9</v>
      </c>
      <c r="M806" s="26">
        <f>IF(A806="","",YEAR(A806))</f>
        <v>2026</v>
      </c>
      <c r="N806" s="26" t="str">
        <f>IF(A806="","",CHOOSE(WEEKDAY(A806,2),"Segunda","Terça","Quarta","Quinta","Sexta","Sábado","Domingo"))</f>
        <v>Segunda</v>
      </c>
      <c r="O806" s="26" t="str">
        <f>IF(B806="","",IF(B806&lt;TIME(12,0,0),"Manhã",IF(B806&lt;TIME(18,0,0),"Tarde","Noite")))</f>
        <v>Tarde</v>
      </c>
      <c r="P806" s="32">
        <f>IF(G806="","",IFERROR(INDEX(Config!$I$5:$I$16,MATCH(G806,Config!$H$5:$H$16,0)),0))</f>
        <v>30</v>
      </c>
      <c r="Q806" s="30">
        <f>IF(OR(H806&lt;&gt;"Realizado",P806="",P806=0),"",A806+P806)</f>
        <v/>
      </c>
      <c r="R806" s="26">
        <f>IF(Q806="","",IF(COUNTIFS($E$5:$E$1204,E806,$A$5:$A$1204,"&gt;"&amp;A806,$H$5:$H$1204,"&lt;&gt;Falta",$H$5:$H$1204,"&lt;&gt;Cancelado",$H$5:$H$1204,"&lt;&gt;Remarcado")&gt;0,"Sim","Não"))</f>
        <v/>
      </c>
      <c r="S806" s="32">
        <f>IF(R806&lt;&gt;"Não","",IF(Q806+Config!$B$9&lt;=Config!$B$8,Config!$B$8-Q806,""))</f>
        <v/>
      </c>
      <c r="T806" s="26">
        <f>IF(S806="","","Sim")</f>
        <v/>
      </c>
      <c r="U806" s="41">
        <f>IF(T806="Sim",S806+ROW()/100000,0)</f>
        <v>0</v>
      </c>
      <c r="V806" s="41">
        <f>IF(AND(H806="Falta",L806=Config!$B$7,M806=Config!$B$5,COUNTIFS($E$5:E806,E806,$H$5:H806,"Falta",$L$5:L806,Config!$B$7,$M$5:M806,Config!$B$5)=1),COUNTIFS($E$5:$E$1204,E806,$H$5:$H$1204,"Falta",$L$5:$L$1204,Config!$B$7,$M$5:$M$1204,Config!$B$5)*1000-ROW()/100000,0)</f>
        <v>0</v>
      </c>
    </row>
    <row r="807">
      <c r="A807" s="39">
        <f>TODAY()+7</f>
        <v>46286.0</v>
      </c>
      <c r="B807" s="40" t="n">
        <v>0.7291666666666666</v>
      </c>
      <c r="C807" s="35" t="inlineStr">
        <is>
          <t>Dr. Paulo Andrade</t>
        </is>
      </c>
      <c r="D807" s="35" t="inlineStr">
        <is>
          <t>Sala 2</t>
        </is>
      </c>
      <c r="E807" s="34" t="inlineStr">
        <is>
          <t>Wagner Santos</t>
        </is>
      </c>
      <c r="F807" s="35" t="inlineStr">
        <is>
          <t>Particular</t>
        </is>
      </c>
      <c r="G807" s="35" t="inlineStr">
        <is>
          <t>ECG</t>
        </is>
      </c>
      <c r="H807" s="35" t="inlineStr">
        <is>
          <t>Agendado</t>
        </is>
      </c>
      <c r="I807" s="35" t="n"/>
      <c r="J807" s="35" t="n"/>
      <c r="K807" s="34" t="n"/>
      <c r="L807" s="26">
        <f>IF(A807="","",MONTH(A807))</f>
        <v>9</v>
      </c>
      <c r="M807" s="26">
        <f>IF(A807="","",YEAR(A807))</f>
        <v>2026</v>
      </c>
      <c r="N807" s="26" t="str">
        <f>IF(A807="","",CHOOSE(WEEKDAY(A807,2),"Segunda","Terça","Quarta","Quinta","Sexta","Sábado","Domingo"))</f>
        <v>Segunda</v>
      </c>
      <c r="O807" s="26" t="str">
        <f>IF(B807="","",IF(B807&lt;TIME(12,0,0),"Manhã",IF(B807&lt;TIME(18,0,0),"Tarde","Noite")))</f>
        <v>Tarde</v>
      </c>
      <c r="P807" s="32">
        <f>IF(G807="","",IFERROR(INDEX(Config!$I$5:$I$16,MATCH(G807,Config!$H$5:$H$16,0)),0))</f>
        <v>0</v>
      </c>
      <c r="Q807" s="30">
        <f>IF(OR(H807&lt;&gt;"Realizado",P807="",P807=0),"",A807+P807)</f>
        <v/>
      </c>
      <c r="R807" s="26">
        <f>IF(Q807="","",IF(COUNTIFS($E$5:$E$1204,E807,$A$5:$A$1204,"&gt;"&amp;A807,$H$5:$H$1204,"&lt;&gt;Falta",$H$5:$H$1204,"&lt;&gt;Cancelado",$H$5:$H$1204,"&lt;&gt;Remarcado")&gt;0,"Sim","Não"))</f>
        <v/>
      </c>
      <c r="S807" s="32">
        <f>IF(R807&lt;&gt;"Não","",IF(Q807+Config!$B$9&lt;=Config!$B$8,Config!$B$8-Q807,""))</f>
        <v/>
      </c>
      <c r="T807" s="26">
        <f>IF(S807="","","Sim")</f>
        <v/>
      </c>
      <c r="U807" s="41">
        <f>IF(T807="Sim",S807+ROW()/100000,0)</f>
        <v>0</v>
      </c>
      <c r="V807" s="41">
        <f>IF(AND(H807="Falta",L807=Config!$B$7,M807=Config!$B$5,COUNTIFS($E$5:E807,E807,$H$5:H807,"Falta",$L$5:L807,Config!$B$7,$M$5:M807,Config!$B$5)=1),COUNTIFS($E$5:$E$1204,E807,$H$5:$H$1204,"Falta",$L$5:$L$1204,Config!$B$7,$M$5:$M$1204,Config!$B$5)*1000-ROW()/100000,0)</f>
        <v>0</v>
      </c>
    </row>
    <row r="808">
      <c r="A808" s="39">
        <f>TODAY()+8</f>
        <v>46287.0</v>
      </c>
      <c r="B808" s="40" t="n">
        <v>0.3541666666666667</v>
      </c>
      <c r="C808" s="35" t="inlineStr">
        <is>
          <t>Dra. Carolina Mendes</t>
        </is>
      </c>
      <c r="D808" s="35" t="inlineStr">
        <is>
          <t>Sala 1</t>
        </is>
      </c>
      <c r="E808" s="34" t="inlineStr">
        <is>
          <t>Fábio Machado</t>
        </is>
      </c>
      <c r="F808" s="35" t="inlineStr">
        <is>
          <t>Particular</t>
        </is>
      </c>
      <c r="G808" s="35" t="inlineStr">
        <is>
          <t>Consulta</t>
        </is>
      </c>
      <c r="H808" s="35" t="inlineStr">
        <is>
          <t>Agendado</t>
        </is>
      </c>
      <c r="I808" s="35" t="n"/>
      <c r="J808" s="35" t="n"/>
      <c r="K808" s="34" t="n"/>
      <c r="L808" s="26">
        <f>IF(A808="","",MONTH(A808))</f>
        <v>9</v>
      </c>
      <c r="M808" s="26">
        <f>IF(A808="","",YEAR(A808))</f>
        <v>2026</v>
      </c>
      <c r="N808" s="26" t="str">
        <f>IF(A808="","",CHOOSE(WEEKDAY(A808,2),"Segunda","Terça","Quarta","Quinta","Sexta","Sábado","Domingo"))</f>
        <v>Terça</v>
      </c>
      <c r="O808" s="26" t="str">
        <f>IF(B808="","",IF(B808&lt;TIME(12,0,0),"Manhã",IF(B808&lt;TIME(18,0,0),"Tarde","Noite")))</f>
        <v>Manhã</v>
      </c>
      <c r="P808" s="32">
        <f>IF(G808="","",IFERROR(INDEX(Config!$I$5:$I$16,MATCH(G808,Config!$H$5:$H$16,0)),0))</f>
        <v>30</v>
      </c>
      <c r="Q808" s="30">
        <f>IF(OR(H808&lt;&gt;"Realizado",P808="",P808=0),"",A808+P808)</f>
        <v/>
      </c>
      <c r="R808" s="26">
        <f>IF(Q808="","",IF(COUNTIFS($E$5:$E$1204,E808,$A$5:$A$1204,"&gt;"&amp;A808,$H$5:$H$1204,"&lt;&gt;Falta",$H$5:$H$1204,"&lt;&gt;Cancelado",$H$5:$H$1204,"&lt;&gt;Remarcado")&gt;0,"Sim","Não"))</f>
        <v/>
      </c>
      <c r="S808" s="32">
        <f>IF(R808&lt;&gt;"Não","",IF(Q808+Config!$B$9&lt;=Config!$B$8,Config!$B$8-Q808,""))</f>
        <v/>
      </c>
      <c r="T808" s="26">
        <f>IF(S808="","","Sim")</f>
        <v/>
      </c>
      <c r="U808" s="41">
        <f>IF(T808="Sim",S808+ROW()/100000,0)</f>
        <v>0</v>
      </c>
      <c r="V808" s="41">
        <f>IF(AND(H808="Falta",L808=Config!$B$7,M808=Config!$B$5,COUNTIFS($E$5:E808,E808,$H$5:H808,"Falta",$L$5:L808,Config!$B$7,$M$5:M808,Config!$B$5)=1),COUNTIFS($E$5:$E$1204,E808,$H$5:$H$1204,"Falta",$L$5:$L$1204,Config!$B$7,$M$5:$M$1204,Config!$B$5)*1000-ROW()/100000,0)</f>
        <v>0</v>
      </c>
    </row>
    <row r="809">
      <c r="A809" s="39">
        <f>TODAY()+8</f>
        <v>46287.0</v>
      </c>
      <c r="B809" s="40" t="n">
        <v>0.375</v>
      </c>
      <c r="C809" s="35" t="inlineStr">
        <is>
          <t>Dra. Carolina Mendes</t>
        </is>
      </c>
      <c r="D809" s="35" t="inlineStr">
        <is>
          <t>Sala 1</t>
        </is>
      </c>
      <c r="E809" s="34" t="inlineStr">
        <is>
          <t>Wagner Lima</t>
        </is>
      </c>
      <c r="F809" s="35" t="inlineStr">
        <is>
          <t>Particular</t>
        </is>
      </c>
      <c r="G809" s="35" t="inlineStr">
        <is>
          <t>Consulta</t>
        </is>
      </c>
      <c r="H809" s="35" t="inlineStr">
        <is>
          <t>Agendado</t>
        </is>
      </c>
      <c r="I809" s="35" t="n"/>
      <c r="J809" s="35" t="n"/>
      <c r="K809" s="34" t="n"/>
      <c r="L809" s="26">
        <f>IF(A809="","",MONTH(A809))</f>
        <v>9</v>
      </c>
      <c r="M809" s="26">
        <f>IF(A809="","",YEAR(A809))</f>
        <v>2026</v>
      </c>
      <c r="N809" s="26" t="str">
        <f>IF(A809="","",CHOOSE(WEEKDAY(A809,2),"Segunda","Terça","Quarta","Quinta","Sexta","Sábado","Domingo"))</f>
        <v>Terça</v>
      </c>
      <c r="O809" s="26" t="str">
        <f>IF(B809="","",IF(B809&lt;TIME(12,0,0),"Manhã",IF(B809&lt;TIME(18,0,0),"Tarde","Noite")))</f>
        <v>Manhã</v>
      </c>
      <c r="P809" s="32">
        <f>IF(G809="","",IFERROR(INDEX(Config!$I$5:$I$16,MATCH(G809,Config!$H$5:$H$16,0)),0))</f>
        <v>30</v>
      </c>
      <c r="Q809" s="30">
        <f>IF(OR(H809&lt;&gt;"Realizado",P809="",P809=0),"",A809+P809)</f>
        <v/>
      </c>
      <c r="R809" s="26">
        <f>IF(Q809="","",IF(COUNTIFS($E$5:$E$1204,E809,$A$5:$A$1204,"&gt;"&amp;A809,$H$5:$H$1204,"&lt;&gt;Falta",$H$5:$H$1204,"&lt;&gt;Cancelado",$H$5:$H$1204,"&lt;&gt;Remarcado")&gt;0,"Sim","Não"))</f>
        <v/>
      </c>
      <c r="S809" s="32">
        <f>IF(R809&lt;&gt;"Não","",IF(Q809+Config!$B$9&lt;=Config!$B$8,Config!$B$8-Q809,""))</f>
        <v/>
      </c>
      <c r="T809" s="26">
        <f>IF(S809="","","Sim")</f>
        <v/>
      </c>
      <c r="U809" s="41">
        <f>IF(T809="Sim",S809+ROW()/100000,0)</f>
        <v>0</v>
      </c>
      <c r="V809" s="41">
        <f>IF(AND(H809="Falta",L809=Config!$B$7,M809=Config!$B$5,COUNTIFS($E$5:E809,E809,$H$5:H809,"Falta",$L$5:L809,Config!$B$7,$M$5:M809,Config!$B$5)=1),COUNTIFS($E$5:$E$1204,E809,$H$5:$H$1204,"Falta",$L$5:$L$1204,Config!$B$7,$M$5:$M$1204,Config!$B$5)*1000-ROW()/100000,0)</f>
        <v>0</v>
      </c>
    </row>
    <row r="810">
      <c r="A810" s="39">
        <f>TODAY()+8</f>
        <v>46287.0</v>
      </c>
      <c r="B810" s="40" t="n">
        <v>0.3958333333333333</v>
      </c>
      <c r="C810" s="35" t="inlineStr">
        <is>
          <t>Dra. Carolina Mendes</t>
        </is>
      </c>
      <c r="D810" s="35" t="inlineStr">
        <is>
          <t>Sala 1</t>
        </is>
      </c>
      <c r="E810" s="34" t="inlineStr">
        <is>
          <t>Renato Dias</t>
        </is>
      </c>
      <c r="F810" s="35" t="inlineStr">
        <is>
          <t>Particular</t>
        </is>
      </c>
      <c r="G810" s="35" t="inlineStr">
        <is>
          <t>Consulta</t>
        </is>
      </c>
      <c r="H810" s="35" t="inlineStr">
        <is>
          <t>Agendado</t>
        </is>
      </c>
      <c r="I810" s="35" t="n"/>
      <c r="J810" s="35" t="n"/>
      <c r="K810" s="34" t="n"/>
      <c r="L810" s="26">
        <f>IF(A810="","",MONTH(A810))</f>
        <v>9</v>
      </c>
      <c r="M810" s="26">
        <f>IF(A810="","",YEAR(A810))</f>
        <v>2026</v>
      </c>
      <c r="N810" s="26" t="str">
        <f>IF(A810="","",CHOOSE(WEEKDAY(A810,2),"Segunda","Terça","Quarta","Quinta","Sexta","Sábado","Domingo"))</f>
        <v>Terça</v>
      </c>
      <c r="O810" s="26" t="str">
        <f>IF(B810="","",IF(B810&lt;TIME(12,0,0),"Manhã",IF(B810&lt;TIME(18,0,0),"Tarde","Noite")))</f>
        <v>Manhã</v>
      </c>
      <c r="P810" s="32">
        <f>IF(G810="","",IFERROR(INDEX(Config!$I$5:$I$16,MATCH(G810,Config!$H$5:$H$16,0)),0))</f>
        <v>30</v>
      </c>
      <c r="Q810" s="30">
        <f>IF(OR(H810&lt;&gt;"Realizado",P810="",P810=0),"",A810+P810)</f>
        <v/>
      </c>
      <c r="R810" s="26">
        <f>IF(Q810="","",IF(COUNTIFS($E$5:$E$1204,E810,$A$5:$A$1204,"&gt;"&amp;A810,$H$5:$H$1204,"&lt;&gt;Falta",$H$5:$H$1204,"&lt;&gt;Cancelado",$H$5:$H$1204,"&lt;&gt;Remarcado")&gt;0,"Sim","Não"))</f>
        <v/>
      </c>
      <c r="S810" s="32">
        <f>IF(R810&lt;&gt;"Não","",IF(Q810+Config!$B$9&lt;=Config!$B$8,Config!$B$8-Q810,""))</f>
        <v/>
      </c>
      <c r="T810" s="26">
        <f>IF(S810="","","Sim")</f>
        <v/>
      </c>
      <c r="U810" s="41">
        <f>IF(T810="Sim",S810+ROW()/100000,0)</f>
        <v>0</v>
      </c>
      <c r="V810" s="41">
        <f>IF(AND(H810="Falta",L810=Config!$B$7,M810=Config!$B$5,COUNTIFS($E$5:E810,E810,$H$5:H810,"Falta",$L$5:L810,Config!$B$7,$M$5:M810,Config!$B$5)=1),COUNTIFS($E$5:$E$1204,E810,$H$5:$H$1204,"Falta",$L$5:$L$1204,Config!$B$7,$M$5:$M$1204,Config!$B$5)*1000-ROW()/100000,0)</f>
        <v>0</v>
      </c>
    </row>
    <row r="811">
      <c r="A811" s="39">
        <f>TODAY()+8</f>
        <v>46287.0</v>
      </c>
      <c r="B811" s="40" t="n">
        <v>0.4166666666666667</v>
      </c>
      <c r="C811" s="35" t="inlineStr">
        <is>
          <t>Dra. Carolina Mendes</t>
        </is>
      </c>
      <c r="D811" s="35" t="inlineStr">
        <is>
          <t>Sala 1</t>
        </is>
      </c>
      <c r="E811" s="34" t="inlineStr">
        <is>
          <t>Otávio Cardoso</t>
        </is>
      </c>
      <c r="F811" s="35" t="inlineStr">
        <is>
          <t>Particular</t>
        </is>
      </c>
      <c r="G811" s="35" t="inlineStr">
        <is>
          <t>Retorno</t>
        </is>
      </c>
      <c r="H811" s="35" t="inlineStr">
        <is>
          <t>Agendado</t>
        </is>
      </c>
      <c r="I811" s="35" t="n"/>
      <c r="J811" s="35" t="n"/>
      <c r="K811" s="34" t="n"/>
      <c r="L811" s="26">
        <f>IF(A811="","",MONTH(A811))</f>
        <v>9</v>
      </c>
      <c r="M811" s="26">
        <f>IF(A811="","",YEAR(A811))</f>
        <v>2026</v>
      </c>
      <c r="N811" s="26" t="str">
        <f>IF(A811="","",CHOOSE(WEEKDAY(A811,2),"Segunda","Terça","Quarta","Quinta","Sexta","Sábado","Domingo"))</f>
        <v>Terça</v>
      </c>
      <c r="O811" s="26" t="str">
        <f>IF(B811="","",IF(B811&lt;TIME(12,0,0),"Manhã",IF(B811&lt;TIME(18,0,0),"Tarde","Noite")))</f>
        <v>Manhã</v>
      </c>
      <c r="P811" s="32">
        <f>IF(G811="","",IFERROR(INDEX(Config!$I$5:$I$16,MATCH(G811,Config!$H$5:$H$16,0)),0))</f>
        <v>0</v>
      </c>
      <c r="Q811" s="30">
        <f>IF(OR(H811&lt;&gt;"Realizado",P811="",P811=0),"",A811+P811)</f>
        <v/>
      </c>
      <c r="R811" s="26">
        <f>IF(Q811="","",IF(COUNTIFS($E$5:$E$1204,E811,$A$5:$A$1204,"&gt;"&amp;A811,$H$5:$H$1204,"&lt;&gt;Falta",$H$5:$H$1204,"&lt;&gt;Cancelado",$H$5:$H$1204,"&lt;&gt;Remarcado")&gt;0,"Sim","Não"))</f>
        <v/>
      </c>
      <c r="S811" s="32">
        <f>IF(R811&lt;&gt;"Não","",IF(Q811+Config!$B$9&lt;=Config!$B$8,Config!$B$8-Q811,""))</f>
        <v/>
      </c>
      <c r="T811" s="26">
        <f>IF(S811="","","Sim")</f>
        <v/>
      </c>
      <c r="U811" s="41">
        <f>IF(T811="Sim",S811+ROW()/100000,0)</f>
        <v>0</v>
      </c>
      <c r="V811" s="41">
        <f>IF(AND(H811="Falta",L811=Config!$B$7,M811=Config!$B$5,COUNTIFS($E$5:E811,E811,$H$5:H811,"Falta",$L$5:L811,Config!$B$7,$M$5:M811,Config!$B$5)=1),COUNTIFS($E$5:$E$1204,E811,$H$5:$H$1204,"Falta",$L$5:$L$1204,Config!$B$7,$M$5:$M$1204,Config!$B$5)*1000-ROW()/100000,0)</f>
        <v>0</v>
      </c>
    </row>
    <row r="812">
      <c r="A812" s="39">
        <f>TODAY()+8</f>
        <v>46287.0</v>
      </c>
      <c r="B812" s="40" t="n">
        <v>0.4305555555555556</v>
      </c>
      <c r="C812" s="35" t="inlineStr">
        <is>
          <t>Dra. Carolina Mendes</t>
        </is>
      </c>
      <c r="D812" s="35" t="inlineStr">
        <is>
          <t>Sala 1</t>
        </is>
      </c>
      <c r="E812" s="34" t="inlineStr">
        <is>
          <t>Eduardo Nunes</t>
        </is>
      </c>
      <c r="F812" s="35" t="inlineStr">
        <is>
          <t>MediPlan</t>
        </is>
      </c>
      <c r="G812" s="35" t="inlineStr">
        <is>
          <t>Consulta</t>
        </is>
      </c>
      <c r="H812" s="35" t="inlineStr">
        <is>
          <t>Agendado</t>
        </is>
      </c>
      <c r="I812" s="35" t="n"/>
      <c r="J812" s="35" t="n"/>
      <c r="K812" s="34" t="n"/>
      <c r="L812" s="26">
        <f>IF(A812="","",MONTH(A812))</f>
        <v>9</v>
      </c>
      <c r="M812" s="26">
        <f>IF(A812="","",YEAR(A812))</f>
        <v>2026</v>
      </c>
      <c r="N812" s="26" t="str">
        <f>IF(A812="","",CHOOSE(WEEKDAY(A812,2),"Segunda","Terça","Quarta","Quinta","Sexta","Sábado","Domingo"))</f>
        <v>Terça</v>
      </c>
      <c r="O812" s="26" t="str">
        <f>IF(B812="","",IF(B812&lt;TIME(12,0,0),"Manhã",IF(B812&lt;TIME(18,0,0),"Tarde","Noite")))</f>
        <v>Manhã</v>
      </c>
      <c r="P812" s="32">
        <f>IF(G812="","",IFERROR(INDEX(Config!$I$5:$I$16,MATCH(G812,Config!$H$5:$H$16,0)),0))</f>
        <v>30</v>
      </c>
      <c r="Q812" s="30">
        <f>IF(OR(H812&lt;&gt;"Realizado",P812="",P812=0),"",A812+P812)</f>
        <v/>
      </c>
      <c r="R812" s="26">
        <f>IF(Q812="","",IF(COUNTIFS($E$5:$E$1204,E812,$A$5:$A$1204,"&gt;"&amp;A812,$H$5:$H$1204,"&lt;&gt;Falta",$H$5:$H$1204,"&lt;&gt;Cancelado",$H$5:$H$1204,"&lt;&gt;Remarcado")&gt;0,"Sim","Não"))</f>
        <v/>
      </c>
      <c r="S812" s="32">
        <f>IF(R812&lt;&gt;"Não","",IF(Q812+Config!$B$9&lt;=Config!$B$8,Config!$B$8-Q812,""))</f>
        <v/>
      </c>
      <c r="T812" s="26">
        <f>IF(S812="","","Sim")</f>
        <v/>
      </c>
      <c r="U812" s="41">
        <f>IF(T812="Sim",S812+ROW()/100000,0)</f>
        <v>0</v>
      </c>
      <c r="V812" s="41">
        <f>IF(AND(H812="Falta",L812=Config!$B$7,M812=Config!$B$5,COUNTIFS($E$5:E812,E812,$H$5:H812,"Falta",$L$5:L812,Config!$B$7,$M$5:M812,Config!$B$5)=1),COUNTIFS($E$5:$E$1204,E812,$H$5:$H$1204,"Falta",$L$5:$L$1204,Config!$B$7,$M$5:$M$1204,Config!$B$5)*1000-ROW()/100000,0)</f>
        <v>0</v>
      </c>
    </row>
    <row r="813">
      <c r="A813" s="39">
        <f>TODAY()+8</f>
        <v>46287.0</v>
      </c>
      <c r="B813" s="40" t="n">
        <v>0.4513888888888889</v>
      </c>
      <c r="C813" s="35" t="inlineStr">
        <is>
          <t>Dra. Carolina Mendes</t>
        </is>
      </c>
      <c r="D813" s="35" t="inlineStr">
        <is>
          <t>Sala 1</t>
        </is>
      </c>
      <c r="E813" s="34" t="inlineStr">
        <is>
          <t>Mariana Nascimento</t>
        </is>
      </c>
      <c r="F813" s="35" t="inlineStr">
        <is>
          <t>Particular</t>
        </is>
      </c>
      <c r="G813" s="35" t="inlineStr">
        <is>
          <t>Consulta</t>
        </is>
      </c>
      <c r="H813" s="35" t="inlineStr">
        <is>
          <t>Agendado</t>
        </is>
      </c>
      <c r="I813" s="35" t="n"/>
      <c r="J813" s="35" t="n"/>
      <c r="K813" s="34" t="n"/>
      <c r="L813" s="26">
        <f>IF(A813="","",MONTH(A813))</f>
        <v>9</v>
      </c>
      <c r="M813" s="26">
        <f>IF(A813="","",YEAR(A813))</f>
        <v>2026</v>
      </c>
      <c r="N813" s="26" t="str">
        <f>IF(A813="","",CHOOSE(WEEKDAY(A813,2),"Segunda","Terça","Quarta","Quinta","Sexta","Sábado","Domingo"))</f>
        <v>Terça</v>
      </c>
      <c r="O813" s="26" t="str">
        <f>IF(B813="","",IF(B813&lt;TIME(12,0,0),"Manhã",IF(B813&lt;TIME(18,0,0),"Tarde","Noite")))</f>
        <v>Manhã</v>
      </c>
      <c r="P813" s="32">
        <f>IF(G813="","",IFERROR(INDEX(Config!$I$5:$I$16,MATCH(G813,Config!$H$5:$H$16,0)),0))</f>
        <v>30</v>
      </c>
      <c r="Q813" s="30">
        <f>IF(OR(H813&lt;&gt;"Realizado",P813="",P813=0),"",A813+P813)</f>
        <v/>
      </c>
      <c r="R813" s="26">
        <f>IF(Q813="","",IF(COUNTIFS($E$5:$E$1204,E813,$A$5:$A$1204,"&gt;"&amp;A813,$H$5:$H$1204,"&lt;&gt;Falta",$H$5:$H$1204,"&lt;&gt;Cancelado",$H$5:$H$1204,"&lt;&gt;Remarcado")&gt;0,"Sim","Não"))</f>
        <v/>
      </c>
      <c r="S813" s="32">
        <f>IF(R813&lt;&gt;"Não","",IF(Q813+Config!$B$9&lt;=Config!$B$8,Config!$B$8-Q813,""))</f>
        <v/>
      </c>
      <c r="T813" s="26">
        <f>IF(S813="","","Sim")</f>
        <v/>
      </c>
      <c r="U813" s="41">
        <f>IF(T813="Sim",S813+ROW()/100000,0)</f>
        <v>0</v>
      </c>
      <c r="V813" s="41">
        <f>IF(AND(H813="Falta",L813=Config!$B$7,M813=Config!$B$5,COUNTIFS($E$5:E813,E813,$H$5:H813,"Falta",$L$5:L813,Config!$B$7,$M$5:M813,Config!$B$5)=1),COUNTIFS($E$5:$E$1204,E813,$H$5:$H$1204,"Falta",$L$5:$L$1204,Config!$B$7,$M$5:$M$1204,Config!$B$5)*1000-ROW()/100000,0)</f>
        <v>0</v>
      </c>
    </row>
    <row r="814">
      <c r="A814" s="39">
        <f>TODAY()+8</f>
        <v>46287.0</v>
      </c>
      <c r="B814" s="40" t="n">
        <v>0.4722222222222222</v>
      </c>
      <c r="C814" s="35" t="inlineStr">
        <is>
          <t>Dra. Carolina Mendes</t>
        </is>
      </c>
      <c r="D814" s="35" t="inlineStr">
        <is>
          <t>Sala 1</t>
        </is>
      </c>
      <c r="E814" s="34" t="inlineStr">
        <is>
          <t>Gustavo Barbosa</t>
        </is>
      </c>
      <c r="F814" s="35" t="inlineStr">
        <is>
          <t>Saúde Total</t>
        </is>
      </c>
      <c r="G814" s="35" t="inlineStr">
        <is>
          <t>Retorno</t>
        </is>
      </c>
      <c r="H814" s="35" t="inlineStr">
        <is>
          <t>Agendado</t>
        </is>
      </c>
      <c r="I814" s="35" t="n"/>
      <c r="J814" s="35" t="n"/>
      <c r="K814" s="34" t="n"/>
      <c r="L814" s="26">
        <f>IF(A814="","",MONTH(A814))</f>
        <v>9</v>
      </c>
      <c r="M814" s="26">
        <f>IF(A814="","",YEAR(A814))</f>
        <v>2026</v>
      </c>
      <c r="N814" s="26" t="str">
        <f>IF(A814="","",CHOOSE(WEEKDAY(A814,2),"Segunda","Terça","Quarta","Quinta","Sexta","Sábado","Domingo"))</f>
        <v>Terça</v>
      </c>
      <c r="O814" s="26" t="str">
        <f>IF(B814="","",IF(B814&lt;TIME(12,0,0),"Manhã",IF(B814&lt;TIME(18,0,0),"Tarde","Noite")))</f>
        <v>Manhã</v>
      </c>
      <c r="P814" s="32">
        <f>IF(G814="","",IFERROR(INDEX(Config!$I$5:$I$16,MATCH(G814,Config!$H$5:$H$16,0)),0))</f>
        <v>0</v>
      </c>
      <c r="Q814" s="30">
        <f>IF(OR(H814&lt;&gt;"Realizado",P814="",P814=0),"",A814+P814)</f>
        <v/>
      </c>
      <c r="R814" s="26">
        <f>IF(Q814="","",IF(COUNTIFS($E$5:$E$1204,E814,$A$5:$A$1204,"&gt;"&amp;A814,$H$5:$H$1204,"&lt;&gt;Falta",$H$5:$H$1204,"&lt;&gt;Cancelado",$H$5:$H$1204,"&lt;&gt;Remarcado")&gt;0,"Sim","Não"))</f>
        <v/>
      </c>
      <c r="S814" s="32">
        <f>IF(R814&lt;&gt;"Não","",IF(Q814+Config!$B$9&lt;=Config!$B$8,Config!$B$8-Q814,""))</f>
        <v/>
      </c>
      <c r="T814" s="26">
        <f>IF(S814="","","Sim")</f>
        <v/>
      </c>
      <c r="U814" s="41">
        <f>IF(T814="Sim",S814+ROW()/100000,0)</f>
        <v>0</v>
      </c>
      <c r="V814" s="41">
        <f>IF(AND(H814="Falta",L814=Config!$B$7,M814=Config!$B$5,COUNTIFS($E$5:E814,E814,$H$5:H814,"Falta",$L$5:L814,Config!$B$7,$M$5:M814,Config!$B$5)=1),COUNTIFS($E$5:$E$1204,E814,$H$5:$H$1204,"Falta",$L$5:$L$1204,Config!$B$7,$M$5:$M$1204,Config!$B$5)*1000-ROW()/100000,0)</f>
        <v>0</v>
      </c>
    </row>
    <row r="815">
      <c r="A815" s="39">
        <f>TODAY()+8</f>
        <v>46287.0</v>
      </c>
      <c r="B815" s="40" t="n">
        <v>0.4861111111111111</v>
      </c>
      <c r="C815" s="35" t="inlineStr">
        <is>
          <t>Dra. Carolina Mendes</t>
        </is>
      </c>
      <c r="D815" s="35" t="inlineStr">
        <is>
          <t>Sala 1</t>
        </is>
      </c>
      <c r="E815" s="34" t="inlineStr">
        <is>
          <t>Mariana Nascimento</t>
        </is>
      </c>
      <c r="F815" s="35" t="inlineStr">
        <is>
          <t>Particular</t>
        </is>
      </c>
      <c r="G815" s="35" t="inlineStr">
        <is>
          <t>Retorno</t>
        </is>
      </c>
      <c r="H815" s="35" t="inlineStr">
        <is>
          <t>Agendado</t>
        </is>
      </c>
      <c r="I815" s="35" t="n"/>
      <c r="J815" s="35" t="n"/>
      <c r="K815" s="34" t="n"/>
      <c r="L815" s="26">
        <f>IF(A815="","",MONTH(A815))</f>
        <v>9</v>
      </c>
      <c r="M815" s="26">
        <f>IF(A815="","",YEAR(A815))</f>
        <v>2026</v>
      </c>
      <c r="N815" s="26" t="str">
        <f>IF(A815="","",CHOOSE(WEEKDAY(A815,2),"Segunda","Terça","Quarta","Quinta","Sexta","Sábado","Domingo"))</f>
        <v>Terça</v>
      </c>
      <c r="O815" s="26" t="str">
        <f>IF(B815="","",IF(B815&lt;TIME(12,0,0),"Manhã",IF(B815&lt;TIME(18,0,0),"Tarde","Noite")))</f>
        <v>Manhã</v>
      </c>
      <c r="P815" s="32">
        <f>IF(G815="","",IFERROR(INDEX(Config!$I$5:$I$16,MATCH(G815,Config!$H$5:$H$16,0)),0))</f>
        <v>0</v>
      </c>
      <c r="Q815" s="30">
        <f>IF(OR(H815&lt;&gt;"Realizado",P815="",P815=0),"",A815+P815)</f>
        <v/>
      </c>
      <c r="R815" s="26">
        <f>IF(Q815="","",IF(COUNTIFS($E$5:$E$1204,E815,$A$5:$A$1204,"&gt;"&amp;A815,$H$5:$H$1204,"&lt;&gt;Falta",$H$5:$H$1204,"&lt;&gt;Cancelado",$H$5:$H$1204,"&lt;&gt;Remarcado")&gt;0,"Sim","Não"))</f>
        <v/>
      </c>
      <c r="S815" s="32">
        <f>IF(R815&lt;&gt;"Não","",IF(Q815+Config!$B$9&lt;=Config!$B$8,Config!$B$8-Q815,""))</f>
        <v/>
      </c>
      <c r="T815" s="26">
        <f>IF(S815="","","Sim")</f>
        <v/>
      </c>
      <c r="U815" s="41">
        <f>IF(T815="Sim",S815+ROW()/100000,0)</f>
        <v>0</v>
      </c>
      <c r="V815" s="41">
        <f>IF(AND(H815="Falta",L815=Config!$B$7,M815=Config!$B$5,COUNTIFS($E$5:E815,E815,$H$5:H815,"Falta",$L$5:L815,Config!$B$7,$M$5:M815,Config!$B$5)=1),COUNTIFS($E$5:$E$1204,E815,$H$5:$H$1204,"Falta",$L$5:$L$1204,Config!$B$7,$M$5:$M$1204,Config!$B$5)*1000-ROW()/100000,0)</f>
        <v>0</v>
      </c>
    </row>
    <row r="816">
      <c r="A816" s="39">
        <f>TODAY()+8</f>
        <v>46287.0</v>
      </c>
      <c r="B816" s="40" t="n">
        <v>0.5833333333333334</v>
      </c>
      <c r="C816" s="35" t="inlineStr">
        <is>
          <t>Dra. Renata Sousa</t>
        </is>
      </c>
      <c r="D816" s="35" t="inlineStr">
        <is>
          <t>Sala 1</t>
        </is>
      </c>
      <c r="E816" s="34" t="inlineStr">
        <is>
          <t>Fernanda Gonçalves</t>
        </is>
      </c>
      <c r="F816" s="35" t="inlineStr">
        <is>
          <t>Saúde Total</t>
        </is>
      </c>
      <c r="G816" s="35" t="inlineStr">
        <is>
          <t>Avaliação endócrina</t>
        </is>
      </c>
      <c r="H816" s="35" t="inlineStr">
        <is>
          <t>Agendado</t>
        </is>
      </c>
      <c r="I816" s="35" t="n"/>
      <c r="J816" s="35" t="n"/>
      <c r="K816" s="34" t="n"/>
      <c r="L816" s="26">
        <f>IF(A816="","",MONTH(A816))</f>
        <v>9</v>
      </c>
      <c r="M816" s="26">
        <f>IF(A816="","",YEAR(A816))</f>
        <v>2026</v>
      </c>
      <c r="N816" s="26" t="str">
        <f>IF(A816="","",CHOOSE(WEEKDAY(A816,2),"Segunda","Terça","Quarta","Quinta","Sexta","Sábado","Domingo"))</f>
        <v>Terça</v>
      </c>
      <c r="O816" s="26" t="str">
        <f>IF(B816="","",IF(B816&lt;TIME(12,0,0),"Manhã",IF(B816&lt;TIME(18,0,0),"Tarde","Noite")))</f>
        <v>Tarde</v>
      </c>
      <c r="P816" s="32">
        <f>IF(G816="","",IFERROR(INDEX(Config!$I$5:$I$16,MATCH(G816,Config!$H$5:$H$16,0)),0))</f>
        <v>45</v>
      </c>
      <c r="Q816" s="30">
        <f>IF(OR(H816&lt;&gt;"Realizado",P816="",P816=0),"",A816+P816)</f>
        <v/>
      </c>
      <c r="R816" s="26">
        <f>IF(Q816="","",IF(COUNTIFS($E$5:$E$1204,E816,$A$5:$A$1204,"&gt;"&amp;A816,$H$5:$H$1204,"&lt;&gt;Falta",$H$5:$H$1204,"&lt;&gt;Cancelado",$H$5:$H$1204,"&lt;&gt;Remarcado")&gt;0,"Sim","Não"))</f>
        <v/>
      </c>
      <c r="S816" s="32">
        <f>IF(R816&lt;&gt;"Não","",IF(Q816+Config!$B$9&lt;=Config!$B$8,Config!$B$8-Q816,""))</f>
        <v/>
      </c>
      <c r="T816" s="26">
        <f>IF(S816="","","Sim")</f>
        <v/>
      </c>
      <c r="U816" s="41">
        <f>IF(T816="Sim",S816+ROW()/100000,0)</f>
        <v>0</v>
      </c>
      <c r="V816" s="41">
        <f>IF(AND(H816="Falta",L816=Config!$B$7,M816=Config!$B$5,COUNTIFS($E$5:E816,E816,$H$5:H816,"Falta",$L$5:L816,Config!$B$7,$M$5:M816,Config!$B$5)=1),COUNTIFS($E$5:$E$1204,E816,$H$5:$H$1204,"Falta",$L$5:$L$1204,Config!$B$7,$M$5:$M$1204,Config!$B$5)*1000-ROW()/100000,0)</f>
        <v>0</v>
      </c>
    </row>
    <row r="817">
      <c r="A817" s="39">
        <f>TODAY()+8</f>
        <v>46287.0</v>
      </c>
      <c r="B817" s="40" t="n">
        <v>0.5833333333333334</v>
      </c>
      <c r="C817" s="35" t="inlineStr">
        <is>
          <t>Dr. Paulo Andrade</t>
        </is>
      </c>
      <c r="D817" s="35" t="inlineStr">
        <is>
          <t>Sala 2</t>
        </is>
      </c>
      <c r="E817" s="34" t="inlineStr">
        <is>
          <t>Beatriz Gonçalves</t>
        </is>
      </c>
      <c r="F817" s="35" t="inlineStr">
        <is>
          <t>Saúde Total</t>
        </is>
      </c>
      <c r="G817" s="35" t="inlineStr">
        <is>
          <t>Retorno</t>
        </is>
      </c>
      <c r="H817" s="35" t="inlineStr">
        <is>
          <t>Agendado</t>
        </is>
      </c>
      <c r="I817" s="35" t="n"/>
      <c r="J817" s="35" t="n"/>
      <c r="K817" s="34" t="n"/>
      <c r="L817" s="26">
        <f>IF(A817="","",MONTH(A817))</f>
        <v>9</v>
      </c>
      <c r="M817" s="26">
        <f>IF(A817="","",YEAR(A817))</f>
        <v>2026</v>
      </c>
      <c r="N817" s="26" t="str">
        <f>IF(A817="","",CHOOSE(WEEKDAY(A817,2),"Segunda","Terça","Quarta","Quinta","Sexta","Sábado","Domingo"))</f>
        <v>Terça</v>
      </c>
      <c r="O817" s="26" t="str">
        <f>IF(B817="","",IF(B817&lt;TIME(12,0,0),"Manhã",IF(B817&lt;TIME(18,0,0),"Tarde","Noite")))</f>
        <v>Tarde</v>
      </c>
      <c r="P817" s="32">
        <f>IF(G817="","",IFERROR(INDEX(Config!$I$5:$I$16,MATCH(G817,Config!$H$5:$H$16,0)),0))</f>
        <v>0</v>
      </c>
      <c r="Q817" s="30">
        <f>IF(OR(H817&lt;&gt;"Realizado",P817="",P817=0),"",A817+P817)</f>
        <v/>
      </c>
      <c r="R817" s="26">
        <f>IF(Q817="","",IF(COUNTIFS($E$5:$E$1204,E817,$A$5:$A$1204,"&gt;"&amp;A817,$H$5:$H$1204,"&lt;&gt;Falta",$H$5:$H$1204,"&lt;&gt;Cancelado",$H$5:$H$1204,"&lt;&gt;Remarcado")&gt;0,"Sim","Não"))</f>
        <v/>
      </c>
      <c r="S817" s="32">
        <f>IF(R817&lt;&gt;"Não","",IF(Q817+Config!$B$9&lt;=Config!$B$8,Config!$B$8-Q817,""))</f>
        <v/>
      </c>
      <c r="T817" s="26">
        <f>IF(S817="","","Sim")</f>
        <v/>
      </c>
      <c r="U817" s="41">
        <f>IF(T817="Sim",S817+ROW()/100000,0)</f>
        <v>0</v>
      </c>
      <c r="V817" s="41">
        <f>IF(AND(H817="Falta",L817=Config!$B$7,M817=Config!$B$5,COUNTIFS($E$5:E817,E817,$H$5:H817,"Falta",$L$5:L817,Config!$B$7,$M$5:M817,Config!$B$5)=1),COUNTIFS($E$5:$E$1204,E817,$H$5:$H$1204,"Falta",$L$5:$L$1204,Config!$B$7,$M$5:$M$1204,Config!$B$5)*1000-ROW()/100000,0)</f>
        <v>0</v>
      </c>
    </row>
    <row r="818">
      <c r="A818" s="39">
        <f>TODAY()+8</f>
        <v>46287.0</v>
      </c>
      <c r="B818" s="40" t="n">
        <v>0.6111111111111112</v>
      </c>
      <c r="C818" s="35" t="inlineStr">
        <is>
          <t>Dra. Renata Sousa</t>
        </is>
      </c>
      <c r="D818" s="35" t="inlineStr">
        <is>
          <t>Sala 1</t>
        </is>
      </c>
      <c r="E818" s="34" t="inlineStr">
        <is>
          <t>Beatriz Gomes</t>
        </is>
      </c>
      <c r="F818" s="35" t="inlineStr">
        <is>
          <t>Particular</t>
        </is>
      </c>
      <c r="G818" s="35" t="inlineStr">
        <is>
          <t>Avaliação endócrina</t>
        </is>
      </c>
      <c r="H818" s="35" t="inlineStr">
        <is>
          <t>Agendado</t>
        </is>
      </c>
      <c r="I818" s="35" t="n"/>
      <c r="J818" s="35" t="n"/>
      <c r="K818" s="34" t="n"/>
      <c r="L818" s="26">
        <f>IF(A818="","",MONTH(A818))</f>
        <v>9</v>
      </c>
      <c r="M818" s="26">
        <f>IF(A818="","",YEAR(A818))</f>
        <v>2026</v>
      </c>
      <c r="N818" s="26" t="str">
        <f>IF(A818="","",CHOOSE(WEEKDAY(A818,2),"Segunda","Terça","Quarta","Quinta","Sexta","Sábado","Domingo"))</f>
        <v>Terça</v>
      </c>
      <c r="O818" s="26" t="str">
        <f>IF(B818="","",IF(B818&lt;TIME(12,0,0),"Manhã",IF(B818&lt;TIME(18,0,0),"Tarde","Noite")))</f>
        <v>Tarde</v>
      </c>
      <c r="P818" s="32">
        <f>IF(G818="","",IFERROR(INDEX(Config!$I$5:$I$16,MATCH(G818,Config!$H$5:$H$16,0)),0))</f>
        <v>45</v>
      </c>
      <c r="Q818" s="30">
        <f>IF(OR(H818&lt;&gt;"Realizado",P818="",P818=0),"",A818+P818)</f>
        <v/>
      </c>
      <c r="R818" s="26">
        <f>IF(Q818="","",IF(COUNTIFS($E$5:$E$1204,E818,$A$5:$A$1204,"&gt;"&amp;A818,$H$5:$H$1204,"&lt;&gt;Falta",$H$5:$H$1204,"&lt;&gt;Cancelado",$H$5:$H$1204,"&lt;&gt;Remarcado")&gt;0,"Sim","Não"))</f>
        <v/>
      </c>
      <c r="S818" s="32">
        <f>IF(R818&lt;&gt;"Não","",IF(Q818+Config!$B$9&lt;=Config!$B$8,Config!$B$8-Q818,""))</f>
        <v/>
      </c>
      <c r="T818" s="26">
        <f>IF(S818="","","Sim")</f>
        <v/>
      </c>
      <c r="U818" s="41">
        <f>IF(T818="Sim",S818+ROW()/100000,0)</f>
        <v>0</v>
      </c>
      <c r="V818" s="41">
        <f>IF(AND(H818="Falta",L818=Config!$B$7,M818=Config!$B$5,COUNTIFS($E$5:E818,E818,$H$5:H818,"Falta",$L$5:L818,Config!$B$7,$M$5:M818,Config!$B$5)=1),COUNTIFS($E$5:$E$1204,E818,$H$5:$H$1204,"Falta",$L$5:$L$1204,Config!$B$7,$M$5:$M$1204,Config!$B$5)*1000-ROW()/100000,0)</f>
        <v>0</v>
      </c>
    </row>
    <row r="819">
      <c r="A819" s="39">
        <f>TODAY()+8</f>
        <v>46287.0</v>
      </c>
      <c r="B819" s="40" t="n">
        <v>0.6180555555555556</v>
      </c>
      <c r="C819" s="35" t="inlineStr">
        <is>
          <t>Dr. Paulo Andrade</t>
        </is>
      </c>
      <c r="D819" s="35" t="inlineStr">
        <is>
          <t>Sala 2</t>
        </is>
      </c>
      <c r="E819" s="34" t="inlineStr">
        <is>
          <t>Viviane Ribeiro</t>
        </is>
      </c>
      <c r="F819" s="35" t="inlineStr">
        <is>
          <t>Particular</t>
        </is>
      </c>
      <c r="G819" s="35" t="inlineStr">
        <is>
          <t>ECG</t>
        </is>
      </c>
      <c r="H819" s="35" t="inlineStr">
        <is>
          <t>Agendado</t>
        </is>
      </c>
      <c r="I819" s="35" t="n"/>
      <c r="J819" s="35" t="n"/>
      <c r="K819" s="34" t="n"/>
      <c r="L819" s="26">
        <f>IF(A819="","",MONTH(A819))</f>
        <v>9</v>
      </c>
      <c r="M819" s="26">
        <f>IF(A819="","",YEAR(A819))</f>
        <v>2026</v>
      </c>
      <c r="N819" s="26" t="str">
        <f>IF(A819="","",CHOOSE(WEEKDAY(A819,2),"Segunda","Terça","Quarta","Quinta","Sexta","Sábado","Domingo"))</f>
        <v>Terça</v>
      </c>
      <c r="O819" s="26" t="str">
        <f>IF(B819="","",IF(B819&lt;TIME(12,0,0),"Manhã",IF(B819&lt;TIME(18,0,0),"Tarde","Noite")))</f>
        <v>Tarde</v>
      </c>
      <c r="P819" s="32">
        <f>IF(G819="","",IFERROR(INDEX(Config!$I$5:$I$16,MATCH(G819,Config!$H$5:$H$16,0)),0))</f>
        <v>0</v>
      </c>
      <c r="Q819" s="30">
        <f>IF(OR(H819&lt;&gt;"Realizado",P819="",P819=0),"",A819+P819)</f>
        <v/>
      </c>
      <c r="R819" s="26">
        <f>IF(Q819="","",IF(COUNTIFS($E$5:$E$1204,E819,$A$5:$A$1204,"&gt;"&amp;A819,$H$5:$H$1204,"&lt;&gt;Falta",$H$5:$H$1204,"&lt;&gt;Cancelado",$H$5:$H$1204,"&lt;&gt;Remarcado")&gt;0,"Sim","Não"))</f>
        <v/>
      </c>
      <c r="S819" s="32">
        <f>IF(R819&lt;&gt;"Não","",IF(Q819+Config!$B$9&lt;=Config!$B$8,Config!$B$8-Q819,""))</f>
        <v/>
      </c>
      <c r="T819" s="26">
        <f>IF(S819="","","Sim")</f>
        <v/>
      </c>
      <c r="U819" s="41">
        <f>IF(T819="Sim",S819+ROW()/100000,0)</f>
        <v>0</v>
      </c>
      <c r="V819" s="41">
        <f>IF(AND(H819="Falta",L819=Config!$B$7,M819=Config!$B$5,COUNTIFS($E$5:E819,E819,$H$5:H819,"Falta",$L$5:L819,Config!$B$7,$M$5:M819,Config!$B$5)=1),COUNTIFS($E$5:$E$1204,E819,$H$5:$H$1204,"Falta",$L$5:$L$1204,Config!$B$7,$M$5:$M$1204,Config!$B$5)*1000-ROW()/100000,0)</f>
        <v>0</v>
      </c>
    </row>
    <row r="820">
      <c r="A820" s="39">
        <f>TODAY()+8</f>
        <v>46287.0</v>
      </c>
      <c r="B820" s="40" t="n">
        <v>0.6319444444444444</v>
      </c>
      <c r="C820" s="35" t="inlineStr">
        <is>
          <t>Dr. Paulo Andrade</t>
        </is>
      </c>
      <c r="D820" s="35" t="inlineStr">
        <is>
          <t>Sala 2</t>
        </is>
      </c>
      <c r="E820" s="34" t="inlineStr">
        <is>
          <t>Leandro Oliveira</t>
        </is>
      </c>
      <c r="F820" s="35" t="inlineStr">
        <is>
          <t>Particular</t>
        </is>
      </c>
      <c r="G820" s="35" t="inlineStr">
        <is>
          <t>Teste ergométrico</t>
        </is>
      </c>
      <c r="H820" s="35" t="inlineStr">
        <is>
          <t>Agendado</t>
        </is>
      </c>
      <c r="I820" s="35" t="n"/>
      <c r="J820" s="35" t="n"/>
      <c r="K820" s="34" t="n"/>
      <c r="L820" s="26">
        <f>IF(A820="","",MONTH(A820))</f>
        <v>9</v>
      </c>
      <c r="M820" s="26">
        <f>IF(A820="","",YEAR(A820))</f>
        <v>2026</v>
      </c>
      <c r="N820" s="26" t="str">
        <f>IF(A820="","",CHOOSE(WEEKDAY(A820,2),"Segunda","Terça","Quarta","Quinta","Sexta","Sábado","Domingo"))</f>
        <v>Terça</v>
      </c>
      <c r="O820" s="26" t="str">
        <f>IF(B820="","",IF(B820&lt;TIME(12,0,0),"Manhã",IF(B820&lt;TIME(18,0,0),"Tarde","Noite")))</f>
        <v>Tarde</v>
      </c>
      <c r="P820" s="32">
        <f>IF(G820="","",IFERROR(INDEX(Config!$I$5:$I$16,MATCH(G820,Config!$H$5:$H$16,0)),0))</f>
        <v>0</v>
      </c>
      <c r="Q820" s="30">
        <f>IF(OR(H820&lt;&gt;"Realizado",P820="",P820=0),"",A820+P820)</f>
        <v/>
      </c>
      <c r="R820" s="26">
        <f>IF(Q820="","",IF(COUNTIFS($E$5:$E$1204,E820,$A$5:$A$1204,"&gt;"&amp;A820,$H$5:$H$1204,"&lt;&gt;Falta",$H$5:$H$1204,"&lt;&gt;Cancelado",$H$5:$H$1204,"&lt;&gt;Remarcado")&gt;0,"Sim","Não"))</f>
        <v/>
      </c>
      <c r="S820" s="32">
        <f>IF(R820&lt;&gt;"Não","",IF(Q820+Config!$B$9&lt;=Config!$B$8,Config!$B$8-Q820,""))</f>
        <v/>
      </c>
      <c r="T820" s="26">
        <f>IF(S820="","","Sim")</f>
        <v/>
      </c>
      <c r="U820" s="41">
        <f>IF(T820="Sim",S820+ROW()/100000,0)</f>
        <v>0</v>
      </c>
      <c r="V820" s="41">
        <f>IF(AND(H820="Falta",L820=Config!$B$7,M820=Config!$B$5,COUNTIFS($E$5:E820,E820,$H$5:H820,"Falta",$L$5:L820,Config!$B$7,$M$5:M820,Config!$B$5)=1),COUNTIFS($E$5:$E$1204,E820,$H$5:$H$1204,"Falta",$L$5:$L$1204,Config!$B$7,$M$5:$M$1204,Config!$B$5)*1000-ROW()/100000,0)</f>
        <v>0</v>
      </c>
    </row>
    <row r="821">
      <c r="A821" s="39">
        <f>TODAY()+8</f>
        <v>46287.0</v>
      </c>
      <c r="B821" s="40" t="n">
        <v>0.6388888888888888</v>
      </c>
      <c r="C821" s="35" t="inlineStr">
        <is>
          <t>Dra. Renata Sousa</t>
        </is>
      </c>
      <c r="D821" s="35" t="inlineStr">
        <is>
          <t>Sala 1</t>
        </is>
      </c>
      <c r="E821" s="34" t="inlineStr">
        <is>
          <t>Priscila Reis</t>
        </is>
      </c>
      <c r="F821" s="35" t="inlineStr">
        <is>
          <t>Particular</t>
        </is>
      </c>
      <c r="G821" s="35" t="inlineStr">
        <is>
          <t>Avaliação endócrina</t>
        </is>
      </c>
      <c r="H821" s="35" t="inlineStr">
        <is>
          <t>Agendado</t>
        </is>
      </c>
      <c r="I821" s="35" t="n"/>
      <c r="J821" s="35" t="n"/>
      <c r="K821" s="34" t="n"/>
      <c r="L821" s="26">
        <f>IF(A821="","",MONTH(A821))</f>
        <v>9</v>
      </c>
      <c r="M821" s="26">
        <f>IF(A821="","",YEAR(A821))</f>
        <v>2026</v>
      </c>
      <c r="N821" s="26" t="str">
        <f>IF(A821="","",CHOOSE(WEEKDAY(A821,2),"Segunda","Terça","Quarta","Quinta","Sexta","Sábado","Domingo"))</f>
        <v>Terça</v>
      </c>
      <c r="O821" s="26" t="str">
        <f>IF(B821="","",IF(B821&lt;TIME(12,0,0),"Manhã",IF(B821&lt;TIME(18,0,0),"Tarde","Noite")))</f>
        <v>Tarde</v>
      </c>
      <c r="P821" s="32">
        <f>IF(G821="","",IFERROR(INDEX(Config!$I$5:$I$16,MATCH(G821,Config!$H$5:$H$16,0)),0))</f>
        <v>45</v>
      </c>
      <c r="Q821" s="30">
        <f>IF(OR(H821&lt;&gt;"Realizado",P821="",P821=0),"",A821+P821)</f>
        <v/>
      </c>
      <c r="R821" s="26">
        <f>IF(Q821="","",IF(COUNTIFS($E$5:$E$1204,E821,$A$5:$A$1204,"&gt;"&amp;A821,$H$5:$H$1204,"&lt;&gt;Falta",$H$5:$H$1204,"&lt;&gt;Cancelado",$H$5:$H$1204,"&lt;&gt;Remarcado")&gt;0,"Sim","Não"))</f>
        <v/>
      </c>
      <c r="S821" s="32">
        <f>IF(R821&lt;&gt;"Não","",IF(Q821+Config!$B$9&lt;=Config!$B$8,Config!$B$8-Q821,""))</f>
        <v/>
      </c>
      <c r="T821" s="26">
        <f>IF(S821="","","Sim")</f>
        <v/>
      </c>
      <c r="U821" s="41">
        <f>IF(T821="Sim",S821+ROW()/100000,0)</f>
        <v>0</v>
      </c>
      <c r="V821" s="41">
        <f>IF(AND(H821="Falta",L821=Config!$B$7,M821=Config!$B$5,COUNTIFS($E$5:E821,E821,$H$5:H821,"Falta",$L$5:L821,Config!$B$7,$M$5:M821,Config!$B$5)=1),COUNTIFS($E$5:$E$1204,E821,$H$5:$H$1204,"Falta",$L$5:$L$1204,Config!$B$7,$M$5:$M$1204,Config!$B$5)*1000-ROW()/100000,0)</f>
        <v>0</v>
      </c>
    </row>
    <row r="822">
      <c r="A822" s="39">
        <f>TODAY()+8</f>
        <v>46287.0</v>
      </c>
      <c r="B822" s="40" t="n">
        <v>0.6597222222222222</v>
      </c>
      <c r="C822" s="35" t="inlineStr">
        <is>
          <t>Dr. Paulo Andrade</t>
        </is>
      </c>
      <c r="D822" s="35" t="inlineStr">
        <is>
          <t>Sala 2</t>
        </is>
      </c>
      <c r="E822" s="34" t="inlineStr">
        <is>
          <t>Wagner Lima</t>
        </is>
      </c>
      <c r="F822" s="35" t="inlineStr">
        <is>
          <t>Particular</t>
        </is>
      </c>
      <c r="G822" s="35" t="inlineStr">
        <is>
          <t>Holter</t>
        </is>
      </c>
      <c r="H822" s="35" t="inlineStr">
        <is>
          <t>Agendado</t>
        </is>
      </c>
      <c r="I822" s="35" t="n"/>
      <c r="J822" s="35" t="n"/>
      <c r="K822" s="34" t="n"/>
      <c r="L822" s="26">
        <f>IF(A822="","",MONTH(A822))</f>
        <v>9</v>
      </c>
      <c r="M822" s="26">
        <f>IF(A822="","",YEAR(A822))</f>
        <v>2026</v>
      </c>
      <c r="N822" s="26" t="str">
        <f>IF(A822="","",CHOOSE(WEEKDAY(A822,2),"Segunda","Terça","Quarta","Quinta","Sexta","Sábado","Domingo"))</f>
        <v>Terça</v>
      </c>
      <c r="O822" s="26" t="str">
        <f>IF(B822="","",IF(B822&lt;TIME(12,0,0),"Manhã",IF(B822&lt;TIME(18,0,0),"Tarde","Noite")))</f>
        <v>Tarde</v>
      </c>
      <c r="P822" s="32">
        <f>IF(G822="","",IFERROR(INDEX(Config!$I$5:$I$16,MATCH(G822,Config!$H$5:$H$16,0)),0))</f>
        <v>0</v>
      </c>
      <c r="Q822" s="30">
        <f>IF(OR(H822&lt;&gt;"Realizado",P822="",P822=0),"",A822+P822)</f>
        <v/>
      </c>
      <c r="R822" s="26">
        <f>IF(Q822="","",IF(COUNTIFS($E$5:$E$1204,E822,$A$5:$A$1204,"&gt;"&amp;A822,$H$5:$H$1204,"&lt;&gt;Falta",$H$5:$H$1204,"&lt;&gt;Cancelado",$H$5:$H$1204,"&lt;&gt;Remarcado")&gt;0,"Sim","Não"))</f>
        <v/>
      </c>
      <c r="S822" s="32">
        <f>IF(R822&lt;&gt;"Não","",IF(Q822+Config!$B$9&lt;=Config!$B$8,Config!$B$8-Q822,""))</f>
        <v/>
      </c>
      <c r="T822" s="26">
        <f>IF(S822="","","Sim")</f>
        <v/>
      </c>
      <c r="U822" s="41">
        <f>IF(T822="Sim",S822+ROW()/100000,0)</f>
        <v>0</v>
      </c>
      <c r="V822" s="41">
        <f>IF(AND(H822="Falta",L822=Config!$B$7,M822=Config!$B$5,COUNTIFS($E$5:E822,E822,$H$5:H822,"Falta",$L$5:L822,Config!$B$7,$M$5:M822,Config!$B$5)=1),COUNTIFS($E$5:$E$1204,E822,$H$5:$H$1204,"Falta",$L$5:$L$1204,Config!$B$7,$M$5:$M$1204,Config!$B$5)*1000-ROW()/100000,0)</f>
        <v>0</v>
      </c>
    </row>
    <row r="823">
      <c r="A823" s="39">
        <f>TODAY()+8</f>
        <v>46287.0</v>
      </c>
      <c r="B823" s="40" t="n">
        <v>0.6666666666666666</v>
      </c>
      <c r="C823" s="35" t="inlineStr">
        <is>
          <t>Dra. Renata Sousa</t>
        </is>
      </c>
      <c r="D823" s="35" t="inlineStr">
        <is>
          <t>Sala 1</t>
        </is>
      </c>
      <c r="E823" s="34" t="inlineStr">
        <is>
          <t>Gabriel Reis</t>
        </is>
      </c>
      <c r="F823" s="35" t="inlineStr">
        <is>
          <t>Particular</t>
        </is>
      </c>
      <c r="G823" s="35" t="inlineStr">
        <is>
          <t>Avaliação endócrina</t>
        </is>
      </c>
      <c r="H823" s="35" t="inlineStr">
        <is>
          <t>Agendado</t>
        </is>
      </c>
      <c r="I823" s="35" t="n"/>
      <c r="J823" s="35" t="n"/>
      <c r="K823" s="34" t="n"/>
      <c r="L823" s="26">
        <f>IF(A823="","",MONTH(A823))</f>
        <v>9</v>
      </c>
      <c r="M823" s="26">
        <f>IF(A823="","",YEAR(A823))</f>
        <v>2026</v>
      </c>
      <c r="N823" s="26" t="str">
        <f>IF(A823="","",CHOOSE(WEEKDAY(A823,2),"Segunda","Terça","Quarta","Quinta","Sexta","Sábado","Domingo"))</f>
        <v>Terça</v>
      </c>
      <c r="O823" s="26" t="str">
        <f>IF(B823="","",IF(B823&lt;TIME(12,0,0),"Manhã",IF(B823&lt;TIME(18,0,0),"Tarde","Noite")))</f>
        <v>Tarde</v>
      </c>
      <c r="P823" s="32">
        <f>IF(G823="","",IFERROR(INDEX(Config!$I$5:$I$16,MATCH(G823,Config!$H$5:$H$16,0)),0))</f>
        <v>45</v>
      </c>
      <c r="Q823" s="30">
        <f>IF(OR(H823&lt;&gt;"Realizado",P823="",P823=0),"",A823+P823)</f>
        <v/>
      </c>
      <c r="R823" s="26">
        <f>IF(Q823="","",IF(COUNTIFS($E$5:$E$1204,E823,$A$5:$A$1204,"&gt;"&amp;A823,$H$5:$H$1204,"&lt;&gt;Falta",$H$5:$H$1204,"&lt;&gt;Cancelado",$H$5:$H$1204,"&lt;&gt;Remarcado")&gt;0,"Sim","Não"))</f>
        <v/>
      </c>
      <c r="S823" s="32">
        <f>IF(R823&lt;&gt;"Não","",IF(Q823+Config!$B$9&lt;=Config!$B$8,Config!$B$8-Q823,""))</f>
        <v/>
      </c>
      <c r="T823" s="26">
        <f>IF(S823="","","Sim")</f>
        <v/>
      </c>
      <c r="U823" s="41">
        <f>IF(T823="Sim",S823+ROW()/100000,0)</f>
        <v>0</v>
      </c>
      <c r="V823" s="41">
        <f>IF(AND(H823="Falta",L823=Config!$B$7,M823=Config!$B$5,COUNTIFS($E$5:E823,E823,$H$5:H823,"Falta",$L$5:L823,Config!$B$7,$M$5:M823,Config!$B$5)=1),COUNTIFS($E$5:$E$1204,E823,$H$5:$H$1204,"Falta",$L$5:$L$1204,Config!$B$7,$M$5:$M$1204,Config!$B$5)*1000-ROW()/100000,0)</f>
        <v>0</v>
      </c>
    </row>
    <row r="824">
      <c r="A824" s="39">
        <f>TODAY()+8</f>
        <v>46287.0</v>
      </c>
      <c r="B824" s="40" t="n">
        <v>0.6944444444444444</v>
      </c>
      <c r="C824" s="35" t="inlineStr">
        <is>
          <t>Dra. Renata Sousa</t>
        </is>
      </c>
      <c r="D824" s="35" t="inlineStr">
        <is>
          <t>Sala 1</t>
        </is>
      </c>
      <c r="E824" s="34" t="inlineStr">
        <is>
          <t>Isabela Xavier</t>
        </is>
      </c>
      <c r="F824" s="35" t="inlineStr">
        <is>
          <t>Particular</t>
        </is>
      </c>
      <c r="G824" s="35" t="inlineStr">
        <is>
          <t>Avaliação endócrina</t>
        </is>
      </c>
      <c r="H824" s="35" t="inlineStr">
        <is>
          <t>Agendado</t>
        </is>
      </c>
      <c r="I824" s="35" t="n"/>
      <c r="J824" s="35" t="n"/>
      <c r="K824" s="34" t="n"/>
      <c r="L824" s="26">
        <f>IF(A824="","",MONTH(A824))</f>
        <v>9</v>
      </c>
      <c r="M824" s="26">
        <f>IF(A824="","",YEAR(A824))</f>
        <v>2026</v>
      </c>
      <c r="N824" s="26" t="str">
        <f>IF(A824="","",CHOOSE(WEEKDAY(A824,2),"Segunda","Terça","Quarta","Quinta","Sexta","Sábado","Domingo"))</f>
        <v>Terça</v>
      </c>
      <c r="O824" s="26" t="str">
        <f>IF(B824="","",IF(B824&lt;TIME(12,0,0),"Manhã",IF(B824&lt;TIME(18,0,0),"Tarde","Noite")))</f>
        <v>Tarde</v>
      </c>
      <c r="P824" s="32">
        <f>IF(G824="","",IFERROR(INDEX(Config!$I$5:$I$16,MATCH(G824,Config!$H$5:$H$16,0)),0))</f>
        <v>45</v>
      </c>
      <c r="Q824" s="30">
        <f>IF(OR(H824&lt;&gt;"Realizado",P824="",P824=0),"",A824+P824)</f>
        <v/>
      </c>
      <c r="R824" s="26">
        <f>IF(Q824="","",IF(COUNTIFS($E$5:$E$1204,E824,$A$5:$A$1204,"&gt;"&amp;A824,$H$5:$H$1204,"&lt;&gt;Falta",$H$5:$H$1204,"&lt;&gt;Cancelado",$H$5:$H$1204,"&lt;&gt;Remarcado")&gt;0,"Sim","Não"))</f>
        <v/>
      </c>
      <c r="S824" s="32">
        <f>IF(R824&lt;&gt;"Não","",IF(Q824+Config!$B$9&lt;=Config!$B$8,Config!$B$8-Q824,""))</f>
        <v/>
      </c>
      <c r="T824" s="26">
        <f>IF(S824="","","Sim")</f>
        <v/>
      </c>
      <c r="U824" s="41">
        <f>IF(T824="Sim",S824+ROW()/100000,0)</f>
        <v>0</v>
      </c>
      <c r="V824" s="41">
        <f>IF(AND(H824="Falta",L824=Config!$B$7,M824=Config!$B$5,COUNTIFS($E$5:E824,E824,$H$5:H824,"Falta",$L$5:L824,Config!$B$7,$M$5:M824,Config!$B$5)=1),COUNTIFS($E$5:$E$1204,E824,$H$5:$H$1204,"Falta",$L$5:$L$1204,Config!$B$7,$M$5:$M$1204,Config!$B$5)*1000-ROW()/100000,0)</f>
        <v>0</v>
      </c>
    </row>
    <row r="825">
      <c r="A825" s="39">
        <f>TODAY()+8</f>
        <v>46287.0</v>
      </c>
      <c r="B825" s="40" t="n">
        <v>0.6944444444444444</v>
      </c>
      <c r="C825" s="35" t="inlineStr">
        <is>
          <t>Dr. Paulo Andrade</t>
        </is>
      </c>
      <c r="D825" s="35" t="inlineStr">
        <is>
          <t>Sala 2</t>
        </is>
      </c>
      <c r="E825" s="34" t="inlineStr">
        <is>
          <t>Gustavo Pinto</t>
        </is>
      </c>
      <c r="F825" s="35" t="inlineStr">
        <is>
          <t>Particular</t>
        </is>
      </c>
      <c r="G825" s="35" t="inlineStr">
        <is>
          <t>Consulta</t>
        </is>
      </c>
      <c r="H825" s="35" t="inlineStr">
        <is>
          <t>Agendado</t>
        </is>
      </c>
      <c r="I825" s="35" t="n"/>
      <c r="J825" s="35" t="n"/>
      <c r="K825" s="34" t="n"/>
      <c r="L825" s="26">
        <f>IF(A825="","",MONTH(A825))</f>
        <v>9</v>
      </c>
      <c r="M825" s="26">
        <f>IF(A825="","",YEAR(A825))</f>
        <v>2026</v>
      </c>
      <c r="N825" s="26" t="str">
        <f>IF(A825="","",CHOOSE(WEEKDAY(A825,2),"Segunda","Terça","Quarta","Quinta","Sexta","Sábado","Domingo"))</f>
        <v>Terça</v>
      </c>
      <c r="O825" s="26" t="str">
        <f>IF(B825="","",IF(B825&lt;TIME(12,0,0),"Manhã",IF(B825&lt;TIME(18,0,0),"Tarde","Noite")))</f>
        <v>Tarde</v>
      </c>
      <c r="P825" s="32">
        <f>IF(G825="","",IFERROR(INDEX(Config!$I$5:$I$16,MATCH(G825,Config!$H$5:$H$16,0)),0))</f>
        <v>30</v>
      </c>
      <c r="Q825" s="30">
        <f>IF(OR(H825&lt;&gt;"Realizado",P825="",P825=0),"",A825+P825)</f>
        <v/>
      </c>
      <c r="R825" s="26">
        <f>IF(Q825="","",IF(COUNTIFS($E$5:$E$1204,E825,$A$5:$A$1204,"&gt;"&amp;A825,$H$5:$H$1204,"&lt;&gt;Falta",$H$5:$H$1204,"&lt;&gt;Cancelado",$H$5:$H$1204,"&lt;&gt;Remarcado")&gt;0,"Sim","Não"))</f>
        <v/>
      </c>
      <c r="S825" s="32">
        <f>IF(R825&lt;&gt;"Não","",IF(Q825+Config!$B$9&lt;=Config!$B$8,Config!$B$8-Q825,""))</f>
        <v/>
      </c>
      <c r="T825" s="26">
        <f>IF(S825="","","Sim")</f>
        <v/>
      </c>
      <c r="U825" s="41">
        <f>IF(T825="Sim",S825+ROW()/100000,0)</f>
        <v>0</v>
      </c>
      <c r="V825" s="41">
        <f>IF(AND(H825="Falta",L825=Config!$B$7,M825=Config!$B$5,COUNTIFS($E$5:E825,E825,$H$5:H825,"Falta",$L$5:L825,Config!$B$7,$M$5:M825,Config!$B$5)=1),COUNTIFS($E$5:$E$1204,E825,$H$5:$H$1204,"Falta",$L$5:$L$1204,Config!$B$7,$M$5:$M$1204,Config!$B$5)*1000-ROW()/100000,0)</f>
        <v>0</v>
      </c>
    </row>
    <row r="826">
      <c r="A826" s="39">
        <f>TODAY()+8</f>
        <v>46287.0</v>
      </c>
      <c r="B826" s="40" t="n">
        <v>0.7152777777777778</v>
      </c>
      <c r="C826" s="35" t="inlineStr">
        <is>
          <t>Dr. Paulo Andrade</t>
        </is>
      </c>
      <c r="D826" s="35" t="inlineStr">
        <is>
          <t>Sala 2</t>
        </is>
      </c>
      <c r="E826" s="34" t="inlineStr">
        <is>
          <t>Paulo Ribeiro</t>
        </is>
      </c>
      <c r="F826" s="35" t="inlineStr">
        <is>
          <t>Saúde Total</t>
        </is>
      </c>
      <c r="G826" s="35" t="inlineStr">
        <is>
          <t>Retorno</t>
        </is>
      </c>
      <c r="H826" s="35" t="inlineStr">
        <is>
          <t>Agendado</t>
        </is>
      </c>
      <c r="I826" s="35" t="n"/>
      <c r="J826" s="35" t="n"/>
      <c r="K826" s="34" t="n"/>
      <c r="L826" s="26">
        <f>IF(A826="","",MONTH(A826))</f>
        <v>9</v>
      </c>
      <c r="M826" s="26">
        <f>IF(A826="","",YEAR(A826))</f>
        <v>2026</v>
      </c>
      <c r="N826" s="26" t="str">
        <f>IF(A826="","",CHOOSE(WEEKDAY(A826,2),"Segunda","Terça","Quarta","Quinta","Sexta","Sábado","Domingo"))</f>
        <v>Terça</v>
      </c>
      <c r="O826" s="26" t="str">
        <f>IF(B826="","",IF(B826&lt;TIME(12,0,0),"Manhã",IF(B826&lt;TIME(18,0,0),"Tarde","Noite")))</f>
        <v>Tarde</v>
      </c>
      <c r="P826" s="32">
        <f>IF(G826="","",IFERROR(INDEX(Config!$I$5:$I$16,MATCH(G826,Config!$H$5:$H$16,0)),0))</f>
        <v>0</v>
      </c>
      <c r="Q826" s="30">
        <f>IF(OR(H826&lt;&gt;"Realizado",P826="",P826=0),"",A826+P826)</f>
        <v/>
      </c>
      <c r="R826" s="26">
        <f>IF(Q826="","",IF(COUNTIFS($E$5:$E$1204,E826,$A$5:$A$1204,"&gt;"&amp;A826,$H$5:$H$1204,"&lt;&gt;Falta",$H$5:$H$1204,"&lt;&gt;Cancelado",$H$5:$H$1204,"&lt;&gt;Remarcado")&gt;0,"Sim","Não"))</f>
        <v/>
      </c>
      <c r="S826" s="32">
        <f>IF(R826&lt;&gt;"Não","",IF(Q826+Config!$B$9&lt;=Config!$B$8,Config!$B$8-Q826,""))</f>
        <v/>
      </c>
      <c r="T826" s="26">
        <f>IF(S826="","","Sim")</f>
        <v/>
      </c>
      <c r="U826" s="41">
        <f>IF(T826="Sim",S826+ROW()/100000,0)</f>
        <v>0</v>
      </c>
      <c r="V826" s="41">
        <f>IF(AND(H826="Falta",L826=Config!$B$7,M826=Config!$B$5,COUNTIFS($E$5:E826,E826,$H$5:H826,"Falta",$L$5:L826,Config!$B$7,$M$5:M826,Config!$B$5)=1),COUNTIFS($E$5:$E$1204,E826,$H$5:$H$1204,"Falta",$L$5:$L$1204,Config!$B$7,$M$5:$M$1204,Config!$B$5)*1000-ROW()/100000,0)</f>
        <v>0</v>
      </c>
    </row>
    <row r="827">
      <c r="A827" s="39">
        <f>TODAY()+8</f>
        <v>46287.0</v>
      </c>
      <c r="B827" s="40" t="n">
        <v>0.7291666666666666</v>
      </c>
      <c r="C827" s="35" t="inlineStr">
        <is>
          <t>Dr. Paulo Andrade</t>
        </is>
      </c>
      <c r="D827" s="35" t="inlineStr">
        <is>
          <t>Sala 2</t>
        </is>
      </c>
      <c r="E827" s="34" t="inlineStr">
        <is>
          <t>Patrícia Correia</t>
        </is>
      </c>
      <c r="F827" s="35" t="inlineStr">
        <is>
          <t>Saúde Total</t>
        </is>
      </c>
      <c r="G827" s="35" t="inlineStr">
        <is>
          <t>Consulta</t>
        </is>
      </c>
      <c r="H827" s="35" t="inlineStr">
        <is>
          <t>Agendado</t>
        </is>
      </c>
      <c r="I827" s="35" t="n"/>
      <c r="J827" s="35" t="n"/>
      <c r="K827" s="34" t="n"/>
      <c r="L827" s="26">
        <f>IF(A827="","",MONTH(A827))</f>
        <v>9</v>
      </c>
      <c r="M827" s="26">
        <f>IF(A827="","",YEAR(A827))</f>
        <v>2026</v>
      </c>
      <c r="N827" s="26" t="str">
        <f>IF(A827="","",CHOOSE(WEEKDAY(A827,2),"Segunda","Terça","Quarta","Quinta","Sexta","Sábado","Domingo"))</f>
        <v>Terça</v>
      </c>
      <c r="O827" s="26" t="str">
        <f>IF(B827="","",IF(B827&lt;TIME(12,0,0),"Manhã",IF(B827&lt;TIME(18,0,0),"Tarde","Noite")))</f>
        <v>Tarde</v>
      </c>
      <c r="P827" s="32">
        <f>IF(G827="","",IFERROR(INDEX(Config!$I$5:$I$16,MATCH(G827,Config!$H$5:$H$16,0)),0))</f>
        <v>30</v>
      </c>
      <c r="Q827" s="30">
        <f>IF(OR(H827&lt;&gt;"Realizado",P827="",P827=0),"",A827+P827)</f>
        <v/>
      </c>
      <c r="R827" s="26">
        <f>IF(Q827="","",IF(COUNTIFS($E$5:$E$1204,E827,$A$5:$A$1204,"&gt;"&amp;A827,$H$5:$H$1204,"&lt;&gt;Falta",$H$5:$H$1204,"&lt;&gt;Cancelado",$H$5:$H$1204,"&lt;&gt;Remarcado")&gt;0,"Sim","Não"))</f>
        <v/>
      </c>
      <c r="S827" s="32">
        <f>IF(R827&lt;&gt;"Não","",IF(Q827+Config!$B$9&lt;=Config!$B$8,Config!$B$8-Q827,""))</f>
        <v/>
      </c>
      <c r="T827" s="26">
        <f>IF(S827="","","Sim")</f>
        <v/>
      </c>
      <c r="U827" s="41">
        <f>IF(T827="Sim",S827+ROW()/100000,0)</f>
        <v>0</v>
      </c>
      <c r="V827" s="41">
        <f>IF(AND(H827="Falta",L827=Config!$B$7,M827=Config!$B$5,COUNTIFS($E$5:E827,E827,$H$5:H827,"Falta",$L$5:L827,Config!$B$7,$M$5:M827,Config!$B$5)=1),COUNTIFS($E$5:$E$1204,E827,$H$5:$H$1204,"Falta",$L$5:$L$1204,Config!$B$7,$M$5:$M$1204,Config!$B$5)*1000-ROW()/100000,0)</f>
        <v>0</v>
      </c>
    </row>
    <row r="828">
      <c r="A828" s="39">
        <f>TODAY()+9</f>
        <v>46288.0</v>
      </c>
      <c r="B828" s="40" t="n">
        <v>0.5833333333333334</v>
      </c>
      <c r="C828" s="35" t="inlineStr">
        <is>
          <t>Dra. Carolina Mendes</t>
        </is>
      </c>
      <c r="D828" s="35" t="inlineStr">
        <is>
          <t>Sala 1</t>
        </is>
      </c>
      <c r="E828" s="34" t="inlineStr">
        <is>
          <t>Camila Batista</t>
        </is>
      </c>
      <c r="F828" s="35" t="inlineStr">
        <is>
          <t>MediPlan</t>
        </is>
      </c>
      <c r="G828" s="35" t="inlineStr">
        <is>
          <t>Consulta</t>
        </is>
      </c>
      <c r="H828" s="35" t="inlineStr">
        <is>
          <t>Agendado</t>
        </is>
      </c>
      <c r="I828" s="35" t="n"/>
      <c r="J828" s="35" t="n"/>
      <c r="K828" s="34" t="n"/>
      <c r="L828" s="26">
        <f>IF(A828="","",MONTH(A828))</f>
        <v>9</v>
      </c>
      <c r="M828" s="26">
        <f>IF(A828="","",YEAR(A828))</f>
        <v>2026</v>
      </c>
      <c r="N828" s="26" t="str">
        <f>IF(A828="","",CHOOSE(WEEKDAY(A828,2),"Segunda","Terça","Quarta","Quinta","Sexta","Sábado","Domingo"))</f>
        <v>Quarta</v>
      </c>
      <c r="O828" s="26" t="str">
        <f>IF(B828="","",IF(B828&lt;TIME(12,0,0),"Manhã",IF(B828&lt;TIME(18,0,0),"Tarde","Noite")))</f>
        <v>Tarde</v>
      </c>
      <c r="P828" s="32">
        <f>IF(G828="","",IFERROR(INDEX(Config!$I$5:$I$16,MATCH(G828,Config!$H$5:$H$16,0)),0))</f>
        <v>30</v>
      </c>
      <c r="Q828" s="30">
        <f>IF(OR(H828&lt;&gt;"Realizado",P828="",P828=0),"",A828+P828)</f>
        <v/>
      </c>
      <c r="R828" s="26">
        <f>IF(Q828="","",IF(COUNTIFS($E$5:$E$1204,E828,$A$5:$A$1204,"&gt;"&amp;A828,$H$5:$H$1204,"&lt;&gt;Falta",$H$5:$H$1204,"&lt;&gt;Cancelado",$H$5:$H$1204,"&lt;&gt;Remarcado")&gt;0,"Sim","Não"))</f>
        <v/>
      </c>
      <c r="S828" s="32">
        <f>IF(R828&lt;&gt;"Não","",IF(Q828+Config!$B$9&lt;=Config!$B$8,Config!$B$8-Q828,""))</f>
        <v/>
      </c>
      <c r="T828" s="26">
        <f>IF(S828="","","Sim")</f>
        <v/>
      </c>
      <c r="U828" s="41">
        <f>IF(T828="Sim",S828+ROW()/100000,0)</f>
        <v>0</v>
      </c>
      <c r="V828" s="41">
        <f>IF(AND(H828="Falta",L828=Config!$B$7,M828=Config!$B$5,COUNTIFS($E$5:E828,E828,$H$5:H828,"Falta",$L$5:L828,Config!$B$7,$M$5:M828,Config!$B$5)=1),COUNTIFS($E$5:$E$1204,E828,$H$5:$H$1204,"Falta",$L$5:$L$1204,Config!$B$7,$M$5:$M$1204,Config!$B$5)*1000-ROW()/100000,0)</f>
        <v>0</v>
      </c>
    </row>
    <row r="829">
      <c r="A829" s="39">
        <f>TODAY()+9</f>
        <v>46288.0</v>
      </c>
      <c r="B829" s="40" t="n">
        <v>0.6041666666666666</v>
      </c>
      <c r="C829" s="35" t="inlineStr">
        <is>
          <t>Dra. Carolina Mendes</t>
        </is>
      </c>
      <c r="D829" s="35" t="inlineStr">
        <is>
          <t>Sala 1</t>
        </is>
      </c>
      <c r="E829" s="34" t="inlineStr">
        <is>
          <t>Gisele Ribeiro</t>
        </is>
      </c>
      <c r="F829" s="35" t="inlineStr">
        <is>
          <t>Particular</t>
        </is>
      </c>
      <c r="G829" s="35" t="inlineStr">
        <is>
          <t>Retorno</t>
        </is>
      </c>
      <c r="H829" s="35" t="inlineStr">
        <is>
          <t>Agendado</t>
        </is>
      </c>
      <c r="I829" s="35" t="n"/>
      <c r="J829" s="35" t="n"/>
      <c r="K829" s="34" t="n"/>
      <c r="L829" s="26">
        <f>IF(A829="","",MONTH(A829))</f>
        <v>9</v>
      </c>
      <c r="M829" s="26">
        <f>IF(A829="","",YEAR(A829))</f>
        <v>2026</v>
      </c>
      <c r="N829" s="26" t="str">
        <f>IF(A829="","",CHOOSE(WEEKDAY(A829,2),"Segunda","Terça","Quarta","Quinta","Sexta","Sábado","Domingo"))</f>
        <v>Quarta</v>
      </c>
      <c r="O829" s="26" t="str">
        <f>IF(B829="","",IF(B829&lt;TIME(12,0,0),"Manhã",IF(B829&lt;TIME(18,0,0),"Tarde","Noite")))</f>
        <v>Tarde</v>
      </c>
      <c r="P829" s="32">
        <f>IF(G829="","",IFERROR(INDEX(Config!$I$5:$I$16,MATCH(G829,Config!$H$5:$H$16,0)),0))</f>
        <v>0</v>
      </c>
      <c r="Q829" s="30">
        <f>IF(OR(H829&lt;&gt;"Realizado",P829="",P829=0),"",A829+P829)</f>
        <v/>
      </c>
      <c r="R829" s="26">
        <f>IF(Q829="","",IF(COUNTIFS($E$5:$E$1204,E829,$A$5:$A$1204,"&gt;"&amp;A829,$H$5:$H$1204,"&lt;&gt;Falta",$H$5:$H$1204,"&lt;&gt;Cancelado",$H$5:$H$1204,"&lt;&gt;Remarcado")&gt;0,"Sim","Não"))</f>
        <v/>
      </c>
      <c r="S829" s="32">
        <f>IF(R829&lt;&gt;"Não","",IF(Q829+Config!$B$9&lt;=Config!$B$8,Config!$B$8-Q829,""))</f>
        <v/>
      </c>
      <c r="T829" s="26">
        <f>IF(S829="","","Sim")</f>
        <v/>
      </c>
      <c r="U829" s="41">
        <f>IF(T829="Sim",S829+ROW()/100000,0)</f>
        <v>0</v>
      </c>
      <c r="V829" s="41">
        <f>IF(AND(H829="Falta",L829=Config!$B$7,M829=Config!$B$5,COUNTIFS($E$5:E829,E829,$H$5:H829,"Falta",$L$5:L829,Config!$B$7,$M$5:M829,Config!$B$5)=1),COUNTIFS($E$5:$E$1204,E829,$H$5:$H$1204,"Falta",$L$5:$L$1204,Config!$B$7,$M$5:$M$1204,Config!$B$5)*1000-ROW()/100000,0)</f>
        <v>0</v>
      </c>
    </row>
    <row r="830">
      <c r="A830" s="39">
        <f>TODAY()+9</f>
        <v>46288.0</v>
      </c>
      <c r="B830" s="40" t="n">
        <v>0.6388888888888888</v>
      </c>
      <c r="C830" s="35" t="inlineStr">
        <is>
          <t>Dra. Carolina Mendes</t>
        </is>
      </c>
      <c r="D830" s="35" t="inlineStr">
        <is>
          <t>Sala 1</t>
        </is>
      </c>
      <c r="E830" s="34" t="inlineStr">
        <is>
          <t>Roberta Fernandes</t>
        </is>
      </c>
      <c r="F830" s="35" t="inlineStr">
        <is>
          <t>Saúde Total</t>
        </is>
      </c>
      <c r="G830" s="35" t="inlineStr">
        <is>
          <t>Retorno</t>
        </is>
      </c>
      <c r="H830" s="35" t="inlineStr">
        <is>
          <t>Agendado</t>
        </is>
      </c>
      <c r="I830" s="35" t="n"/>
      <c r="J830" s="35" t="n"/>
      <c r="K830" s="34" t="n"/>
      <c r="L830" s="26">
        <f>IF(A830="","",MONTH(A830))</f>
        <v>9</v>
      </c>
      <c r="M830" s="26">
        <f>IF(A830="","",YEAR(A830))</f>
        <v>2026</v>
      </c>
      <c r="N830" s="26" t="str">
        <f>IF(A830="","",CHOOSE(WEEKDAY(A830,2),"Segunda","Terça","Quarta","Quinta","Sexta","Sábado","Domingo"))</f>
        <v>Quarta</v>
      </c>
      <c r="O830" s="26" t="str">
        <f>IF(B830="","",IF(B830&lt;TIME(12,0,0),"Manhã",IF(B830&lt;TIME(18,0,0),"Tarde","Noite")))</f>
        <v>Tarde</v>
      </c>
      <c r="P830" s="32">
        <f>IF(G830="","",IFERROR(INDEX(Config!$I$5:$I$16,MATCH(G830,Config!$H$5:$H$16,0)),0))</f>
        <v>0</v>
      </c>
      <c r="Q830" s="30">
        <f>IF(OR(H830&lt;&gt;"Realizado",P830="",P830=0),"",A830+P830)</f>
        <v/>
      </c>
      <c r="R830" s="26">
        <f>IF(Q830="","",IF(COUNTIFS($E$5:$E$1204,E830,$A$5:$A$1204,"&gt;"&amp;A830,$H$5:$H$1204,"&lt;&gt;Falta",$H$5:$H$1204,"&lt;&gt;Cancelado",$H$5:$H$1204,"&lt;&gt;Remarcado")&gt;0,"Sim","Não"))</f>
        <v/>
      </c>
      <c r="S830" s="32">
        <f>IF(R830&lt;&gt;"Não","",IF(Q830+Config!$B$9&lt;=Config!$B$8,Config!$B$8-Q830,""))</f>
        <v/>
      </c>
      <c r="T830" s="26">
        <f>IF(S830="","","Sim")</f>
        <v/>
      </c>
      <c r="U830" s="41">
        <f>IF(T830="Sim",S830+ROW()/100000,0)</f>
        <v>0</v>
      </c>
      <c r="V830" s="41">
        <f>IF(AND(H830="Falta",L830=Config!$B$7,M830=Config!$B$5,COUNTIFS($E$5:E830,E830,$H$5:H830,"Falta",$L$5:L830,Config!$B$7,$M$5:M830,Config!$B$5)=1),COUNTIFS($E$5:$E$1204,E830,$H$5:$H$1204,"Falta",$L$5:$L$1204,Config!$B$7,$M$5:$M$1204,Config!$B$5)*1000-ROW()/100000,0)</f>
        <v>0</v>
      </c>
    </row>
    <row r="831">
      <c r="A831" s="39">
        <f>TODAY()+9</f>
        <v>46288.0</v>
      </c>
      <c r="B831" s="40" t="n">
        <v>0.6527777777777778</v>
      </c>
      <c r="C831" s="35" t="inlineStr">
        <is>
          <t>Dra. Carolina Mendes</t>
        </is>
      </c>
      <c r="D831" s="35" t="inlineStr">
        <is>
          <t>Sala 1</t>
        </is>
      </c>
      <c r="E831" s="34" t="inlineStr">
        <is>
          <t>Sandra Barros</t>
        </is>
      </c>
      <c r="F831" s="35" t="inlineStr">
        <is>
          <t>Saúde Total</t>
        </is>
      </c>
      <c r="G831" s="35" t="inlineStr">
        <is>
          <t>Consulta</t>
        </is>
      </c>
      <c r="H831" s="35" t="inlineStr">
        <is>
          <t>Agendado</t>
        </is>
      </c>
      <c r="I831" s="35" t="n"/>
      <c r="J831" s="35" t="n"/>
      <c r="K831" s="34" t="n"/>
      <c r="L831" s="26">
        <f>IF(A831="","",MONTH(A831))</f>
        <v>9</v>
      </c>
      <c r="M831" s="26">
        <f>IF(A831="","",YEAR(A831))</f>
        <v>2026</v>
      </c>
      <c r="N831" s="26" t="str">
        <f>IF(A831="","",CHOOSE(WEEKDAY(A831,2),"Segunda","Terça","Quarta","Quinta","Sexta","Sábado","Domingo"))</f>
        <v>Quarta</v>
      </c>
      <c r="O831" s="26" t="str">
        <f>IF(B831="","",IF(B831&lt;TIME(12,0,0),"Manhã",IF(B831&lt;TIME(18,0,0),"Tarde","Noite")))</f>
        <v>Tarde</v>
      </c>
      <c r="P831" s="32">
        <f>IF(G831="","",IFERROR(INDEX(Config!$I$5:$I$16,MATCH(G831,Config!$H$5:$H$16,0)),0))</f>
        <v>30</v>
      </c>
      <c r="Q831" s="30">
        <f>IF(OR(H831&lt;&gt;"Realizado",P831="",P831=0),"",A831+P831)</f>
        <v/>
      </c>
      <c r="R831" s="26">
        <f>IF(Q831="","",IF(COUNTIFS($E$5:$E$1204,E831,$A$5:$A$1204,"&gt;"&amp;A831,$H$5:$H$1204,"&lt;&gt;Falta",$H$5:$H$1204,"&lt;&gt;Cancelado",$H$5:$H$1204,"&lt;&gt;Remarcado")&gt;0,"Sim","Não"))</f>
        <v/>
      </c>
      <c r="S831" s="32">
        <f>IF(R831&lt;&gt;"Não","",IF(Q831+Config!$B$9&lt;=Config!$B$8,Config!$B$8-Q831,""))</f>
        <v/>
      </c>
      <c r="T831" s="26">
        <f>IF(S831="","","Sim")</f>
        <v/>
      </c>
      <c r="U831" s="41">
        <f>IF(T831="Sim",S831+ROW()/100000,0)</f>
        <v>0</v>
      </c>
      <c r="V831" s="41">
        <f>IF(AND(H831="Falta",L831=Config!$B$7,M831=Config!$B$5,COUNTIFS($E$5:E831,E831,$H$5:H831,"Falta",$L$5:L831,Config!$B$7,$M$5:M831,Config!$B$5)=1),COUNTIFS($E$5:$E$1204,E831,$H$5:$H$1204,"Falta",$L$5:$L$1204,Config!$B$7,$M$5:$M$1204,Config!$B$5)*1000-ROW()/100000,0)</f>
        <v>0</v>
      </c>
    </row>
    <row r="832">
      <c r="A832" s="39">
        <f>TODAY()+9</f>
        <v>46288.0</v>
      </c>
      <c r="B832" s="40" t="n">
        <v>0.6736111111111112</v>
      </c>
      <c r="C832" s="35" t="inlineStr">
        <is>
          <t>Dra. Carolina Mendes</t>
        </is>
      </c>
      <c r="D832" s="35" t="inlineStr">
        <is>
          <t>Sala 1</t>
        </is>
      </c>
      <c r="E832" s="34" t="inlineStr">
        <is>
          <t>Carlos Barros</t>
        </is>
      </c>
      <c r="F832" s="35" t="inlineStr">
        <is>
          <t>MediPlan</t>
        </is>
      </c>
      <c r="G832" s="35" t="inlineStr">
        <is>
          <t>Consulta</t>
        </is>
      </c>
      <c r="H832" s="35" t="inlineStr">
        <is>
          <t>Agendado</t>
        </is>
      </c>
      <c r="I832" s="35" t="n"/>
      <c r="J832" s="35" t="n"/>
      <c r="K832" s="34" t="n"/>
      <c r="L832" s="26">
        <f>IF(A832="","",MONTH(A832))</f>
        <v>9</v>
      </c>
      <c r="M832" s="26">
        <f>IF(A832="","",YEAR(A832))</f>
        <v>2026</v>
      </c>
      <c r="N832" s="26" t="str">
        <f>IF(A832="","",CHOOSE(WEEKDAY(A832,2),"Segunda","Terça","Quarta","Quinta","Sexta","Sábado","Domingo"))</f>
        <v>Quarta</v>
      </c>
      <c r="O832" s="26" t="str">
        <f>IF(B832="","",IF(B832&lt;TIME(12,0,0),"Manhã",IF(B832&lt;TIME(18,0,0),"Tarde","Noite")))</f>
        <v>Tarde</v>
      </c>
      <c r="P832" s="32">
        <f>IF(G832="","",IFERROR(INDEX(Config!$I$5:$I$16,MATCH(G832,Config!$H$5:$H$16,0)),0))</f>
        <v>30</v>
      </c>
      <c r="Q832" s="30">
        <f>IF(OR(H832&lt;&gt;"Realizado",P832="",P832=0),"",A832+P832)</f>
        <v/>
      </c>
      <c r="R832" s="26">
        <f>IF(Q832="","",IF(COUNTIFS($E$5:$E$1204,E832,$A$5:$A$1204,"&gt;"&amp;A832,$H$5:$H$1204,"&lt;&gt;Falta",$H$5:$H$1204,"&lt;&gt;Cancelado",$H$5:$H$1204,"&lt;&gt;Remarcado")&gt;0,"Sim","Não"))</f>
        <v/>
      </c>
      <c r="S832" s="32">
        <f>IF(R832&lt;&gt;"Não","",IF(Q832+Config!$B$9&lt;=Config!$B$8,Config!$B$8-Q832,""))</f>
        <v/>
      </c>
      <c r="T832" s="26">
        <f>IF(S832="","","Sim")</f>
        <v/>
      </c>
      <c r="U832" s="41">
        <f>IF(T832="Sim",S832+ROW()/100000,0)</f>
        <v>0</v>
      </c>
      <c r="V832" s="41">
        <f>IF(AND(H832="Falta",L832=Config!$B$7,M832=Config!$B$5,COUNTIFS($E$5:E832,E832,$H$5:H832,"Falta",$L$5:L832,Config!$B$7,$M$5:M832,Config!$B$5)=1),COUNTIFS($E$5:$E$1204,E832,$H$5:$H$1204,"Falta",$L$5:$L$1204,Config!$B$7,$M$5:$M$1204,Config!$B$5)*1000-ROW()/100000,0)</f>
        <v>0</v>
      </c>
    </row>
    <row r="833">
      <c r="A833" s="39">
        <f>TODAY()+9</f>
        <v>46288.0</v>
      </c>
      <c r="B833" s="40" t="n">
        <v>0.7152777777777778</v>
      </c>
      <c r="C833" s="35" t="inlineStr">
        <is>
          <t>Dra. Carolina Mendes</t>
        </is>
      </c>
      <c r="D833" s="35" t="inlineStr">
        <is>
          <t>Sala 1</t>
        </is>
      </c>
      <c r="E833" s="34" t="inlineStr">
        <is>
          <t>Cláudia Santos</t>
        </is>
      </c>
      <c r="F833" s="35" t="inlineStr">
        <is>
          <t>Particular</t>
        </is>
      </c>
      <c r="G833" s="35" t="inlineStr">
        <is>
          <t>Retorno</t>
        </is>
      </c>
      <c r="H833" s="35" t="inlineStr">
        <is>
          <t>Agendado</t>
        </is>
      </c>
      <c r="I833" s="35" t="n"/>
      <c r="J833" s="35" t="n"/>
      <c r="K833" s="34" t="n"/>
      <c r="L833" s="26">
        <f>IF(A833="","",MONTH(A833))</f>
        <v>9</v>
      </c>
      <c r="M833" s="26">
        <f>IF(A833="","",YEAR(A833))</f>
        <v>2026</v>
      </c>
      <c r="N833" s="26" t="str">
        <f>IF(A833="","",CHOOSE(WEEKDAY(A833,2),"Segunda","Terça","Quarta","Quinta","Sexta","Sábado","Domingo"))</f>
        <v>Quarta</v>
      </c>
      <c r="O833" s="26" t="str">
        <f>IF(B833="","",IF(B833&lt;TIME(12,0,0),"Manhã",IF(B833&lt;TIME(18,0,0),"Tarde","Noite")))</f>
        <v>Tarde</v>
      </c>
      <c r="P833" s="32">
        <f>IF(G833="","",IFERROR(INDEX(Config!$I$5:$I$16,MATCH(G833,Config!$H$5:$H$16,0)),0))</f>
        <v>0</v>
      </c>
      <c r="Q833" s="30">
        <f>IF(OR(H833&lt;&gt;"Realizado",P833="",P833=0),"",A833+P833)</f>
        <v/>
      </c>
      <c r="R833" s="26">
        <f>IF(Q833="","",IF(COUNTIFS($E$5:$E$1204,E833,$A$5:$A$1204,"&gt;"&amp;A833,$H$5:$H$1204,"&lt;&gt;Falta",$H$5:$H$1204,"&lt;&gt;Cancelado",$H$5:$H$1204,"&lt;&gt;Remarcado")&gt;0,"Sim","Não"))</f>
        <v/>
      </c>
      <c r="S833" s="32">
        <f>IF(R833&lt;&gt;"Não","",IF(Q833+Config!$B$9&lt;=Config!$B$8,Config!$B$8-Q833,""))</f>
        <v/>
      </c>
      <c r="T833" s="26">
        <f>IF(S833="","","Sim")</f>
        <v/>
      </c>
      <c r="U833" s="41">
        <f>IF(T833="Sim",S833+ROW()/100000,0)</f>
        <v>0</v>
      </c>
      <c r="V833" s="41">
        <f>IF(AND(H833="Falta",L833=Config!$B$7,M833=Config!$B$5,COUNTIFS($E$5:E833,E833,$H$5:H833,"Falta",$L$5:L833,Config!$B$7,$M$5:M833,Config!$B$5)=1),COUNTIFS($E$5:$E$1204,E833,$H$5:$H$1204,"Falta",$L$5:$L$1204,Config!$B$7,$M$5:$M$1204,Config!$B$5)*1000-ROW()/100000,0)</f>
        <v>0</v>
      </c>
    </row>
    <row r="834">
      <c r="A834" s="39">
        <f>TODAY()+9</f>
        <v>46288.0</v>
      </c>
      <c r="B834" s="40" t="n">
        <v>0.7291666666666666</v>
      </c>
      <c r="C834" s="35" t="inlineStr">
        <is>
          <t>Dra. Carolina Mendes</t>
        </is>
      </c>
      <c r="D834" s="35" t="inlineStr">
        <is>
          <t>Sala 1</t>
        </is>
      </c>
      <c r="E834" s="34" t="inlineStr">
        <is>
          <t>Simone Monteiro</t>
        </is>
      </c>
      <c r="F834" s="35" t="inlineStr">
        <is>
          <t>Vida Care</t>
        </is>
      </c>
      <c r="G834" s="35" t="inlineStr">
        <is>
          <t>Consulta</t>
        </is>
      </c>
      <c r="H834" s="35" t="inlineStr">
        <is>
          <t>Agendado</t>
        </is>
      </c>
      <c r="I834" s="35" t="n"/>
      <c r="J834" s="35" t="n"/>
      <c r="K834" s="34" t="n"/>
      <c r="L834" s="26">
        <f>IF(A834="","",MONTH(A834))</f>
        <v>9</v>
      </c>
      <c r="M834" s="26">
        <f>IF(A834="","",YEAR(A834))</f>
        <v>2026</v>
      </c>
      <c r="N834" s="26" t="str">
        <f>IF(A834="","",CHOOSE(WEEKDAY(A834,2),"Segunda","Terça","Quarta","Quinta","Sexta","Sábado","Domingo"))</f>
        <v>Quarta</v>
      </c>
      <c r="O834" s="26" t="str">
        <f>IF(B834="","",IF(B834&lt;TIME(12,0,0),"Manhã",IF(B834&lt;TIME(18,0,0),"Tarde","Noite")))</f>
        <v>Tarde</v>
      </c>
      <c r="P834" s="32">
        <f>IF(G834="","",IFERROR(INDEX(Config!$I$5:$I$16,MATCH(G834,Config!$H$5:$H$16,0)),0))</f>
        <v>30</v>
      </c>
      <c r="Q834" s="30">
        <f>IF(OR(H834&lt;&gt;"Realizado",P834="",P834=0),"",A834+P834)</f>
        <v/>
      </c>
      <c r="R834" s="26">
        <f>IF(Q834="","",IF(COUNTIFS($E$5:$E$1204,E834,$A$5:$A$1204,"&gt;"&amp;A834,$H$5:$H$1204,"&lt;&gt;Falta",$H$5:$H$1204,"&lt;&gt;Cancelado",$H$5:$H$1204,"&lt;&gt;Remarcado")&gt;0,"Sim","Não"))</f>
        <v/>
      </c>
      <c r="S834" s="32">
        <f>IF(R834&lt;&gt;"Não","",IF(Q834+Config!$B$9&lt;=Config!$B$8,Config!$B$8-Q834,""))</f>
        <v/>
      </c>
      <c r="T834" s="26">
        <f>IF(S834="","","Sim")</f>
        <v/>
      </c>
      <c r="U834" s="41">
        <f>IF(T834="Sim",S834+ROW()/100000,0)</f>
        <v>0</v>
      </c>
      <c r="V834" s="41">
        <f>IF(AND(H834="Falta",L834=Config!$B$7,M834=Config!$B$5,COUNTIFS($E$5:E834,E834,$H$5:H834,"Falta",$L$5:L834,Config!$B$7,$M$5:M834,Config!$B$5)=1),COUNTIFS($E$5:$E$1204,E834,$H$5:$H$1204,"Falta",$L$5:$L$1204,Config!$B$7,$M$5:$M$1204,Config!$B$5)*1000-ROW()/100000,0)</f>
        <v>0</v>
      </c>
    </row>
    <row r="835">
      <c r="A835" s="39">
        <f>TODAY()+10</f>
        <v>46289.0</v>
      </c>
      <c r="B835" s="40" t="n">
        <v>0.3541666666666667</v>
      </c>
      <c r="C835" s="35" t="inlineStr">
        <is>
          <t>Dra. Carolina Mendes</t>
        </is>
      </c>
      <c r="D835" s="35" t="inlineStr">
        <is>
          <t>Sala 1</t>
        </is>
      </c>
      <c r="E835" s="34" t="inlineStr">
        <is>
          <t>Isabela Nascimento</t>
        </is>
      </c>
      <c r="F835" s="35" t="inlineStr">
        <is>
          <t>Vida Care</t>
        </is>
      </c>
      <c r="G835" s="35" t="inlineStr">
        <is>
          <t>Retorno</t>
        </is>
      </c>
      <c r="H835" s="35" t="inlineStr">
        <is>
          <t>Agendado</t>
        </is>
      </c>
      <c r="I835" s="35" t="n"/>
      <c r="J835" s="35" t="n"/>
      <c r="K835" s="34" t="n"/>
      <c r="L835" s="26">
        <f>IF(A835="","",MONTH(A835))</f>
        <v>9</v>
      </c>
      <c r="M835" s="26">
        <f>IF(A835="","",YEAR(A835))</f>
        <v>2026</v>
      </c>
      <c r="N835" s="26" t="str">
        <f>IF(A835="","",CHOOSE(WEEKDAY(A835,2),"Segunda","Terça","Quarta","Quinta","Sexta","Sábado","Domingo"))</f>
        <v>Quinta</v>
      </c>
      <c r="O835" s="26" t="str">
        <f>IF(B835="","",IF(B835&lt;TIME(12,0,0),"Manhã",IF(B835&lt;TIME(18,0,0),"Tarde","Noite")))</f>
        <v>Manhã</v>
      </c>
      <c r="P835" s="32">
        <f>IF(G835="","",IFERROR(INDEX(Config!$I$5:$I$16,MATCH(G835,Config!$H$5:$H$16,0)),0))</f>
        <v>0</v>
      </c>
      <c r="Q835" s="30">
        <f>IF(OR(H835&lt;&gt;"Realizado",P835="",P835=0),"",A835+P835)</f>
        <v/>
      </c>
      <c r="R835" s="26">
        <f>IF(Q835="","",IF(COUNTIFS($E$5:$E$1204,E835,$A$5:$A$1204,"&gt;"&amp;A835,$H$5:$H$1204,"&lt;&gt;Falta",$H$5:$H$1204,"&lt;&gt;Cancelado",$H$5:$H$1204,"&lt;&gt;Remarcado")&gt;0,"Sim","Não"))</f>
        <v/>
      </c>
      <c r="S835" s="32">
        <f>IF(R835&lt;&gt;"Não","",IF(Q835+Config!$B$9&lt;=Config!$B$8,Config!$B$8-Q835,""))</f>
        <v/>
      </c>
      <c r="T835" s="26">
        <f>IF(S835="","","Sim")</f>
        <v/>
      </c>
      <c r="U835" s="41">
        <f>IF(T835="Sim",S835+ROW()/100000,0)</f>
        <v>0</v>
      </c>
      <c r="V835" s="41">
        <f>IF(AND(H835="Falta",L835=Config!$B$7,M835=Config!$B$5,COUNTIFS($E$5:E835,E835,$H$5:H835,"Falta",$L$5:L835,Config!$B$7,$M$5:M835,Config!$B$5)=1),COUNTIFS($E$5:$E$1204,E835,$H$5:$H$1204,"Falta",$L$5:$L$1204,Config!$B$7,$M$5:$M$1204,Config!$B$5)*1000-ROW()/100000,0)</f>
        <v>0</v>
      </c>
    </row>
    <row r="836">
      <c r="A836" s="39">
        <f>TODAY()+10</f>
        <v>46289.0</v>
      </c>
      <c r="B836" s="40" t="n">
        <v>0.3680555555555556</v>
      </c>
      <c r="C836" s="35" t="inlineStr">
        <is>
          <t>Dra. Carolina Mendes</t>
        </is>
      </c>
      <c r="D836" s="35" t="inlineStr">
        <is>
          <t>Sala 1</t>
        </is>
      </c>
      <c r="E836" s="34" t="inlineStr">
        <is>
          <t>Marcelo Santos</t>
        </is>
      </c>
      <c r="F836" s="35" t="inlineStr">
        <is>
          <t>Particular</t>
        </is>
      </c>
      <c r="G836" s="35" t="inlineStr">
        <is>
          <t>Consulta</t>
        </is>
      </c>
      <c r="H836" s="35" t="inlineStr">
        <is>
          <t>Agendado</t>
        </is>
      </c>
      <c r="I836" s="35" t="n"/>
      <c r="J836" s="35" t="n"/>
      <c r="K836" s="34" t="n"/>
      <c r="L836" s="26">
        <f>IF(A836="","",MONTH(A836))</f>
        <v>9</v>
      </c>
      <c r="M836" s="26">
        <f>IF(A836="","",YEAR(A836))</f>
        <v>2026</v>
      </c>
      <c r="N836" s="26" t="str">
        <f>IF(A836="","",CHOOSE(WEEKDAY(A836,2),"Segunda","Terça","Quarta","Quinta","Sexta","Sábado","Domingo"))</f>
        <v>Quinta</v>
      </c>
      <c r="O836" s="26" t="str">
        <f>IF(B836="","",IF(B836&lt;TIME(12,0,0),"Manhã",IF(B836&lt;TIME(18,0,0),"Tarde","Noite")))</f>
        <v>Manhã</v>
      </c>
      <c r="P836" s="32">
        <f>IF(G836="","",IFERROR(INDEX(Config!$I$5:$I$16,MATCH(G836,Config!$H$5:$H$16,0)),0))</f>
        <v>30</v>
      </c>
      <c r="Q836" s="30">
        <f>IF(OR(H836&lt;&gt;"Realizado",P836="",P836=0),"",A836+P836)</f>
        <v/>
      </c>
      <c r="R836" s="26">
        <f>IF(Q836="","",IF(COUNTIFS($E$5:$E$1204,E836,$A$5:$A$1204,"&gt;"&amp;A836,$H$5:$H$1204,"&lt;&gt;Falta",$H$5:$H$1204,"&lt;&gt;Cancelado",$H$5:$H$1204,"&lt;&gt;Remarcado")&gt;0,"Sim","Não"))</f>
        <v/>
      </c>
      <c r="S836" s="32">
        <f>IF(R836&lt;&gt;"Não","",IF(Q836+Config!$B$9&lt;=Config!$B$8,Config!$B$8-Q836,""))</f>
        <v/>
      </c>
      <c r="T836" s="26">
        <f>IF(S836="","","Sim")</f>
        <v/>
      </c>
      <c r="U836" s="41">
        <f>IF(T836="Sim",S836+ROW()/100000,0)</f>
        <v>0</v>
      </c>
      <c r="V836" s="41">
        <f>IF(AND(H836="Falta",L836=Config!$B$7,M836=Config!$B$5,COUNTIFS($E$5:E836,E836,$H$5:H836,"Falta",$L$5:L836,Config!$B$7,$M$5:M836,Config!$B$5)=1),COUNTIFS($E$5:$E$1204,E836,$H$5:$H$1204,"Falta",$L$5:$L$1204,Config!$B$7,$M$5:$M$1204,Config!$B$5)*1000-ROW()/100000,0)</f>
        <v>0</v>
      </c>
    </row>
    <row r="837">
      <c r="A837" s="39">
        <f>TODAY()+10</f>
        <v>46289.0</v>
      </c>
      <c r="B837" s="40" t="n">
        <v>0.3888888888888889</v>
      </c>
      <c r="C837" s="35" t="inlineStr">
        <is>
          <t>Dra. Carolina Mendes</t>
        </is>
      </c>
      <c r="D837" s="35" t="inlineStr">
        <is>
          <t>Sala 1</t>
        </is>
      </c>
      <c r="E837" s="34" t="inlineStr">
        <is>
          <t>Sérgio Batista</t>
        </is>
      </c>
      <c r="F837" s="35" t="inlineStr">
        <is>
          <t>MediPlan</t>
        </is>
      </c>
      <c r="G837" s="35" t="inlineStr">
        <is>
          <t>Retorno</t>
        </is>
      </c>
      <c r="H837" s="35" t="inlineStr">
        <is>
          <t>Agendado</t>
        </is>
      </c>
      <c r="I837" s="35" t="n"/>
      <c r="J837" s="35" t="n"/>
      <c r="K837" s="34" t="n"/>
      <c r="L837" s="26">
        <f>IF(A837="","",MONTH(A837))</f>
        <v>9</v>
      </c>
      <c r="M837" s="26">
        <f>IF(A837="","",YEAR(A837))</f>
        <v>2026</v>
      </c>
      <c r="N837" s="26" t="str">
        <f>IF(A837="","",CHOOSE(WEEKDAY(A837,2),"Segunda","Terça","Quarta","Quinta","Sexta","Sábado","Domingo"))</f>
        <v>Quinta</v>
      </c>
      <c r="O837" s="26" t="str">
        <f>IF(B837="","",IF(B837&lt;TIME(12,0,0),"Manhã",IF(B837&lt;TIME(18,0,0),"Tarde","Noite")))</f>
        <v>Manhã</v>
      </c>
      <c r="P837" s="32">
        <f>IF(G837="","",IFERROR(INDEX(Config!$I$5:$I$16,MATCH(G837,Config!$H$5:$H$16,0)),0))</f>
        <v>0</v>
      </c>
      <c r="Q837" s="30">
        <f>IF(OR(H837&lt;&gt;"Realizado",P837="",P837=0),"",A837+P837)</f>
        <v/>
      </c>
      <c r="R837" s="26">
        <f>IF(Q837="","",IF(COUNTIFS($E$5:$E$1204,E837,$A$5:$A$1204,"&gt;"&amp;A837,$H$5:$H$1204,"&lt;&gt;Falta",$H$5:$H$1204,"&lt;&gt;Cancelado",$H$5:$H$1204,"&lt;&gt;Remarcado")&gt;0,"Sim","Não"))</f>
        <v/>
      </c>
      <c r="S837" s="32">
        <f>IF(R837&lt;&gt;"Não","",IF(Q837+Config!$B$9&lt;=Config!$B$8,Config!$B$8-Q837,""))</f>
        <v/>
      </c>
      <c r="T837" s="26">
        <f>IF(S837="","","Sim")</f>
        <v/>
      </c>
      <c r="U837" s="41">
        <f>IF(T837="Sim",S837+ROW()/100000,0)</f>
        <v>0</v>
      </c>
      <c r="V837" s="41">
        <f>IF(AND(H837="Falta",L837=Config!$B$7,M837=Config!$B$5,COUNTIFS($E$5:E837,E837,$H$5:H837,"Falta",$L$5:L837,Config!$B$7,$M$5:M837,Config!$B$5)=1),COUNTIFS($E$5:$E$1204,E837,$H$5:$H$1204,"Falta",$L$5:$L$1204,Config!$B$7,$M$5:$M$1204,Config!$B$5)*1000-ROW()/100000,0)</f>
        <v>0</v>
      </c>
    </row>
    <row r="838">
      <c r="A838" s="39">
        <f>TODAY()+10</f>
        <v>46289.0</v>
      </c>
      <c r="B838" s="40" t="n">
        <v>0.4236111111111111</v>
      </c>
      <c r="C838" s="35" t="inlineStr">
        <is>
          <t>Dra. Carolina Mendes</t>
        </is>
      </c>
      <c r="D838" s="35" t="inlineStr">
        <is>
          <t>Sala 1</t>
        </is>
      </c>
      <c r="E838" s="34" t="inlineStr">
        <is>
          <t>Helena Moreira</t>
        </is>
      </c>
      <c r="F838" s="35" t="inlineStr">
        <is>
          <t>Particular</t>
        </is>
      </c>
      <c r="G838" s="35" t="inlineStr">
        <is>
          <t>Consulta</t>
        </is>
      </c>
      <c r="H838" s="35" t="inlineStr">
        <is>
          <t>Agendado</t>
        </is>
      </c>
      <c r="I838" s="35" t="n"/>
      <c r="J838" s="35" t="n"/>
      <c r="K838" s="34" t="n"/>
      <c r="L838" s="26">
        <f>IF(A838="","",MONTH(A838))</f>
        <v>9</v>
      </c>
      <c r="M838" s="26">
        <f>IF(A838="","",YEAR(A838))</f>
        <v>2026</v>
      </c>
      <c r="N838" s="26" t="str">
        <f>IF(A838="","",CHOOSE(WEEKDAY(A838,2),"Segunda","Terça","Quarta","Quinta","Sexta","Sábado","Domingo"))</f>
        <v>Quinta</v>
      </c>
      <c r="O838" s="26" t="str">
        <f>IF(B838="","",IF(B838&lt;TIME(12,0,0),"Manhã",IF(B838&lt;TIME(18,0,0),"Tarde","Noite")))</f>
        <v>Manhã</v>
      </c>
      <c r="P838" s="32">
        <f>IF(G838="","",IFERROR(INDEX(Config!$I$5:$I$16,MATCH(G838,Config!$H$5:$H$16,0)),0))</f>
        <v>30</v>
      </c>
      <c r="Q838" s="30">
        <f>IF(OR(H838&lt;&gt;"Realizado",P838="",P838=0),"",A838+P838)</f>
        <v/>
      </c>
      <c r="R838" s="26">
        <f>IF(Q838="","",IF(COUNTIFS($E$5:$E$1204,E838,$A$5:$A$1204,"&gt;"&amp;A838,$H$5:$H$1204,"&lt;&gt;Falta",$H$5:$H$1204,"&lt;&gt;Cancelado",$H$5:$H$1204,"&lt;&gt;Remarcado")&gt;0,"Sim","Não"))</f>
        <v/>
      </c>
      <c r="S838" s="32">
        <f>IF(R838&lt;&gt;"Não","",IF(Q838+Config!$B$9&lt;=Config!$B$8,Config!$B$8-Q838,""))</f>
        <v/>
      </c>
      <c r="T838" s="26">
        <f>IF(S838="","","Sim")</f>
        <v/>
      </c>
      <c r="U838" s="41">
        <f>IF(T838="Sim",S838+ROW()/100000,0)</f>
        <v>0</v>
      </c>
      <c r="V838" s="41">
        <f>IF(AND(H838="Falta",L838=Config!$B$7,M838=Config!$B$5,COUNTIFS($E$5:E838,E838,$H$5:H838,"Falta",$L$5:L838,Config!$B$7,$M$5:M838,Config!$B$5)=1),COUNTIFS($E$5:$E$1204,E838,$H$5:$H$1204,"Falta",$L$5:$L$1204,Config!$B$7,$M$5:$M$1204,Config!$B$5)*1000-ROW()/100000,0)</f>
        <v>0</v>
      </c>
    </row>
    <row r="839">
      <c r="A839" s="39">
        <f>TODAY()+10</f>
        <v>46289.0</v>
      </c>
      <c r="B839" s="40" t="n">
        <v>0.4444444444444444</v>
      </c>
      <c r="C839" s="35" t="inlineStr">
        <is>
          <t>Dra. Carolina Mendes</t>
        </is>
      </c>
      <c r="D839" s="35" t="inlineStr">
        <is>
          <t>Sala 1</t>
        </is>
      </c>
      <c r="E839" s="34" t="inlineStr">
        <is>
          <t>Ana Costa</t>
        </is>
      </c>
      <c r="F839" s="35" t="inlineStr">
        <is>
          <t>Particular</t>
        </is>
      </c>
      <c r="G839" s="35" t="inlineStr">
        <is>
          <t>Consulta</t>
        </is>
      </c>
      <c r="H839" s="35" t="inlineStr">
        <is>
          <t>Agendado</t>
        </is>
      </c>
      <c r="I839" s="35" t="n"/>
      <c r="J839" s="35" t="n"/>
      <c r="K839" s="34" t="n"/>
      <c r="L839" s="26">
        <f>IF(A839="","",MONTH(A839))</f>
        <v>9</v>
      </c>
      <c r="M839" s="26">
        <f>IF(A839="","",YEAR(A839))</f>
        <v>2026</v>
      </c>
      <c r="N839" s="26" t="str">
        <f>IF(A839="","",CHOOSE(WEEKDAY(A839,2),"Segunda","Terça","Quarta","Quinta","Sexta","Sábado","Domingo"))</f>
        <v>Quinta</v>
      </c>
      <c r="O839" s="26" t="str">
        <f>IF(B839="","",IF(B839&lt;TIME(12,0,0),"Manhã",IF(B839&lt;TIME(18,0,0),"Tarde","Noite")))</f>
        <v>Manhã</v>
      </c>
      <c r="P839" s="32">
        <f>IF(G839="","",IFERROR(INDEX(Config!$I$5:$I$16,MATCH(G839,Config!$H$5:$H$16,0)),0))</f>
        <v>30</v>
      </c>
      <c r="Q839" s="30">
        <f>IF(OR(H839&lt;&gt;"Realizado",P839="",P839=0),"",A839+P839)</f>
        <v/>
      </c>
      <c r="R839" s="26">
        <f>IF(Q839="","",IF(COUNTIFS($E$5:$E$1204,E839,$A$5:$A$1204,"&gt;"&amp;A839,$H$5:$H$1204,"&lt;&gt;Falta",$H$5:$H$1204,"&lt;&gt;Cancelado",$H$5:$H$1204,"&lt;&gt;Remarcado")&gt;0,"Sim","Não"))</f>
        <v/>
      </c>
      <c r="S839" s="32">
        <f>IF(R839&lt;&gt;"Não","",IF(Q839+Config!$B$9&lt;=Config!$B$8,Config!$B$8-Q839,""))</f>
        <v/>
      </c>
      <c r="T839" s="26">
        <f>IF(S839="","","Sim")</f>
        <v/>
      </c>
      <c r="U839" s="41">
        <f>IF(T839="Sim",S839+ROW()/100000,0)</f>
        <v>0</v>
      </c>
      <c r="V839" s="41">
        <f>IF(AND(H839="Falta",L839=Config!$B$7,M839=Config!$B$5,COUNTIFS($E$5:E839,E839,$H$5:H839,"Falta",$L$5:L839,Config!$B$7,$M$5:M839,Config!$B$5)=1),COUNTIFS($E$5:$E$1204,E839,$H$5:$H$1204,"Falta",$L$5:$L$1204,Config!$B$7,$M$5:$M$1204,Config!$B$5)*1000-ROW()/100000,0)</f>
        <v>0</v>
      </c>
    </row>
    <row r="840">
      <c r="A840" s="39">
        <f>TODAY()+10</f>
        <v>46289.0</v>
      </c>
      <c r="B840" s="40" t="n">
        <v>0.4652777777777778</v>
      </c>
      <c r="C840" s="35" t="inlineStr">
        <is>
          <t>Dra. Carolina Mendes</t>
        </is>
      </c>
      <c r="D840" s="35" t="inlineStr">
        <is>
          <t>Sala 1</t>
        </is>
      </c>
      <c r="E840" s="34" t="inlineStr">
        <is>
          <t>Carlos Barros</t>
        </is>
      </c>
      <c r="F840" s="35" t="inlineStr">
        <is>
          <t>MediPlan</t>
        </is>
      </c>
      <c r="G840" s="35" t="inlineStr">
        <is>
          <t>Retorno</t>
        </is>
      </c>
      <c r="H840" s="35" t="inlineStr">
        <is>
          <t>Agendado</t>
        </is>
      </c>
      <c r="I840" s="35" t="n"/>
      <c r="J840" s="35" t="n"/>
      <c r="K840" s="34" t="n"/>
      <c r="L840" s="26">
        <f>IF(A840="","",MONTH(A840))</f>
        <v>9</v>
      </c>
      <c r="M840" s="26">
        <f>IF(A840="","",YEAR(A840))</f>
        <v>2026</v>
      </c>
      <c r="N840" s="26" t="str">
        <f>IF(A840="","",CHOOSE(WEEKDAY(A840,2),"Segunda","Terça","Quarta","Quinta","Sexta","Sábado","Domingo"))</f>
        <v>Quinta</v>
      </c>
      <c r="O840" s="26" t="str">
        <f>IF(B840="","",IF(B840&lt;TIME(12,0,0),"Manhã",IF(B840&lt;TIME(18,0,0),"Tarde","Noite")))</f>
        <v>Manhã</v>
      </c>
      <c r="P840" s="32">
        <f>IF(G840="","",IFERROR(INDEX(Config!$I$5:$I$16,MATCH(G840,Config!$H$5:$H$16,0)),0))</f>
        <v>0</v>
      </c>
      <c r="Q840" s="30">
        <f>IF(OR(H840&lt;&gt;"Realizado",P840="",P840=0),"",A840+P840)</f>
        <v/>
      </c>
      <c r="R840" s="26">
        <f>IF(Q840="","",IF(COUNTIFS($E$5:$E$1204,E840,$A$5:$A$1204,"&gt;"&amp;A840,$H$5:$H$1204,"&lt;&gt;Falta",$H$5:$H$1204,"&lt;&gt;Cancelado",$H$5:$H$1204,"&lt;&gt;Remarcado")&gt;0,"Sim","Não"))</f>
        <v/>
      </c>
      <c r="S840" s="32">
        <f>IF(R840&lt;&gt;"Não","",IF(Q840+Config!$B$9&lt;=Config!$B$8,Config!$B$8-Q840,""))</f>
        <v/>
      </c>
      <c r="T840" s="26">
        <f>IF(S840="","","Sim")</f>
        <v/>
      </c>
      <c r="U840" s="41">
        <f>IF(T840="Sim",S840+ROW()/100000,0)</f>
        <v>0</v>
      </c>
      <c r="V840" s="41">
        <f>IF(AND(H840="Falta",L840=Config!$B$7,M840=Config!$B$5,COUNTIFS($E$5:E840,E840,$H$5:H840,"Falta",$L$5:L840,Config!$B$7,$M$5:M840,Config!$B$5)=1),COUNTIFS($E$5:$E$1204,E840,$H$5:$H$1204,"Falta",$L$5:$L$1204,Config!$B$7,$M$5:$M$1204,Config!$B$5)*1000-ROW()/100000,0)</f>
        <v>0</v>
      </c>
    </row>
    <row r="841">
      <c r="A841" s="39">
        <f>TODAY()+10</f>
        <v>46289.0</v>
      </c>
      <c r="B841" s="40" t="n">
        <v>0.4791666666666667</v>
      </c>
      <c r="C841" s="35" t="inlineStr">
        <is>
          <t>Dra. Carolina Mendes</t>
        </is>
      </c>
      <c r="D841" s="35" t="inlineStr">
        <is>
          <t>Sala 1</t>
        </is>
      </c>
      <c r="E841" s="34" t="inlineStr">
        <is>
          <t>Mônica Batista</t>
        </is>
      </c>
      <c r="F841" s="35" t="inlineStr">
        <is>
          <t>MediPlan</t>
        </is>
      </c>
      <c r="G841" s="35" t="inlineStr">
        <is>
          <t>Consulta</t>
        </is>
      </c>
      <c r="H841" s="35" t="inlineStr">
        <is>
          <t>Agendado</t>
        </is>
      </c>
      <c r="I841" s="35" t="n"/>
      <c r="J841" s="35" t="n"/>
      <c r="K841" s="34" t="n"/>
      <c r="L841" s="26">
        <f>IF(A841="","",MONTH(A841))</f>
        <v>9</v>
      </c>
      <c r="M841" s="26">
        <f>IF(A841="","",YEAR(A841))</f>
        <v>2026</v>
      </c>
      <c r="N841" s="26" t="str">
        <f>IF(A841="","",CHOOSE(WEEKDAY(A841,2),"Segunda","Terça","Quarta","Quinta","Sexta","Sábado","Domingo"))</f>
        <v>Quinta</v>
      </c>
      <c r="O841" s="26" t="str">
        <f>IF(B841="","",IF(B841&lt;TIME(12,0,0),"Manhã",IF(B841&lt;TIME(18,0,0),"Tarde","Noite")))</f>
        <v>Manhã</v>
      </c>
      <c r="P841" s="32">
        <f>IF(G841="","",IFERROR(INDEX(Config!$I$5:$I$16,MATCH(G841,Config!$H$5:$H$16,0)),0))</f>
        <v>30</v>
      </c>
      <c r="Q841" s="30">
        <f>IF(OR(H841&lt;&gt;"Realizado",P841="",P841=0),"",A841+P841)</f>
        <v/>
      </c>
      <c r="R841" s="26">
        <f>IF(Q841="","",IF(COUNTIFS($E$5:$E$1204,E841,$A$5:$A$1204,"&gt;"&amp;A841,$H$5:$H$1204,"&lt;&gt;Falta",$H$5:$H$1204,"&lt;&gt;Cancelado",$H$5:$H$1204,"&lt;&gt;Remarcado")&gt;0,"Sim","Não"))</f>
        <v/>
      </c>
      <c r="S841" s="32">
        <f>IF(R841&lt;&gt;"Não","",IF(Q841+Config!$B$9&lt;=Config!$B$8,Config!$B$8-Q841,""))</f>
        <v/>
      </c>
      <c r="T841" s="26">
        <f>IF(S841="","","Sim")</f>
        <v/>
      </c>
      <c r="U841" s="41">
        <f>IF(T841="Sim",S841+ROW()/100000,0)</f>
        <v>0</v>
      </c>
      <c r="V841" s="41">
        <f>IF(AND(H841="Falta",L841=Config!$B$7,M841=Config!$B$5,COUNTIFS($E$5:E841,E841,$H$5:H841,"Falta",$L$5:L841,Config!$B$7,$M$5:M841,Config!$B$5)=1),COUNTIFS($E$5:$E$1204,E841,$H$5:$H$1204,"Falta",$L$5:$L$1204,Config!$B$7,$M$5:$M$1204,Config!$B$5)*1000-ROW()/100000,0)</f>
        <v>0</v>
      </c>
    </row>
    <row r="842">
      <c r="A842" s="39">
        <f>TODAY()+10</f>
        <v>46289.0</v>
      </c>
      <c r="B842" s="40" t="n">
        <v>0.5833333333333334</v>
      </c>
      <c r="C842" s="35" t="inlineStr">
        <is>
          <t>Dra. Renata Sousa</t>
        </is>
      </c>
      <c r="D842" s="35" t="inlineStr">
        <is>
          <t>Sala 1</t>
        </is>
      </c>
      <c r="E842" s="34" t="inlineStr">
        <is>
          <t>Tatiana Macedo</t>
        </is>
      </c>
      <c r="F842" s="35" t="inlineStr">
        <is>
          <t>Particular</t>
        </is>
      </c>
      <c r="G842" s="35" t="inlineStr">
        <is>
          <t>Retorno</t>
        </is>
      </c>
      <c r="H842" s="35" t="inlineStr">
        <is>
          <t>Agendado</t>
        </is>
      </c>
      <c r="I842" s="35" t="n"/>
      <c r="J842" s="35" t="n"/>
      <c r="K842" s="34" t="n"/>
      <c r="L842" s="26">
        <f>IF(A842="","",MONTH(A842))</f>
        <v>9</v>
      </c>
      <c r="M842" s="26">
        <f>IF(A842="","",YEAR(A842))</f>
        <v>2026</v>
      </c>
      <c r="N842" s="26" t="str">
        <f>IF(A842="","",CHOOSE(WEEKDAY(A842,2),"Segunda","Terça","Quarta","Quinta","Sexta","Sábado","Domingo"))</f>
        <v>Quinta</v>
      </c>
      <c r="O842" s="26" t="str">
        <f>IF(B842="","",IF(B842&lt;TIME(12,0,0),"Manhã",IF(B842&lt;TIME(18,0,0),"Tarde","Noite")))</f>
        <v>Tarde</v>
      </c>
      <c r="P842" s="32">
        <f>IF(G842="","",IFERROR(INDEX(Config!$I$5:$I$16,MATCH(G842,Config!$H$5:$H$16,0)),0))</f>
        <v>0</v>
      </c>
      <c r="Q842" s="30">
        <f>IF(OR(H842&lt;&gt;"Realizado",P842="",P842=0),"",A842+P842)</f>
        <v/>
      </c>
      <c r="R842" s="26">
        <f>IF(Q842="","",IF(COUNTIFS($E$5:$E$1204,E842,$A$5:$A$1204,"&gt;"&amp;A842,$H$5:$H$1204,"&lt;&gt;Falta",$H$5:$H$1204,"&lt;&gt;Cancelado",$H$5:$H$1204,"&lt;&gt;Remarcado")&gt;0,"Sim","Não"))</f>
        <v/>
      </c>
      <c r="S842" s="32">
        <f>IF(R842&lt;&gt;"Não","",IF(Q842+Config!$B$9&lt;=Config!$B$8,Config!$B$8-Q842,""))</f>
        <v/>
      </c>
      <c r="T842" s="26">
        <f>IF(S842="","","Sim")</f>
        <v/>
      </c>
      <c r="U842" s="41">
        <f>IF(T842="Sim",S842+ROW()/100000,0)</f>
        <v>0</v>
      </c>
      <c r="V842" s="41">
        <f>IF(AND(H842="Falta",L842=Config!$B$7,M842=Config!$B$5,COUNTIFS($E$5:E842,E842,$H$5:H842,"Falta",$L$5:L842,Config!$B$7,$M$5:M842,Config!$B$5)=1),COUNTIFS($E$5:$E$1204,E842,$H$5:$H$1204,"Falta",$L$5:$L$1204,Config!$B$7,$M$5:$M$1204,Config!$B$5)*1000-ROW()/100000,0)</f>
        <v>0</v>
      </c>
    </row>
    <row r="843">
      <c r="A843" s="39">
        <f>TODAY()+10</f>
        <v>46289.0</v>
      </c>
      <c r="B843" s="40" t="n">
        <v>0.6041666666666666</v>
      </c>
      <c r="C843" s="35" t="inlineStr">
        <is>
          <t>Dr. Paulo Andrade</t>
        </is>
      </c>
      <c r="D843" s="35" t="inlineStr">
        <is>
          <t>Sala 2</t>
        </is>
      </c>
      <c r="E843" s="34" t="inlineStr">
        <is>
          <t>Fábio Correia</t>
        </is>
      </c>
      <c r="F843" s="35" t="inlineStr">
        <is>
          <t>Particular</t>
        </is>
      </c>
      <c r="G843" s="35" t="inlineStr">
        <is>
          <t>Consulta</t>
        </is>
      </c>
      <c r="H843" s="35" t="inlineStr">
        <is>
          <t>Agendado</t>
        </is>
      </c>
      <c r="I843" s="35" t="n"/>
      <c r="J843" s="35" t="n"/>
      <c r="K843" s="34" t="n"/>
      <c r="L843" s="26">
        <f>IF(A843="","",MONTH(A843))</f>
        <v>9</v>
      </c>
      <c r="M843" s="26">
        <f>IF(A843="","",YEAR(A843))</f>
        <v>2026</v>
      </c>
      <c r="N843" s="26" t="str">
        <f>IF(A843="","",CHOOSE(WEEKDAY(A843,2),"Segunda","Terça","Quarta","Quinta","Sexta","Sábado","Domingo"))</f>
        <v>Quinta</v>
      </c>
      <c r="O843" s="26" t="str">
        <f>IF(B843="","",IF(B843&lt;TIME(12,0,0),"Manhã",IF(B843&lt;TIME(18,0,0),"Tarde","Noite")))</f>
        <v>Tarde</v>
      </c>
      <c r="P843" s="32">
        <f>IF(G843="","",IFERROR(INDEX(Config!$I$5:$I$16,MATCH(G843,Config!$H$5:$H$16,0)),0))</f>
        <v>30</v>
      </c>
      <c r="Q843" s="30">
        <f>IF(OR(H843&lt;&gt;"Realizado",P843="",P843=0),"",A843+P843)</f>
        <v/>
      </c>
      <c r="R843" s="26">
        <f>IF(Q843="","",IF(COUNTIFS($E$5:$E$1204,E843,$A$5:$A$1204,"&gt;"&amp;A843,$H$5:$H$1204,"&lt;&gt;Falta",$H$5:$H$1204,"&lt;&gt;Cancelado",$H$5:$H$1204,"&lt;&gt;Remarcado")&gt;0,"Sim","Não"))</f>
        <v/>
      </c>
      <c r="S843" s="32">
        <f>IF(R843&lt;&gt;"Não","",IF(Q843+Config!$B$9&lt;=Config!$B$8,Config!$B$8-Q843,""))</f>
        <v/>
      </c>
      <c r="T843" s="26">
        <f>IF(S843="","","Sim")</f>
        <v/>
      </c>
      <c r="U843" s="41">
        <f>IF(T843="Sim",S843+ROW()/100000,0)</f>
        <v>0</v>
      </c>
      <c r="V843" s="41">
        <f>IF(AND(H843="Falta",L843=Config!$B$7,M843=Config!$B$5,COUNTIFS($E$5:E843,E843,$H$5:H843,"Falta",$L$5:L843,Config!$B$7,$M$5:M843,Config!$B$5)=1),COUNTIFS($E$5:$E$1204,E843,$H$5:$H$1204,"Falta",$L$5:$L$1204,Config!$B$7,$M$5:$M$1204,Config!$B$5)*1000-ROW()/100000,0)</f>
        <v>0</v>
      </c>
    </row>
    <row r="844">
      <c r="A844" s="39">
        <f>TODAY()+10</f>
        <v>46289.0</v>
      </c>
      <c r="B844" s="40" t="n">
        <v>0.6180555555555556</v>
      </c>
      <c r="C844" s="35" t="inlineStr">
        <is>
          <t>Dra. Renata Sousa</t>
        </is>
      </c>
      <c r="D844" s="35" t="inlineStr">
        <is>
          <t>Sala 1</t>
        </is>
      </c>
      <c r="E844" s="34" t="inlineStr">
        <is>
          <t>Carlos Gonçalves</t>
        </is>
      </c>
      <c r="F844" s="35" t="inlineStr">
        <is>
          <t>Saúde Total</t>
        </is>
      </c>
      <c r="G844" s="35" t="inlineStr">
        <is>
          <t>Avaliação endócrina</t>
        </is>
      </c>
      <c r="H844" s="35" t="inlineStr">
        <is>
          <t>Agendado</t>
        </is>
      </c>
      <c r="I844" s="35" t="n"/>
      <c r="J844" s="35" t="n"/>
      <c r="K844" s="34" t="n"/>
      <c r="L844" s="26">
        <f>IF(A844="","",MONTH(A844))</f>
        <v>9</v>
      </c>
      <c r="M844" s="26">
        <f>IF(A844="","",YEAR(A844))</f>
        <v>2026</v>
      </c>
      <c r="N844" s="26" t="str">
        <f>IF(A844="","",CHOOSE(WEEKDAY(A844,2),"Segunda","Terça","Quarta","Quinta","Sexta","Sábado","Domingo"))</f>
        <v>Quinta</v>
      </c>
      <c r="O844" s="26" t="str">
        <f>IF(B844="","",IF(B844&lt;TIME(12,0,0),"Manhã",IF(B844&lt;TIME(18,0,0),"Tarde","Noite")))</f>
        <v>Tarde</v>
      </c>
      <c r="P844" s="32">
        <f>IF(G844="","",IFERROR(INDEX(Config!$I$5:$I$16,MATCH(G844,Config!$H$5:$H$16,0)),0))</f>
        <v>45</v>
      </c>
      <c r="Q844" s="30">
        <f>IF(OR(H844&lt;&gt;"Realizado",P844="",P844=0),"",A844+P844)</f>
        <v/>
      </c>
      <c r="R844" s="26">
        <f>IF(Q844="","",IF(COUNTIFS($E$5:$E$1204,E844,$A$5:$A$1204,"&gt;"&amp;A844,$H$5:$H$1204,"&lt;&gt;Falta",$H$5:$H$1204,"&lt;&gt;Cancelado",$H$5:$H$1204,"&lt;&gt;Remarcado")&gt;0,"Sim","Não"))</f>
        <v/>
      </c>
      <c r="S844" s="32">
        <f>IF(R844&lt;&gt;"Não","",IF(Q844+Config!$B$9&lt;=Config!$B$8,Config!$B$8-Q844,""))</f>
        <v/>
      </c>
      <c r="T844" s="26">
        <f>IF(S844="","","Sim")</f>
        <v/>
      </c>
      <c r="U844" s="41">
        <f>IF(T844="Sim",S844+ROW()/100000,0)</f>
        <v>0</v>
      </c>
      <c r="V844" s="41">
        <f>IF(AND(H844="Falta",L844=Config!$B$7,M844=Config!$B$5,COUNTIFS($E$5:E844,E844,$H$5:H844,"Falta",$L$5:L844,Config!$B$7,$M$5:M844,Config!$B$5)=1),COUNTIFS($E$5:$E$1204,E844,$H$5:$H$1204,"Falta",$L$5:$L$1204,Config!$B$7,$M$5:$M$1204,Config!$B$5)*1000-ROW()/100000,0)</f>
        <v>0</v>
      </c>
    </row>
    <row r="845">
      <c r="A845" s="39">
        <f>TODAY()+10</f>
        <v>46289.0</v>
      </c>
      <c r="B845" s="40" t="n">
        <v>0.625</v>
      </c>
      <c r="C845" s="35" t="inlineStr">
        <is>
          <t>Dr. Paulo Andrade</t>
        </is>
      </c>
      <c r="D845" s="35" t="inlineStr">
        <is>
          <t>Sala 2</t>
        </is>
      </c>
      <c r="E845" s="34" t="inlineStr">
        <is>
          <t>Carlos Castro</t>
        </is>
      </c>
      <c r="F845" s="35" t="inlineStr">
        <is>
          <t>Saúde Total</t>
        </is>
      </c>
      <c r="G845" s="35" t="inlineStr">
        <is>
          <t>ECG</t>
        </is>
      </c>
      <c r="H845" s="35" t="inlineStr">
        <is>
          <t>Agendado</t>
        </is>
      </c>
      <c r="I845" s="35" t="n"/>
      <c r="J845" s="35" t="n"/>
      <c r="K845" s="34" t="n"/>
      <c r="L845" s="26">
        <f>IF(A845="","",MONTH(A845))</f>
        <v>9</v>
      </c>
      <c r="M845" s="26">
        <f>IF(A845="","",YEAR(A845))</f>
        <v>2026</v>
      </c>
      <c r="N845" s="26" t="str">
        <f>IF(A845="","",CHOOSE(WEEKDAY(A845,2),"Segunda","Terça","Quarta","Quinta","Sexta","Sábado","Domingo"))</f>
        <v>Quinta</v>
      </c>
      <c r="O845" s="26" t="str">
        <f>IF(B845="","",IF(B845&lt;TIME(12,0,0),"Manhã",IF(B845&lt;TIME(18,0,0),"Tarde","Noite")))</f>
        <v>Tarde</v>
      </c>
      <c r="P845" s="32">
        <f>IF(G845="","",IFERROR(INDEX(Config!$I$5:$I$16,MATCH(G845,Config!$H$5:$H$16,0)),0))</f>
        <v>0</v>
      </c>
      <c r="Q845" s="30">
        <f>IF(OR(H845&lt;&gt;"Realizado",P845="",P845=0),"",A845+P845)</f>
        <v/>
      </c>
      <c r="R845" s="26">
        <f>IF(Q845="","",IF(COUNTIFS($E$5:$E$1204,E845,$A$5:$A$1204,"&gt;"&amp;A845,$H$5:$H$1204,"&lt;&gt;Falta",$H$5:$H$1204,"&lt;&gt;Cancelado",$H$5:$H$1204,"&lt;&gt;Remarcado")&gt;0,"Sim","Não"))</f>
        <v/>
      </c>
      <c r="S845" s="32">
        <f>IF(R845&lt;&gt;"Não","",IF(Q845+Config!$B$9&lt;=Config!$B$8,Config!$B$8-Q845,""))</f>
        <v/>
      </c>
      <c r="T845" s="26">
        <f>IF(S845="","","Sim")</f>
        <v/>
      </c>
      <c r="U845" s="41">
        <f>IF(T845="Sim",S845+ROW()/100000,0)</f>
        <v>0</v>
      </c>
      <c r="V845" s="41">
        <f>IF(AND(H845="Falta",L845=Config!$B$7,M845=Config!$B$5,COUNTIFS($E$5:E845,E845,$H$5:H845,"Falta",$L$5:L845,Config!$B$7,$M$5:M845,Config!$B$5)=1),COUNTIFS($E$5:$E$1204,E845,$H$5:$H$1204,"Falta",$L$5:$L$1204,Config!$B$7,$M$5:$M$1204,Config!$B$5)*1000-ROW()/100000,0)</f>
        <v>0</v>
      </c>
    </row>
    <row r="846">
      <c r="A846" s="39">
        <f>TODAY()+10</f>
        <v>46289.0</v>
      </c>
      <c r="B846" s="40" t="n">
        <v>0.6388888888888888</v>
      </c>
      <c r="C846" s="35" t="inlineStr">
        <is>
          <t>Dr. Paulo Andrade</t>
        </is>
      </c>
      <c r="D846" s="35" t="inlineStr">
        <is>
          <t>Sala 2</t>
        </is>
      </c>
      <c r="E846" s="34" t="inlineStr">
        <is>
          <t>Roberta Fernandes</t>
        </is>
      </c>
      <c r="F846" s="35" t="inlineStr">
        <is>
          <t>Saúde Total</t>
        </is>
      </c>
      <c r="G846" s="35" t="inlineStr">
        <is>
          <t>ECG</t>
        </is>
      </c>
      <c r="H846" s="35" t="inlineStr">
        <is>
          <t>Agendado</t>
        </is>
      </c>
      <c r="I846" s="35" t="n"/>
      <c r="J846" s="35" t="n"/>
      <c r="K846" s="34" t="n"/>
      <c r="L846" s="26">
        <f>IF(A846="","",MONTH(A846))</f>
        <v>9</v>
      </c>
      <c r="M846" s="26">
        <f>IF(A846="","",YEAR(A846))</f>
        <v>2026</v>
      </c>
      <c r="N846" s="26" t="str">
        <f>IF(A846="","",CHOOSE(WEEKDAY(A846,2),"Segunda","Terça","Quarta","Quinta","Sexta","Sábado","Domingo"))</f>
        <v>Quinta</v>
      </c>
      <c r="O846" s="26" t="str">
        <f>IF(B846="","",IF(B846&lt;TIME(12,0,0),"Manhã",IF(B846&lt;TIME(18,0,0),"Tarde","Noite")))</f>
        <v>Tarde</v>
      </c>
      <c r="P846" s="32">
        <f>IF(G846="","",IFERROR(INDEX(Config!$I$5:$I$16,MATCH(G846,Config!$H$5:$H$16,0)),0))</f>
        <v>0</v>
      </c>
      <c r="Q846" s="30">
        <f>IF(OR(H846&lt;&gt;"Realizado",P846="",P846=0),"",A846+P846)</f>
        <v/>
      </c>
      <c r="R846" s="26">
        <f>IF(Q846="","",IF(COUNTIFS($E$5:$E$1204,E846,$A$5:$A$1204,"&gt;"&amp;A846,$H$5:$H$1204,"&lt;&gt;Falta",$H$5:$H$1204,"&lt;&gt;Cancelado",$H$5:$H$1204,"&lt;&gt;Remarcado")&gt;0,"Sim","Não"))</f>
        <v/>
      </c>
      <c r="S846" s="32">
        <f>IF(R846&lt;&gt;"Não","",IF(Q846+Config!$B$9&lt;=Config!$B$8,Config!$B$8-Q846,""))</f>
        <v/>
      </c>
      <c r="T846" s="26">
        <f>IF(S846="","","Sim")</f>
        <v/>
      </c>
      <c r="U846" s="41">
        <f>IF(T846="Sim",S846+ROW()/100000,0)</f>
        <v>0</v>
      </c>
      <c r="V846" s="41">
        <f>IF(AND(H846="Falta",L846=Config!$B$7,M846=Config!$B$5,COUNTIFS($E$5:E846,E846,$H$5:H846,"Falta",$L$5:L846,Config!$B$7,$M$5:M846,Config!$B$5)=1),COUNTIFS($E$5:$E$1204,E846,$H$5:$H$1204,"Falta",$L$5:$L$1204,Config!$B$7,$M$5:$M$1204,Config!$B$5)*1000-ROW()/100000,0)</f>
        <v>0</v>
      </c>
    </row>
    <row r="847">
      <c r="A847" s="39">
        <f>TODAY()+10</f>
        <v>46289.0</v>
      </c>
      <c r="B847" s="40" t="n">
        <v>0.6458333333333334</v>
      </c>
      <c r="C847" s="35" t="inlineStr">
        <is>
          <t>Dra. Renata Sousa</t>
        </is>
      </c>
      <c r="D847" s="35" t="inlineStr">
        <is>
          <t>Sala 1</t>
        </is>
      </c>
      <c r="E847" s="34" t="inlineStr">
        <is>
          <t>Gabriel Lopes</t>
        </is>
      </c>
      <c r="F847" s="35" t="inlineStr">
        <is>
          <t>Saúde Total</t>
        </is>
      </c>
      <c r="G847" s="35" t="inlineStr">
        <is>
          <t>Avaliação endócrina</t>
        </is>
      </c>
      <c r="H847" s="35" t="inlineStr">
        <is>
          <t>Agendado</t>
        </is>
      </c>
      <c r="I847" s="35" t="n"/>
      <c r="J847" s="35" t="n"/>
      <c r="K847" s="34" t="n"/>
      <c r="L847" s="26">
        <f>IF(A847="","",MONTH(A847))</f>
        <v>9</v>
      </c>
      <c r="M847" s="26">
        <f>IF(A847="","",YEAR(A847))</f>
        <v>2026</v>
      </c>
      <c r="N847" s="26" t="str">
        <f>IF(A847="","",CHOOSE(WEEKDAY(A847,2),"Segunda","Terça","Quarta","Quinta","Sexta","Sábado","Domingo"))</f>
        <v>Quinta</v>
      </c>
      <c r="O847" s="26" t="str">
        <f>IF(B847="","",IF(B847&lt;TIME(12,0,0),"Manhã",IF(B847&lt;TIME(18,0,0),"Tarde","Noite")))</f>
        <v>Tarde</v>
      </c>
      <c r="P847" s="32">
        <f>IF(G847="","",IFERROR(INDEX(Config!$I$5:$I$16,MATCH(G847,Config!$H$5:$H$16,0)),0))</f>
        <v>45</v>
      </c>
      <c r="Q847" s="30">
        <f>IF(OR(H847&lt;&gt;"Realizado",P847="",P847=0),"",A847+P847)</f>
        <v/>
      </c>
      <c r="R847" s="26">
        <f>IF(Q847="","",IF(COUNTIFS($E$5:$E$1204,E847,$A$5:$A$1204,"&gt;"&amp;A847,$H$5:$H$1204,"&lt;&gt;Falta",$H$5:$H$1204,"&lt;&gt;Cancelado",$H$5:$H$1204,"&lt;&gt;Remarcado")&gt;0,"Sim","Não"))</f>
        <v/>
      </c>
      <c r="S847" s="32">
        <f>IF(R847&lt;&gt;"Não","",IF(Q847+Config!$B$9&lt;=Config!$B$8,Config!$B$8-Q847,""))</f>
        <v/>
      </c>
      <c r="T847" s="26">
        <f>IF(S847="","","Sim")</f>
        <v/>
      </c>
      <c r="U847" s="41">
        <f>IF(T847="Sim",S847+ROW()/100000,0)</f>
        <v>0</v>
      </c>
      <c r="V847" s="41">
        <f>IF(AND(H847="Falta",L847=Config!$B$7,M847=Config!$B$5,COUNTIFS($E$5:E847,E847,$H$5:H847,"Falta",$L$5:L847,Config!$B$7,$M$5:M847,Config!$B$5)=1),COUNTIFS($E$5:$E$1204,E847,$H$5:$H$1204,"Falta",$L$5:$L$1204,Config!$B$7,$M$5:$M$1204,Config!$B$5)*1000-ROW()/100000,0)</f>
        <v>0</v>
      </c>
    </row>
    <row r="848">
      <c r="A848" s="39">
        <f>TODAY()+10</f>
        <v>46289.0</v>
      </c>
      <c r="B848" s="40" t="n">
        <v>0.6527777777777778</v>
      </c>
      <c r="C848" s="35" t="inlineStr">
        <is>
          <t>Dr. Paulo Andrade</t>
        </is>
      </c>
      <c r="D848" s="35" t="inlineStr">
        <is>
          <t>Sala 2</t>
        </is>
      </c>
      <c r="E848" s="34" t="inlineStr">
        <is>
          <t>Otávio Cardoso</t>
        </is>
      </c>
      <c r="F848" s="35" t="inlineStr">
        <is>
          <t>Particular</t>
        </is>
      </c>
      <c r="G848" s="35" t="inlineStr">
        <is>
          <t>ECG</t>
        </is>
      </c>
      <c r="H848" s="35" t="inlineStr">
        <is>
          <t>Agendado</t>
        </is>
      </c>
      <c r="I848" s="35" t="n"/>
      <c r="J848" s="35" t="n"/>
      <c r="K848" s="34" t="n"/>
      <c r="L848" s="26">
        <f>IF(A848="","",MONTH(A848))</f>
        <v>9</v>
      </c>
      <c r="M848" s="26">
        <f>IF(A848="","",YEAR(A848))</f>
        <v>2026</v>
      </c>
      <c r="N848" s="26" t="str">
        <f>IF(A848="","",CHOOSE(WEEKDAY(A848,2),"Segunda","Terça","Quarta","Quinta","Sexta","Sábado","Domingo"))</f>
        <v>Quinta</v>
      </c>
      <c r="O848" s="26" t="str">
        <f>IF(B848="","",IF(B848&lt;TIME(12,0,0),"Manhã",IF(B848&lt;TIME(18,0,0),"Tarde","Noite")))</f>
        <v>Tarde</v>
      </c>
      <c r="P848" s="32">
        <f>IF(G848="","",IFERROR(INDEX(Config!$I$5:$I$16,MATCH(G848,Config!$H$5:$H$16,0)),0))</f>
        <v>0</v>
      </c>
      <c r="Q848" s="30">
        <f>IF(OR(H848&lt;&gt;"Realizado",P848="",P848=0),"",A848+P848)</f>
        <v/>
      </c>
      <c r="R848" s="26">
        <f>IF(Q848="","",IF(COUNTIFS($E$5:$E$1204,E848,$A$5:$A$1204,"&gt;"&amp;A848,$H$5:$H$1204,"&lt;&gt;Falta",$H$5:$H$1204,"&lt;&gt;Cancelado",$H$5:$H$1204,"&lt;&gt;Remarcado")&gt;0,"Sim","Não"))</f>
        <v/>
      </c>
      <c r="S848" s="32">
        <f>IF(R848&lt;&gt;"Não","",IF(Q848+Config!$B$9&lt;=Config!$B$8,Config!$B$8-Q848,""))</f>
        <v/>
      </c>
      <c r="T848" s="26">
        <f>IF(S848="","","Sim")</f>
        <v/>
      </c>
      <c r="U848" s="41">
        <f>IF(T848="Sim",S848+ROW()/100000,0)</f>
        <v>0</v>
      </c>
      <c r="V848" s="41">
        <f>IF(AND(H848="Falta",L848=Config!$B$7,M848=Config!$B$5,COUNTIFS($E$5:E848,E848,$H$5:H848,"Falta",$L$5:L848,Config!$B$7,$M$5:M848,Config!$B$5)=1),COUNTIFS($E$5:$E$1204,E848,$H$5:$H$1204,"Falta",$L$5:$L$1204,Config!$B$7,$M$5:$M$1204,Config!$B$5)*1000-ROW()/100000,0)</f>
        <v>0</v>
      </c>
    </row>
    <row r="849">
      <c r="A849" s="39">
        <f>TODAY()+10</f>
        <v>46289.0</v>
      </c>
      <c r="B849" s="40" t="n">
        <v>0.6666666666666666</v>
      </c>
      <c r="C849" s="35" t="inlineStr">
        <is>
          <t>Dr. Paulo Andrade</t>
        </is>
      </c>
      <c r="D849" s="35" t="inlineStr">
        <is>
          <t>Sala 2</t>
        </is>
      </c>
      <c r="E849" s="34" t="inlineStr">
        <is>
          <t>Camila Martins</t>
        </is>
      </c>
      <c r="F849" s="35" t="inlineStr">
        <is>
          <t>Vida Care</t>
        </is>
      </c>
      <c r="G849" s="35" t="inlineStr">
        <is>
          <t>Retorno</t>
        </is>
      </c>
      <c r="H849" s="35" t="inlineStr">
        <is>
          <t>Agendado</t>
        </is>
      </c>
      <c r="I849" s="35" t="n"/>
      <c r="J849" s="35" t="n"/>
      <c r="K849" s="34" t="n"/>
      <c r="L849" s="26">
        <f>IF(A849="","",MONTH(A849))</f>
        <v>9</v>
      </c>
      <c r="M849" s="26">
        <f>IF(A849="","",YEAR(A849))</f>
        <v>2026</v>
      </c>
      <c r="N849" s="26" t="str">
        <f>IF(A849="","",CHOOSE(WEEKDAY(A849,2),"Segunda","Terça","Quarta","Quinta","Sexta","Sábado","Domingo"))</f>
        <v>Quinta</v>
      </c>
      <c r="O849" s="26" t="str">
        <f>IF(B849="","",IF(B849&lt;TIME(12,0,0),"Manhã",IF(B849&lt;TIME(18,0,0),"Tarde","Noite")))</f>
        <v>Tarde</v>
      </c>
      <c r="P849" s="32">
        <f>IF(G849="","",IFERROR(INDEX(Config!$I$5:$I$16,MATCH(G849,Config!$H$5:$H$16,0)),0))</f>
        <v>0</v>
      </c>
      <c r="Q849" s="30">
        <f>IF(OR(H849&lt;&gt;"Realizado",P849="",P849=0),"",A849+P849)</f>
        <v/>
      </c>
      <c r="R849" s="26">
        <f>IF(Q849="","",IF(COUNTIFS($E$5:$E$1204,E849,$A$5:$A$1204,"&gt;"&amp;A849,$H$5:$H$1204,"&lt;&gt;Falta",$H$5:$H$1204,"&lt;&gt;Cancelado",$H$5:$H$1204,"&lt;&gt;Remarcado")&gt;0,"Sim","Não"))</f>
        <v/>
      </c>
      <c r="S849" s="32">
        <f>IF(R849&lt;&gt;"Não","",IF(Q849+Config!$B$9&lt;=Config!$B$8,Config!$B$8-Q849,""))</f>
        <v/>
      </c>
      <c r="T849" s="26">
        <f>IF(S849="","","Sim")</f>
        <v/>
      </c>
      <c r="U849" s="41">
        <f>IF(T849="Sim",S849+ROW()/100000,0)</f>
        <v>0</v>
      </c>
      <c r="V849" s="41">
        <f>IF(AND(H849="Falta",L849=Config!$B$7,M849=Config!$B$5,COUNTIFS($E$5:E849,E849,$H$5:H849,"Falta",$L$5:L849,Config!$B$7,$M$5:M849,Config!$B$5)=1),COUNTIFS($E$5:$E$1204,E849,$H$5:$H$1204,"Falta",$L$5:$L$1204,Config!$B$7,$M$5:$M$1204,Config!$B$5)*1000-ROW()/100000,0)</f>
        <v>0</v>
      </c>
    </row>
    <row r="850">
      <c r="A850" s="39">
        <f>TODAY()+10</f>
        <v>46289.0</v>
      </c>
      <c r="B850" s="40" t="n">
        <v>0.6736111111111112</v>
      </c>
      <c r="C850" s="35" t="inlineStr">
        <is>
          <t>Dra. Renata Sousa</t>
        </is>
      </c>
      <c r="D850" s="35" t="inlineStr">
        <is>
          <t>Sala 1</t>
        </is>
      </c>
      <c r="E850" s="34" t="inlineStr">
        <is>
          <t>Mônica Almeida</t>
        </is>
      </c>
      <c r="F850" s="35" t="inlineStr">
        <is>
          <t>Particular</t>
        </is>
      </c>
      <c r="G850" s="35" t="inlineStr">
        <is>
          <t>Avaliação endócrina</t>
        </is>
      </c>
      <c r="H850" s="35" t="inlineStr">
        <is>
          <t>Agendado</t>
        </is>
      </c>
      <c r="I850" s="35" t="n"/>
      <c r="J850" s="35" t="n"/>
      <c r="K850" s="34" t="n"/>
      <c r="L850" s="26">
        <f>IF(A850="","",MONTH(A850))</f>
        <v>9</v>
      </c>
      <c r="M850" s="26">
        <f>IF(A850="","",YEAR(A850))</f>
        <v>2026</v>
      </c>
      <c r="N850" s="26" t="str">
        <f>IF(A850="","",CHOOSE(WEEKDAY(A850,2),"Segunda","Terça","Quarta","Quinta","Sexta","Sábado","Domingo"))</f>
        <v>Quinta</v>
      </c>
      <c r="O850" s="26" t="str">
        <f>IF(B850="","",IF(B850&lt;TIME(12,0,0),"Manhã",IF(B850&lt;TIME(18,0,0),"Tarde","Noite")))</f>
        <v>Tarde</v>
      </c>
      <c r="P850" s="32">
        <f>IF(G850="","",IFERROR(INDEX(Config!$I$5:$I$16,MATCH(G850,Config!$H$5:$H$16,0)),0))</f>
        <v>45</v>
      </c>
      <c r="Q850" s="30">
        <f>IF(OR(H850&lt;&gt;"Realizado",P850="",P850=0),"",A850+P850)</f>
        <v/>
      </c>
      <c r="R850" s="26">
        <f>IF(Q850="","",IF(COUNTIFS($E$5:$E$1204,E850,$A$5:$A$1204,"&gt;"&amp;A850,$H$5:$H$1204,"&lt;&gt;Falta",$H$5:$H$1204,"&lt;&gt;Cancelado",$H$5:$H$1204,"&lt;&gt;Remarcado")&gt;0,"Sim","Não"))</f>
        <v/>
      </c>
      <c r="S850" s="32">
        <f>IF(R850&lt;&gt;"Não","",IF(Q850+Config!$B$9&lt;=Config!$B$8,Config!$B$8-Q850,""))</f>
        <v/>
      </c>
      <c r="T850" s="26">
        <f>IF(S850="","","Sim")</f>
        <v/>
      </c>
      <c r="U850" s="41">
        <f>IF(T850="Sim",S850+ROW()/100000,0)</f>
        <v>0</v>
      </c>
      <c r="V850" s="41">
        <f>IF(AND(H850="Falta",L850=Config!$B$7,M850=Config!$B$5,COUNTIFS($E$5:E850,E850,$H$5:H850,"Falta",$L$5:L850,Config!$B$7,$M$5:M850,Config!$B$5)=1),COUNTIFS($E$5:$E$1204,E850,$H$5:$H$1204,"Falta",$L$5:$L$1204,Config!$B$7,$M$5:$M$1204,Config!$B$5)*1000-ROW()/100000,0)</f>
        <v>0</v>
      </c>
    </row>
    <row r="851">
      <c r="A851" s="39">
        <f>TODAY()+10</f>
        <v>46289.0</v>
      </c>
      <c r="B851" s="40" t="n">
        <v>0.6805555555555556</v>
      </c>
      <c r="C851" s="35" t="inlineStr">
        <is>
          <t>Dr. Paulo Andrade</t>
        </is>
      </c>
      <c r="D851" s="35" t="inlineStr">
        <is>
          <t>Sala 2</t>
        </is>
      </c>
      <c r="E851" s="34" t="inlineStr">
        <is>
          <t>Mateus Dias</t>
        </is>
      </c>
      <c r="F851" s="35" t="inlineStr">
        <is>
          <t>Saúde Total</t>
        </is>
      </c>
      <c r="G851" s="35" t="inlineStr">
        <is>
          <t>Retorno</t>
        </is>
      </c>
      <c r="H851" s="35" t="inlineStr">
        <is>
          <t>Agendado</t>
        </is>
      </c>
      <c r="I851" s="35" t="n"/>
      <c r="J851" s="35" t="n"/>
      <c r="K851" s="34" t="n"/>
      <c r="L851" s="26">
        <f>IF(A851="","",MONTH(A851))</f>
        <v>9</v>
      </c>
      <c r="M851" s="26">
        <f>IF(A851="","",YEAR(A851))</f>
        <v>2026</v>
      </c>
      <c r="N851" s="26" t="str">
        <f>IF(A851="","",CHOOSE(WEEKDAY(A851,2),"Segunda","Terça","Quarta","Quinta","Sexta","Sábado","Domingo"))</f>
        <v>Quinta</v>
      </c>
      <c r="O851" s="26" t="str">
        <f>IF(B851="","",IF(B851&lt;TIME(12,0,0),"Manhã",IF(B851&lt;TIME(18,0,0),"Tarde","Noite")))</f>
        <v>Tarde</v>
      </c>
      <c r="P851" s="32">
        <f>IF(G851="","",IFERROR(INDEX(Config!$I$5:$I$16,MATCH(G851,Config!$H$5:$H$16,0)),0))</f>
        <v>0</v>
      </c>
      <c r="Q851" s="30">
        <f>IF(OR(H851&lt;&gt;"Realizado",P851="",P851=0),"",A851+P851)</f>
        <v/>
      </c>
      <c r="R851" s="26">
        <f>IF(Q851="","",IF(COUNTIFS($E$5:$E$1204,E851,$A$5:$A$1204,"&gt;"&amp;A851,$H$5:$H$1204,"&lt;&gt;Falta",$H$5:$H$1204,"&lt;&gt;Cancelado",$H$5:$H$1204,"&lt;&gt;Remarcado")&gt;0,"Sim","Não"))</f>
        <v/>
      </c>
      <c r="S851" s="32">
        <f>IF(R851&lt;&gt;"Não","",IF(Q851+Config!$B$9&lt;=Config!$B$8,Config!$B$8-Q851,""))</f>
        <v/>
      </c>
      <c r="T851" s="26">
        <f>IF(S851="","","Sim")</f>
        <v/>
      </c>
      <c r="U851" s="41">
        <f>IF(T851="Sim",S851+ROW()/100000,0)</f>
        <v>0</v>
      </c>
      <c r="V851" s="41">
        <f>IF(AND(H851="Falta",L851=Config!$B$7,M851=Config!$B$5,COUNTIFS($E$5:E851,E851,$H$5:H851,"Falta",$L$5:L851,Config!$B$7,$M$5:M851,Config!$B$5)=1),COUNTIFS($E$5:$E$1204,E851,$H$5:$H$1204,"Falta",$L$5:$L$1204,Config!$B$7,$M$5:$M$1204,Config!$B$5)*1000-ROW()/100000,0)</f>
        <v>0</v>
      </c>
    </row>
    <row r="852">
      <c r="A852" s="39">
        <f>TODAY()+10</f>
        <v>46289.0</v>
      </c>
      <c r="B852" s="40" t="n">
        <v>0.6944444444444444</v>
      </c>
      <c r="C852" s="35" t="inlineStr">
        <is>
          <t>Dr. Paulo Andrade</t>
        </is>
      </c>
      <c r="D852" s="35" t="inlineStr">
        <is>
          <t>Sala 2</t>
        </is>
      </c>
      <c r="E852" s="34" t="inlineStr">
        <is>
          <t>Rafael Barros</t>
        </is>
      </c>
      <c r="F852" s="35" t="inlineStr">
        <is>
          <t>Particular</t>
        </is>
      </c>
      <c r="G852" s="35" t="inlineStr">
        <is>
          <t>Consulta</t>
        </is>
      </c>
      <c r="H852" s="35" t="inlineStr">
        <is>
          <t>Agendado</t>
        </is>
      </c>
      <c r="I852" s="35" t="n"/>
      <c r="J852" s="35" t="n"/>
      <c r="K852" s="34" t="n"/>
      <c r="L852" s="26">
        <f>IF(A852="","",MONTH(A852))</f>
        <v>9</v>
      </c>
      <c r="M852" s="26">
        <f>IF(A852="","",YEAR(A852))</f>
        <v>2026</v>
      </c>
      <c r="N852" s="26" t="str">
        <f>IF(A852="","",CHOOSE(WEEKDAY(A852,2),"Segunda","Terça","Quarta","Quinta","Sexta","Sábado","Domingo"))</f>
        <v>Quinta</v>
      </c>
      <c r="O852" s="26" t="str">
        <f>IF(B852="","",IF(B852&lt;TIME(12,0,0),"Manhã",IF(B852&lt;TIME(18,0,0),"Tarde","Noite")))</f>
        <v>Tarde</v>
      </c>
      <c r="P852" s="32">
        <f>IF(G852="","",IFERROR(INDEX(Config!$I$5:$I$16,MATCH(G852,Config!$H$5:$H$16,0)),0))</f>
        <v>30</v>
      </c>
      <c r="Q852" s="30">
        <f>IF(OR(H852&lt;&gt;"Realizado",P852="",P852=0),"",A852+P852)</f>
        <v/>
      </c>
      <c r="R852" s="26">
        <f>IF(Q852="","",IF(COUNTIFS($E$5:$E$1204,E852,$A$5:$A$1204,"&gt;"&amp;A852,$H$5:$H$1204,"&lt;&gt;Falta",$H$5:$H$1204,"&lt;&gt;Cancelado",$H$5:$H$1204,"&lt;&gt;Remarcado")&gt;0,"Sim","Não"))</f>
        <v/>
      </c>
      <c r="S852" s="32">
        <f>IF(R852&lt;&gt;"Não","",IF(Q852+Config!$B$9&lt;=Config!$B$8,Config!$B$8-Q852,""))</f>
        <v/>
      </c>
      <c r="T852" s="26">
        <f>IF(S852="","","Sim")</f>
        <v/>
      </c>
      <c r="U852" s="41">
        <f>IF(T852="Sim",S852+ROW()/100000,0)</f>
        <v>0</v>
      </c>
      <c r="V852" s="41">
        <f>IF(AND(H852="Falta",L852=Config!$B$7,M852=Config!$B$5,COUNTIFS($E$5:E852,E852,$H$5:H852,"Falta",$L$5:L852,Config!$B$7,$M$5:M852,Config!$B$5)=1),COUNTIFS($E$5:$E$1204,E852,$H$5:$H$1204,"Falta",$L$5:$L$1204,Config!$B$7,$M$5:$M$1204,Config!$B$5)*1000-ROW()/100000,0)</f>
        <v>0</v>
      </c>
    </row>
    <row r="853">
      <c r="A853" s="39">
        <f>TODAY()+10</f>
        <v>46289.0</v>
      </c>
      <c r="B853" s="40" t="n">
        <v>0.7013888888888888</v>
      </c>
      <c r="C853" s="35" t="inlineStr">
        <is>
          <t>Dra. Renata Sousa</t>
        </is>
      </c>
      <c r="D853" s="35" t="inlineStr">
        <is>
          <t>Sala 1</t>
        </is>
      </c>
      <c r="E853" s="34" t="inlineStr">
        <is>
          <t>Fábio Gomes</t>
        </is>
      </c>
      <c r="F853" s="35" t="inlineStr">
        <is>
          <t>Particular</t>
        </is>
      </c>
      <c r="G853" s="35" t="inlineStr">
        <is>
          <t>Avaliação endócrina</t>
        </is>
      </c>
      <c r="H853" s="35" t="inlineStr">
        <is>
          <t>Agendado</t>
        </is>
      </c>
      <c r="I853" s="35" t="n"/>
      <c r="J853" s="35" t="n"/>
      <c r="K853" s="34" t="n"/>
      <c r="L853" s="26">
        <f>IF(A853="","",MONTH(A853))</f>
        <v>9</v>
      </c>
      <c r="M853" s="26">
        <f>IF(A853="","",YEAR(A853))</f>
        <v>2026</v>
      </c>
      <c r="N853" s="26" t="str">
        <f>IF(A853="","",CHOOSE(WEEKDAY(A853,2),"Segunda","Terça","Quarta","Quinta","Sexta","Sábado","Domingo"))</f>
        <v>Quinta</v>
      </c>
      <c r="O853" s="26" t="str">
        <f>IF(B853="","",IF(B853&lt;TIME(12,0,0),"Manhã",IF(B853&lt;TIME(18,0,0),"Tarde","Noite")))</f>
        <v>Tarde</v>
      </c>
      <c r="P853" s="32">
        <f>IF(G853="","",IFERROR(INDEX(Config!$I$5:$I$16,MATCH(G853,Config!$H$5:$H$16,0)),0))</f>
        <v>45</v>
      </c>
      <c r="Q853" s="30">
        <f>IF(OR(H853&lt;&gt;"Realizado",P853="",P853=0),"",A853+P853)</f>
        <v/>
      </c>
      <c r="R853" s="26">
        <f>IF(Q853="","",IF(COUNTIFS($E$5:$E$1204,E853,$A$5:$A$1204,"&gt;"&amp;A853,$H$5:$H$1204,"&lt;&gt;Falta",$H$5:$H$1204,"&lt;&gt;Cancelado",$H$5:$H$1204,"&lt;&gt;Remarcado")&gt;0,"Sim","Não"))</f>
        <v/>
      </c>
      <c r="S853" s="32">
        <f>IF(R853&lt;&gt;"Não","",IF(Q853+Config!$B$9&lt;=Config!$B$8,Config!$B$8-Q853,""))</f>
        <v/>
      </c>
      <c r="T853" s="26">
        <f>IF(S853="","","Sim")</f>
        <v/>
      </c>
      <c r="U853" s="41">
        <f>IF(T853="Sim",S853+ROW()/100000,0)</f>
        <v>0</v>
      </c>
      <c r="V853" s="41">
        <f>IF(AND(H853="Falta",L853=Config!$B$7,M853=Config!$B$5,COUNTIFS($E$5:E853,E853,$H$5:H853,"Falta",$L$5:L853,Config!$B$7,$M$5:M853,Config!$B$5)=1),COUNTIFS($E$5:$E$1204,E853,$H$5:$H$1204,"Falta",$L$5:$L$1204,Config!$B$7,$M$5:$M$1204,Config!$B$5)*1000-ROW()/100000,0)</f>
        <v>0</v>
      </c>
    </row>
    <row r="854">
      <c r="A854" s="39">
        <f>TODAY()+10</f>
        <v>46289.0</v>
      </c>
      <c r="B854" s="40" t="n">
        <v>0.7152777777777778</v>
      </c>
      <c r="C854" s="35" t="inlineStr">
        <is>
          <t>Dr. Paulo Andrade</t>
        </is>
      </c>
      <c r="D854" s="35" t="inlineStr">
        <is>
          <t>Sala 2</t>
        </is>
      </c>
      <c r="E854" s="34" t="inlineStr">
        <is>
          <t>Camila Freitas</t>
        </is>
      </c>
      <c r="F854" s="35" t="inlineStr">
        <is>
          <t>Particular</t>
        </is>
      </c>
      <c r="G854" s="35" t="inlineStr">
        <is>
          <t>Retorno</t>
        </is>
      </c>
      <c r="H854" s="35" t="inlineStr">
        <is>
          <t>Agendado</t>
        </is>
      </c>
      <c r="I854" s="35" t="n"/>
      <c r="J854" s="35" t="n"/>
      <c r="K854" s="34" t="n"/>
      <c r="L854" s="26">
        <f>IF(A854="","",MONTH(A854))</f>
        <v>9</v>
      </c>
      <c r="M854" s="26">
        <f>IF(A854="","",YEAR(A854))</f>
        <v>2026</v>
      </c>
      <c r="N854" s="26" t="str">
        <f>IF(A854="","",CHOOSE(WEEKDAY(A854,2),"Segunda","Terça","Quarta","Quinta","Sexta","Sábado","Domingo"))</f>
        <v>Quinta</v>
      </c>
      <c r="O854" s="26" t="str">
        <f>IF(B854="","",IF(B854&lt;TIME(12,0,0),"Manhã",IF(B854&lt;TIME(18,0,0),"Tarde","Noite")))</f>
        <v>Tarde</v>
      </c>
      <c r="P854" s="32">
        <f>IF(G854="","",IFERROR(INDEX(Config!$I$5:$I$16,MATCH(G854,Config!$H$5:$H$16,0)),0))</f>
        <v>0</v>
      </c>
      <c r="Q854" s="30">
        <f>IF(OR(H854&lt;&gt;"Realizado",P854="",P854=0),"",A854+P854)</f>
        <v/>
      </c>
      <c r="R854" s="26">
        <f>IF(Q854="","",IF(COUNTIFS($E$5:$E$1204,E854,$A$5:$A$1204,"&gt;"&amp;A854,$H$5:$H$1204,"&lt;&gt;Falta",$H$5:$H$1204,"&lt;&gt;Cancelado",$H$5:$H$1204,"&lt;&gt;Remarcado")&gt;0,"Sim","Não"))</f>
        <v/>
      </c>
      <c r="S854" s="32">
        <f>IF(R854&lt;&gt;"Não","",IF(Q854+Config!$B$9&lt;=Config!$B$8,Config!$B$8-Q854,""))</f>
        <v/>
      </c>
      <c r="T854" s="26">
        <f>IF(S854="","","Sim")</f>
        <v/>
      </c>
      <c r="U854" s="41">
        <f>IF(T854="Sim",S854+ROW()/100000,0)</f>
        <v>0</v>
      </c>
      <c r="V854" s="41">
        <f>IF(AND(H854="Falta",L854=Config!$B$7,M854=Config!$B$5,COUNTIFS($E$5:E854,E854,$H$5:H854,"Falta",$L$5:L854,Config!$B$7,$M$5:M854,Config!$B$5)=1),COUNTIFS($E$5:$E$1204,E854,$H$5:$H$1204,"Falta",$L$5:$L$1204,Config!$B$7,$M$5:$M$1204,Config!$B$5)*1000-ROW()/100000,0)</f>
        <v>0</v>
      </c>
    </row>
    <row r="855">
      <c r="A855" s="39">
        <f>TODAY()+10</f>
        <v>46289.0</v>
      </c>
      <c r="B855" s="40" t="n">
        <v>0.7291666666666666</v>
      </c>
      <c r="C855" s="35" t="inlineStr">
        <is>
          <t>Dra. Renata Sousa</t>
        </is>
      </c>
      <c r="D855" s="35" t="inlineStr">
        <is>
          <t>Sala 1</t>
        </is>
      </c>
      <c r="E855" s="34" t="inlineStr">
        <is>
          <t>Mônica Almeida</t>
        </is>
      </c>
      <c r="F855" s="35" t="inlineStr">
        <is>
          <t>Particular</t>
        </is>
      </c>
      <c r="G855" s="35" t="inlineStr">
        <is>
          <t>Retorno</t>
        </is>
      </c>
      <c r="H855" s="35" t="inlineStr">
        <is>
          <t>Agendado</t>
        </is>
      </c>
      <c r="I855" s="35" t="n"/>
      <c r="J855" s="35" t="n"/>
      <c r="K855" s="34" t="n"/>
      <c r="L855" s="26">
        <f>IF(A855="","",MONTH(A855))</f>
        <v>9</v>
      </c>
      <c r="M855" s="26">
        <f>IF(A855="","",YEAR(A855))</f>
        <v>2026</v>
      </c>
      <c r="N855" s="26" t="str">
        <f>IF(A855="","",CHOOSE(WEEKDAY(A855,2),"Segunda","Terça","Quarta","Quinta","Sexta","Sábado","Domingo"))</f>
        <v>Quinta</v>
      </c>
      <c r="O855" s="26" t="str">
        <f>IF(B855="","",IF(B855&lt;TIME(12,0,0),"Manhã",IF(B855&lt;TIME(18,0,0),"Tarde","Noite")))</f>
        <v>Tarde</v>
      </c>
      <c r="P855" s="32">
        <f>IF(G855="","",IFERROR(INDEX(Config!$I$5:$I$16,MATCH(G855,Config!$H$5:$H$16,0)),0))</f>
        <v>0</v>
      </c>
      <c r="Q855" s="30">
        <f>IF(OR(H855&lt;&gt;"Realizado",P855="",P855=0),"",A855+P855)</f>
        <v/>
      </c>
      <c r="R855" s="26">
        <f>IF(Q855="","",IF(COUNTIFS($E$5:$E$1204,E855,$A$5:$A$1204,"&gt;"&amp;A855,$H$5:$H$1204,"&lt;&gt;Falta",$H$5:$H$1204,"&lt;&gt;Cancelado",$H$5:$H$1204,"&lt;&gt;Remarcado")&gt;0,"Sim","Não"))</f>
        <v/>
      </c>
      <c r="S855" s="32">
        <f>IF(R855&lt;&gt;"Não","",IF(Q855+Config!$B$9&lt;=Config!$B$8,Config!$B$8-Q855,""))</f>
        <v/>
      </c>
      <c r="T855" s="26">
        <f>IF(S855="","","Sim")</f>
        <v/>
      </c>
      <c r="U855" s="41">
        <f>IF(T855="Sim",S855+ROW()/100000,0)</f>
        <v>0</v>
      </c>
      <c r="V855" s="41">
        <f>IF(AND(H855="Falta",L855=Config!$B$7,M855=Config!$B$5,COUNTIFS($E$5:E855,E855,$H$5:H855,"Falta",$L$5:L855,Config!$B$7,$M$5:M855,Config!$B$5)=1),COUNTIFS($E$5:$E$1204,E855,$H$5:$H$1204,"Falta",$L$5:$L$1204,Config!$B$7,$M$5:$M$1204,Config!$B$5)*1000-ROW()/100000,0)</f>
        <v>0</v>
      </c>
    </row>
    <row r="856">
      <c r="A856" s="39">
        <f>TODAY()+10</f>
        <v>46289.0</v>
      </c>
      <c r="B856" s="40" t="n">
        <v>0.7291666666666666</v>
      </c>
      <c r="C856" s="35" t="inlineStr">
        <is>
          <t>Dr. Paulo Andrade</t>
        </is>
      </c>
      <c r="D856" s="35" t="inlineStr">
        <is>
          <t>Sala 2</t>
        </is>
      </c>
      <c r="E856" s="34" t="inlineStr">
        <is>
          <t>Gustavo Barbosa</t>
        </is>
      </c>
      <c r="F856" s="35" t="inlineStr">
        <is>
          <t>Saúde Total</t>
        </is>
      </c>
      <c r="G856" s="35" t="inlineStr">
        <is>
          <t>ECG</t>
        </is>
      </c>
      <c r="H856" s="35" t="inlineStr">
        <is>
          <t>Agendado</t>
        </is>
      </c>
      <c r="I856" s="35" t="n"/>
      <c r="J856" s="35" t="n"/>
      <c r="K856" s="34" t="n"/>
      <c r="L856" s="26">
        <f>IF(A856="","",MONTH(A856))</f>
        <v>9</v>
      </c>
      <c r="M856" s="26">
        <f>IF(A856="","",YEAR(A856))</f>
        <v>2026</v>
      </c>
      <c r="N856" s="26" t="str">
        <f>IF(A856="","",CHOOSE(WEEKDAY(A856,2),"Segunda","Terça","Quarta","Quinta","Sexta","Sábado","Domingo"))</f>
        <v>Quinta</v>
      </c>
      <c r="O856" s="26" t="str">
        <f>IF(B856="","",IF(B856&lt;TIME(12,0,0),"Manhã",IF(B856&lt;TIME(18,0,0),"Tarde","Noite")))</f>
        <v>Tarde</v>
      </c>
      <c r="P856" s="32">
        <f>IF(G856="","",IFERROR(INDEX(Config!$I$5:$I$16,MATCH(G856,Config!$H$5:$H$16,0)),0))</f>
        <v>0</v>
      </c>
      <c r="Q856" s="30">
        <f>IF(OR(H856&lt;&gt;"Realizado",P856="",P856=0),"",A856+P856)</f>
        <v/>
      </c>
      <c r="R856" s="26">
        <f>IF(Q856="","",IF(COUNTIFS($E$5:$E$1204,E856,$A$5:$A$1204,"&gt;"&amp;A856,$H$5:$H$1204,"&lt;&gt;Falta",$H$5:$H$1204,"&lt;&gt;Cancelado",$H$5:$H$1204,"&lt;&gt;Remarcado")&gt;0,"Sim","Não"))</f>
        <v/>
      </c>
      <c r="S856" s="32">
        <f>IF(R856&lt;&gt;"Não","",IF(Q856+Config!$B$9&lt;=Config!$B$8,Config!$B$8-Q856,""))</f>
        <v/>
      </c>
      <c r="T856" s="26">
        <f>IF(S856="","","Sim")</f>
        <v/>
      </c>
      <c r="U856" s="41">
        <f>IF(T856="Sim",S856+ROW()/100000,0)</f>
        <v>0</v>
      </c>
      <c r="V856" s="41">
        <f>IF(AND(H856="Falta",L856=Config!$B$7,M856=Config!$B$5,COUNTIFS($E$5:E856,E856,$H$5:H856,"Falta",$L$5:L856,Config!$B$7,$M$5:M856,Config!$B$5)=1),COUNTIFS($E$5:$E$1204,E856,$H$5:$H$1204,"Falta",$L$5:$L$1204,Config!$B$7,$M$5:$M$1204,Config!$B$5)*1000-ROW()/100000,0)</f>
        <v>0</v>
      </c>
    </row>
    <row r="857">
      <c r="A857" s="39">
        <f>TODAY()+11</f>
        <v>46290.0</v>
      </c>
      <c r="B857" s="40" t="n">
        <v>0.3333333333333333</v>
      </c>
      <c r="C857" s="35" t="inlineStr">
        <is>
          <t>Dr. Paulo Andrade</t>
        </is>
      </c>
      <c r="D857" s="35" t="inlineStr">
        <is>
          <t>Sala 2</t>
        </is>
      </c>
      <c r="E857" s="34" t="inlineStr">
        <is>
          <t>Débora Machado</t>
        </is>
      </c>
      <c r="F857" s="35" t="inlineStr">
        <is>
          <t>Saúde Total</t>
        </is>
      </c>
      <c r="G857" s="35" t="inlineStr">
        <is>
          <t>ECG</t>
        </is>
      </c>
      <c r="H857" s="35" t="inlineStr">
        <is>
          <t>Agendado</t>
        </is>
      </c>
      <c r="I857" s="35" t="n"/>
      <c r="J857" s="35" t="n"/>
      <c r="K857" s="34" t="n"/>
      <c r="L857" s="26">
        <f>IF(A857="","",MONTH(A857))</f>
        <v>9</v>
      </c>
      <c r="M857" s="26">
        <f>IF(A857="","",YEAR(A857))</f>
        <v>2026</v>
      </c>
      <c r="N857" s="26" t="str">
        <f>IF(A857="","",CHOOSE(WEEKDAY(A857,2),"Segunda","Terça","Quarta","Quinta","Sexta","Sábado","Domingo"))</f>
        <v>Sexta</v>
      </c>
      <c r="O857" s="26" t="str">
        <f>IF(B857="","",IF(B857&lt;TIME(12,0,0),"Manhã",IF(B857&lt;TIME(18,0,0),"Tarde","Noite")))</f>
        <v>Manhã</v>
      </c>
      <c r="P857" s="32">
        <f>IF(G857="","",IFERROR(INDEX(Config!$I$5:$I$16,MATCH(G857,Config!$H$5:$H$16,0)),0))</f>
        <v>0</v>
      </c>
      <c r="Q857" s="30">
        <f>IF(OR(H857&lt;&gt;"Realizado",P857="",P857=0),"",A857+P857)</f>
        <v/>
      </c>
      <c r="R857" s="26">
        <f>IF(Q857="","",IF(COUNTIFS($E$5:$E$1204,E857,$A$5:$A$1204,"&gt;"&amp;A857,$H$5:$H$1204,"&lt;&gt;Falta",$H$5:$H$1204,"&lt;&gt;Cancelado",$H$5:$H$1204,"&lt;&gt;Remarcado")&gt;0,"Sim","Não"))</f>
        <v/>
      </c>
      <c r="S857" s="32">
        <f>IF(R857&lt;&gt;"Não","",IF(Q857+Config!$B$9&lt;=Config!$B$8,Config!$B$8-Q857,""))</f>
        <v/>
      </c>
      <c r="T857" s="26">
        <f>IF(S857="","","Sim")</f>
        <v/>
      </c>
      <c r="U857" s="41">
        <f>IF(T857="Sim",S857+ROW()/100000,0)</f>
        <v>0</v>
      </c>
      <c r="V857" s="41">
        <f>IF(AND(H857="Falta",L857=Config!$B$7,M857=Config!$B$5,COUNTIFS($E$5:E857,E857,$H$5:H857,"Falta",$L$5:L857,Config!$B$7,$M$5:M857,Config!$B$5)=1),COUNTIFS($E$5:$E$1204,E857,$H$5:$H$1204,"Falta",$L$5:$L$1204,Config!$B$7,$M$5:$M$1204,Config!$B$5)*1000-ROW()/100000,0)</f>
        <v>0</v>
      </c>
    </row>
    <row r="858">
      <c r="A858" s="39">
        <f>TODAY()+11</f>
        <v>46290.0</v>
      </c>
      <c r="B858" s="40" t="n">
        <v>0.3680555555555556</v>
      </c>
      <c r="C858" s="35" t="inlineStr">
        <is>
          <t>Dr. Paulo Andrade</t>
        </is>
      </c>
      <c r="D858" s="35" t="inlineStr">
        <is>
          <t>Sala 2</t>
        </is>
      </c>
      <c r="E858" s="34" t="inlineStr">
        <is>
          <t>Rafael Correia</t>
        </is>
      </c>
      <c r="F858" s="35" t="inlineStr">
        <is>
          <t>Particular</t>
        </is>
      </c>
      <c r="G858" s="35" t="inlineStr">
        <is>
          <t>Consulta</t>
        </is>
      </c>
      <c r="H858" s="35" t="inlineStr">
        <is>
          <t>Agendado</t>
        </is>
      </c>
      <c r="I858" s="35" t="n"/>
      <c r="J858" s="35" t="n"/>
      <c r="K858" s="34" t="n"/>
      <c r="L858" s="26">
        <f>IF(A858="","",MONTH(A858))</f>
        <v>9</v>
      </c>
      <c r="M858" s="26">
        <f>IF(A858="","",YEAR(A858))</f>
        <v>2026</v>
      </c>
      <c r="N858" s="26" t="str">
        <f>IF(A858="","",CHOOSE(WEEKDAY(A858,2),"Segunda","Terça","Quarta","Quinta","Sexta","Sábado","Domingo"))</f>
        <v>Sexta</v>
      </c>
      <c r="O858" s="26" t="str">
        <f>IF(B858="","",IF(B858&lt;TIME(12,0,0),"Manhã",IF(B858&lt;TIME(18,0,0),"Tarde","Noite")))</f>
        <v>Manhã</v>
      </c>
      <c r="P858" s="32">
        <f>IF(G858="","",IFERROR(INDEX(Config!$I$5:$I$16,MATCH(G858,Config!$H$5:$H$16,0)),0))</f>
        <v>30</v>
      </c>
      <c r="Q858" s="30">
        <f>IF(OR(H858&lt;&gt;"Realizado",P858="",P858=0),"",A858+P858)</f>
        <v/>
      </c>
      <c r="R858" s="26">
        <f>IF(Q858="","",IF(COUNTIFS($E$5:$E$1204,E858,$A$5:$A$1204,"&gt;"&amp;A858,$H$5:$H$1204,"&lt;&gt;Falta",$H$5:$H$1204,"&lt;&gt;Cancelado",$H$5:$H$1204,"&lt;&gt;Remarcado")&gt;0,"Sim","Não"))</f>
        <v/>
      </c>
      <c r="S858" s="32">
        <f>IF(R858&lt;&gt;"Não","",IF(Q858+Config!$B$9&lt;=Config!$B$8,Config!$B$8-Q858,""))</f>
        <v/>
      </c>
      <c r="T858" s="26">
        <f>IF(S858="","","Sim")</f>
        <v/>
      </c>
      <c r="U858" s="41">
        <f>IF(T858="Sim",S858+ROW()/100000,0)</f>
        <v>0</v>
      </c>
      <c r="V858" s="41">
        <f>IF(AND(H858="Falta",L858=Config!$B$7,M858=Config!$B$5,COUNTIFS($E$5:E858,E858,$H$5:H858,"Falta",$L$5:L858,Config!$B$7,$M$5:M858,Config!$B$5)=1),COUNTIFS($E$5:$E$1204,E858,$H$5:$H$1204,"Falta",$L$5:$L$1204,Config!$B$7,$M$5:$M$1204,Config!$B$5)*1000-ROW()/100000,0)</f>
        <v>0</v>
      </c>
    </row>
    <row r="859">
      <c r="A859" s="39">
        <f>TODAY()+11</f>
        <v>46290.0</v>
      </c>
      <c r="B859" s="40" t="n">
        <v>0.3888888888888889</v>
      </c>
      <c r="C859" s="35" t="inlineStr">
        <is>
          <t>Dr. Paulo Andrade</t>
        </is>
      </c>
      <c r="D859" s="35" t="inlineStr">
        <is>
          <t>Sala 2</t>
        </is>
      </c>
      <c r="E859" s="34" t="inlineStr">
        <is>
          <t>Paulo Nascimento</t>
        </is>
      </c>
      <c r="F859" s="35" t="inlineStr">
        <is>
          <t>MediPlan</t>
        </is>
      </c>
      <c r="G859" s="35" t="inlineStr">
        <is>
          <t>Retorno</t>
        </is>
      </c>
      <c r="H859" s="35" t="inlineStr">
        <is>
          <t>Agendado</t>
        </is>
      </c>
      <c r="I859" s="35" t="n"/>
      <c r="J859" s="35" t="n"/>
      <c r="K859" s="34" t="n"/>
      <c r="L859" s="26">
        <f>IF(A859="","",MONTH(A859))</f>
        <v>9</v>
      </c>
      <c r="M859" s="26">
        <f>IF(A859="","",YEAR(A859))</f>
        <v>2026</v>
      </c>
      <c r="N859" s="26" t="str">
        <f>IF(A859="","",CHOOSE(WEEKDAY(A859,2),"Segunda","Terça","Quarta","Quinta","Sexta","Sábado","Domingo"))</f>
        <v>Sexta</v>
      </c>
      <c r="O859" s="26" t="str">
        <f>IF(B859="","",IF(B859&lt;TIME(12,0,0),"Manhã",IF(B859&lt;TIME(18,0,0),"Tarde","Noite")))</f>
        <v>Manhã</v>
      </c>
      <c r="P859" s="32">
        <f>IF(G859="","",IFERROR(INDEX(Config!$I$5:$I$16,MATCH(G859,Config!$H$5:$H$16,0)),0))</f>
        <v>0</v>
      </c>
      <c r="Q859" s="30">
        <f>IF(OR(H859&lt;&gt;"Realizado",P859="",P859=0),"",A859+P859)</f>
        <v/>
      </c>
      <c r="R859" s="26">
        <f>IF(Q859="","",IF(COUNTIFS($E$5:$E$1204,E859,$A$5:$A$1204,"&gt;"&amp;A859,$H$5:$H$1204,"&lt;&gt;Falta",$H$5:$H$1204,"&lt;&gt;Cancelado",$H$5:$H$1204,"&lt;&gt;Remarcado")&gt;0,"Sim","Não"))</f>
        <v/>
      </c>
      <c r="S859" s="32">
        <f>IF(R859&lt;&gt;"Não","",IF(Q859+Config!$B$9&lt;=Config!$B$8,Config!$B$8-Q859,""))</f>
        <v/>
      </c>
      <c r="T859" s="26">
        <f>IF(S859="","","Sim")</f>
        <v/>
      </c>
      <c r="U859" s="41">
        <f>IF(T859="Sim",S859+ROW()/100000,0)</f>
        <v>0</v>
      </c>
      <c r="V859" s="41">
        <f>IF(AND(H859="Falta",L859=Config!$B$7,M859=Config!$B$5,COUNTIFS($E$5:E859,E859,$H$5:H859,"Falta",$L$5:L859,Config!$B$7,$M$5:M859,Config!$B$5)=1),COUNTIFS($E$5:$E$1204,E859,$H$5:$H$1204,"Falta",$L$5:$L$1204,Config!$B$7,$M$5:$M$1204,Config!$B$5)*1000-ROW()/100000,0)</f>
        <v>0</v>
      </c>
    </row>
    <row r="860">
      <c r="A860" s="39">
        <f>TODAY()+11</f>
        <v>46290.0</v>
      </c>
      <c r="B860" s="40" t="n">
        <v>0.4027777777777778</v>
      </c>
      <c r="C860" s="35" t="inlineStr">
        <is>
          <t>Dr. Paulo Andrade</t>
        </is>
      </c>
      <c r="D860" s="35" t="inlineStr">
        <is>
          <t>Sala 2</t>
        </is>
      </c>
      <c r="E860" s="34" t="inlineStr">
        <is>
          <t>Sandra Cardoso</t>
        </is>
      </c>
      <c r="F860" s="35" t="inlineStr">
        <is>
          <t>Saúde Total</t>
        </is>
      </c>
      <c r="G860" s="35" t="inlineStr">
        <is>
          <t>Consulta</t>
        </is>
      </c>
      <c r="H860" s="35" t="inlineStr">
        <is>
          <t>Agendado</t>
        </is>
      </c>
      <c r="I860" s="35" t="n"/>
      <c r="J860" s="35" t="n"/>
      <c r="K860" s="34" t="n"/>
      <c r="L860" s="26">
        <f>IF(A860="","",MONTH(A860))</f>
        <v>9</v>
      </c>
      <c r="M860" s="26">
        <f>IF(A860="","",YEAR(A860))</f>
        <v>2026</v>
      </c>
      <c r="N860" s="26" t="str">
        <f>IF(A860="","",CHOOSE(WEEKDAY(A860,2),"Segunda","Terça","Quarta","Quinta","Sexta","Sábado","Domingo"))</f>
        <v>Sexta</v>
      </c>
      <c r="O860" s="26" t="str">
        <f>IF(B860="","",IF(B860&lt;TIME(12,0,0),"Manhã",IF(B860&lt;TIME(18,0,0),"Tarde","Noite")))</f>
        <v>Manhã</v>
      </c>
      <c r="P860" s="32">
        <f>IF(G860="","",IFERROR(INDEX(Config!$I$5:$I$16,MATCH(G860,Config!$H$5:$H$16,0)),0))</f>
        <v>30</v>
      </c>
      <c r="Q860" s="30">
        <f>IF(OR(H860&lt;&gt;"Realizado",P860="",P860=0),"",A860+P860)</f>
        <v/>
      </c>
      <c r="R860" s="26">
        <f>IF(Q860="","",IF(COUNTIFS($E$5:$E$1204,E860,$A$5:$A$1204,"&gt;"&amp;A860,$H$5:$H$1204,"&lt;&gt;Falta",$H$5:$H$1204,"&lt;&gt;Cancelado",$H$5:$H$1204,"&lt;&gt;Remarcado")&gt;0,"Sim","Não"))</f>
        <v/>
      </c>
      <c r="S860" s="32">
        <f>IF(R860&lt;&gt;"Não","",IF(Q860+Config!$B$9&lt;=Config!$B$8,Config!$B$8-Q860,""))</f>
        <v/>
      </c>
      <c r="T860" s="26">
        <f>IF(S860="","","Sim")</f>
        <v/>
      </c>
      <c r="U860" s="41">
        <f>IF(T860="Sim",S860+ROW()/100000,0)</f>
        <v>0</v>
      </c>
      <c r="V860" s="41">
        <f>IF(AND(H860="Falta",L860=Config!$B$7,M860=Config!$B$5,COUNTIFS($E$5:E860,E860,$H$5:H860,"Falta",$L$5:L860,Config!$B$7,$M$5:M860,Config!$B$5)=1),COUNTIFS($E$5:$E$1204,E860,$H$5:$H$1204,"Falta",$L$5:$L$1204,Config!$B$7,$M$5:$M$1204,Config!$B$5)*1000-ROW()/100000,0)</f>
        <v>0</v>
      </c>
    </row>
    <row r="861">
      <c r="A861" s="39">
        <f>TODAY()+11</f>
        <v>46290.0</v>
      </c>
      <c r="B861" s="40" t="n">
        <v>0.4236111111111111</v>
      </c>
      <c r="C861" s="35" t="inlineStr">
        <is>
          <t>Dr. Paulo Andrade</t>
        </is>
      </c>
      <c r="D861" s="35" t="inlineStr">
        <is>
          <t>Sala 2</t>
        </is>
      </c>
      <c r="E861" s="34" t="inlineStr">
        <is>
          <t>Paulo Reis</t>
        </is>
      </c>
      <c r="F861" s="35" t="inlineStr">
        <is>
          <t>Particular</t>
        </is>
      </c>
      <c r="G861" s="35" t="inlineStr">
        <is>
          <t>Consulta</t>
        </is>
      </c>
      <c r="H861" s="35" t="inlineStr">
        <is>
          <t>Agendado</t>
        </is>
      </c>
      <c r="I861" s="35" t="n"/>
      <c r="J861" s="35" t="n"/>
      <c r="K861" s="34" t="n"/>
      <c r="L861" s="26">
        <f>IF(A861="","",MONTH(A861))</f>
        <v>9</v>
      </c>
      <c r="M861" s="26">
        <f>IF(A861="","",YEAR(A861))</f>
        <v>2026</v>
      </c>
      <c r="N861" s="26" t="str">
        <f>IF(A861="","",CHOOSE(WEEKDAY(A861,2),"Segunda","Terça","Quarta","Quinta","Sexta","Sábado","Domingo"))</f>
        <v>Sexta</v>
      </c>
      <c r="O861" s="26" t="str">
        <f>IF(B861="","",IF(B861&lt;TIME(12,0,0),"Manhã",IF(B861&lt;TIME(18,0,0),"Tarde","Noite")))</f>
        <v>Manhã</v>
      </c>
      <c r="P861" s="32">
        <f>IF(G861="","",IFERROR(INDEX(Config!$I$5:$I$16,MATCH(G861,Config!$H$5:$H$16,0)),0))</f>
        <v>30</v>
      </c>
      <c r="Q861" s="30">
        <f>IF(OR(H861&lt;&gt;"Realizado",P861="",P861=0),"",A861+P861)</f>
        <v/>
      </c>
      <c r="R861" s="26">
        <f>IF(Q861="","",IF(COUNTIFS($E$5:$E$1204,E861,$A$5:$A$1204,"&gt;"&amp;A861,$H$5:$H$1204,"&lt;&gt;Falta",$H$5:$H$1204,"&lt;&gt;Cancelado",$H$5:$H$1204,"&lt;&gt;Remarcado")&gt;0,"Sim","Não"))</f>
        <v/>
      </c>
      <c r="S861" s="32">
        <f>IF(R861&lt;&gt;"Não","",IF(Q861+Config!$B$9&lt;=Config!$B$8,Config!$B$8-Q861,""))</f>
        <v/>
      </c>
      <c r="T861" s="26">
        <f>IF(S861="","","Sim")</f>
        <v/>
      </c>
      <c r="U861" s="41">
        <f>IF(T861="Sim",S861+ROW()/100000,0)</f>
        <v>0</v>
      </c>
      <c r="V861" s="41">
        <f>IF(AND(H861="Falta",L861=Config!$B$7,M861=Config!$B$5,COUNTIFS($E$5:E861,E861,$H$5:H861,"Falta",$L$5:L861,Config!$B$7,$M$5:M861,Config!$B$5)=1),COUNTIFS($E$5:$E$1204,E861,$H$5:$H$1204,"Falta",$L$5:$L$1204,Config!$B$7,$M$5:$M$1204,Config!$B$5)*1000-ROW()/100000,0)</f>
        <v>0</v>
      </c>
    </row>
    <row r="862">
      <c r="A862" s="39">
        <f>TODAY()+11</f>
        <v>46290.0</v>
      </c>
      <c r="B862" s="40" t="n">
        <v>0.4444444444444444</v>
      </c>
      <c r="C862" s="35" t="inlineStr">
        <is>
          <t>Dr. Paulo Andrade</t>
        </is>
      </c>
      <c r="D862" s="35" t="inlineStr">
        <is>
          <t>Sala 2</t>
        </is>
      </c>
      <c r="E862" s="34" t="inlineStr">
        <is>
          <t>Natália Martins</t>
        </is>
      </c>
      <c r="F862" s="35" t="inlineStr">
        <is>
          <t>Particular</t>
        </is>
      </c>
      <c r="G862" s="35" t="inlineStr">
        <is>
          <t>ECG</t>
        </is>
      </c>
      <c r="H862" s="35" t="inlineStr">
        <is>
          <t>Agendado</t>
        </is>
      </c>
      <c r="I862" s="35" t="n"/>
      <c r="J862" s="35" t="n"/>
      <c r="K862" s="34" t="n"/>
      <c r="L862" s="26">
        <f>IF(A862="","",MONTH(A862))</f>
        <v>9</v>
      </c>
      <c r="M862" s="26">
        <f>IF(A862="","",YEAR(A862))</f>
        <v>2026</v>
      </c>
      <c r="N862" s="26" t="str">
        <f>IF(A862="","",CHOOSE(WEEKDAY(A862,2),"Segunda","Terça","Quarta","Quinta","Sexta","Sábado","Domingo"))</f>
        <v>Sexta</v>
      </c>
      <c r="O862" s="26" t="str">
        <f>IF(B862="","",IF(B862&lt;TIME(12,0,0),"Manhã",IF(B862&lt;TIME(18,0,0),"Tarde","Noite")))</f>
        <v>Manhã</v>
      </c>
      <c r="P862" s="32">
        <f>IF(G862="","",IFERROR(INDEX(Config!$I$5:$I$16,MATCH(G862,Config!$H$5:$H$16,0)),0))</f>
        <v>0</v>
      </c>
      <c r="Q862" s="30">
        <f>IF(OR(H862&lt;&gt;"Realizado",P862="",P862=0),"",A862+P862)</f>
        <v/>
      </c>
      <c r="R862" s="26">
        <f>IF(Q862="","",IF(COUNTIFS($E$5:$E$1204,E862,$A$5:$A$1204,"&gt;"&amp;A862,$H$5:$H$1204,"&lt;&gt;Falta",$H$5:$H$1204,"&lt;&gt;Cancelado",$H$5:$H$1204,"&lt;&gt;Remarcado")&gt;0,"Sim","Não"))</f>
        <v/>
      </c>
      <c r="S862" s="32">
        <f>IF(R862&lt;&gt;"Não","",IF(Q862+Config!$B$9&lt;=Config!$B$8,Config!$B$8-Q862,""))</f>
        <v/>
      </c>
      <c r="T862" s="26">
        <f>IF(S862="","","Sim")</f>
        <v/>
      </c>
      <c r="U862" s="41">
        <f>IF(T862="Sim",S862+ROW()/100000,0)</f>
        <v>0</v>
      </c>
      <c r="V862" s="41">
        <f>IF(AND(H862="Falta",L862=Config!$B$7,M862=Config!$B$5,COUNTIFS($E$5:E862,E862,$H$5:H862,"Falta",$L$5:L862,Config!$B$7,$M$5:M862,Config!$B$5)=1),COUNTIFS($E$5:$E$1204,E862,$H$5:$H$1204,"Falta",$L$5:$L$1204,Config!$B$7,$M$5:$M$1204,Config!$B$5)*1000-ROW()/100000,0)</f>
        <v>0</v>
      </c>
    </row>
    <row r="863">
      <c r="A863" s="39">
        <f>TODAY()+11</f>
        <v>46290.0</v>
      </c>
      <c r="B863" s="40" t="n">
        <v>0.4583333333333333</v>
      </c>
      <c r="C863" s="35" t="inlineStr">
        <is>
          <t>Dr. Paulo Andrade</t>
        </is>
      </c>
      <c r="D863" s="35" t="inlineStr">
        <is>
          <t>Sala 2</t>
        </is>
      </c>
      <c r="E863" s="34" t="inlineStr">
        <is>
          <t>Fernanda Nunes</t>
        </is>
      </c>
      <c r="F863" s="35" t="inlineStr">
        <is>
          <t>MediPlan</t>
        </is>
      </c>
      <c r="G863" s="35" t="inlineStr">
        <is>
          <t>Retorno</t>
        </is>
      </c>
      <c r="H863" s="35" t="inlineStr">
        <is>
          <t>Agendado</t>
        </is>
      </c>
      <c r="I863" s="35" t="n"/>
      <c r="J863" s="35" t="n"/>
      <c r="K863" s="34" t="n"/>
      <c r="L863" s="26">
        <f>IF(A863="","",MONTH(A863))</f>
        <v>9</v>
      </c>
      <c r="M863" s="26">
        <f>IF(A863="","",YEAR(A863))</f>
        <v>2026</v>
      </c>
      <c r="N863" s="26" t="str">
        <f>IF(A863="","",CHOOSE(WEEKDAY(A863,2),"Segunda","Terça","Quarta","Quinta","Sexta","Sábado","Domingo"))</f>
        <v>Sexta</v>
      </c>
      <c r="O863" s="26" t="str">
        <f>IF(B863="","",IF(B863&lt;TIME(12,0,0),"Manhã",IF(B863&lt;TIME(18,0,0),"Tarde","Noite")))</f>
        <v>Manhã</v>
      </c>
      <c r="P863" s="32">
        <f>IF(G863="","",IFERROR(INDEX(Config!$I$5:$I$16,MATCH(G863,Config!$H$5:$H$16,0)),0))</f>
        <v>0</v>
      </c>
      <c r="Q863" s="30">
        <f>IF(OR(H863&lt;&gt;"Realizado",P863="",P863=0),"",A863+P863)</f>
        <v/>
      </c>
      <c r="R863" s="26">
        <f>IF(Q863="","",IF(COUNTIFS($E$5:$E$1204,E863,$A$5:$A$1204,"&gt;"&amp;A863,$H$5:$H$1204,"&lt;&gt;Falta",$H$5:$H$1204,"&lt;&gt;Cancelado",$H$5:$H$1204,"&lt;&gt;Remarcado")&gt;0,"Sim","Não"))</f>
        <v/>
      </c>
      <c r="S863" s="32">
        <f>IF(R863&lt;&gt;"Não","",IF(Q863+Config!$B$9&lt;=Config!$B$8,Config!$B$8-Q863,""))</f>
        <v/>
      </c>
      <c r="T863" s="26">
        <f>IF(S863="","","Sim")</f>
        <v/>
      </c>
      <c r="U863" s="41">
        <f>IF(T863="Sim",S863+ROW()/100000,0)</f>
        <v>0</v>
      </c>
      <c r="V863" s="41">
        <f>IF(AND(H863="Falta",L863=Config!$B$7,M863=Config!$B$5,COUNTIFS($E$5:E863,E863,$H$5:H863,"Falta",$L$5:L863,Config!$B$7,$M$5:M863,Config!$B$5)=1),COUNTIFS($E$5:$E$1204,E863,$H$5:$H$1204,"Falta",$L$5:$L$1204,Config!$B$7,$M$5:$M$1204,Config!$B$5)*1000-ROW()/100000,0)</f>
        <v>0</v>
      </c>
    </row>
    <row r="864">
      <c r="A864" s="39">
        <f>TODAY()+11</f>
        <v>46290.0</v>
      </c>
      <c r="B864" s="40" t="n">
        <v>0.4722222222222222</v>
      </c>
      <c r="C864" s="35" t="inlineStr">
        <is>
          <t>Dr. Paulo Andrade</t>
        </is>
      </c>
      <c r="D864" s="35" t="inlineStr">
        <is>
          <t>Sala 2</t>
        </is>
      </c>
      <c r="E864" s="34" t="inlineStr">
        <is>
          <t>Rafael Batista</t>
        </is>
      </c>
      <c r="F864" s="35" t="inlineStr">
        <is>
          <t>Saúde Total</t>
        </is>
      </c>
      <c r="G864" s="35" t="inlineStr">
        <is>
          <t>Teste ergométrico</t>
        </is>
      </c>
      <c r="H864" s="35" t="inlineStr">
        <is>
          <t>Agendado</t>
        </is>
      </c>
      <c r="I864" s="35" t="n"/>
      <c r="J864" s="35" t="n"/>
      <c r="K864" s="34" t="n"/>
      <c r="L864" s="26">
        <f>IF(A864="","",MONTH(A864))</f>
        <v>9</v>
      </c>
      <c r="M864" s="26">
        <f>IF(A864="","",YEAR(A864))</f>
        <v>2026</v>
      </c>
      <c r="N864" s="26" t="str">
        <f>IF(A864="","",CHOOSE(WEEKDAY(A864,2),"Segunda","Terça","Quarta","Quinta","Sexta","Sábado","Domingo"))</f>
        <v>Sexta</v>
      </c>
      <c r="O864" s="26" t="str">
        <f>IF(B864="","",IF(B864&lt;TIME(12,0,0),"Manhã",IF(B864&lt;TIME(18,0,0),"Tarde","Noite")))</f>
        <v>Manhã</v>
      </c>
      <c r="P864" s="32">
        <f>IF(G864="","",IFERROR(INDEX(Config!$I$5:$I$16,MATCH(G864,Config!$H$5:$H$16,0)),0))</f>
        <v>0</v>
      </c>
      <c r="Q864" s="30">
        <f>IF(OR(H864&lt;&gt;"Realizado",P864="",P864=0),"",A864+P864)</f>
        <v/>
      </c>
      <c r="R864" s="26">
        <f>IF(Q864="","",IF(COUNTIFS($E$5:$E$1204,E864,$A$5:$A$1204,"&gt;"&amp;A864,$H$5:$H$1204,"&lt;&gt;Falta",$H$5:$H$1204,"&lt;&gt;Cancelado",$H$5:$H$1204,"&lt;&gt;Remarcado")&gt;0,"Sim","Não"))</f>
        <v/>
      </c>
      <c r="S864" s="32">
        <f>IF(R864&lt;&gt;"Não","",IF(Q864+Config!$B$9&lt;=Config!$B$8,Config!$B$8-Q864,""))</f>
        <v/>
      </c>
      <c r="T864" s="26">
        <f>IF(S864="","","Sim")</f>
        <v/>
      </c>
      <c r="U864" s="41">
        <f>IF(T864="Sim",S864+ROW()/100000,0)</f>
        <v>0</v>
      </c>
      <c r="V864" s="41">
        <f>IF(AND(H864="Falta",L864=Config!$B$7,M864=Config!$B$5,COUNTIFS($E$5:E864,E864,$H$5:H864,"Falta",$L$5:L864,Config!$B$7,$M$5:M864,Config!$B$5)=1),COUNTIFS($E$5:$E$1204,E864,$H$5:$H$1204,"Falta",$L$5:$L$1204,Config!$B$7,$M$5:$M$1204,Config!$B$5)*1000-ROW()/100000,0)</f>
        <v>0</v>
      </c>
    </row>
    <row r="865">
      <c r="A865" s="39">
        <f>TODAY()+14</f>
        <v>46293.0</v>
      </c>
      <c r="B865" s="40" t="n">
        <v>0.3333333333333333</v>
      </c>
      <c r="C865" s="35" t="inlineStr">
        <is>
          <t>Dra. Carolina Mendes</t>
        </is>
      </c>
      <c r="D865" s="35" t="inlineStr">
        <is>
          <t>Sala 1</t>
        </is>
      </c>
      <c r="E865" s="34" t="inlineStr">
        <is>
          <t>Cláudia Costa</t>
        </is>
      </c>
      <c r="F865" s="35" t="inlineStr">
        <is>
          <t>Particular</t>
        </is>
      </c>
      <c r="G865" s="35" t="inlineStr">
        <is>
          <t>Consulta</t>
        </is>
      </c>
      <c r="H865" s="35" t="inlineStr">
        <is>
          <t>Agendado</t>
        </is>
      </c>
      <c r="I865" s="35" t="n"/>
      <c r="J865" s="35" t="n"/>
      <c r="K865" s="34" t="n"/>
      <c r="L865" s="26">
        <f>IF(A865="","",MONTH(A865))</f>
        <v>9</v>
      </c>
      <c r="M865" s="26">
        <f>IF(A865="","",YEAR(A865))</f>
        <v>2026</v>
      </c>
      <c r="N865" s="26" t="str">
        <f>IF(A865="","",CHOOSE(WEEKDAY(A865,2),"Segunda","Terça","Quarta","Quinta","Sexta","Sábado","Domingo"))</f>
        <v>Segunda</v>
      </c>
      <c r="O865" s="26" t="str">
        <f>IF(B865="","",IF(B865&lt;TIME(12,0,0),"Manhã",IF(B865&lt;TIME(18,0,0),"Tarde","Noite")))</f>
        <v>Manhã</v>
      </c>
      <c r="P865" s="32">
        <f>IF(G865="","",IFERROR(INDEX(Config!$I$5:$I$16,MATCH(G865,Config!$H$5:$H$16,0)),0))</f>
        <v>30</v>
      </c>
      <c r="Q865" s="30">
        <f>IF(OR(H865&lt;&gt;"Realizado",P865="",P865=0),"",A865+P865)</f>
        <v/>
      </c>
      <c r="R865" s="26">
        <f>IF(Q865="","",IF(COUNTIFS($E$5:$E$1204,E865,$A$5:$A$1204,"&gt;"&amp;A865,$H$5:$H$1204,"&lt;&gt;Falta",$H$5:$H$1204,"&lt;&gt;Cancelado",$H$5:$H$1204,"&lt;&gt;Remarcado")&gt;0,"Sim","Não"))</f>
        <v/>
      </c>
      <c r="S865" s="32">
        <f>IF(R865&lt;&gt;"Não","",IF(Q865+Config!$B$9&lt;=Config!$B$8,Config!$B$8-Q865,""))</f>
        <v/>
      </c>
      <c r="T865" s="26">
        <f>IF(S865="","","Sim")</f>
        <v/>
      </c>
      <c r="U865" s="41">
        <f>IF(T865="Sim",S865+ROW()/100000,0)</f>
        <v>0</v>
      </c>
      <c r="V865" s="41">
        <f>IF(AND(H865="Falta",L865=Config!$B$7,M865=Config!$B$5,COUNTIFS($E$5:E865,E865,$H$5:H865,"Falta",$L$5:L865,Config!$B$7,$M$5:M865,Config!$B$5)=1),COUNTIFS($E$5:$E$1204,E865,$H$5:$H$1204,"Falta",$L$5:$L$1204,Config!$B$7,$M$5:$M$1204,Config!$B$5)*1000-ROW()/100000,0)</f>
        <v>0</v>
      </c>
    </row>
    <row r="866">
      <c r="A866" s="39">
        <f>TODAY()+14</f>
        <v>46293.0</v>
      </c>
      <c r="B866" s="40" t="n">
        <v>0.3541666666666667</v>
      </c>
      <c r="C866" s="35" t="inlineStr">
        <is>
          <t>Dra. Carolina Mendes</t>
        </is>
      </c>
      <c r="D866" s="35" t="inlineStr">
        <is>
          <t>Sala 1</t>
        </is>
      </c>
      <c r="E866" s="34" t="inlineStr">
        <is>
          <t>Roberta Araújo</t>
        </is>
      </c>
      <c r="F866" s="35" t="inlineStr">
        <is>
          <t>Particular</t>
        </is>
      </c>
      <c r="G866" s="35" t="inlineStr">
        <is>
          <t>Consulta</t>
        </is>
      </c>
      <c r="H866" s="35" t="inlineStr">
        <is>
          <t>Agendado</t>
        </is>
      </c>
      <c r="I866" s="35" t="n"/>
      <c r="J866" s="35" t="n"/>
      <c r="K866" s="34" t="n"/>
      <c r="L866" s="26">
        <f>IF(A866="","",MONTH(A866))</f>
        <v>9</v>
      </c>
      <c r="M866" s="26">
        <f>IF(A866="","",YEAR(A866))</f>
        <v>2026</v>
      </c>
      <c r="N866" s="26" t="str">
        <f>IF(A866="","",CHOOSE(WEEKDAY(A866,2),"Segunda","Terça","Quarta","Quinta","Sexta","Sábado","Domingo"))</f>
        <v>Segunda</v>
      </c>
      <c r="O866" s="26" t="str">
        <f>IF(B866="","",IF(B866&lt;TIME(12,0,0),"Manhã",IF(B866&lt;TIME(18,0,0),"Tarde","Noite")))</f>
        <v>Manhã</v>
      </c>
      <c r="P866" s="32">
        <f>IF(G866="","",IFERROR(INDEX(Config!$I$5:$I$16,MATCH(G866,Config!$H$5:$H$16,0)),0))</f>
        <v>30</v>
      </c>
      <c r="Q866" s="30">
        <f>IF(OR(H866&lt;&gt;"Realizado",P866="",P866=0),"",A866+P866)</f>
        <v/>
      </c>
      <c r="R866" s="26">
        <f>IF(Q866="","",IF(COUNTIFS($E$5:$E$1204,E866,$A$5:$A$1204,"&gt;"&amp;A866,$H$5:$H$1204,"&lt;&gt;Falta",$H$5:$H$1204,"&lt;&gt;Cancelado",$H$5:$H$1204,"&lt;&gt;Remarcado")&gt;0,"Sim","Não"))</f>
        <v/>
      </c>
      <c r="S866" s="32">
        <f>IF(R866&lt;&gt;"Não","",IF(Q866+Config!$B$9&lt;=Config!$B$8,Config!$B$8-Q866,""))</f>
        <v/>
      </c>
      <c r="T866" s="26">
        <f>IF(S866="","","Sim")</f>
        <v/>
      </c>
      <c r="U866" s="41">
        <f>IF(T866="Sim",S866+ROW()/100000,0)</f>
        <v>0</v>
      </c>
      <c r="V866" s="41">
        <f>IF(AND(H866="Falta",L866=Config!$B$7,M866=Config!$B$5,COUNTIFS($E$5:E866,E866,$H$5:H866,"Falta",$L$5:L866,Config!$B$7,$M$5:M866,Config!$B$5)=1),COUNTIFS($E$5:$E$1204,E866,$H$5:$H$1204,"Falta",$L$5:$L$1204,Config!$B$7,$M$5:$M$1204,Config!$B$5)*1000-ROW()/100000,0)</f>
        <v>0</v>
      </c>
    </row>
    <row r="867">
      <c r="A867" s="39">
        <f>TODAY()+14</f>
        <v>46293.0</v>
      </c>
      <c r="B867" s="40" t="n">
        <v>0.375</v>
      </c>
      <c r="C867" s="35" t="inlineStr">
        <is>
          <t>Dra. Carolina Mendes</t>
        </is>
      </c>
      <c r="D867" s="35" t="inlineStr">
        <is>
          <t>Sala 1</t>
        </is>
      </c>
      <c r="E867" s="34" t="inlineStr">
        <is>
          <t>Regina Macedo</t>
        </is>
      </c>
      <c r="F867" s="35" t="inlineStr">
        <is>
          <t>Particular</t>
        </is>
      </c>
      <c r="G867" s="35" t="inlineStr">
        <is>
          <t>Consulta</t>
        </is>
      </c>
      <c r="H867" s="35" t="inlineStr">
        <is>
          <t>Agendado</t>
        </is>
      </c>
      <c r="I867" s="35" t="n"/>
      <c r="J867" s="35" t="n"/>
      <c r="K867" s="34" t="n"/>
      <c r="L867" s="26">
        <f>IF(A867="","",MONTH(A867))</f>
        <v>9</v>
      </c>
      <c r="M867" s="26">
        <f>IF(A867="","",YEAR(A867))</f>
        <v>2026</v>
      </c>
      <c r="N867" s="26" t="str">
        <f>IF(A867="","",CHOOSE(WEEKDAY(A867,2),"Segunda","Terça","Quarta","Quinta","Sexta","Sábado","Domingo"))</f>
        <v>Segunda</v>
      </c>
      <c r="O867" s="26" t="str">
        <f>IF(B867="","",IF(B867&lt;TIME(12,0,0),"Manhã",IF(B867&lt;TIME(18,0,0),"Tarde","Noite")))</f>
        <v>Manhã</v>
      </c>
      <c r="P867" s="32">
        <f>IF(G867="","",IFERROR(INDEX(Config!$I$5:$I$16,MATCH(G867,Config!$H$5:$H$16,0)),0))</f>
        <v>30</v>
      </c>
      <c r="Q867" s="30">
        <f>IF(OR(H867&lt;&gt;"Realizado",P867="",P867=0),"",A867+P867)</f>
        <v/>
      </c>
      <c r="R867" s="26">
        <f>IF(Q867="","",IF(COUNTIFS($E$5:$E$1204,E867,$A$5:$A$1204,"&gt;"&amp;A867,$H$5:$H$1204,"&lt;&gt;Falta",$H$5:$H$1204,"&lt;&gt;Cancelado",$H$5:$H$1204,"&lt;&gt;Remarcado")&gt;0,"Sim","Não"))</f>
        <v/>
      </c>
      <c r="S867" s="32">
        <f>IF(R867&lt;&gt;"Não","",IF(Q867+Config!$B$9&lt;=Config!$B$8,Config!$B$8-Q867,""))</f>
        <v/>
      </c>
      <c r="T867" s="26">
        <f>IF(S867="","","Sim")</f>
        <v/>
      </c>
      <c r="U867" s="41">
        <f>IF(T867="Sim",S867+ROW()/100000,0)</f>
        <v>0</v>
      </c>
      <c r="V867" s="41">
        <f>IF(AND(H867="Falta",L867=Config!$B$7,M867=Config!$B$5,COUNTIFS($E$5:E867,E867,$H$5:H867,"Falta",$L$5:L867,Config!$B$7,$M$5:M867,Config!$B$5)=1),COUNTIFS($E$5:$E$1204,E867,$H$5:$H$1204,"Falta",$L$5:$L$1204,Config!$B$7,$M$5:$M$1204,Config!$B$5)*1000-ROW()/100000,0)</f>
        <v>0</v>
      </c>
    </row>
    <row r="868">
      <c r="A868" s="39">
        <f>TODAY()+14</f>
        <v>46293.0</v>
      </c>
      <c r="B868" s="40" t="n">
        <v>0.3958333333333333</v>
      </c>
      <c r="C868" s="35" t="inlineStr">
        <is>
          <t>Dra. Carolina Mendes</t>
        </is>
      </c>
      <c r="D868" s="35" t="inlineStr">
        <is>
          <t>Sala 1</t>
        </is>
      </c>
      <c r="E868" s="34" t="inlineStr">
        <is>
          <t>Rodrigo Gomes</t>
        </is>
      </c>
      <c r="F868" s="35" t="inlineStr">
        <is>
          <t>Vida Care</t>
        </is>
      </c>
      <c r="G868" s="35" t="inlineStr">
        <is>
          <t>Consulta</t>
        </is>
      </c>
      <c r="H868" s="35" t="inlineStr">
        <is>
          <t>Agendado</t>
        </is>
      </c>
      <c r="I868" s="35" t="n"/>
      <c r="J868" s="35" t="n"/>
      <c r="K868" s="34" t="n"/>
      <c r="L868" s="26">
        <f>IF(A868="","",MONTH(A868))</f>
        <v>9</v>
      </c>
      <c r="M868" s="26">
        <f>IF(A868="","",YEAR(A868))</f>
        <v>2026</v>
      </c>
      <c r="N868" s="26" t="str">
        <f>IF(A868="","",CHOOSE(WEEKDAY(A868,2),"Segunda","Terça","Quarta","Quinta","Sexta","Sábado","Domingo"))</f>
        <v>Segunda</v>
      </c>
      <c r="O868" s="26" t="str">
        <f>IF(B868="","",IF(B868&lt;TIME(12,0,0),"Manhã",IF(B868&lt;TIME(18,0,0),"Tarde","Noite")))</f>
        <v>Manhã</v>
      </c>
      <c r="P868" s="32">
        <f>IF(G868="","",IFERROR(INDEX(Config!$I$5:$I$16,MATCH(G868,Config!$H$5:$H$16,0)),0))</f>
        <v>30</v>
      </c>
      <c r="Q868" s="30">
        <f>IF(OR(H868&lt;&gt;"Realizado",P868="",P868=0),"",A868+P868)</f>
        <v/>
      </c>
      <c r="R868" s="26">
        <f>IF(Q868="","",IF(COUNTIFS($E$5:$E$1204,E868,$A$5:$A$1204,"&gt;"&amp;A868,$H$5:$H$1204,"&lt;&gt;Falta",$H$5:$H$1204,"&lt;&gt;Cancelado",$H$5:$H$1204,"&lt;&gt;Remarcado")&gt;0,"Sim","Não"))</f>
        <v/>
      </c>
      <c r="S868" s="32">
        <f>IF(R868&lt;&gt;"Não","",IF(Q868+Config!$B$9&lt;=Config!$B$8,Config!$B$8-Q868,""))</f>
        <v/>
      </c>
      <c r="T868" s="26">
        <f>IF(S868="","","Sim")</f>
        <v/>
      </c>
      <c r="U868" s="41">
        <f>IF(T868="Sim",S868+ROW()/100000,0)</f>
        <v>0</v>
      </c>
      <c r="V868" s="41">
        <f>IF(AND(H868="Falta",L868=Config!$B$7,M868=Config!$B$5,COUNTIFS($E$5:E868,E868,$H$5:H868,"Falta",$L$5:L868,Config!$B$7,$M$5:M868,Config!$B$5)=1),COUNTIFS($E$5:$E$1204,E868,$H$5:$H$1204,"Falta",$L$5:$L$1204,Config!$B$7,$M$5:$M$1204,Config!$B$5)*1000-ROW()/100000,0)</f>
        <v>0</v>
      </c>
    </row>
    <row r="869">
      <c r="A869" s="39">
        <f>TODAY()+14</f>
        <v>46293.0</v>
      </c>
      <c r="B869" s="40" t="n">
        <v>0.4166666666666667</v>
      </c>
      <c r="C869" s="35" t="inlineStr">
        <is>
          <t>Dra. Carolina Mendes</t>
        </is>
      </c>
      <c r="D869" s="35" t="inlineStr">
        <is>
          <t>Sala 1</t>
        </is>
      </c>
      <c r="E869" s="34" t="inlineStr">
        <is>
          <t>Gisele Xavier</t>
        </is>
      </c>
      <c r="F869" s="35" t="inlineStr">
        <is>
          <t>Particular</t>
        </is>
      </c>
      <c r="G869" s="35" t="inlineStr">
        <is>
          <t>Consulta</t>
        </is>
      </c>
      <c r="H869" s="35" t="inlineStr">
        <is>
          <t>Agendado</t>
        </is>
      </c>
      <c r="I869" s="35" t="n"/>
      <c r="J869" s="35" t="n"/>
      <c r="K869" s="34" t="n"/>
      <c r="L869" s="26">
        <f>IF(A869="","",MONTH(A869))</f>
        <v>9</v>
      </c>
      <c r="M869" s="26">
        <f>IF(A869="","",YEAR(A869))</f>
        <v>2026</v>
      </c>
      <c r="N869" s="26" t="str">
        <f>IF(A869="","",CHOOSE(WEEKDAY(A869,2),"Segunda","Terça","Quarta","Quinta","Sexta","Sábado","Domingo"))</f>
        <v>Segunda</v>
      </c>
      <c r="O869" s="26" t="str">
        <f>IF(B869="","",IF(B869&lt;TIME(12,0,0),"Manhã",IF(B869&lt;TIME(18,0,0),"Tarde","Noite")))</f>
        <v>Manhã</v>
      </c>
      <c r="P869" s="32">
        <f>IF(G869="","",IFERROR(INDEX(Config!$I$5:$I$16,MATCH(G869,Config!$H$5:$H$16,0)),0))</f>
        <v>30</v>
      </c>
      <c r="Q869" s="30">
        <f>IF(OR(H869&lt;&gt;"Realizado",P869="",P869=0),"",A869+P869)</f>
        <v/>
      </c>
      <c r="R869" s="26">
        <f>IF(Q869="","",IF(COUNTIFS($E$5:$E$1204,E869,$A$5:$A$1204,"&gt;"&amp;A869,$H$5:$H$1204,"&lt;&gt;Falta",$H$5:$H$1204,"&lt;&gt;Cancelado",$H$5:$H$1204,"&lt;&gt;Remarcado")&gt;0,"Sim","Não"))</f>
        <v/>
      </c>
      <c r="S869" s="32">
        <f>IF(R869&lt;&gt;"Não","",IF(Q869+Config!$B$9&lt;=Config!$B$8,Config!$B$8-Q869,""))</f>
        <v/>
      </c>
      <c r="T869" s="26">
        <f>IF(S869="","","Sim")</f>
        <v/>
      </c>
      <c r="U869" s="41">
        <f>IF(T869="Sim",S869+ROW()/100000,0)</f>
        <v>0</v>
      </c>
      <c r="V869" s="41">
        <f>IF(AND(H869="Falta",L869=Config!$B$7,M869=Config!$B$5,COUNTIFS($E$5:E869,E869,$H$5:H869,"Falta",$L$5:L869,Config!$B$7,$M$5:M869,Config!$B$5)=1),COUNTIFS($E$5:$E$1204,E869,$H$5:$H$1204,"Falta",$L$5:$L$1204,Config!$B$7,$M$5:$M$1204,Config!$B$5)*1000-ROW()/100000,0)</f>
        <v>0</v>
      </c>
    </row>
    <row r="870">
      <c r="A870" s="39">
        <f>TODAY()+14</f>
        <v>46293.0</v>
      </c>
      <c r="B870" s="40" t="n">
        <v>0.4791666666666667</v>
      </c>
      <c r="C870" s="35" t="inlineStr">
        <is>
          <t>Dra. Carolina Mendes</t>
        </is>
      </c>
      <c r="D870" s="35" t="inlineStr">
        <is>
          <t>Sala 1</t>
        </is>
      </c>
      <c r="E870" s="34" t="inlineStr">
        <is>
          <t>Juliana Silva</t>
        </is>
      </c>
      <c r="F870" s="35" t="inlineStr">
        <is>
          <t>Vida Care</t>
        </is>
      </c>
      <c r="G870" s="35" t="inlineStr">
        <is>
          <t>Consulta</t>
        </is>
      </c>
      <c r="H870" s="35" t="inlineStr">
        <is>
          <t>Agendado</t>
        </is>
      </c>
      <c r="I870" s="35" t="n"/>
      <c r="J870" s="35" t="n"/>
      <c r="K870" s="34" t="n"/>
      <c r="L870" s="26">
        <f>IF(A870="","",MONTH(A870))</f>
        <v>9</v>
      </c>
      <c r="M870" s="26">
        <f>IF(A870="","",YEAR(A870))</f>
        <v>2026</v>
      </c>
      <c r="N870" s="26" t="str">
        <f>IF(A870="","",CHOOSE(WEEKDAY(A870,2),"Segunda","Terça","Quarta","Quinta","Sexta","Sábado","Domingo"))</f>
        <v>Segunda</v>
      </c>
      <c r="O870" s="26" t="str">
        <f>IF(B870="","",IF(B870&lt;TIME(12,0,0),"Manhã",IF(B870&lt;TIME(18,0,0),"Tarde","Noite")))</f>
        <v>Manhã</v>
      </c>
      <c r="P870" s="32">
        <f>IF(G870="","",IFERROR(INDEX(Config!$I$5:$I$16,MATCH(G870,Config!$H$5:$H$16,0)),0))</f>
        <v>30</v>
      </c>
      <c r="Q870" s="30">
        <f>IF(OR(H870&lt;&gt;"Realizado",P870="",P870=0),"",A870+P870)</f>
        <v/>
      </c>
      <c r="R870" s="26">
        <f>IF(Q870="","",IF(COUNTIFS($E$5:$E$1204,E870,$A$5:$A$1204,"&gt;"&amp;A870,$H$5:$H$1204,"&lt;&gt;Falta",$H$5:$H$1204,"&lt;&gt;Cancelado",$H$5:$H$1204,"&lt;&gt;Remarcado")&gt;0,"Sim","Não"))</f>
        <v/>
      </c>
      <c r="S870" s="32">
        <f>IF(R870&lt;&gt;"Não","",IF(Q870+Config!$B$9&lt;=Config!$B$8,Config!$B$8-Q870,""))</f>
        <v/>
      </c>
      <c r="T870" s="26">
        <f>IF(S870="","","Sim")</f>
        <v/>
      </c>
      <c r="U870" s="41">
        <f>IF(T870="Sim",S870+ROW()/100000,0)</f>
        <v>0</v>
      </c>
      <c r="V870" s="41">
        <f>IF(AND(H870="Falta",L870=Config!$B$7,M870=Config!$B$5,COUNTIFS($E$5:E870,E870,$H$5:H870,"Falta",$L$5:L870,Config!$B$7,$M$5:M870,Config!$B$5)=1),COUNTIFS($E$5:$E$1204,E870,$H$5:$H$1204,"Falta",$L$5:$L$1204,Config!$B$7,$M$5:$M$1204,Config!$B$5)*1000-ROW()/100000,0)</f>
        <v>0</v>
      </c>
    </row>
    <row r="871">
      <c r="A871" s="39">
        <f>TODAY()+14</f>
        <v>46293.0</v>
      </c>
      <c r="B871" s="40" t="n">
        <v>0.5833333333333334</v>
      </c>
      <c r="C871" s="35" t="inlineStr">
        <is>
          <t>Dr. Paulo Andrade</t>
        </is>
      </c>
      <c r="D871" s="35" t="inlineStr">
        <is>
          <t>Sala 2</t>
        </is>
      </c>
      <c r="E871" s="34" t="inlineStr">
        <is>
          <t>Fábio Martins</t>
        </is>
      </c>
      <c r="F871" s="35" t="inlineStr">
        <is>
          <t>MediPlan</t>
        </is>
      </c>
      <c r="G871" s="35" t="inlineStr">
        <is>
          <t>Consulta</t>
        </is>
      </c>
      <c r="H871" s="35" t="inlineStr">
        <is>
          <t>Agendado</t>
        </is>
      </c>
      <c r="I871" s="35" t="n"/>
      <c r="J871" s="35" t="n"/>
      <c r="K871" s="34" t="n"/>
      <c r="L871" s="26">
        <f>IF(A871="","",MONTH(A871))</f>
        <v>9</v>
      </c>
      <c r="M871" s="26">
        <f>IF(A871="","",YEAR(A871))</f>
        <v>2026</v>
      </c>
      <c r="N871" s="26" t="str">
        <f>IF(A871="","",CHOOSE(WEEKDAY(A871,2),"Segunda","Terça","Quarta","Quinta","Sexta","Sábado","Domingo"))</f>
        <v>Segunda</v>
      </c>
      <c r="O871" s="26" t="str">
        <f>IF(B871="","",IF(B871&lt;TIME(12,0,0),"Manhã",IF(B871&lt;TIME(18,0,0),"Tarde","Noite")))</f>
        <v>Tarde</v>
      </c>
      <c r="P871" s="32">
        <f>IF(G871="","",IFERROR(INDEX(Config!$I$5:$I$16,MATCH(G871,Config!$H$5:$H$16,0)),0))</f>
        <v>30</v>
      </c>
      <c r="Q871" s="30">
        <f>IF(OR(H871&lt;&gt;"Realizado",P871="",P871=0),"",A871+P871)</f>
        <v/>
      </c>
      <c r="R871" s="26">
        <f>IF(Q871="","",IF(COUNTIFS($E$5:$E$1204,E871,$A$5:$A$1204,"&gt;"&amp;A871,$H$5:$H$1204,"&lt;&gt;Falta",$H$5:$H$1204,"&lt;&gt;Cancelado",$H$5:$H$1204,"&lt;&gt;Remarcado")&gt;0,"Sim","Não"))</f>
        <v/>
      </c>
      <c r="S871" s="32">
        <f>IF(R871&lt;&gt;"Não","",IF(Q871+Config!$B$9&lt;=Config!$B$8,Config!$B$8-Q871,""))</f>
        <v/>
      </c>
      <c r="T871" s="26">
        <f>IF(S871="","","Sim")</f>
        <v/>
      </c>
      <c r="U871" s="41">
        <f>IF(T871="Sim",S871+ROW()/100000,0)</f>
        <v>0</v>
      </c>
      <c r="V871" s="41">
        <f>IF(AND(H871="Falta",L871=Config!$B$7,M871=Config!$B$5,COUNTIFS($E$5:E871,E871,$H$5:H871,"Falta",$L$5:L871,Config!$B$7,$M$5:M871,Config!$B$5)=1),COUNTIFS($E$5:$E$1204,E871,$H$5:$H$1204,"Falta",$L$5:$L$1204,Config!$B$7,$M$5:$M$1204,Config!$B$5)*1000-ROW()/100000,0)</f>
        <v>0</v>
      </c>
    </row>
    <row r="872">
      <c r="A872" s="39">
        <f>TODAY()+14</f>
        <v>46293.0</v>
      </c>
      <c r="B872" s="40" t="n">
        <v>0.6041666666666666</v>
      </c>
      <c r="C872" s="35" t="inlineStr">
        <is>
          <t>Dr. Paulo Andrade</t>
        </is>
      </c>
      <c r="D872" s="35" t="inlineStr">
        <is>
          <t>Sala 2</t>
        </is>
      </c>
      <c r="E872" s="34" t="inlineStr">
        <is>
          <t>Wagner Carvalho</t>
        </is>
      </c>
      <c r="F872" s="35" t="inlineStr">
        <is>
          <t>Vida Care</t>
        </is>
      </c>
      <c r="G872" s="35" t="inlineStr">
        <is>
          <t>Consulta</t>
        </is>
      </c>
      <c r="H872" s="35" t="inlineStr">
        <is>
          <t>Agendado</t>
        </is>
      </c>
      <c r="I872" s="35" t="n"/>
      <c r="J872" s="35" t="n"/>
      <c r="K872" s="34" t="n"/>
      <c r="L872" s="26">
        <f>IF(A872="","",MONTH(A872))</f>
        <v>9</v>
      </c>
      <c r="M872" s="26">
        <f>IF(A872="","",YEAR(A872))</f>
        <v>2026</v>
      </c>
      <c r="N872" s="26" t="str">
        <f>IF(A872="","",CHOOSE(WEEKDAY(A872,2),"Segunda","Terça","Quarta","Quinta","Sexta","Sábado","Domingo"))</f>
        <v>Segunda</v>
      </c>
      <c r="O872" s="26" t="str">
        <f>IF(B872="","",IF(B872&lt;TIME(12,0,0),"Manhã",IF(B872&lt;TIME(18,0,0),"Tarde","Noite")))</f>
        <v>Tarde</v>
      </c>
      <c r="P872" s="32">
        <f>IF(G872="","",IFERROR(INDEX(Config!$I$5:$I$16,MATCH(G872,Config!$H$5:$H$16,0)),0))</f>
        <v>30</v>
      </c>
      <c r="Q872" s="30">
        <f>IF(OR(H872&lt;&gt;"Realizado",P872="",P872=0),"",A872+P872)</f>
        <v/>
      </c>
      <c r="R872" s="26">
        <f>IF(Q872="","",IF(COUNTIFS($E$5:$E$1204,E872,$A$5:$A$1204,"&gt;"&amp;A872,$H$5:$H$1204,"&lt;&gt;Falta",$H$5:$H$1204,"&lt;&gt;Cancelado",$H$5:$H$1204,"&lt;&gt;Remarcado")&gt;0,"Sim","Não"))</f>
        <v/>
      </c>
      <c r="S872" s="32">
        <f>IF(R872&lt;&gt;"Não","",IF(Q872+Config!$B$9&lt;=Config!$B$8,Config!$B$8-Q872,""))</f>
        <v/>
      </c>
      <c r="T872" s="26">
        <f>IF(S872="","","Sim")</f>
        <v/>
      </c>
      <c r="U872" s="41">
        <f>IF(T872="Sim",S872+ROW()/100000,0)</f>
        <v>0</v>
      </c>
      <c r="V872" s="41">
        <f>IF(AND(H872="Falta",L872=Config!$B$7,M872=Config!$B$5,COUNTIFS($E$5:E872,E872,$H$5:H872,"Falta",$L$5:L872,Config!$B$7,$M$5:M872,Config!$B$5)=1),COUNTIFS($E$5:$E$1204,E872,$H$5:$H$1204,"Falta",$L$5:$L$1204,Config!$B$7,$M$5:$M$1204,Config!$B$5)*1000-ROW()/100000,0)</f>
        <v>0</v>
      </c>
    </row>
    <row r="873">
      <c r="A873" s="39">
        <f>TODAY()+14</f>
        <v>46293.0</v>
      </c>
      <c r="B873" s="40" t="n">
        <v>0.625</v>
      </c>
      <c r="C873" s="35" t="inlineStr">
        <is>
          <t>Dr. Paulo Andrade</t>
        </is>
      </c>
      <c r="D873" s="35" t="inlineStr">
        <is>
          <t>Sala 2</t>
        </is>
      </c>
      <c r="E873" s="34" t="inlineStr">
        <is>
          <t>Gustavo Ferreira</t>
        </is>
      </c>
      <c r="F873" s="35" t="inlineStr">
        <is>
          <t>Particular</t>
        </is>
      </c>
      <c r="G873" s="35" t="inlineStr">
        <is>
          <t>Teste ergométrico</t>
        </is>
      </c>
      <c r="H873" s="35" t="inlineStr">
        <is>
          <t>Agendado</t>
        </is>
      </c>
      <c r="I873" s="35" t="n"/>
      <c r="J873" s="35" t="n"/>
      <c r="K873" s="34" t="n"/>
      <c r="L873" s="26">
        <f>IF(A873="","",MONTH(A873))</f>
        <v>9</v>
      </c>
      <c r="M873" s="26">
        <f>IF(A873="","",YEAR(A873))</f>
        <v>2026</v>
      </c>
      <c r="N873" s="26" t="str">
        <f>IF(A873="","",CHOOSE(WEEKDAY(A873,2),"Segunda","Terça","Quarta","Quinta","Sexta","Sábado","Domingo"))</f>
        <v>Segunda</v>
      </c>
      <c r="O873" s="26" t="str">
        <f>IF(B873="","",IF(B873&lt;TIME(12,0,0),"Manhã",IF(B873&lt;TIME(18,0,0),"Tarde","Noite")))</f>
        <v>Tarde</v>
      </c>
      <c r="P873" s="32">
        <f>IF(G873="","",IFERROR(INDEX(Config!$I$5:$I$16,MATCH(G873,Config!$H$5:$H$16,0)),0))</f>
        <v>0</v>
      </c>
      <c r="Q873" s="30">
        <f>IF(OR(H873&lt;&gt;"Realizado",P873="",P873=0),"",A873+P873)</f>
        <v/>
      </c>
      <c r="R873" s="26">
        <f>IF(Q873="","",IF(COUNTIFS($E$5:$E$1204,E873,$A$5:$A$1204,"&gt;"&amp;A873,$H$5:$H$1204,"&lt;&gt;Falta",$H$5:$H$1204,"&lt;&gt;Cancelado",$H$5:$H$1204,"&lt;&gt;Remarcado")&gt;0,"Sim","Não"))</f>
        <v/>
      </c>
      <c r="S873" s="32">
        <f>IF(R873&lt;&gt;"Não","",IF(Q873+Config!$B$9&lt;=Config!$B$8,Config!$B$8-Q873,""))</f>
        <v/>
      </c>
      <c r="T873" s="26">
        <f>IF(S873="","","Sim")</f>
        <v/>
      </c>
      <c r="U873" s="41">
        <f>IF(T873="Sim",S873+ROW()/100000,0)</f>
        <v>0</v>
      </c>
      <c r="V873" s="41">
        <f>IF(AND(H873="Falta",L873=Config!$B$7,M873=Config!$B$5,COUNTIFS($E$5:E873,E873,$H$5:H873,"Falta",$L$5:L873,Config!$B$7,$M$5:M873,Config!$B$5)=1),COUNTIFS($E$5:$E$1204,E873,$H$5:$H$1204,"Falta",$L$5:$L$1204,Config!$B$7,$M$5:$M$1204,Config!$B$5)*1000-ROW()/100000,0)</f>
        <v>0</v>
      </c>
    </row>
    <row r="874">
      <c r="A874" s="39">
        <f>TODAY()+14</f>
        <v>46293.0</v>
      </c>
      <c r="B874" s="40" t="n">
        <v>0.6944444444444444</v>
      </c>
      <c r="C874" s="35" t="inlineStr">
        <is>
          <t>Dr. Paulo Andrade</t>
        </is>
      </c>
      <c r="D874" s="35" t="inlineStr">
        <is>
          <t>Sala 2</t>
        </is>
      </c>
      <c r="E874" s="34" t="inlineStr">
        <is>
          <t>Thiago Duarte</t>
        </is>
      </c>
      <c r="F874" s="35" t="inlineStr">
        <is>
          <t>Saúde Total</t>
        </is>
      </c>
      <c r="G874" s="35" t="inlineStr">
        <is>
          <t>Consulta</t>
        </is>
      </c>
      <c r="H874" s="35" t="inlineStr">
        <is>
          <t>Agendado</t>
        </is>
      </c>
      <c r="I874" s="35" t="n"/>
      <c r="J874" s="35" t="n"/>
      <c r="K874" s="34" t="n"/>
      <c r="L874" s="26">
        <f>IF(A874="","",MONTH(A874))</f>
        <v>9</v>
      </c>
      <c r="M874" s="26">
        <f>IF(A874="","",YEAR(A874))</f>
        <v>2026</v>
      </c>
      <c r="N874" s="26" t="str">
        <f>IF(A874="","",CHOOSE(WEEKDAY(A874,2),"Segunda","Terça","Quarta","Quinta","Sexta","Sábado","Domingo"))</f>
        <v>Segunda</v>
      </c>
      <c r="O874" s="26" t="str">
        <f>IF(B874="","",IF(B874&lt;TIME(12,0,0),"Manhã",IF(B874&lt;TIME(18,0,0),"Tarde","Noite")))</f>
        <v>Tarde</v>
      </c>
      <c r="P874" s="32">
        <f>IF(G874="","",IFERROR(INDEX(Config!$I$5:$I$16,MATCH(G874,Config!$H$5:$H$16,0)),0))</f>
        <v>30</v>
      </c>
      <c r="Q874" s="30">
        <f>IF(OR(H874&lt;&gt;"Realizado",P874="",P874=0),"",A874+P874)</f>
        <v/>
      </c>
      <c r="R874" s="26">
        <f>IF(Q874="","",IF(COUNTIFS($E$5:$E$1204,E874,$A$5:$A$1204,"&gt;"&amp;A874,$H$5:$H$1204,"&lt;&gt;Falta",$H$5:$H$1204,"&lt;&gt;Cancelado",$H$5:$H$1204,"&lt;&gt;Remarcado")&gt;0,"Sim","Não"))</f>
        <v/>
      </c>
      <c r="S874" s="32">
        <f>IF(R874&lt;&gt;"Não","",IF(Q874+Config!$B$9&lt;=Config!$B$8,Config!$B$8-Q874,""))</f>
        <v/>
      </c>
      <c r="T874" s="26">
        <f>IF(S874="","","Sim")</f>
        <v/>
      </c>
      <c r="U874" s="41">
        <f>IF(T874="Sim",S874+ROW()/100000,0)</f>
        <v>0</v>
      </c>
      <c r="V874" s="41">
        <f>IF(AND(H874="Falta",L874=Config!$B$7,M874=Config!$B$5,COUNTIFS($E$5:E874,E874,$H$5:H874,"Falta",$L$5:L874,Config!$B$7,$M$5:M874,Config!$B$5)=1),COUNTIFS($E$5:$E$1204,E874,$H$5:$H$1204,"Falta",$L$5:$L$1204,Config!$B$7,$M$5:$M$1204,Config!$B$5)*1000-ROW()/100000,0)</f>
        <v>0</v>
      </c>
    </row>
    <row r="875">
      <c r="A875" s="39">
        <f>TODAY()+14</f>
        <v>46293.0</v>
      </c>
      <c r="B875" s="40" t="n">
        <v>0.7152777777777778</v>
      </c>
      <c r="C875" s="35" t="inlineStr">
        <is>
          <t>Dr. Paulo Andrade</t>
        </is>
      </c>
      <c r="D875" s="35" t="inlineStr">
        <is>
          <t>Sala 2</t>
        </is>
      </c>
      <c r="E875" s="34" t="inlineStr">
        <is>
          <t>Gisele Pinto</t>
        </is>
      </c>
      <c r="F875" s="35" t="inlineStr">
        <is>
          <t>Saúde Total</t>
        </is>
      </c>
      <c r="G875" s="35" t="inlineStr">
        <is>
          <t>Consulta</t>
        </is>
      </c>
      <c r="H875" s="35" t="inlineStr">
        <is>
          <t>Agendado</t>
        </is>
      </c>
      <c r="I875" s="35" t="n"/>
      <c r="J875" s="35" t="n"/>
      <c r="K875" s="34" t="n"/>
      <c r="L875" s="26">
        <f>IF(A875="","",MONTH(A875))</f>
        <v>9</v>
      </c>
      <c r="M875" s="26">
        <f>IF(A875="","",YEAR(A875))</f>
        <v>2026</v>
      </c>
      <c r="N875" s="26" t="str">
        <f>IF(A875="","",CHOOSE(WEEKDAY(A875,2),"Segunda","Terça","Quarta","Quinta","Sexta","Sábado","Domingo"))</f>
        <v>Segunda</v>
      </c>
      <c r="O875" s="26" t="str">
        <f>IF(B875="","",IF(B875&lt;TIME(12,0,0),"Manhã",IF(B875&lt;TIME(18,0,0),"Tarde","Noite")))</f>
        <v>Tarde</v>
      </c>
      <c r="P875" s="32">
        <f>IF(G875="","",IFERROR(INDEX(Config!$I$5:$I$16,MATCH(G875,Config!$H$5:$H$16,0)),0))</f>
        <v>30</v>
      </c>
      <c r="Q875" s="30">
        <f>IF(OR(H875&lt;&gt;"Realizado",P875="",P875=0),"",A875+P875)</f>
        <v/>
      </c>
      <c r="R875" s="26">
        <f>IF(Q875="","",IF(COUNTIFS($E$5:$E$1204,E875,$A$5:$A$1204,"&gt;"&amp;A875,$H$5:$H$1204,"&lt;&gt;Falta",$H$5:$H$1204,"&lt;&gt;Cancelado",$H$5:$H$1204,"&lt;&gt;Remarcado")&gt;0,"Sim","Não"))</f>
        <v/>
      </c>
      <c r="S875" s="32">
        <f>IF(R875&lt;&gt;"Não","",IF(Q875+Config!$B$9&lt;=Config!$B$8,Config!$B$8-Q875,""))</f>
        <v/>
      </c>
      <c r="T875" s="26">
        <f>IF(S875="","","Sim")</f>
        <v/>
      </c>
      <c r="U875" s="41">
        <f>IF(T875="Sim",S875+ROW()/100000,0)</f>
        <v>0</v>
      </c>
      <c r="V875" s="41">
        <f>IF(AND(H875="Falta",L875=Config!$B$7,M875=Config!$B$5,COUNTIFS($E$5:E875,E875,$H$5:H875,"Falta",$L$5:L875,Config!$B$7,$M$5:M875,Config!$B$5)=1),COUNTIFS($E$5:$E$1204,E875,$H$5:$H$1204,"Falta",$L$5:$L$1204,Config!$B$7,$M$5:$M$1204,Config!$B$5)*1000-ROW()/100000,0)</f>
        <v>0</v>
      </c>
    </row>
    <row r="876">
      <c r="A876" s="39">
        <f>TODAY()+14</f>
        <v>46293.0</v>
      </c>
      <c r="B876" s="40" t="n">
        <v>0.7361111111111112</v>
      </c>
      <c r="C876" s="35" t="inlineStr">
        <is>
          <t>Dr. Paulo Andrade</t>
        </is>
      </c>
      <c r="D876" s="35" t="inlineStr">
        <is>
          <t>Sala 2</t>
        </is>
      </c>
      <c r="E876" s="34" t="inlineStr">
        <is>
          <t>Mônica Batista</t>
        </is>
      </c>
      <c r="F876" s="35" t="inlineStr">
        <is>
          <t>MediPlan</t>
        </is>
      </c>
      <c r="G876" s="35" t="inlineStr">
        <is>
          <t>MAPA</t>
        </is>
      </c>
      <c r="H876" s="35" t="inlineStr">
        <is>
          <t>Agendado</t>
        </is>
      </c>
      <c r="I876" s="35" t="n"/>
      <c r="J876" s="35" t="n"/>
      <c r="K876" s="34" t="n"/>
      <c r="L876" s="26">
        <f>IF(A876="","",MONTH(A876))</f>
        <v>9</v>
      </c>
      <c r="M876" s="26">
        <f>IF(A876="","",YEAR(A876))</f>
        <v>2026</v>
      </c>
      <c r="N876" s="26" t="str">
        <f>IF(A876="","",CHOOSE(WEEKDAY(A876,2),"Segunda","Terça","Quarta","Quinta","Sexta","Sábado","Domingo"))</f>
        <v>Segunda</v>
      </c>
      <c r="O876" s="26" t="str">
        <f>IF(B876="","",IF(B876&lt;TIME(12,0,0),"Manhã",IF(B876&lt;TIME(18,0,0),"Tarde","Noite")))</f>
        <v>Tarde</v>
      </c>
      <c r="P876" s="32">
        <f>IF(G876="","",IFERROR(INDEX(Config!$I$5:$I$16,MATCH(G876,Config!$H$5:$H$16,0)),0))</f>
        <v>0</v>
      </c>
      <c r="Q876" s="30">
        <f>IF(OR(H876&lt;&gt;"Realizado",P876="",P876=0),"",A876+P876)</f>
        <v/>
      </c>
      <c r="R876" s="26">
        <f>IF(Q876="","",IF(COUNTIFS($E$5:$E$1204,E876,$A$5:$A$1204,"&gt;"&amp;A876,$H$5:$H$1204,"&lt;&gt;Falta",$H$5:$H$1204,"&lt;&gt;Cancelado",$H$5:$H$1204,"&lt;&gt;Remarcado")&gt;0,"Sim","Não"))</f>
        <v/>
      </c>
      <c r="S876" s="32">
        <f>IF(R876&lt;&gt;"Não","",IF(Q876+Config!$B$9&lt;=Config!$B$8,Config!$B$8-Q876,""))</f>
        <v/>
      </c>
      <c r="T876" s="26">
        <f>IF(S876="","","Sim")</f>
        <v/>
      </c>
      <c r="U876" s="41">
        <f>IF(T876="Sim",S876+ROW()/100000,0)</f>
        <v>0</v>
      </c>
      <c r="V876" s="41">
        <f>IF(AND(H876="Falta",L876=Config!$B$7,M876=Config!$B$5,COUNTIFS($E$5:E876,E876,$H$5:H876,"Falta",$L$5:L876,Config!$B$7,$M$5:M876,Config!$B$5)=1),COUNTIFS($E$5:$E$1204,E876,$H$5:$H$1204,"Falta",$L$5:$L$1204,Config!$B$7,$M$5:$M$1204,Config!$B$5)*1000-ROW()/100000,0)</f>
        <v>0</v>
      </c>
    </row>
    <row r="877">
      <c r="A877" s="39">
        <f>TODAY()+15</f>
        <v>46294.0</v>
      </c>
      <c r="B877" s="40" t="n">
        <v>0.3541666666666667</v>
      </c>
      <c r="C877" s="35" t="inlineStr">
        <is>
          <t>Dra. Carolina Mendes</t>
        </is>
      </c>
      <c r="D877" s="35" t="inlineStr">
        <is>
          <t>Sala 1</t>
        </is>
      </c>
      <c r="E877" s="34" t="inlineStr">
        <is>
          <t>Mônica Batista</t>
        </is>
      </c>
      <c r="F877" s="35" t="inlineStr">
        <is>
          <t>MediPlan</t>
        </is>
      </c>
      <c r="G877" s="35" t="inlineStr">
        <is>
          <t>Retorno</t>
        </is>
      </c>
      <c r="H877" s="35" t="inlineStr">
        <is>
          <t>Agendado</t>
        </is>
      </c>
      <c r="I877" s="35" t="n"/>
      <c r="J877" s="35" t="n"/>
      <c r="K877" s="34" t="n"/>
      <c r="L877" s="26">
        <f>IF(A877="","",MONTH(A877))</f>
        <v>9</v>
      </c>
      <c r="M877" s="26">
        <f>IF(A877="","",YEAR(A877))</f>
        <v>2026</v>
      </c>
      <c r="N877" s="26" t="str">
        <f>IF(A877="","",CHOOSE(WEEKDAY(A877,2),"Segunda","Terça","Quarta","Quinta","Sexta","Sábado","Domingo"))</f>
        <v>Terça</v>
      </c>
      <c r="O877" s="26" t="str">
        <f>IF(B877="","",IF(B877&lt;TIME(12,0,0),"Manhã",IF(B877&lt;TIME(18,0,0),"Tarde","Noite")))</f>
        <v>Manhã</v>
      </c>
      <c r="P877" s="32">
        <f>IF(G877="","",IFERROR(INDEX(Config!$I$5:$I$16,MATCH(G877,Config!$H$5:$H$16,0)),0))</f>
        <v>0</v>
      </c>
      <c r="Q877" s="30">
        <f>IF(OR(H877&lt;&gt;"Realizado",P877="",P877=0),"",A877+P877)</f>
        <v/>
      </c>
      <c r="R877" s="26">
        <f>IF(Q877="","",IF(COUNTIFS($E$5:$E$1204,E877,$A$5:$A$1204,"&gt;"&amp;A877,$H$5:$H$1204,"&lt;&gt;Falta",$H$5:$H$1204,"&lt;&gt;Cancelado",$H$5:$H$1204,"&lt;&gt;Remarcado")&gt;0,"Sim","Não"))</f>
        <v/>
      </c>
      <c r="S877" s="32">
        <f>IF(R877&lt;&gt;"Não","",IF(Q877+Config!$B$9&lt;=Config!$B$8,Config!$B$8-Q877,""))</f>
        <v/>
      </c>
      <c r="T877" s="26">
        <f>IF(S877="","","Sim")</f>
        <v/>
      </c>
      <c r="U877" s="41">
        <f>IF(T877="Sim",S877+ROW()/100000,0)</f>
        <v>0</v>
      </c>
      <c r="V877" s="41">
        <f>IF(AND(H877="Falta",L877=Config!$B$7,M877=Config!$B$5,COUNTIFS($E$5:E877,E877,$H$5:H877,"Falta",$L$5:L877,Config!$B$7,$M$5:M877,Config!$B$5)=1),COUNTIFS($E$5:$E$1204,E877,$H$5:$H$1204,"Falta",$L$5:$L$1204,Config!$B$7,$M$5:$M$1204,Config!$B$5)*1000-ROW()/100000,0)</f>
        <v>0</v>
      </c>
    </row>
    <row r="878">
      <c r="A878" s="39">
        <f>TODAY()+15</f>
        <v>46294.0</v>
      </c>
      <c r="B878" s="40" t="n">
        <v>0.3680555555555556</v>
      </c>
      <c r="C878" s="35" t="inlineStr">
        <is>
          <t>Dra. Carolina Mendes</t>
        </is>
      </c>
      <c r="D878" s="35" t="inlineStr">
        <is>
          <t>Sala 1</t>
        </is>
      </c>
      <c r="E878" s="34" t="inlineStr">
        <is>
          <t>Fábio Machado</t>
        </is>
      </c>
      <c r="F878" s="35" t="inlineStr">
        <is>
          <t>Particular</t>
        </is>
      </c>
      <c r="G878" s="35" t="inlineStr">
        <is>
          <t>Consulta</t>
        </is>
      </c>
      <c r="H878" s="35" t="inlineStr">
        <is>
          <t>Agendado</t>
        </is>
      </c>
      <c r="I878" s="35" t="n"/>
      <c r="J878" s="35" t="n"/>
      <c r="K878" s="34" t="n"/>
      <c r="L878" s="26">
        <f>IF(A878="","",MONTH(A878))</f>
        <v>9</v>
      </c>
      <c r="M878" s="26">
        <f>IF(A878="","",YEAR(A878))</f>
        <v>2026</v>
      </c>
      <c r="N878" s="26" t="str">
        <f>IF(A878="","",CHOOSE(WEEKDAY(A878,2),"Segunda","Terça","Quarta","Quinta","Sexta","Sábado","Domingo"))</f>
        <v>Terça</v>
      </c>
      <c r="O878" s="26" t="str">
        <f>IF(B878="","",IF(B878&lt;TIME(12,0,0),"Manhã",IF(B878&lt;TIME(18,0,0),"Tarde","Noite")))</f>
        <v>Manhã</v>
      </c>
      <c r="P878" s="32">
        <f>IF(G878="","",IFERROR(INDEX(Config!$I$5:$I$16,MATCH(G878,Config!$H$5:$H$16,0)),0))</f>
        <v>30</v>
      </c>
      <c r="Q878" s="30">
        <f>IF(OR(H878&lt;&gt;"Realizado",P878="",P878=0),"",A878+P878)</f>
        <v/>
      </c>
      <c r="R878" s="26">
        <f>IF(Q878="","",IF(COUNTIFS($E$5:$E$1204,E878,$A$5:$A$1204,"&gt;"&amp;A878,$H$5:$H$1204,"&lt;&gt;Falta",$H$5:$H$1204,"&lt;&gt;Cancelado",$H$5:$H$1204,"&lt;&gt;Remarcado")&gt;0,"Sim","Não"))</f>
        <v/>
      </c>
      <c r="S878" s="32">
        <f>IF(R878&lt;&gt;"Não","",IF(Q878+Config!$B$9&lt;=Config!$B$8,Config!$B$8-Q878,""))</f>
        <v/>
      </c>
      <c r="T878" s="26">
        <f>IF(S878="","","Sim")</f>
        <v/>
      </c>
      <c r="U878" s="41">
        <f>IF(T878="Sim",S878+ROW()/100000,0)</f>
        <v>0</v>
      </c>
      <c r="V878" s="41">
        <f>IF(AND(H878="Falta",L878=Config!$B$7,M878=Config!$B$5,COUNTIFS($E$5:E878,E878,$H$5:H878,"Falta",$L$5:L878,Config!$B$7,$M$5:M878,Config!$B$5)=1),COUNTIFS($E$5:$E$1204,E878,$H$5:$H$1204,"Falta",$L$5:$L$1204,Config!$B$7,$M$5:$M$1204,Config!$B$5)*1000-ROW()/100000,0)</f>
        <v>0</v>
      </c>
    </row>
    <row r="879">
      <c r="A879" s="39">
        <f>TODAY()+15</f>
        <v>46294.0</v>
      </c>
      <c r="B879" s="40" t="n">
        <v>0.3888888888888889</v>
      </c>
      <c r="C879" s="35" t="inlineStr">
        <is>
          <t>Dra. Carolina Mendes</t>
        </is>
      </c>
      <c r="D879" s="35" t="inlineStr">
        <is>
          <t>Sala 1</t>
        </is>
      </c>
      <c r="E879" s="34" t="inlineStr">
        <is>
          <t>Mateus Lima</t>
        </is>
      </c>
      <c r="F879" s="35" t="inlineStr">
        <is>
          <t>MediPlan</t>
        </is>
      </c>
      <c r="G879" s="35" t="inlineStr">
        <is>
          <t>Consulta</t>
        </is>
      </c>
      <c r="H879" s="35" t="inlineStr">
        <is>
          <t>Agendado</t>
        </is>
      </c>
      <c r="I879" s="35" t="n"/>
      <c r="J879" s="35" t="n"/>
      <c r="K879" s="34" t="n"/>
      <c r="L879" s="26">
        <f>IF(A879="","",MONTH(A879))</f>
        <v>9</v>
      </c>
      <c r="M879" s="26">
        <f>IF(A879="","",YEAR(A879))</f>
        <v>2026</v>
      </c>
      <c r="N879" s="26" t="str">
        <f>IF(A879="","",CHOOSE(WEEKDAY(A879,2),"Segunda","Terça","Quarta","Quinta","Sexta","Sábado","Domingo"))</f>
        <v>Terça</v>
      </c>
      <c r="O879" s="26" t="str">
        <f>IF(B879="","",IF(B879&lt;TIME(12,0,0),"Manhã",IF(B879&lt;TIME(18,0,0),"Tarde","Noite")))</f>
        <v>Manhã</v>
      </c>
      <c r="P879" s="32">
        <f>IF(G879="","",IFERROR(INDEX(Config!$I$5:$I$16,MATCH(G879,Config!$H$5:$H$16,0)),0))</f>
        <v>30</v>
      </c>
      <c r="Q879" s="30">
        <f>IF(OR(H879&lt;&gt;"Realizado",P879="",P879=0),"",A879+P879)</f>
        <v/>
      </c>
      <c r="R879" s="26">
        <f>IF(Q879="","",IF(COUNTIFS($E$5:$E$1204,E879,$A$5:$A$1204,"&gt;"&amp;A879,$H$5:$H$1204,"&lt;&gt;Falta",$H$5:$H$1204,"&lt;&gt;Cancelado",$H$5:$H$1204,"&lt;&gt;Remarcado")&gt;0,"Sim","Não"))</f>
        <v/>
      </c>
      <c r="S879" s="32">
        <f>IF(R879&lt;&gt;"Não","",IF(Q879+Config!$B$9&lt;=Config!$B$8,Config!$B$8-Q879,""))</f>
        <v/>
      </c>
      <c r="T879" s="26">
        <f>IF(S879="","","Sim")</f>
        <v/>
      </c>
      <c r="U879" s="41">
        <f>IF(T879="Sim",S879+ROW()/100000,0)</f>
        <v>0</v>
      </c>
      <c r="V879" s="41">
        <f>IF(AND(H879="Falta",L879=Config!$B$7,M879=Config!$B$5,COUNTIFS($E$5:E879,E879,$H$5:H879,"Falta",$L$5:L879,Config!$B$7,$M$5:M879,Config!$B$5)=1),COUNTIFS($E$5:$E$1204,E879,$H$5:$H$1204,"Falta",$L$5:$L$1204,Config!$B$7,$M$5:$M$1204,Config!$B$5)*1000-ROW()/100000,0)</f>
        <v>0</v>
      </c>
    </row>
    <row r="880">
      <c r="A880" s="39">
        <f>TODAY()+15</f>
        <v>46294.0</v>
      </c>
      <c r="B880" s="40" t="n">
        <v>0.4097222222222222</v>
      </c>
      <c r="C880" s="35" t="inlineStr">
        <is>
          <t>Dra. Carolina Mendes</t>
        </is>
      </c>
      <c r="D880" s="35" t="inlineStr">
        <is>
          <t>Sala 1</t>
        </is>
      </c>
      <c r="E880" s="34" t="inlineStr">
        <is>
          <t>Simone Monteiro</t>
        </is>
      </c>
      <c r="F880" s="35" t="inlineStr">
        <is>
          <t>Vida Care</t>
        </is>
      </c>
      <c r="G880" s="35" t="inlineStr">
        <is>
          <t>Retorno</t>
        </is>
      </c>
      <c r="H880" s="35" t="inlineStr">
        <is>
          <t>Agendado</t>
        </is>
      </c>
      <c r="I880" s="35" t="n"/>
      <c r="J880" s="35" t="n"/>
      <c r="K880" s="34" t="n"/>
      <c r="L880" s="26">
        <f>IF(A880="","",MONTH(A880))</f>
        <v>9</v>
      </c>
      <c r="M880" s="26">
        <f>IF(A880="","",YEAR(A880))</f>
        <v>2026</v>
      </c>
      <c r="N880" s="26" t="str">
        <f>IF(A880="","",CHOOSE(WEEKDAY(A880,2),"Segunda","Terça","Quarta","Quinta","Sexta","Sábado","Domingo"))</f>
        <v>Terça</v>
      </c>
      <c r="O880" s="26" t="str">
        <f>IF(B880="","",IF(B880&lt;TIME(12,0,0),"Manhã",IF(B880&lt;TIME(18,0,0),"Tarde","Noite")))</f>
        <v>Manhã</v>
      </c>
      <c r="P880" s="32">
        <f>IF(G880="","",IFERROR(INDEX(Config!$I$5:$I$16,MATCH(G880,Config!$H$5:$H$16,0)),0))</f>
        <v>0</v>
      </c>
      <c r="Q880" s="30">
        <f>IF(OR(H880&lt;&gt;"Realizado",P880="",P880=0),"",A880+P880)</f>
        <v/>
      </c>
      <c r="R880" s="26">
        <f>IF(Q880="","",IF(COUNTIFS($E$5:$E$1204,E880,$A$5:$A$1204,"&gt;"&amp;A880,$H$5:$H$1204,"&lt;&gt;Falta",$H$5:$H$1204,"&lt;&gt;Cancelado",$H$5:$H$1204,"&lt;&gt;Remarcado")&gt;0,"Sim","Não"))</f>
        <v/>
      </c>
      <c r="S880" s="32">
        <f>IF(R880&lt;&gt;"Não","",IF(Q880+Config!$B$9&lt;=Config!$B$8,Config!$B$8-Q880,""))</f>
        <v/>
      </c>
      <c r="T880" s="26">
        <f>IF(S880="","","Sim")</f>
        <v/>
      </c>
      <c r="U880" s="41">
        <f>IF(T880="Sim",S880+ROW()/100000,0)</f>
        <v>0</v>
      </c>
      <c r="V880" s="41">
        <f>IF(AND(H880="Falta",L880=Config!$B$7,M880=Config!$B$5,COUNTIFS($E$5:E880,E880,$H$5:H880,"Falta",$L$5:L880,Config!$B$7,$M$5:M880,Config!$B$5)=1),COUNTIFS($E$5:$E$1204,E880,$H$5:$H$1204,"Falta",$L$5:$L$1204,Config!$B$7,$M$5:$M$1204,Config!$B$5)*1000-ROW()/100000,0)</f>
        <v>0</v>
      </c>
    </row>
    <row r="881">
      <c r="A881" s="39">
        <f>TODAY()+15</f>
        <v>46294.0</v>
      </c>
      <c r="B881" s="40" t="n">
        <v>0.4236111111111111</v>
      </c>
      <c r="C881" s="35" t="inlineStr">
        <is>
          <t>Dra. Carolina Mendes</t>
        </is>
      </c>
      <c r="D881" s="35" t="inlineStr">
        <is>
          <t>Sala 1</t>
        </is>
      </c>
      <c r="E881" s="34" t="inlineStr">
        <is>
          <t>Ana Costa</t>
        </is>
      </c>
      <c r="F881" s="35" t="inlineStr">
        <is>
          <t>Particular</t>
        </is>
      </c>
      <c r="G881" s="35" t="inlineStr">
        <is>
          <t>Retorno</t>
        </is>
      </c>
      <c r="H881" s="35" t="inlineStr">
        <is>
          <t>Agendado</t>
        </is>
      </c>
      <c r="I881" s="35" t="n"/>
      <c r="J881" s="35" t="n"/>
      <c r="K881" s="34" t="n"/>
      <c r="L881" s="26">
        <f>IF(A881="","",MONTH(A881))</f>
        <v>9</v>
      </c>
      <c r="M881" s="26">
        <f>IF(A881="","",YEAR(A881))</f>
        <v>2026</v>
      </c>
      <c r="N881" s="26" t="str">
        <f>IF(A881="","",CHOOSE(WEEKDAY(A881,2),"Segunda","Terça","Quarta","Quinta","Sexta","Sábado","Domingo"))</f>
        <v>Terça</v>
      </c>
      <c r="O881" s="26" t="str">
        <f>IF(B881="","",IF(B881&lt;TIME(12,0,0),"Manhã",IF(B881&lt;TIME(18,0,0),"Tarde","Noite")))</f>
        <v>Manhã</v>
      </c>
      <c r="P881" s="32">
        <f>IF(G881="","",IFERROR(INDEX(Config!$I$5:$I$16,MATCH(G881,Config!$H$5:$H$16,0)),0))</f>
        <v>0</v>
      </c>
      <c r="Q881" s="30">
        <f>IF(OR(H881&lt;&gt;"Realizado",P881="",P881=0),"",A881+P881)</f>
        <v/>
      </c>
      <c r="R881" s="26">
        <f>IF(Q881="","",IF(COUNTIFS($E$5:$E$1204,E881,$A$5:$A$1204,"&gt;"&amp;A881,$H$5:$H$1204,"&lt;&gt;Falta",$H$5:$H$1204,"&lt;&gt;Cancelado",$H$5:$H$1204,"&lt;&gt;Remarcado")&gt;0,"Sim","Não"))</f>
        <v/>
      </c>
      <c r="S881" s="32">
        <f>IF(R881&lt;&gt;"Não","",IF(Q881+Config!$B$9&lt;=Config!$B$8,Config!$B$8-Q881,""))</f>
        <v/>
      </c>
      <c r="T881" s="26">
        <f>IF(S881="","","Sim")</f>
        <v/>
      </c>
      <c r="U881" s="41">
        <f>IF(T881="Sim",S881+ROW()/100000,0)</f>
        <v>0</v>
      </c>
      <c r="V881" s="41">
        <f>IF(AND(H881="Falta",L881=Config!$B$7,M881=Config!$B$5,COUNTIFS($E$5:E881,E881,$H$5:H881,"Falta",$L$5:L881,Config!$B$7,$M$5:M881,Config!$B$5)=1),COUNTIFS($E$5:$E$1204,E881,$H$5:$H$1204,"Falta",$L$5:$L$1204,Config!$B$7,$M$5:$M$1204,Config!$B$5)*1000-ROW()/100000,0)</f>
        <v>0</v>
      </c>
    </row>
    <row r="882">
      <c r="A882" s="39">
        <f>TODAY()+15</f>
        <v>46294.0</v>
      </c>
      <c r="B882" s="40" t="n">
        <v>0.4375</v>
      </c>
      <c r="C882" s="35" t="inlineStr">
        <is>
          <t>Dra. Carolina Mendes</t>
        </is>
      </c>
      <c r="D882" s="35" t="inlineStr">
        <is>
          <t>Sala 1</t>
        </is>
      </c>
      <c r="E882" s="34" t="inlineStr">
        <is>
          <t>Renato Dias</t>
        </is>
      </c>
      <c r="F882" s="35" t="inlineStr">
        <is>
          <t>Particular</t>
        </is>
      </c>
      <c r="G882" s="35" t="inlineStr">
        <is>
          <t>Consulta</t>
        </is>
      </c>
      <c r="H882" s="35" t="inlineStr">
        <is>
          <t>Agendado</t>
        </is>
      </c>
      <c r="I882" s="35" t="n"/>
      <c r="J882" s="35" t="n"/>
      <c r="K882" s="34" t="n"/>
      <c r="L882" s="26">
        <f>IF(A882="","",MONTH(A882))</f>
        <v>9</v>
      </c>
      <c r="M882" s="26">
        <f>IF(A882="","",YEAR(A882))</f>
        <v>2026</v>
      </c>
      <c r="N882" s="26" t="str">
        <f>IF(A882="","",CHOOSE(WEEKDAY(A882,2),"Segunda","Terça","Quarta","Quinta","Sexta","Sábado","Domingo"))</f>
        <v>Terça</v>
      </c>
      <c r="O882" s="26" t="str">
        <f>IF(B882="","",IF(B882&lt;TIME(12,0,0),"Manhã",IF(B882&lt;TIME(18,0,0),"Tarde","Noite")))</f>
        <v>Manhã</v>
      </c>
      <c r="P882" s="32">
        <f>IF(G882="","",IFERROR(INDEX(Config!$I$5:$I$16,MATCH(G882,Config!$H$5:$H$16,0)),0))</f>
        <v>30</v>
      </c>
      <c r="Q882" s="30">
        <f>IF(OR(H882&lt;&gt;"Realizado",P882="",P882=0),"",A882+P882)</f>
        <v/>
      </c>
      <c r="R882" s="26">
        <f>IF(Q882="","",IF(COUNTIFS($E$5:$E$1204,E882,$A$5:$A$1204,"&gt;"&amp;A882,$H$5:$H$1204,"&lt;&gt;Falta",$H$5:$H$1204,"&lt;&gt;Cancelado",$H$5:$H$1204,"&lt;&gt;Remarcado")&gt;0,"Sim","Não"))</f>
        <v/>
      </c>
      <c r="S882" s="32">
        <f>IF(R882&lt;&gt;"Não","",IF(Q882+Config!$B$9&lt;=Config!$B$8,Config!$B$8-Q882,""))</f>
        <v/>
      </c>
      <c r="T882" s="26">
        <f>IF(S882="","","Sim")</f>
        <v/>
      </c>
      <c r="U882" s="41">
        <f>IF(T882="Sim",S882+ROW()/100000,0)</f>
        <v>0</v>
      </c>
      <c r="V882" s="41">
        <f>IF(AND(H882="Falta",L882=Config!$B$7,M882=Config!$B$5,COUNTIFS($E$5:E882,E882,$H$5:H882,"Falta",$L$5:L882,Config!$B$7,$M$5:M882,Config!$B$5)=1),COUNTIFS($E$5:$E$1204,E882,$H$5:$H$1204,"Falta",$L$5:$L$1204,Config!$B$7,$M$5:$M$1204,Config!$B$5)*1000-ROW()/100000,0)</f>
        <v>0</v>
      </c>
    </row>
    <row r="883">
      <c r="A883" s="39">
        <f>TODAY()+15</f>
        <v>46294.0</v>
      </c>
      <c r="B883" s="40" t="n">
        <v>0.4583333333333333</v>
      </c>
      <c r="C883" s="35" t="inlineStr">
        <is>
          <t>Dra. Carolina Mendes</t>
        </is>
      </c>
      <c r="D883" s="35" t="inlineStr">
        <is>
          <t>Sala 1</t>
        </is>
      </c>
      <c r="E883" s="34" t="inlineStr">
        <is>
          <t>Otávio Cardoso</t>
        </is>
      </c>
      <c r="F883" s="35" t="inlineStr">
        <is>
          <t>Particular</t>
        </is>
      </c>
      <c r="G883" s="35" t="inlineStr">
        <is>
          <t>Consulta</t>
        </is>
      </c>
      <c r="H883" s="35" t="inlineStr">
        <is>
          <t>Agendado</t>
        </is>
      </c>
      <c r="I883" s="35" t="n"/>
      <c r="J883" s="35" t="n"/>
      <c r="K883" s="34" t="n"/>
      <c r="L883" s="26">
        <f>IF(A883="","",MONTH(A883))</f>
        <v>9</v>
      </c>
      <c r="M883" s="26">
        <f>IF(A883="","",YEAR(A883))</f>
        <v>2026</v>
      </c>
      <c r="N883" s="26" t="str">
        <f>IF(A883="","",CHOOSE(WEEKDAY(A883,2),"Segunda","Terça","Quarta","Quinta","Sexta","Sábado","Domingo"))</f>
        <v>Terça</v>
      </c>
      <c r="O883" s="26" t="str">
        <f>IF(B883="","",IF(B883&lt;TIME(12,0,0),"Manhã",IF(B883&lt;TIME(18,0,0),"Tarde","Noite")))</f>
        <v>Manhã</v>
      </c>
      <c r="P883" s="32">
        <f>IF(G883="","",IFERROR(INDEX(Config!$I$5:$I$16,MATCH(G883,Config!$H$5:$H$16,0)),0))</f>
        <v>30</v>
      </c>
      <c r="Q883" s="30">
        <f>IF(OR(H883&lt;&gt;"Realizado",P883="",P883=0),"",A883+P883)</f>
        <v/>
      </c>
      <c r="R883" s="26">
        <f>IF(Q883="","",IF(COUNTIFS($E$5:$E$1204,E883,$A$5:$A$1204,"&gt;"&amp;A883,$H$5:$H$1204,"&lt;&gt;Falta",$H$5:$H$1204,"&lt;&gt;Cancelado",$H$5:$H$1204,"&lt;&gt;Remarcado")&gt;0,"Sim","Não"))</f>
        <v/>
      </c>
      <c r="S883" s="32">
        <f>IF(R883&lt;&gt;"Não","",IF(Q883+Config!$B$9&lt;=Config!$B$8,Config!$B$8-Q883,""))</f>
        <v/>
      </c>
      <c r="T883" s="26">
        <f>IF(S883="","","Sim")</f>
        <v/>
      </c>
      <c r="U883" s="41">
        <f>IF(T883="Sim",S883+ROW()/100000,0)</f>
        <v>0</v>
      </c>
      <c r="V883" s="41">
        <f>IF(AND(H883="Falta",L883=Config!$B$7,M883=Config!$B$5,COUNTIFS($E$5:E883,E883,$H$5:H883,"Falta",$L$5:L883,Config!$B$7,$M$5:M883,Config!$B$5)=1),COUNTIFS($E$5:$E$1204,E883,$H$5:$H$1204,"Falta",$L$5:$L$1204,Config!$B$7,$M$5:$M$1204,Config!$B$5)*1000-ROW()/100000,0)</f>
        <v>0</v>
      </c>
    </row>
    <row r="884">
      <c r="A884" s="39">
        <f>TODAY()+15</f>
        <v>46294.0</v>
      </c>
      <c r="B884" s="40" t="n">
        <v>0.4791666666666667</v>
      </c>
      <c r="C884" s="35" t="inlineStr">
        <is>
          <t>Dra. Carolina Mendes</t>
        </is>
      </c>
      <c r="D884" s="35" t="inlineStr">
        <is>
          <t>Sala 1</t>
        </is>
      </c>
      <c r="E884" s="34" t="inlineStr">
        <is>
          <t>Mateus Lima</t>
        </is>
      </c>
      <c r="F884" s="35" t="inlineStr">
        <is>
          <t>MediPlan</t>
        </is>
      </c>
      <c r="G884" s="35" t="inlineStr">
        <is>
          <t>Retorno</t>
        </is>
      </c>
      <c r="H884" s="35" t="inlineStr">
        <is>
          <t>Agendado</t>
        </is>
      </c>
      <c r="I884" s="35" t="n"/>
      <c r="J884" s="35" t="n"/>
      <c r="K884" s="34" t="n"/>
      <c r="L884" s="26">
        <f>IF(A884="","",MONTH(A884))</f>
        <v>9</v>
      </c>
      <c r="M884" s="26">
        <f>IF(A884="","",YEAR(A884))</f>
        <v>2026</v>
      </c>
      <c r="N884" s="26" t="str">
        <f>IF(A884="","",CHOOSE(WEEKDAY(A884,2),"Segunda","Terça","Quarta","Quinta","Sexta","Sábado","Domingo"))</f>
        <v>Terça</v>
      </c>
      <c r="O884" s="26" t="str">
        <f>IF(B884="","",IF(B884&lt;TIME(12,0,0),"Manhã",IF(B884&lt;TIME(18,0,0),"Tarde","Noite")))</f>
        <v>Manhã</v>
      </c>
      <c r="P884" s="32">
        <f>IF(G884="","",IFERROR(INDEX(Config!$I$5:$I$16,MATCH(G884,Config!$H$5:$H$16,0)),0))</f>
        <v>0</v>
      </c>
      <c r="Q884" s="30">
        <f>IF(OR(H884&lt;&gt;"Realizado",P884="",P884=0),"",A884+P884)</f>
        <v/>
      </c>
      <c r="R884" s="26">
        <f>IF(Q884="","",IF(COUNTIFS($E$5:$E$1204,E884,$A$5:$A$1204,"&gt;"&amp;A884,$H$5:$H$1204,"&lt;&gt;Falta",$H$5:$H$1204,"&lt;&gt;Cancelado",$H$5:$H$1204,"&lt;&gt;Remarcado")&gt;0,"Sim","Não"))</f>
        <v/>
      </c>
      <c r="S884" s="32">
        <f>IF(R884&lt;&gt;"Não","",IF(Q884+Config!$B$9&lt;=Config!$B$8,Config!$B$8-Q884,""))</f>
        <v/>
      </c>
      <c r="T884" s="26">
        <f>IF(S884="","","Sim")</f>
        <v/>
      </c>
      <c r="U884" s="41">
        <f>IF(T884="Sim",S884+ROW()/100000,0)</f>
        <v>0</v>
      </c>
      <c r="V884" s="41">
        <f>IF(AND(H884="Falta",L884=Config!$B$7,M884=Config!$B$5,COUNTIFS($E$5:E884,E884,$H$5:H884,"Falta",$L$5:L884,Config!$B$7,$M$5:M884,Config!$B$5)=1),COUNTIFS($E$5:$E$1204,E884,$H$5:$H$1204,"Falta",$L$5:$L$1204,Config!$B$7,$M$5:$M$1204,Config!$B$5)*1000-ROW()/100000,0)</f>
        <v>0</v>
      </c>
    </row>
    <row r="885">
      <c r="A885" s="39">
        <f>TODAY()+15</f>
        <v>46294.0</v>
      </c>
      <c r="B885" s="40" t="n">
        <v>0.6041666666666666</v>
      </c>
      <c r="C885" s="35" t="inlineStr">
        <is>
          <t>Dr. Paulo Andrade</t>
        </is>
      </c>
      <c r="D885" s="35" t="inlineStr">
        <is>
          <t>Sala 2</t>
        </is>
      </c>
      <c r="E885" s="34" t="inlineStr">
        <is>
          <t>Gabriel Vieira</t>
        </is>
      </c>
      <c r="F885" s="35" t="inlineStr">
        <is>
          <t>Vida Care</t>
        </is>
      </c>
      <c r="G885" s="35" t="inlineStr">
        <is>
          <t>Consulta</t>
        </is>
      </c>
      <c r="H885" s="35" t="inlineStr">
        <is>
          <t>Agendado</t>
        </is>
      </c>
      <c r="I885" s="35" t="n"/>
      <c r="J885" s="35" t="n"/>
      <c r="K885" s="34" t="n"/>
      <c r="L885" s="26">
        <f>IF(A885="","",MONTH(A885))</f>
        <v>9</v>
      </c>
      <c r="M885" s="26">
        <f>IF(A885="","",YEAR(A885))</f>
        <v>2026</v>
      </c>
      <c r="N885" s="26" t="str">
        <f>IF(A885="","",CHOOSE(WEEKDAY(A885,2),"Segunda","Terça","Quarta","Quinta","Sexta","Sábado","Domingo"))</f>
        <v>Terça</v>
      </c>
      <c r="O885" s="26" t="str">
        <f>IF(B885="","",IF(B885&lt;TIME(12,0,0),"Manhã",IF(B885&lt;TIME(18,0,0),"Tarde","Noite")))</f>
        <v>Tarde</v>
      </c>
      <c r="P885" s="32">
        <f>IF(G885="","",IFERROR(INDEX(Config!$I$5:$I$16,MATCH(G885,Config!$H$5:$H$16,0)),0))</f>
        <v>30</v>
      </c>
      <c r="Q885" s="30">
        <f>IF(OR(H885&lt;&gt;"Realizado",P885="",P885=0),"",A885+P885)</f>
        <v/>
      </c>
      <c r="R885" s="26">
        <f>IF(Q885="","",IF(COUNTIFS($E$5:$E$1204,E885,$A$5:$A$1204,"&gt;"&amp;A885,$H$5:$H$1204,"&lt;&gt;Falta",$H$5:$H$1204,"&lt;&gt;Cancelado",$H$5:$H$1204,"&lt;&gt;Remarcado")&gt;0,"Sim","Não"))</f>
        <v/>
      </c>
      <c r="S885" s="32">
        <f>IF(R885&lt;&gt;"Não","",IF(Q885+Config!$B$9&lt;=Config!$B$8,Config!$B$8-Q885,""))</f>
        <v/>
      </c>
      <c r="T885" s="26">
        <f>IF(S885="","","Sim")</f>
        <v/>
      </c>
      <c r="U885" s="41">
        <f>IF(T885="Sim",S885+ROW()/100000,0)</f>
        <v>0</v>
      </c>
      <c r="V885" s="41">
        <f>IF(AND(H885="Falta",L885=Config!$B$7,M885=Config!$B$5,COUNTIFS($E$5:E885,E885,$H$5:H885,"Falta",$L$5:L885,Config!$B$7,$M$5:M885,Config!$B$5)=1),COUNTIFS($E$5:$E$1204,E885,$H$5:$H$1204,"Falta",$L$5:$L$1204,Config!$B$7,$M$5:$M$1204,Config!$B$5)*1000-ROW()/100000,0)</f>
        <v>0</v>
      </c>
    </row>
    <row r="886">
      <c r="A886" s="39">
        <f>TODAY()+15</f>
        <v>46294.0</v>
      </c>
      <c r="B886" s="40" t="n">
        <v>0.6458333333333334</v>
      </c>
      <c r="C886" s="35" t="inlineStr">
        <is>
          <t>Dr. Paulo Andrade</t>
        </is>
      </c>
      <c r="D886" s="35" t="inlineStr">
        <is>
          <t>Sala 2</t>
        </is>
      </c>
      <c r="E886" s="34" t="inlineStr">
        <is>
          <t>Gisele Pinto</t>
        </is>
      </c>
      <c r="F886" s="35" t="inlineStr">
        <is>
          <t>Saúde Total</t>
        </is>
      </c>
      <c r="G886" s="35" t="inlineStr">
        <is>
          <t>Retorno</t>
        </is>
      </c>
      <c r="H886" s="35" t="inlineStr">
        <is>
          <t>Agendado</t>
        </is>
      </c>
      <c r="I886" s="35" t="n"/>
      <c r="J886" s="35" t="n"/>
      <c r="K886" s="34" t="n"/>
      <c r="L886" s="26">
        <f>IF(A886="","",MONTH(A886))</f>
        <v>9</v>
      </c>
      <c r="M886" s="26">
        <f>IF(A886="","",YEAR(A886))</f>
        <v>2026</v>
      </c>
      <c r="N886" s="26" t="str">
        <f>IF(A886="","",CHOOSE(WEEKDAY(A886,2),"Segunda","Terça","Quarta","Quinta","Sexta","Sábado","Domingo"))</f>
        <v>Terça</v>
      </c>
      <c r="O886" s="26" t="str">
        <f>IF(B886="","",IF(B886&lt;TIME(12,0,0),"Manhã",IF(B886&lt;TIME(18,0,0),"Tarde","Noite")))</f>
        <v>Tarde</v>
      </c>
      <c r="P886" s="32">
        <f>IF(G886="","",IFERROR(INDEX(Config!$I$5:$I$16,MATCH(G886,Config!$H$5:$H$16,0)),0))</f>
        <v>0</v>
      </c>
      <c r="Q886" s="30">
        <f>IF(OR(H886&lt;&gt;"Realizado",P886="",P886=0),"",A886+P886)</f>
        <v/>
      </c>
      <c r="R886" s="26">
        <f>IF(Q886="","",IF(COUNTIFS($E$5:$E$1204,E886,$A$5:$A$1204,"&gt;"&amp;A886,$H$5:$H$1204,"&lt;&gt;Falta",$H$5:$H$1204,"&lt;&gt;Cancelado",$H$5:$H$1204,"&lt;&gt;Remarcado")&gt;0,"Sim","Não"))</f>
        <v/>
      </c>
      <c r="S886" s="32">
        <f>IF(R886&lt;&gt;"Não","",IF(Q886+Config!$B$9&lt;=Config!$B$8,Config!$B$8-Q886,""))</f>
        <v/>
      </c>
      <c r="T886" s="26">
        <f>IF(S886="","","Sim")</f>
        <v/>
      </c>
      <c r="U886" s="41">
        <f>IF(T886="Sim",S886+ROW()/100000,0)</f>
        <v>0</v>
      </c>
      <c r="V886" s="41">
        <f>IF(AND(H886="Falta",L886=Config!$B$7,M886=Config!$B$5,COUNTIFS($E$5:E886,E886,$H$5:H886,"Falta",$L$5:L886,Config!$B$7,$M$5:M886,Config!$B$5)=1),COUNTIFS($E$5:$E$1204,E886,$H$5:$H$1204,"Falta",$L$5:$L$1204,Config!$B$7,$M$5:$M$1204,Config!$B$5)*1000-ROW()/100000,0)</f>
        <v>0</v>
      </c>
    </row>
    <row r="887">
      <c r="A887" s="39">
        <f>TODAY()+15</f>
        <v>46294.0</v>
      </c>
      <c r="B887" s="40" t="n">
        <v>0.6597222222222222</v>
      </c>
      <c r="C887" s="35" t="inlineStr">
        <is>
          <t>Dr. Paulo Andrade</t>
        </is>
      </c>
      <c r="D887" s="35" t="inlineStr">
        <is>
          <t>Sala 2</t>
        </is>
      </c>
      <c r="E887" s="34" t="inlineStr">
        <is>
          <t>Helena Ribeiro</t>
        </is>
      </c>
      <c r="F887" s="35" t="inlineStr">
        <is>
          <t>MediPlan</t>
        </is>
      </c>
      <c r="G887" s="35" t="inlineStr">
        <is>
          <t>Consulta</t>
        </is>
      </c>
      <c r="H887" s="35" t="inlineStr">
        <is>
          <t>Agendado</t>
        </is>
      </c>
      <c r="I887" s="35" t="n"/>
      <c r="J887" s="35" t="n"/>
      <c r="K887" s="34" t="n"/>
      <c r="L887" s="26">
        <f>IF(A887="","",MONTH(A887))</f>
        <v>9</v>
      </c>
      <c r="M887" s="26">
        <f>IF(A887="","",YEAR(A887))</f>
        <v>2026</v>
      </c>
      <c r="N887" s="26" t="str">
        <f>IF(A887="","",CHOOSE(WEEKDAY(A887,2),"Segunda","Terça","Quarta","Quinta","Sexta","Sábado","Domingo"))</f>
        <v>Terça</v>
      </c>
      <c r="O887" s="26" t="str">
        <f>IF(B887="","",IF(B887&lt;TIME(12,0,0),"Manhã",IF(B887&lt;TIME(18,0,0),"Tarde","Noite")))</f>
        <v>Tarde</v>
      </c>
      <c r="P887" s="32">
        <f>IF(G887="","",IFERROR(INDEX(Config!$I$5:$I$16,MATCH(G887,Config!$H$5:$H$16,0)),0))</f>
        <v>30</v>
      </c>
      <c r="Q887" s="30">
        <f>IF(OR(H887&lt;&gt;"Realizado",P887="",P887=0),"",A887+P887)</f>
        <v/>
      </c>
      <c r="R887" s="26">
        <f>IF(Q887="","",IF(COUNTIFS($E$5:$E$1204,E887,$A$5:$A$1204,"&gt;"&amp;A887,$H$5:$H$1204,"&lt;&gt;Falta",$H$5:$H$1204,"&lt;&gt;Cancelado",$H$5:$H$1204,"&lt;&gt;Remarcado")&gt;0,"Sim","Não"))</f>
        <v/>
      </c>
      <c r="S887" s="32">
        <f>IF(R887&lt;&gt;"Não","",IF(Q887+Config!$B$9&lt;=Config!$B$8,Config!$B$8-Q887,""))</f>
        <v/>
      </c>
      <c r="T887" s="26">
        <f>IF(S887="","","Sim")</f>
        <v/>
      </c>
      <c r="U887" s="41">
        <f>IF(T887="Sim",S887+ROW()/100000,0)</f>
        <v>0</v>
      </c>
      <c r="V887" s="41">
        <f>IF(AND(H887="Falta",L887=Config!$B$7,M887=Config!$B$5,COUNTIFS($E$5:E887,E887,$H$5:H887,"Falta",$L$5:L887,Config!$B$7,$M$5:M887,Config!$B$5)=1),COUNTIFS($E$5:$E$1204,E887,$H$5:$H$1204,"Falta",$L$5:$L$1204,Config!$B$7,$M$5:$M$1204,Config!$B$5)*1000-ROW()/100000,0)</f>
        <v>0</v>
      </c>
    </row>
    <row r="888">
      <c r="A888" s="39">
        <f>TODAY()+15</f>
        <v>46294.0</v>
      </c>
      <c r="B888" s="40" t="n">
        <v>0.6805555555555556</v>
      </c>
      <c r="C888" s="35" t="inlineStr">
        <is>
          <t>Dr. Paulo Andrade</t>
        </is>
      </c>
      <c r="D888" s="35" t="inlineStr">
        <is>
          <t>Sala 2</t>
        </is>
      </c>
      <c r="E888" s="34" t="inlineStr">
        <is>
          <t>Gisele Lima</t>
        </is>
      </c>
      <c r="F888" s="35" t="inlineStr">
        <is>
          <t>Saúde Total</t>
        </is>
      </c>
      <c r="G888" s="35" t="inlineStr">
        <is>
          <t>Consulta</t>
        </is>
      </c>
      <c r="H888" s="35" t="inlineStr">
        <is>
          <t>Agendado</t>
        </is>
      </c>
      <c r="I888" s="35" t="n"/>
      <c r="J888" s="35" t="n"/>
      <c r="K888" s="34" t="n"/>
      <c r="L888" s="26">
        <f>IF(A888="","",MONTH(A888))</f>
        <v>9</v>
      </c>
      <c r="M888" s="26">
        <f>IF(A888="","",YEAR(A888))</f>
        <v>2026</v>
      </c>
      <c r="N888" s="26" t="str">
        <f>IF(A888="","",CHOOSE(WEEKDAY(A888,2),"Segunda","Terça","Quarta","Quinta","Sexta","Sábado","Domingo"))</f>
        <v>Terça</v>
      </c>
      <c r="O888" s="26" t="str">
        <f>IF(B888="","",IF(B888&lt;TIME(12,0,0),"Manhã",IF(B888&lt;TIME(18,0,0),"Tarde","Noite")))</f>
        <v>Tarde</v>
      </c>
      <c r="P888" s="32">
        <f>IF(G888="","",IFERROR(INDEX(Config!$I$5:$I$16,MATCH(G888,Config!$H$5:$H$16,0)),0))</f>
        <v>30</v>
      </c>
      <c r="Q888" s="30">
        <f>IF(OR(H888&lt;&gt;"Realizado",P888="",P888=0),"",A888+P888)</f>
        <v/>
      </c>
      <c r="R888" s="26">
        <f>IF(Q888="","",IF(COUNTIFS($E$5:$E$1204,E888,$A$5:$A$1204,"&gt;"&amp;A888,$H$5:$H$1204,"&lt;&gt;Falta",$H$5:$H$1204,"&lt;&gt;Cancelado",$H$5:$H$1204,"&lt;&gt;Remarcado")&gt;0,"Sim","Não"))</f>
        <v/>
      </c>
      <c r="S888" s="32">
        <f>IF(R888&lt;&gt;"Não","",IF(Q888+Config!$B$9&lt;=Config!$B$8,Config!$B$8-Q888,""))</f>
        <v/>
      </c>
      <c r="T888" s="26">
        <f>IF(S888="","","Sim")</f>
        <v/>
      </c>
      <c r="U888" s="41">
        <f>IF(T888="Sim",S888+ROW()/100000,0)</f>
        <v>0</v>
      </c>
      <c r="V888" s="41">
        <f>IF(AND(H888="Falta",L888=Config!$B$7,M888=Config!$B$5,COUNTIFS($E$5:E888,E888,$H$5:H888,"Falta",$L$5:L888,Config!$B$7,$M$5:M888,Config!$B$5)=1),COUNTIFS($E$5:$E$1204,E888,$H$5:$H$1204,"Falta",$L$5:$L$1204,Config!$B$7,$M$5:$M$1204,Config!$B$5)*1000-ROW()/100000,0)</f>
        <v>0</v>
      </c>
    </row>
    <row r="889">
      <c r="A889" s="39">
        <f>TODAY()+15</f>
        <v>46294.0</v>
      </c>
      <c r="B889" s="40" t="n">
        <v>0.6875</v>
      </c>
      <c r="C889" s="35" t="inlineStr">
        <is>
          <t>Dra. Renata Sousa</t>
        </is>
      </c>
      <c r="D889" s="35" t="inlineStr">
        <is>
          <t>Sala 1</t>
        </is>
      </c>
      <c r="E889" s="34" t="inlineStr">
        <is>
          <t>Daniel Moreira</t>
        </is>
      </c>
      <c r="F889" s="35" t="inlineStr">
        <is>
          <t>Saúde Total</t>
        </is>
      </c>
      <c r="G889" s="35" t="inlineStr">
        <is>
          <t>Avaliação endócrina</t>
        </is>
      </c>
      <c r="H889" s="35" t="inlineStr">
        <is>
          <t>Agendado</t>
        </is>
      </c>
      <c r="I889" s="35" t="n"/>
      <c r="J889" s="35" t="n"/>
      <c r="K889" s="34" t="n"/>
      <c r="L889" s="26">
        <f>IF(A889="","",MONTH(A889))</f>
        <v>9</v>
      </c>
      <c r="M889" s="26">
        <f>IF(A889="","",YEAR(A889))</f>
        <v>2026</v>
      </c>
      <c r="N889" s="26" t="str">
        <f>IF(A889="","",CHOOSE(WEEKDAY(A889,2),"Segunda","Terça","Quarta","Quinta","Sexta","Sábado","Domingo"))</f>
        <v>Terça</v>
      </c>
      <c r="O889" s="26" t="str">
        <f>IF(B889="","",IF(B889&lt;TIME(12,0,0),"Manhã",IF(B889&lt;TIME(18,0,0),"Tarde","Noite")))</f>
        <v>Tarde</v>
      </c>
      <c r="P889" s="32">
        <f>IF(G889="","",IFERROR(INDEX(Config!$I$5:$I$16,MATCH(G889,Config!$H$5:$H$16,0)),0))</f>
        <v>45</v>
      </c>
      <c r="Q889" s="30">
        <f>IF(OR(H889&lt;&gt;"Realizado",P889="",P889=0),"",A889+P889)</f>
        <v/>
      </c>
      <c r="R889" s="26">
        <f>IF(Q889="","",IF(COUNTIFS($E$5:$E$1204,E889,$A$5:$A$1204,"&gt;"&amp;A889,$H$5:$H$1204,"&lt;&gt;Falta",$H$5:$H$1204,"&lt;&gt;Cancelado",$H$5:$H$1204,"&lt;&gt;Remarcado")&gt;0,"Sim","Não"))</f>
        <v/>
      </c>
      <c r="S889" s="32">
        <f>IF(R889&lt;&gt;"Não","",IF(Q889+Config!$B$9&lt;=Config!$B$8,Config!$B$8-Q889,""))</f>
        <v/>
      </c>
      <c r="T889" s="26">
        <f>IF(S889="","","Sim")</f>
        <v/>
      </c>
      <c r="U889" s="41">
        <f>IF(T889="Sim",S889+ROW()/100000,0)</f>
        <v>0</v>
      </c>
      <c r="V889" s="41">
        <f>IF(AND(H889="Falta",L889=Config!$B$7,M889=Config!$B$5,COUNTIFS($E$5:E889,E889,$H$5:H889,"Falta",$L$5:L889,Config!$B$7,$M$5:M889,Config!$B$5)=1),COUNTIFS($E$5:$E$1204,E889,$H$5:$H$1204,"Falta",$L$5:$L$1204,Config!$B$7,$M$5:$M$1204,Config!$B$5)*1000-ROW()/100000,0)</f>
        <v>0</v>
      </c>
    </row>
    <row r="890">
      <c r="A890" s="39">
        <f>TODAY()+15</f>
        <v>46294.0</v>
      </c>
      <c r="B890" s="40" t="n">
        <v>0.7013888888888888</v>
      </c>
      <c r="C890" s="35" t="inlineStr">
        <is>
          <t>Dr. Paulo Andrade</t>
        </is>
      </c>
      <c r="D890" s="35" t="inlineStr">
        <is>
          <t>Sala 2</t>
        </is>
      </c>
      <c r="E890" s="34" t="inlineStr">
        <is>
          <t>Priscila Rocha</t>
        </is>
      </c>
      <c r="F890" s="35" t="inlineStr">
        <is>
          <t>MediPlan</t>
        </is>
      </c>
      <c r="G890" s="35" t="inlineStr">
        <is>
          <t>Consulta</t>
        </is>
      </c>
      <c r="H890" s="35" t="inlineStr">
        <is>
          <t>Agendado</t>
        </is>
      </c>
      <c r="I890" s="35" t="n"/>
      <c r="J890" s="35" t="n"/>
      <c r="K890" s="34" t="n"/>
      <c r="L890" s="26">
        <f>IF(A890="","",MONTH(A890))</f>
        <v>9</v>
      </c>
      <c r="M890" s="26">
        <f>IF(A890="","",YEAR(A890))</f>
        <v>2026</v>
      </c>
      <c r="N890" s="26" t="str">
        <f>IF(A890="","",CHOOSE(WEEKDAY(A890,2),"Segunda","Terça","Quarta","Quinta","Sexta","Sábado","Domingo"))</f>
        <v>Terça</v>
      </c>
      <c r="O890" s="26" t="str">
        <f>IF(B890="","",IF(B890&lt;TIME(12,0,0),"Manhã",IF(B890&lt;TIME(18,0,0),"Tarde","Noite")))</f>
        <v>Tarde</v>
      </c>
      <c r="P890" s="32">
        <f>IF(G890="","",IFERROR(INDEX(Config!$I$5:$I$16,MATCH(G890,Config!$H$5:$H$16,0)),0))</f>
        <v>30</v>
      </c>
      <c r="Q890" s="30">
        <f>IF(OR(H890&lt;&gt;"Realizado",P890="",P890=0),"",A890+P890)</f>
        <v/>
      </c>
      <c r="R890" s="26">
        <f>IF(Q890="","",IF(COUNTIFS($E$5:$E$1204,E890,$A$5:$A$1204,"&gt;"&amp;A890,$H$5:$H$1204,"&lt;&gt;Falta",$H$5:$H$1204,"&lt;&gt;Cancelado",$H$5:$H$1204,"&lt;&gt;Remarcado")&gt;0,"Sim","Não"))</f>
        <v/>
      </c>
      <c r="S890" s="32">
        <f>IF(R890&lt;&gt;"Não","",IF(Q890+Config!$B$9&lt;=Config!$B$8,Config!$B$8-Q890,""))</f>
        <v/>
      </c>
      <c r="T890" s="26">
        <f>IF(S890="","","Sim")</f>
        <v/>
      </c>
      <c r="U890" s="41">
        <f>IF(T890="Sim",S890+ROW()/100000,0)</f>
        <v>0</v>
      </c>
      <c r="V890" s="41">
        <f>IF(AND(H890="Falta",L890=Config!$B$7,M890=Config!$B$5,COUNTIFS($E$5:E890,E890,$H$5:H890,"Falta",$L$5:L890,Config!$B$7,$M$5:M890,Config!$B$5)=1),COUNTIFS($E$5:$E$1204,E890,$H$5:$H$1204,"Falta",$L$5:$L$1204,Config!$B$7,$M$5:$M$1204,Config!$B$5)*1000-ROW()/100000,0)</f>
        <v>0</v>
      </c>
    </row>
    <row r="891">
      <c r="A891" s="39">
        <f>TODAY()+15</f>
        <v>46294.0</v>
      </c>
      <c r="B891" s="40" t="n">
        <v>0.7152777777777778</v>
      </c>
      <c r="C891" s="35" t="inlineStr">
        <is>
          <t>Dra. Renata Sousa</t>
        </is>
      </c>
      <c r="D891" s="35" t="inlineStr">
        <is>
          <t>Sala 1</t>
        </is>
      </c>
      <c r="E891" s="34" t="inlineStr">
        <is>
          <t>Beatriz Gomes</t>
        </is>
      </c>
      <c r="F891" s="35" t="inlineStr">
        <is>
          <t>Particular</t>
        </is>
      </c>
      <c r="G891" s="35" t="inlineStr">
        <is>
          <t>Avaliação endócrina</t>
        </is>
      </c>
      <c r="H891" s="35" t="inlineStr">
        <is>
          <t>Agendado</t>
        </is>
      </c>
      <c r="I891" s="35" t="n"/>
      <c r="J891" s="35" t="n"/>
      <c r="K891" s="34" t="n"/>
      <c r="L891" s="26">
        <f>IF(A891="","",MONTH(A891))</f>
        <v>9</v>
      </c>
      <c r="M891" s="26">
        <f>IF(A891="","",YEAR(A891))</f>
        <v>2026</v>
      </c>
      <c r="N891" s="26" t="str">
        <f>IF(A891="","",CHOOSE(WEEKDAY(A891,2),"Segunda","Terça","Quarta","Quinta","Sexta","Sábado","Domingo"))</f>
        <v>Terça</v>
      </c>
      <c r="O891" s="26" t="str">
        <f>IF(B891="","",IF(B891&lt;TIME(12,0,0),"Manhã",IF(B891&lt;TIME(18,0,0),"Tarde","Noite")))</f>
        <v>Tarde</v>
      </c>
      <c r="P891" s="32">
        <f>IF(G891="","",IFERROR(INDEX(Config!$I$5:$I$16,MATCH(G891,Config!$H$5:$H$16,0)),0))</f>
        <v>45</v>
      </c>
      <c r="Q891" s="30">
        <f>IF(OR(H891&lt;&gt;"Realizado",P891="",P891=0),"",A891+P891)</f>
        <v/>
      </c>
      <c r="R891" s="26">
        <f>IF(Q891="","",IF(COUNTIFS($E$5:$E$1204,E891,$A$5:$A$1204,"&gt;"&amp;A891,$H$5:$H$1204,"&lt;&gt;Falta",$H$5:$H$1204,"&lt;&gt;Cancelado",$H$5:$H$1204,"&lt;&gt;Remarcado")&gt;0,"Sim","Não"))</f>
        <v/>
      </c>
      <c r="S891" s="32">
        <f>IF(R891&lt;&gt;"Não","",IF(Q891+Config!$B$9&lt;=Config!$B$8,Config!$B$8-Q891,""))</f>
        <v/>
      </c>
      <c r="T891" s="26">
        <f>IF(S891="","","Sim")</f>
        <v/>
      </c>
      <c r="U891" s="41">
        <f>IF(T891="Sim",S891+ROW()/100000,0)</f>
        <v>0</v>
      </c>
      <c r="V891" s="41">
        <f>IF(AND(H891="Falta",L891=Config!$B$7,M891=Config!$B$5,COUNTIFS($E$5:E891,E891,$H$5:H891,"Falta",$L$5:L891,Config!$B$7,$M$5:M891,Config!$B$5)=1),COUNTIFS($E$5:$E$1204,E891,$H$5:$H$1204,"Falta",$L$5:$L$1204,Config!$B$7,$M$5:$M$1204,Config!$B$5)*1000-ROW()/100000,0)</f>
        <v>0</v>
      </c>
    </row>
    <row r="892">
      <c r="A892" s="39">
        <f>TODAY()+15</f>
        <v>46294.0</v>
      </c>
      <c r="B892" s="40" t="n">
        <v>0.7222222222222222</v>
      </c>
      <c r="C892" s="35" t="inlineStr">
        <is>
          <t>Dr. Paulo Andrade</t>
        </is>
      </c>
      <c r="D892" s="35" t="inlineStr">
        <is>
          <t>Sala 2</t>
        </is>
      </c>
      <c r="E892" s="34" t="inlineStr">
        <is>
          <t>Lucas Cardoso</t>
        </is>
      </c>
      <c r="F892" s="35" t="inlineStr">
        <is>
          <t>Particular</t>
        </is>
      </c>
      <c r="G892" s="35" t="inlineStr">
        <is>
          <t>Consulta</t>
        </is>
      </c>
      <c r="H892" s="35" t="inlineStr">
        <is>
          <t>Agendado</t>
        </is>
      </c>
      <c r="I892" s="35" t="n"/>
      <c r="J892" s="35" t="n"/>
      <c r="K892" s="34" t="n"/>
      <c r="L892" s="26">
        <f>IF(A892="","",MONTH(A892))</f>
        <v>9</v>
      </c>
      <c r="M892" s="26">
        <f>IF(A892="","",YEAR(A892))</f>
        <v>2026</v>
      </c>
      <c r="N892" s="26" t="str">
        <f>IF(A892="","",CHOOSE(WEEKDAY(A892,2),"Segunda","Terça","Quarta","Quinta","Sexta","Sábado","Domingo"))</f>
        <v>Terça</v>
      </c>
      <c r="O892" s="26" t="str">
        <f>IF(B892="","",IF(B892&lt;TIME(12,0,0),"Manhã",IF(B892&lt;TIME(18,0,0),"Tarde","Noite")))</f>
        <v>Tarde</v>
      </c>
      <c r="P892" s="32">
        <f>IF(G892="","",IFERROR(INDEX(Config!$I$5:$I$16,MATCH(G892,Config!$H$5:$H$16,0)),0))</f>
        <v>30</v>
      </c>
      <c r="Q892" s="30">
        <f>IF(OR(H892&lt;&gt;"Realizado",P892="",P892=0),"",A892+P892)</f>
        <v/>
      </c>
      <c r="R892" s="26">
        <f>IF(Q892="","",IF(COUNTIFS($E$5:$E$1204,E892,$A$5:$A$1204,"&gt;"&amp;A892,$H$5:$H$1204,"&lt;&gt;Falta",$H$5:$H$1204,"&lt;&gt;Cancelado",$H$5:$H$1204,"&lt;&gt;Remarcado")&gt;0,"Sim","Não"))</f>
        <v/>
      </c>
      <c r="S892" s="32">
        <f>IF(R892&lt;&gt;"Não","",IF(Q892+Config!$B$9&lt;=Config!$B$8,Config!$B$8-Q892,""))</f>
        <v/>
      </c>
      <c r="T892" s="26">
        <f>IF(S892="","","Sim")</f>
        <v/>
      </c>
      <c r="U892" s="41">
        <f>IF(T892="Sim",S892+ROW()/100000,0)</f>
        <v>0</v>
      </c>
      <c r="V892" s="41">
        <f>IF(AND(H892="Falta",L892=Config!$B$7,M892=Config!$B$5,COUNTIFS($E$5:E892,E892,$H$5:H892,"Falta",$L$5:L892,Config!$B$7,$M$5:M892,Config!$B$5)=1),COUNTIFS($E$5:$E$1204,E892,$H$5:$H$1204,"Falta",$L$5:$L$1204,Config!$B$7,$M$5:$M$1204,Config!$B$5)*1000-ROW()/100000,0)</f>
        <v>0</v>
      </c>
    </row>
    <row r="893">
      <c r="A893" s="39">
        <f>TODAY()+16</f>
        <v>46295.0</v>
      </c>
      <c r="B893" s="40" t="n">
        <v>0.5833333333333334</v>
      </c>
      <c r="C893" s="35" t="inlineStr">
        <is>
          <t>Dra. Carolina Mendes</t>
        </is>
      </c>
      <c r="D893" s="35" t="inlineStr">
        <is>
          <t>Sala 1</t>
        </is>
      </c>
      <c r="E893" s="34" t="inlineStr">
        <is>
          <t>Gisele Ribeiro</t>
        </is>
      </c>
      <c r="F893" s="35" t="inlineStr">
        <is>
          <t>Particular</t>
        </is>
      </c>
      <c r="G893" s="35" t="inlineStr">
        <is>
          <t>Consulta</t>
        </is>
      </c>
      <c r="H893" s="35" t="inlineStr">
        <is>
          <t>Agendado</t>
        </is>
      </c>
      <c r="I893" s="35" t="n"/>
      <c r="J893" s="35" t="n"/>
      <c r="K893" s="34" t="n"/>
      <c r="L893" s="26">
        <f>IF(A893="","",MONTH(A893))</f>
        <v>9</v>
      </c>
      <c r="M893" s="26">
        <f>IF(A893="","",YEAR(A893))</f>
        <v>2026</v>
      </c>
      <c r="N893" s="26" t="str">
        <f>IF(A893="","",CHOOSE(WEEKDAY(A893,2),"Segunda","Terça","Quarta","Quinta","Sexta","Sábado","Domingo"))</f>
        <v>Quarta</v>
      </c>
      <c r="O893" s="26" t="str">
        <f>IF(B893="","",IF(B893&lt;TIME(12,0,0),"Manhã",IF(B893&lt;TIME(18,0,0),"Tarde","Noite")))</f>
        <v>Tarde</v>
      </c>
      <c r="P893" s="32">
        <f>IF(G893="","",IFERROR(INDEX(Config!$I$5:$I$16,MATCH(G893,Config!$H$5:$H$16,0)),0))</f>
        <v>30</v>
      </c>
      <c r="Q893" s="30">
        <f>IF(OR(H893&lt;&gt;"Realizado",P893="",P893=0),"",A893+P893)</f>
        <v/>
      </c>
      <c r="R893" s="26">
        <f>IF(Q893="","",IF(COUNTIFS($E$5:$E$1204,E893,$A$5:$A$1204,"&gt;"&amp;A893,$H$5:$H$1204,"&lt;&gt;Falta",$H$5:$H$1204,"&lt;&gt;Cancelado",$H$5:$H$1204,"&lt;&gt;Remarcado")&gt;0,"Sim","Não"))</f>
        <v/>
      </c>
      <c r="S893" s="32">
        <f>IF(R893&lt;&gt;"Não","",IF(Q893+Config!$B$9&lt;=Config!$B$8,Config!$B$8-Q893,""))</f>
        <v/>
      </c>
      <c r="T893" s="26">
        <f>IF(S893="","","Sim")</f>
        <v/>
      </c>
      <c r="U893" s="41">
        <f>IF(T893="Sim",S893+ROW()/100000,0)</f>
        <v>0</v>
      </c>
      <c r="V893" s="41">
        <f>IF(AND(H893="Falta",L893=Config!$B$7,M893=Config!$B$5,COUNTIFS($E$5:E893,E893,$H$5:H893,"Falta",$L$5:L893,Config!$B$7,$M$5:M893,Config!$B$5)=1),COUNTIFS($E$5:$E$1204,E893,$H$5:$H$1204,"Falta",$L$5:$L$1204,Config!$B$7,$M$5:$M$1204,Config!$B$5)*1000-ROW()/100000,0)</f>
        <v>0</v>
      </c>
    </row>
    <row r="894">
      <c r="A894" s="39">
        <f>TODAY()+16</f>
        <v>46295.0</v>
      </c>
      <c r="B894" s="40" t="n">
        <v>0.6041666666666666</v>
      </c>
      <c r="C894" s="35" t="inlineStr">
        <is>
          <t>Dra. Carolina Mendes</t>
        </is>
      </c>
      <c r="D894" s="35" t="inlineStr">
        <is>
          <t>Sala 1</t>
        </is>
      </c>
      <c r="E894" s="34" t="inlineStr">
        <is>
          <t>Helena Moreira</t>
        </is>
      </c>
      <c r="F894" s="35" t="inlineStr">
        <is>
          <t>Particular</t>
        </is>
      </c>
      <c r="G894" s="35" t="inlineStr">
        <is>
          <t>Retorno</t>
        </is>
      </c>
      <c r="H894" s="35" t="inlineStr">
        <is>
          <t>Agendado</t>
        </is>
      </c>
      <c r="I894" s="35" t="n"/>
      <c r="J894" s="35" t="n"/>
      <c r="K894" s="34" t="n"/>
      <c r="L894" s="26">
        <f>IF(A894="","",MONTH(A894))</f>
        <v>9</v>
      </c>
      <c r="M894" s="26">
        <f>IF(A894="","",YEAR(A894))</f>
        <v>2026</v>
      </c>
      <c r="N894" s="26" t="str">
        <f>IF(A894="","",CHOOSE(WEEKDAY(A894,2),"Segunda","Terça","Quarta","Quinta","Sexta","Sábado","Domingo"))</f>
        <v>Quarta</v>
      </c>
      <c r="O894" s="26" t="str">
        <f>IF(B894="","",IF(B894&lt;TIME(12,0,0),"Manhã",IF(B894&lt;TIME(18,0,0),"Tarde","Noite")))</f>
        <v>Tarde</v>
      </c>
      <c r="P894" s="32">
        <f>IF(G894="","",IFERROR(INDEX(Config!$I$5:$I$16,MATCH(G894,Config!$H$5:$H$16,0)),0))</f>
        <v>0</v>
      </c>
      <c r="Q894" s="30">
        <f>IF(OR(H894&lt;&gt;"Realizado",P894="",P894=0),"",A894+P894)</f>
        <v/>
      </c>
      <c r="R894" s="26">
        <f>IF(Q894="","",IF(COUNTIFS($E$5:$E$1204,E894,$A$5:$A$1204,"&gt;"&amp;A894,$H$5:$H$1204,"&lt;&gt;Falta",$H$5:$H$1204,"&lt;&gt;Cancelado",$H$5:$H$1204,"&lt;&gt;Remarcado")&gt;0,"Sim","Não"))</f>
        <v/>
      </c>
      <c r="S894" s="32">
        <f>IF(R894&lt;&gt;"Não","",IF(Q894+Config!$B$9&lt;=Config!$B$8,Config!$B$8-Q894,""))</f>
        <v/>
      </c>
      <c r="T894" s="26">
        <f>IF(S894="","","Sim")</f>
        <v/>
      </c>
      <c r="U894" s="41">
        <f>IF(T894="Sim",S894+ROW()/100000,0)</f>
        <v>0</v>
      </c>
      <c r="V894" s="41">
        <f>IF(AND(H894="Falta",L894=Config!$B$7,M894=Config!$B$5,COUNTIFS($E$5:E894,E894,$H$5:H894,"Falta",$L$5:L894,Config!$B$7,$M$5:M894,Config!$B$5)=1),COUNTIFS($E$5:$E$1204,E894,$H$5:$H$1204,"Falta",$L$5:$L$1204,Config!$B$7,$M$5:$M$1204,Config!$B$5)*1000-ROW()/100000,0)</f>
        <v>0</v>
      </c>
    </row>
    <row r="895">
      <c r="A895" s="39">
        <f>TODAY()+16</f>
        <v>46295.0</v>
      </c>
      <c r="B895" s="40" t="n">
        <v>0.6180555555555556</v>
      </c>
      <c r="C895" s="35" t="inlineStr">
        <is>
          <t>Dra. Carolina Mendes</t>
        </is>
      </c>
      <c r="D895" s="35" t="inlineStr">
        <is>
          <t>Sala 1</t>
        </is>
      </c>
      <c r="E895" s="34" t="inlineStr">
        <is>
          <t>Regina Macedo</t>
        </is>
      </c>
      <c r="F895" s="35" t="inlineStr">
        <is>
          <t>Particular</t>
        </is>
      </c>
      <c r="G895" s="35" t="inlineStr">
        <is>
          <t>Retorno</t>
        </is>
      </c>
      <c r="H895" s="35" t="inlineStr">
        <is>
          <t>Agendado</t>
        </is>
      </c>
      <c r="I895" s="35" t="n"/>
      <c r="J895" s="35" t="n"/>
      <c r="K895" s="34" t="n"/>
      <c r="L895" s="26">
        <f>IF(A895="","",MONTH(A895))</f>
        <v>9</v>
      </c>
      <c r="M895" s="26">
        <f>IF(A895="","",YEAR(A895))</f>
        <v>2026</v>
      </c>
      <c r="N895" s="26" t="str">
        <f>IF(A895="","",CHOOSE(WEEKDAY(A895,2),"Segunda","Terça","Quarta","Quinta","Sexta","Sábado","Domingo"))</f>
        <v>Quarta</v>
      </c>
      <c r="O895" s="26" t="str">
        <f>IF(B895="","",IF(B895&lt;TIME(12,0,0),"Manhã",IF(B895&lt;TIME(18,0,0),"Tarde","Noite")))</f>
        <v>Tarde</v>
      </c>
      <c r="P895" s="32">
        <f>IF(G895="","",IFERROR(INDEX(Config!$I$5:$I$16,MATCH(G895,Config!$H$5:$H$16,0)),0))</f>
        <v>0</v>
      </c>
      <c r="Q895" s="30">
        <f>IF(OR(H895&lt;&gt;"Realizado",P895="",P895=0),"",A895+P895)</f>
        <v/>
      </c>
      <c r="R895" s="26">
        <f>IF(Q895="","",IF(COUNTIFS($E$5:$E$1204,E895,$A$5:$A$1204,"&gt;"&amp;A895,$H$5:$H$1204,"&lt;&gt;Falta",$H$5:$H$1204,"&lt;&gt;Cancelado",$H$5:$H$1204,"&lt;&gt;Remarcado")&gt;0,"Sim","Não"))</f>
        <v/>
      </c>
      <c r="S895" s="32">
        <f>IF(R895&lt;&gt;"Não","",IF(Q895+Config!$B$9&lt;=Config!$B$8,Config!$B$8-Q895,""))</f>
        <v/>
      </c>
      <c r="T895" s="26">
        <f>IF(S895="","","Sim")</f>
        <v/>
      </c>
      <c r="U895" s="41">
        <f>IF(T895="Sim",S895+ROW()/100000,0)</f>
        <v>0</v>
      </c>
      <c r="V895" s="41">
        <f>IF(AND(H895="Falta",L895=Config!$B$7,M895=Config!$B$5,COUNTIFS($E$5:E895,E895,$H$5:H895,"Falta",$L$5:L895,Config!$B$7,$M$5:M895,Config!$B$5)=1),COUNTIFS($E$5:$E$1204,E895,$H$5:$H$1204,"Falta",$L$5:$L$1204,Config!$B$7,$M$5:$M$1204,Config!$B$5)*1000-ROW()/100000,0)</f>
        <v>0</v>
      </c>
    </row>
    <row r="896">
      <c r="A896" s="39">
        <f>TODAY()+16</f>
        <v>46295.0</v>
      </c>
      <c r="B896" s="40" t="n">
        <v>0.6319444444444444</v>
      </c>
      <c r="C896" s="35" t="inlineStr">
        <is>
          <t>Dra. Carolina Mendes</t>
        </is>
      </c>
      <c r="D896" s="35" t="inlineStr">
        <is>
          <t>Sala 1</t>
        </is>
      </c>
      <c r="E896" s="34" t="inlineStr">
        <is>
          <t>Camila Batista</t>
        </is>
      </c>
      <c r="F896" s="35" t="inlineStr">
        <is>
          <t>MediPlan</t>
        </is>
      </c>
      <c r="G896" s="35" t="inlineStr">
        <is>
          <t>Consulta</t>
        </is>
      </c>
      <c r="H896" s="35" t="inlineStr">
        <is>
          <t>Agendado</t>
        </is>
      </c>
      <c r="I896" s="35" t="n"/>
      <c r="J896" s="35" t="n"/>
      <c r="K896" s="34" t="n"/>
      <c r="L896" s="26">
        <f>IF(A896="","",MONTH(A896))</f>
        <v>9</v>
      </c>
      <c r="M896" s="26">
        <f>IF(A896="","",YEAR(A896))</f>
        <v>2026</v>
      </c>
      <c r="N896" s="26" t="str">
        <f>IF(A896="","",CHOOSE(WEEKDAY(A896,2),"Segunda","Terça","Quarta","Quinta","Sexta","Sábado","Domingo"))</f>
        <v>Quarta</v>
      </c>
      <c r="O896" s="26" t="str">
        <f>IF(B896="","",IF(B896&lt;TIME(12,0,0),"Manhã",IF(B896&lt;TIME(18,0,0),"Tarde","Noite")))</f>
        <v>Tarde</v>
      </c>
      <c r="P896" s="32">
        <f>IF(G896="","",IFERROR(INDEX(Config!$I$5:$I$16,MATCH(G896,Config!$H$5:$H$16,0)),0))</f>
        <v>30</v>
      </c>
      <c r="Q896" s="30">
        <f>IF(OR(H896&lt;&gt;"Realizado",P896="",P896=0),"",A896+P896)</f>
        <v/>
      </c>
      <c r="R896" s="26">
        <f>IF(Q896="","",IF(COUNTIFS($E$5:$E$1204,E896,$A$5:$A$1204,"&gt;"&amp;A896,$H$5:$H$1204,"&lt;&gt;Falta",$H$5:$H$1204,"&lt;&gt;Cancelado",$H$5:$H$1204,"&lt;&gt;Remarcado")&gt;0,"Sim","Não"))</f>
        <v/>
      </c>
      <c r="S896" s="32">
        <f>IF(R896&lt;&gt;"Não","",IF(Q896+Config!$B$9&lt;=Config!$B$8,Config!$B$8-Q896,""))</f>
        <v/>
      </c>
      <c r="T896" s="26">
        <f>IF(S896="","","Sim")</f>
        <v/>
      </c>
      <c r="U896" s="41">
        <f>IF(T896="Sim",S896+ROW()/100000,0)</f>
        <v>0</v>
      </c>
      <c r="V896" s="41">
        <f>IF(AND(H896="Falta",L896=Config!$B$7,M896=Config!$B$5,COUNTIFS($E$5:E896,E896,$H$5:H896,"Falta",$L$5:L896,Config!$B$7,$M$5:M896,Config!$B$5)=1),COUNTIFS($E$5:$E$1204,E896,$H$5:$H$1204,"Falta",$L$5:$L$1204,Config!$B$7,$M$5:$M$1204,Config!$B$5)*1000-ROW()/100000,0)</f>
        <v>0</v>
      </c>
    </row>
    <row r="897">
      <c r="A897" s="39">
        <f>TODAY()+16</f>
        <v>46295.0</v>
      </c>
      <c r="B897" s="40" t="n">
        <v>0.6527777777777778</v>
      </c>
      <c r="C897" s="35" t="inlineStr">
        <is>
          <t>Dra. Carolina Mendes</t>
        </is>
      </c>
      <c r="D897" s="35" t="inlineStr">
        <is>
          <t>Sala 1</t>
        </is>
      </c>
      <c r="E897" s="34" t="inlineStr">
        <is>
          <t>Wagner Lima</t>
        </is>
      </c>
      <c r="F897" s="35" t="inlineStr">
        <is>
          <t>Particular</t>
        </is>
      </c>
      <c r="G897" s="35" t="inlineStr">
        <is>
          <t>Consulta</t>
        </is>
      </c>
      <c r="H897" s="35" t="inlineStr">
        <is>
          <t>Agendado</t>
        </is>
      </c>
      <c r="I897" s="35" t="n"/>
      <c r="J897" s="35" t="n"/>
      <c r="K897" s="34" t="n"/>
      <c r="L897" s="26">
        <f>IF(A897="","",MONTH(A897))</f>
        <v>9</v>
      </c>
      <c r="M897" s="26">
        <f>IF(A897="","",YEAR(A897))</f>
        <v>2026</v>
      </c>
      <c r="N897" s="26" t="str">
        <f>IF(A897="","",CHOOSE(WEEKDAY(A897,2),"Segunda","Terça","Quarta","Quinta","Sexta","Sábado","Domingo"))</f>
        <v>Quarta</v>
      </c>
      <c r="O897" s="26" t="str">
        <f>IF(B897="","",IF(B897&lt;TIME(12,0,0),"Manhã",IF(B897&lt;TIME(18,0,0),"Tarde","Noite")))</f>
        <v>Tarde</v>
      </c>
      <c r="P897" s="32">
        <f>IF(G897="","",IFERROR(INDEX(Config!$I$5:$I$16,MATCH(G897,Config!$H$5:$H$16,0)),0))</f>
        <v>30</v>
      </c>
      <c r="Q897" s="30">
        <f>IF(OR(H897&lt;&gt;"Realizado",P897="",P897=0),"",A897+P897)</f>
        <v/>
      </c>
      <c r="R897" s="26">
        <f>IF(Q897="","",IF(COUNTIFS($E$5:$E$1204,E897,$A$5:$A$1204,"&gt;"&amp;A897,$H$5:$H$1204,"&lt;&gt;Falta",$H$5:$H$1204,"&lt;&gt;Cancelado",$H$5:$H$1204,"&lt;&gt;Remarcado")&gt;0,"Sim","Não"))</f>
        <v/>
      </c>
      <c r="S897" s="32">
        <f>IF(R897&lt;&gt;"Não","",IF(Q897+Config!$B$9&lt;=Config!$B$8,Config!$B$8-Q897,""))</f>
        <v/>
      </c>
      <c r="T897" s="26">
        <f>IF(S897="","","Sim")</f>
        <v/>
      </c>
      <c r="U897" s="41">
        <f>IF(T897="Sim",S897+ROW()/100000,0)</f>
        <v>0</v>
      </c>
      <c r="V897" s="41">
        <f>IF(AND(H897="Falta",L897=Config!$B$7,M897=Config!$B$5,COUNTIFS($E$5:E897,E897,$H$5:H897,"Falta",$L$5:L897,Config!$B$7,$M$5:M897,Config!$B$5)=1),COUNTIFS($E$5:$E$1204,E897,$H$5:$H$1204,"Falta",$L$5:$L$1204,Config!$B$7,$M$5:$M$1204,Config!$B$5)*1000-ROW()/100000,0)</f>
        <v>0</v>
      </c>
    </row>
    <row r="898">
      <c r="A898" s="39">
        <f>TODAY()+16</f>
        <v>46295.0</v>
      </c>
      <c r="B898" s="40" t="n">
        <v>0.6736111111111112</v>
      </c>
      <c r="C898" s="35" t="inlineStr">
        <is>
          <t>Dra. Carolina Mendes</t>
        </is>
      </c>
      <c r="D898" s="35" t="inlineStr">
        <is>
          <t>Sala 1</t>
        </is>
      </c>
      <c r="E898" s="34" t="inlineStr">
        <is>
          <t>Sandra Barros</t>
        </is>
      </c>
      <c r="F898" s="35" t="inlineStr">
        <is>
          <t>Saúde Total</t>
        </is>
      </c>
      <c r="G898" s="35" t="inlineStr">
        <is>
          <t>Consulta</t>
        </is>
      </c>
      <c r="H898" s="35" t="inlineStr">
        <is>
          <t>Agendado</t>
        </is>
      </c>
      <c r="I898" s="35" t="n"/>
      <c r="J898" s="35" t="n"/>
      <c r="K898" s="34" t="n"/>
      <c r="L898" s="26">
        <f>IF(A898="","",MONTH(A898))</f>
        <v>9</v>
      </c>
      <c r="M898" s="26">
        <f>IF(A898="","",YEAR(A898))</f>
        <v>2026</v>
      </c>
      <c r="N898" s="26" t="str">
        <f>IF(A898="","",CHOOSE(WEEKDAY(A898,2),"Segunda","Terça","Quarta","Quinta","Sexta","Sábado","Domingo"))</f>
        <v>Quarta</v>
      </c>
      <c r="O898" s="26" t="str">
        <f>IF(B898="","",IF(B898&lt;TIME(12,0,0),"Manhã",IF(B898&lt;TIME(18,0,0),"Tarde","Noite")))</f>
        <v>Tarde</v>
      </c>
      <c r="P898" s="32">
        <f>IF(G898="","",IFERROR(INDEX(Config!$I$5:$I$16,MATCH(G898,Config!$H$5:$H$16,0)),0))</f>
        <v>30</v>
      </c>
      <c r="Q898" s="30">
        <f>IF(OR(H898&lt;&gt;"Realizado",P898="",P898=0),"",A898+P898)</f>
        <v/>
      </c>
      <c r="R898" s="26">
        <f>IF(Q898="","",IF(COUNTIFS($E$5:$E$1204,E898,$A$5:$A$1204,"&gt;"&amp;A898,$H$5:$H$1204,"&lt;&gt;Falta",$H$5:$H$1204,"&lt;&gt;Cancelado",$H$5:$H$1204,"&lt;&gt;Remarcado")&gt;0,"Sim","Não"))</f>
        <v/>
      </c>
      <c r="S898" s="32">
        <f>IF(R898&lt;&gt;"Não","",IF(Q898+Config!$B$9&lt;=Config!$B$8,Config!$B$8-Q898,""))</f>
        <v/>
      </c>
      <c r="T898" s="26">
        <f>IF(S898="","","Sim")</f>
        <v/>
      </c>
      <c r="U898" s="41">
        <f>IF(T898="Sim",S898+ROW()/100000,0)</f>
        <v>0</v>
      </c>
      <c r="V898" s="41">
        <f>IF(AND(H898="Falta",L898=Config!$B$7,M898=Config!$B$5,COUNTIFS($E$5:E898,E898,$H$5:H898,"Falta",$L$5:L898,Config!$B$7,$M$5:M898,Config!$B$5)=1),COUNTIFS($E$5:$E$1204,E898,$H$5:$H$1204,"Falta",$L$5:$L$1204,Config!$B$7,$M$5:$M$1204,Config!$B$5)*1000-ROW()/100000,0)</f>
        <v>0</v>
      </c>
    </row>
    <row r="899">
      <c r="A899" s="39">
        <f>TODAY()+16</f>
        <v>46295.0</v>
      </c>
      <c r="B899" s="40" t="n">
        <v>0.6944444444444444</v>
      </c>
      <c r="C899" s="35" t="inlineStr">
        <is>
          <t>Dra. Carolina Mendes</t>
        </is>
      </c>
      <c r="D899" s="35" t="inlineStr">
        <is>
          <t>Sala 1</t>
        </is>
      </c>
      <c r="E899" s="34" t="inlineStr">
        <is>
          <t>Cláudia Santos</t>
        </is>
      </c>
      <c r="F899" s="35" t="inlineStr">
        <is>
          <t>Particular</t>
        </is>
      </c>
      <c r="G899" s="35" t="inlineStr">
        <is>
          <t>Consulta</t>
        </is>
      </c>
      <c r="H899" s="35" t="inlineStr">
        <is>
          <t>Agendado</t>
        </is>
      </c>
      <c r="I899" s="35" t="n"/>
      <c r="J899" s="35" t="n"/>
      <c r="K899" s="34" t="n"/>
      <c r="L899" s="26">
        <f>IF(A899="","",MONTH(A899))</f>
        <v>9</v>
      </c>
      <c r="M899" s="26">
        <f>IF(A899="","",YEAR(A899))</f>
        <v>2026</v>
      </c>
      <c r="N899" s="26" t="str">
        <f>IF(A899="","",CHOOSE(WEEKDAY(A899,2),"Segunda","Terça","Quarta","Quinta","Sexta","Sábado","Domingo"))</f>
        <v>Quarta</v>
      </c>
      <c r="O899" s="26" t="str">
        <f>IF(B899="","",IF(B899&lt;TIME(12,0,0),"Manhã",IF(B899&lt;TIME(18,0,0),"Tarde","Noite")))</f>
        <v>Tarde</v>
      </c>
      <c r="P899" s="32">
        <f>IF(G899="","",IFERROR(INDEX(Config!$I$5:$I$16,MATCH(G899,Config!$H$5:$H$16,0)),0))</f>
        <v>30</v>
      </c>
      <c r="Q899" s="30">
        <f>IF(OR(H899&lt;&gt;"Realizado",P899="",P899=0),"",A899+P899)</f>
        <v/>
      </c>
      <c r="R899" s="26">
        <f>IF(Q899="","",IF(COUNTIFS($E$5:$E$1204,E899,$A$5:$A$1204,"&gt;"&amp;A899,$H$5:$H$1204,"&lt;&gt;Falta",$H$5:$H$1204,"&lt;&gt;Cancelado",$H$5:$H$1204,"&lt;&gt;Remarcado")&gt;0,"Sim","Não"))</f>
        <v/>
      </c>
      <c r="S899" s="32">
        <f>IF(R899&lt;&gt;"Não","",IF(Q899+Config!$B$9&lt;=Config!$B$8,Config!$B$8-Q899,""))</f>
        <v/>
      </c>
      <c r="T899" s="26">
        <f>IF(S899="","","Sim")</f>
        <v/>
      </c>
      <c r="U899" s="41">
        <f>IF(T899="Sim",S899+ROW()/100000,0)</f>
        <v>0</v>
      </c>
      <c r="V899" s="41">
        <f>IF(AND(H899="Falta",L899=Config!$B$7,M899=Config!$B$5,COUNTIFS($E$5:E899,E899,$H$5:H899,"Falta",$L$5:L899,Config!$B$7,$M$5:M899,Config!$B$5)=1),COUNTIFS($E$5:$E$1204,E899,$H$5:$H$1204,"Falta",$L$5:$L$1204,Config!$B$7,$M$5:$M$1204,Config!$B$5)*1000-ROW()/100000,0)</f>
        <v>0</v>
      </c>
    </row>
    <row r="900">
      <c r="A900" s="39">
        <f>TODAY()+16</f>
        <v>46295.0</v>
      </c>
      <c r="B900" s="40" t="n">
        <v>0.7152777777777778</v>
      </c>
      <c r="C900" s="35" t="inlineStr">
        <is>
          <t>Dra. Carolina Mendes</t>
        </is>
      </c>
      <c r="D900" s="35" t="inlineStr">
        <is>
          <t>Sala 1</t>
        </is>
      </c>
      <c r="E900" s="34" t="inlineStr">
        <is>
          <t>Mônica Teixeira</t>
        </is>
      </c>
      <c r="F900" s="35" t="inlineStr">
        <is>
          <t>Vida Care</t>
        </is>
      </c>
      <c r="G900" s="35" t="inlineStr">
        <is>
          <t>Consulta</t>
        </is>
      </c>
      <c r="H900" s="35" t="inlineStr">
        <is>
          <t>Agendado</t>
        </is>
      </c>
      <c r="I900" s="35" t="n"/>
      <c r="J900" s="35" t="n"/>
      <c r="K900" s="34" t="n"/>
      <c r="L900" s="26">
        <f>IF(A900="","",MONTH(A900))</f>
        <v>9</v>
      </c>
      <c r="M900" s="26">
        <f>IF(A900="","",YEAR(A900))</f>
        <v>2026</v>
      </c>
      <c r="N900" s="26" t="str">
        <f>IF(A900="","",CHOOSE(WEEKDAY(A900,2),"Segunda","Terça","Quarta","Quinta","Sexta","Sábado","Domingo"))</f>
        <v>Quarta</v>
      </c>
      <c r="O900" s="26" t="str">
        <f>IF(B900="","",IF(B900&lt;TIME(12,0,0),"Manhã",IF(B900&lt;TIME(18,0,0),"Tarde","Noite")))</f>
        <v>Tarde</v>
      </c>
      <c r="P900" s="32">
        <f>IF(G900="","",IFERROR(INDEX(Config!$I$5:$I$16,MATCH(G900,Config!$H$5:$H$16,0)),0))</f>
        <v>30</v>
      </c>
      <c r="Q900" s="30">
        <f>IF(OR(H900&lt;&gt;"Realizado",P900="",P900=0),"",A900+P900)</f>
        <v/>
      </c>
      <c r="R900" s="26">
        <f>IF(Q900="","",IF(COUNTIFS($E$5:$E$1204,E900,$A$5:$A$1204,"&gt;"&amp;A900,$H$5:$H$1204,"&lt;&gt;Falta",$H$5:$H$1204,"&lt;&gt;Cancelado",$H$5:$H$1204,"&lt;&gt;Remarcado")&gt;0,"Sim","Não"))</f>
        <v/>
      </c>
      <c r="S900" s="32">
        <f>IF(R900&lt;&gt;"Não","",IF(Q900+Config!$B$9&lt;=Config!$B$8,Config!$B$8-Q900,""))</f>
        <v/>
      </c>
      <c r="T900" s="26">
        <f>IF(S900="","","Sim")</f>
        <v/>
      </c>
      <c r="U900" s="41">
        <f>IF(T900="Sim",S900+ROW()/100000,0)</f>
        <v>0</v>
      </c>
      <c r="V900" s="41">
        <f>IF(AND(H900="Falta",L900=Config!$B$7,M900=Config!$B$5,COUNTIFS($E$5:E900,E900,$H$5:H900,"Falta",$L$5:L900,Config!$B$7,$M$5:M900,Config!$B$5)=1),COUNTIFS($E$5:$E$1204,E900,$H$5:$H$1204,"Falta",$L$5:$L$1204,Config!$B$7,$M$5:$M$1204,Config!$B$5)*1000-ROW()/100000,0)</f>
        <v>0</v>
      </c>
    </row>
    <row r="901">
      <c r="A901" s="39">
        <f>TODAY()+16</f>
        <v>46295.0</v>
      </c>
      <c r="B901" s="40" t="n">
        <v>0.7361111111111112</v>
      </c>
      <c r="C901" s="35" t="inlineStr">
        <is>
          <t>Dra. Carolina Mendes</t>
        </is>
      </c>
      <c r="D901" s="35" t="inlineStr">
        <is>
          <t>Sala 1</t>
        </is>
      </c>
      <c r="E901" s="34" t="inlineStr">
        <is>
          <t>Gustavo Barbosa</t>
        </is>
      </c>
      <c r="F901" s="35" t="inlineStr">
        <is>
          <t>Saúde Total</t>
        </is>
      </c>
      <c r="G901" s="35" t="inlineStr">
        <is>
          <t>Consulta</t>
        </is>
      </c>
      <c r="H901" s="35" t="inlineStr">
        <is>
          <t>Agendado</t>
        </is>
      </c>
      <c r="I901" s="35" t="n"/>
      <c r="J901" s="35" t="n"/>
      <c r="K901" s="34" t="n"/>
      <c r="L901" s="26">
        <f>IF(A901="","",MONTH(A901))</f>
        <v>9</v>
      </c>
      <c r="M901" s="26">
        <f>IF(A901="","",YEAR(A901))</f>
        <v>2026</v>
      </c>
      <c r="N901" s="26" t="str">
        <f>IF(A901="","",CHOOSE(WEEKDAY(A901,2),"Segunda","Terça","Quarta","Quinta","Sexta","Sábado","Domingo"))</f>
        <v>Quarta</v>
      </c>
      <c r="O901" s="26" t="str">
        <f>IF(B901="","",IF(B901&lt;TIME(12,0,0),"Manhã",IF(B901&lt;TIME(18,0,0),"Tarde","Noite")))</f>
        <v>Tarde</v>
      </c>
      <c r="P901" s="32">
        <f>IF(G901="","",IFERROR(INDEX(Config!$I$5:$I$16,MATCH(G901,Config!$H$5:$H$16,0)),0))</f>
        <v>30</v>
      </c>
      <c r="Q901" s="30">
        <f>IF(OR(H901&lt;&gt;"Realizado",P901="",P901=0),"",A901+P901)</f>
        <v/>
      </c>
      <c r="R901" s="26">
        <f>IF(Q901="","",IF(COUNTIFS($E$5:$E$1204,E901,$A$5:$A$1204,"&gt;"&amp;A901,$H$5:$H$1204,"&lt;&gt;Falta",$H$5:$H$1204,"&lt;&gt;Cancelado",$H$5:$H$1204,"&lt;&gt;Remarcado")&gt;0,"Sim","Não"))</f>
        <v/>
      </c>
      <c r="S901" s="32">
        <f>IF(R901&lt;&gt;"Não","",IF(Q901+Config!$B$9&lt;=Config!$B$8,Config!$B$8-Q901,""))</f>
        <v/>
      </c>
      <c r="T901" s="26">
        <f>IF(S901="","","Sim")</f>
        <v/>
      </c>
      <c r="U901" s="41">
        <f>IF(T901="Sim",S901+ROW()/100000,0)</f>
        <v>0</v>
      </c>
      <c r="V901" s="41">
        <f>IF(AND(H901="Falta",L901=Config!$B$7,M901=Config!$B$5,COUNTIFS($E$5:E901,E901,$H$5:H901,"Falta",$L$5:L901,Config!$B$7,$M$5:M901,Config!$B$5)=1),COUNTIFS($E$5:$E$1204,E901,$H$5:$H$1204,"Falta",$L$5:$L$1204,Config!$B$7,$M$5:$M$1204,Config!$B$5)*1000-ROW()/100000,0)</f>
        <v>0</v>
      </c>
    </row>
    <row r="902">
      <c r="A902" s="39">
        <f>TODAY()+17</f>
        <v>46296.0</v>
      </c>
      <c r="B902" s="40" t="n">
        <v>0.3333333333333333</v>
      </c>
      <c r="C902" s="35" t="inlineStr">
        <is>
          <t>Dra. Carolina Mendes</t>
        </is>
      </c>
      <c r="D902" s="35" t="inlineStr">
        <is>
          <t>Sala 1</t>
        </is>
      </c>
      <c r="E902" s="34" t="inlineStr">
        <is>
          <t>Marcelo Santos</t>
        </is>
      </c>
      <c r="F902" s="35" t="inlineStr">
        <is>
          <t>Particular</t>
        </is>
      </c>
      <c r="G902" s="35" t="inlineStr">
        <is>
          <t>Consulta</t>
        </is>
      </c>
      <c r="H902" s="35" t="inlineStr">
        <is>
          <t>Agendado</t>
        </is>
      </c>
      <c r="I902" s="35" t="n"/>
      <c r="J902" s="35" t="n"/>
      <c r="K902" s="34" t="n"/>
      <c r="L902" s="26">
        <f>IF(A902="","",MONTH(A902))</f>
        <v>10</v>
      </c>
      <c r="M902" s="26">
        <f>IF(A902="","",YEAR(A902))</f>
        <v>2026</v>
      </c>
      <c r="N902" s="26" t="str">
        <f>IF(A902="","",CHOOSE(WEEKDAY(A902,2),"Segunda","Terça","Quarta","Quinta","Sexta","Sábado","Domingo"))</f>
        <v>Quinta</v>
      </c>
      <c r="O902" s="26" t="str">
        <f>IF(B902="","",IF(B902&lt;TIME(12,0,0),"Manhã",IF(B902&lt;TIME(18,0,0),"Tarde","Noite")))</f>
        <v>Manhã</v>
      </c>
      <c r="P902" s="32">
        <f>IF(G902="","",IFERROR(INDEX(Config!$I$5:$I$16,MATCH(G902,Config!$H$5:$H$16,0)),0))</f>
        <v>30</v>
      </c>
      <c r="Q902" s="30">
        <f>IF(OR(H902&lt;&gt;"Realizado",P902="",P902=0),"",A902+P902)</f>
        <v/>
      </c>
      <c r="R902" s="26">
        <f>IF(Q902="","",IF(COUNTIFS($E$5:$E$1204,E902,$A$5:$A$1204,"&gt;"&amp;A902,$H$5:$H$1204,"&lt;&gt;Falta",$H$5:$H$1204,"&lt;&gt;Cancelado",$H$5:$H$1204,"&lt;&gt;Remarcado")&gt;0,"Sim","Não"))</f>
        <v/>
      </c>
      <c r="S902" s="32">
        <f>IF(R902&lt;&gt;"Não","",IF(Q902+Config!$B$9&lt;=Config!$B$8,Config!$B$8-Q902,""))</f>
        <v/>
      </c>
      <c r="T902" s="26">
        <f>IF(S902="","","Sim")</f>
        <v/>
      </c>
      <c r="U902" s="41">
        <f>IF(T902="Sim",S902+ROW()/100000,0)</f>
        <v>0</v>
      </c>
      <c r="V902" s="41">
        <f>IF(AND(H902="Falta",L902=Config!$B$7,M902=Config!$B$5,COUNTIFS($E$5:E902,E902,$H$5:H902,"Falta",$L$5:L902,Config!$B$7,$M$5:M902,Config!$B$5)=1),COUNTIFS($E$5:$E$1204,E902,$H$5:$H$1204,"Falta",$L$5:$L$1204,Config!$B$7,$M$5:$M$1204,Config!$B$5)*1000-ROW()/100000,0)</f>
        <v>0</v>
      </c>
    </row>
    <row r="903">
      <c r="A903" s="39">
        <f>TODAY()+17</f>
        <v>46296.0</v>
      </c>
      <c r="B903" s="40" t="n">
        <v>0.375</v>
      </c>
      <c r="C903" s="35" t="inlineStr">
        <is>
          <t>Dra. Carolina Mendes</t>
        </is>
      </c>
      <c r="D903" s="35" t="inlineStr">
        <is>
          <t>Sala 1</t>
        </is>
      </c>
      <c r="E903" s="34" t="inlineStr">
        <is>
          <t>Sérgio Martins</t>
        </is>
      </c>
      <c r="F903" s="35" t="inlineStr">
        <is>
          <t>Particular</t>
        </is>
      </c>
      <c r="G903" s="35" t="inlineStr">
        <is>
          <t>Consulta</t>
        </is>
      </c>
      <c r="H903" s="35" t="inlineStr">
        <is>
          <t>Agendado</t>
        </is>
      </c>
      <c r="I903" s="35" t="n"/>
      <c r="J903" s="35" t="n"/>
      <c r="K903" s="34" t="n"/>
      <c r="L903" s="26">
        <f>IF(A903="","",MONTH(A903))</f>
        <v>10</v>
      </c>
      <c r="M903" s="26">
        <f>IF(A903="","",YEAR(A903))</f>
        <v>2026</v>
      </c>
      <c r="N903" s="26" t="str">
        <f>IF(A903="","",CHOOSE(WEEKDAY(A903,2),"Segunda","Terça","Quarta","Quinta","Sexta","Sábado","Domingo"))</f>
        <v>Quinta</v>
      </c>
      <c r="O903" s="26" t="str">
        <f>IF(B903="","",IF(B903&lt;TIME(12,0,0),"Manhã",IF(B903&lt;TIME(18,0,0),"Tarde","Noite")))</f>
        <v>Manhã</v>
      </c>
      <c r="P903" s="32">
        <f>IF(G903="","",IFERROR(INDEX(Config!$I$5:$I$16,MATCH(G903,Config!$H$5:$H$16,0)),0))</f>
        <v>30</v>
      </c>
      <c r="Q903" s="30">
        <f>IF(OR(H903&lt;&gt;"Realizado",P903="",P903=0),"",A903+P903)</f>
        <v/>
      </c>
      <c r="R903" s="26">
        <f>IF(Q903="","",IF(COUNTIFS($E$5:$E$1204,E903,$A$5:$A$1204,"&gt;"&amp;A903,$H$5:$H$1204,"&lt;&gt;Falta",$H$5:$H$1204,"&lt;&gt;Cancelado",$H$5:$H$1204,"&lt;&gt;Remarcado")&gt;0,"Sim","Não"))</f>
        <v/>
      </c>
      <c r="S903" s="32">
        <f>IF(R903&lt;&gt;"Não","",IF(Q903+Config!$B$9&lt;=Config!$B$8,Config!$B$8-Q903,""))</f>
        <v/>
      </c>
      <c r="T903" s="26">
        <f>IF(S903="","","Sim")</f>
        <v/>
      </c>
      <c r="U903" s="41">
        <f>IF(T903="Sim",S903+ROW()/100000,0)</f>
        <v>0</v>
      </c>
      <c r="V903" s="41">
        <f>IF(AND(H903="Falta",L903=Config!$B$7,M903=Config!$B$5,COUNTIFS($E$5:E903,E903,$H$5:H903,"Falta",$L$5:L903,Config!$B$7,$M$5:M903,Config!$B$5)=1),COUNTIFS($E$5:$E$1204,E903,$H$5:$H$1204,"Falta",$L$5:$L$1204,Config!$B$7,$M$5:$M$1204,Config!$B$5)*1000-ROW()/100000,0)</f>
        <v>0</v>
      </c>
    </row>
    <row r="904">
      <c r="A904" s="39">
        <f>TODAY()+17</f>
        <v>46296.0</v>
      </c>
      <c r="B904" s="40" t="n">
        <v>0.3958333333333333</v>
      </c>
      <c r="C904" s="35" t="inlineStr">
        <is>
          <t>Dra. Carolina Mendes</t>
        </is>
      </c>
      <c r="D904" s="35" t="inlineStr">
        <is>
          <t>Sala 1</t>
        </is>
      </c>
      <c r="E904" s="34" t="inlineStr">
        <is>
          <t>Isabela Nascimento</t>
        </is>
      </c>
      <c r="F904" s="35" t="inlineStr">
        <is>
          <t>Vida Care</t>
        </is>
      </c>
      <c r="G904" s="35" t="inlineStr">
        <is>
          <t>Consulta</t>
        </is>
      </c>
      <c r="H904" s="35" t="inlineStr">
        <is>
          <t>Agendado</t>
        </is>
      </c>
      <c r="I904" s="35" t="n"/>
      <c r="J904" s="35" t="n"/>
      <c r="K904" s="34" t="n"/>
      <c r="L904" s="26">
        <f>IF(A904="","",MONTH(A904))</f>
        <v>10</v>
      </c>
      <c r="M904" s="26">
        <f>IF(A904="","",YEAR(A904))</f>
        <v>2026</v>
      </c>
      <c r="N904" s="26" t="str">
        <f>IF(A904="","",CHOOSE(WEEKDAY(A904,2),"Segunda","Terça","Quarta","Quinta","Sexta","Sábado","Domingo"))</f>
        <v>Quinta</v>
      </c>
      <c r="O904" s="26" t="str">
        <f>IF(B904="","",IF(B904&lt;TIME(12,0,0),"Manhã",IF(B904&lt;TIME(18,0,0),"Tarde","Noite")))</f>
        <v>Manhã</v>
      </c>
      <c r="P904" s="32">
        <f>IF(G904="","",IFERROR(INDEX(Config!$I$5:$I$16,MATCH(G904,Config!$H$5:$H$16,0)),0))</f>
        <v>30</v>
      </c>
      <c r="Q904" s="30">
        <f>IF(OR(H904&lt;&gt;"Realizado",P904="",P904=0),"",A904+P904)</f>
        <v/>
      </c>
      <c r="R904" s="26">
        <f>IF(Q904="","",IF(COUNTIFS($E$5:$E$1204,E904,$A$5:$A$1204,"&gt;"&amp;A904,$H$5:$H$1204,"&lt;&gt;Falta",$H$5:$H$1204,"&lt;&gt;Cancelado",$H$5:$H$1204,"&lt;&gt;Remarcado")&gt;0,"Sim","Não"))</f>
        <v/>
      </c>
      <c r="S904" s="32">
        <f>IF(R904&lt;&gt;"Não","",IF(Q904+Config!$B$9&lt;=Config!$B$8,Config!$B$8-Q904,""))</f>
        <v/>
      </c>
      <c r="T904" s="26">
        <f>IF(S904="","","Sim")</f>
        <v/>
      </c>
      <c r="U904" s="41">
        <f>IF(T904="Sim",S904+ROW()/100000,0)</f>
        <v>0</v>
      </c>
      <c r="V904" s="41">
        <f>IF(AND(H904="Falta",L904=Config!$B$7,M904=Config!$B$5,COUNTIFS($E$5:E904,E904,$H$5:H904,"Falta",$L$5:L904,Config!$B$7,$M$5:M904,Config!$B$5)=1),COUNTIFS($E$5:$E$1204,E904,$H$5:$H$1204,"Falta",$L$5:$L$1204,Config!$B$7,$M$5:$M$1204,Config!$B$5)*1000-ROW()/100000,0)</f>
        <v>0</v>
      </c>
    </row>
    <row r="905">
      <c r="A905" s="39">
        <f>TODAY()+17</f>
        <v>46296.0</v>
      </c>
      <c r="B905" s="40" t="n">
        <v>0.4166666666666667</v>
      </c>
      <c r="C905" s="35" t="inlineStr">
        <is>
          <t>Dra. Carolina Mendes</t>
        </is>
      </c>
      <c r="D905" s="35" t="inlineStr">
        <is>
          <t>Sala 1</t>
        </is>
      </c>
      <c r="E905" s="34" t="inlineStr">
        <is>
          <t>Eduardo Nunes</t>
        </is>
      </c>
      <c r="F905" s="35" t="inlineStr">
        <is>
          <t>MediPlan</t>
        </is>
      </c>
      <c r="G905" s="35" t="inlineStr">
        <is>
          <t>Consulta</t>
        </is>
      </c>
      <c r="H905" s="35" t="inlineStr">
        <is>
          <t>Agendado</t>
        </is>
      </c>
      <c r="I905" s="35" t="n"/>
      <c r="J905" s="35" t="n"/>
      <c r="K905" s="34" t="n"/>
      <c r="L905" s="26">
        <f>IF(A905="","",MONTH(A905))</f>
        <v>10</v>
      </c>
      <c r="M905" s="26">
        <f>IF(A905="","",YEAR(A905))</f>
        <v>2026</v>
      </c>
      <c r="N905" s="26" t="str">
        <f>IF(A905="","",CHOOSE(WEEKDAY(A905,2),"Segunda","Terça","Quarta","Quinta","Sexta","Sábado","Domingo"))</f>
        <v>Quinta</v>
      </c>
      <c r="O905" s="26" t="str">
        <f>IF(B905="","",IF(B905&lt;TIME(12,0,0),"Manhã",IF(B905&lt;TIME(18,0,0),"Tarde","Noite")))</f>
        <v>Manhã</v>
      </c>
      <c r="P905" s="32">
        <f>IF(G905="","",IFERROR(INDEX(Config!$I$5:$I$16,MATCH(G905,Config!$H$5:$H$16,0)),0))</f>
        <v>30</v>
      </c>
      <c r="Q905" s="30">
        <f>IF(OR(H905&lt;&gt;"Realizado",P905="",P905=0),"",A905+P905)</f>
        <v/>
      </c>
      <c r="R905" s="26">
        <f>IF(Q905="","",IF(COUNTIFS($E$5:$E$1204,E905,$A$5:$A$1204,"&gt;"&amp;A905,$H$5:$H$1204,"&lt;&gt;Falta",$H$5:$H$1204,"&lt;&gt;Cancelado",$H$5:$H$1204,"&lt;&gt;Remarcado")&gt;0,"Sim","Não"))</f>
        <v/>
      </c>
      <c r="S905" s="32">
        <f>IF(R905&lt;&gt;"Não","",IF(Q905+Config!$B$9&lt;=Config!$B$8,Config!$B$8-Q905,""))</f>
        <v/>
      </c>
      <c r="T905" s="26">
        <f>IF(S905="","","Sim")</f>
        <v/>
      </c>
      <c r="U905" s="41">
        <f>IF(T905="Sim",S905+ROW()/100000,0)</f>
        <v>0</v>
      </c>
      <c r="V905" s="41">
        <f>IF(AND(H905="Falta",L905=Config!$B$7,M905=Config!$B$5,COUNTIFS($E$5:E905,E905,$H$5:H905,"Falta",$L$5:L905,Config!$B$7,$M$5:M905,Config!$B$5)=1),COUNTIFS($E$5:$E$1204,E905,$H$5:$H$1204,"Falta",$L$5:$L$1204,Config!$B$7,$M$5:$M$1204,Config!$B$5)*1000-ROW()/100000,0)</f>
        <v>0</v>
      </c>
    </row>
    <row r="906">
      <c r="A906" s="39">
        <f>TODAY()+17</f>
        <v>46296.0</v>
      </c>
      <c r="B906" s="40" t="n">
        <v>0.4583333333333333</v>
      </c>
      <c r="C906" s="35" t="inlineStr">
        <is>
          <t>Dra. Carolina Mendes</t>
        </is>
      </c>
      <c r="D906" s="35" t="inlineStr">
        <is>
          <t>Sala 1</t>
        </is>
      </c>
      <c r="E906" s="34" t="inlineStr">
        <is>
          <t>Sérgio Batista</t>
        </is>
      </c>
      <c r="F906" s="35" t="inlineStr">
        <is>
          <t>MediPlan</t>
        </is>
      </c>
      <c r="G906" s="35" t="inlineStr">
        <is>
          <t>Consulta</t>
        </is>
      </c>
      <c r="H906" s="35" t="inlineStr">
        <is>
          <t>Agendado</t>
        </is>
      </c>
      <c r="I906" s="35" t="n"/>
      <c r="J906" s="35" t="n"/>
      <c r="K906" s="34" t="n"/>
      <c r="L906" s="26">
        <f>IF(A906="","",MONTH(A906))</f>
        <v>10</v>
      </c>
      <c r="M906" s="26">
        <f>IF(A906="","",YEAR(A906))</f>
        <v>2026</v>
      </c>
      <c r="N906" s="26" t="str">
        <f>IF(A906="","",CHOOSE(WEEKDAY(A906,2),"Segunda","Terça","Quarta","Quinta","Sexta","Sábado","Domingo"))</f>
        <v>Quinta</v>
      </c>
      <c r="O906" s="26" t="str">
        <f>IF(B906="","",IF(B906&lt;TIME(12,0,0),"Manhã",IF(B906&lt;TIME(18,0,0),"Tarde","Noite")))</f>
        <v>Manhã</v>
      </c>
      <c r="P906" s="32">
        <f>IF(G906="","",IFERROR(INDEX(Config!$I$5:$I$16,MATCH(G906,Config!$H$5:$H$16,0)),0))</f>
        <v>30</v>
      </c>
      <c r="Q906" s="30">
        <f>IF(OR(H906&lt;&gt;"Realizado",P906="",P906=0),"",A906+P906)</f>
        <v/>
      </c>
      <c r="R906" s="26">
        <f>IF(Q906="","",IF(COUNTIFS($E$5:$E$1204,E906,$A$5:$A$1204,"&gt;"&amp;A906,$H$5:$H$1204,"&lt;&gt;Falta",$H$5:$H$1204,"&lt;&gt;Cancelado",$H$5:$H$1204,"&lt;&gt;Remarcado")&gt;0,"Sim","Não"))</f>
        <v/>
      </c>
      <c r="S906" s="32">
        <f>IF(R906&lt;&gt;"Não","",IF(Q906+Config!$B$9&lt;=Config!$B$8,Config!$B$8-Q906,""))</f>
        <v/>
      </c>
      <c r="T906" s="26">
        <f>IF(S906="","","Sim")</f>
        <v/>
      </c>
      <c r="U906" s="41">
        <f>IF(T906="Sim",S906+ROW()/100000,0)</f>
        <v>0</v>
      </c>
      <c r="V906" s="41">
        <f>IF(AND(H906="Falta",L906=Config!$B$7,M906=Config!$B$5,COUNTIFS($E$5:E906,E906,$H$5:H906,"Falta",$L$5:L906,Config!$B$7,$M$5:M906,Config!$B$5)=1),COUNTIFS($E$5:$E$1204,E906,$H$5:$H$1204,"Falta",$L$5:$L$1204,Config!$B$7,$M$5:$M$1204,Config!$B$5)*1000-ROW()/100000,0)</f>
        <v>0</v>
      </c>
    </row>
    <row r="907">
      <c r="A907" s="39">
        <f>TODAY()+17</f>
        <v>46296.0</v>
      </c>
      <c r="B907" s="40" t="n">
        <v>0.4791666666666667</v>
      </c>
      <c r="C907" s="35" t="inlineStr">
        <is>
          <t>Dra. Carolina Mendes</t>
        </is>
      </c>
      <c r="D907" s="35" t="inlineStr">
        <is>
          <t>Sala 1</t>
        </is>
      </c>
      <c r="E907" s="34" t="inlineStr">
        <is>
          <t>Tatiana Cunha</t>
        </is>
      </c>
      <c r="F907" s="35" t="inlineStr">
        <is>
          <t>Saúde Total</t>
        </is>
      </c>
      <c r="G907" s="35" t="inlineStr">
        <is>
          <t>Consulta</t>
        </is>
      </c>
      <c r="H907" s="35" t="inlineStr">
        <is>
          <t>Agendado</t>
        </is>
      </c>
      <c r="I907" s="35" t="n"/>
      <c r="J907" s="35" t="n"/>
      <c r="K907" s="34" t="n"/>
      <c r="L907" s="26">
        <f>IF(A907="","",MONTH(A907))</f>
        <v>10</v>
      </c>
      <c r="M907" s="26">
        <f>IF(A907="","",YEAR(A907))</f>
        <v>2026</v>
      </c>
      <c r="N907" s="26" t="str">
        <f>IF(A907="","",CHOOSE(WEEKDAY(A907,2),"Segunda","Terça","Quarta","Quinta","Sexta","Sábado","Domingo"))</f>
        <v>Quinta</v>
      </c>
      <c r="O907" s="26" t="str">
        <f>IF(B907="","",IF(B907&lt;TIME(12,0,0),"Manhã",IF(B907&lt;TIME(18,0,0),"Tarde","Noite")))</f>
        <v>Manhã</v>
      </c>
      <c r="P907" s="32">
        <f>IF(G907="","",IFERROR(INDEX(Config!$I$5:$I$16,MATCH(G907,Config!$H$5:$H$16,0)),0))</f>
        <v>30</v>
      </c>
      <c r="Q907" s="30">
        <f>IF(OR(H907&lt;&gt;"Realizado",P907="",P907=0),"",A907+P907)</f>
        <v/>
      </c>
      <c r="R907" s="26">
        <f>IF(Q907="","",IF(COUNTIFS($E$5:$E$1204,E907,$A$5:$A$1204,"&gt;"&amp;A907,$H$5:$H$1204,"&lt;&gt;Falta",$H$5:$H$1204,"&lt;&gt;Cancelado",$H$5:$H$1204,"&lt;&gt;Remarcado")&gt;0,"Sim","Não"))</f>
        <v/>
      </c>
      <c r="S907" s="32">
        <f>IF(R907&lt;&gt;"Não","",IF(Q907+Config!$B$9&lt;=Config!$B$8,Config!$B$8-Q907,""))</f>
        <v/>
      </c>
      <c r="T907" s="26">
        <f>IF(S907="","","Sim")</f>
        <v/>
      </c>
      <c r="U907" s="41">
        <f>IF(T907="Sim",S907+ROW()/100000,0)</f>
        <v>0</v>
      </c>
      <c r="V907" s="41">
        <f>IF(AND(H907="Falta",L907=Config!$B$7,M907=Config!$B$5,COUNTIFS($E$5:E907,E907,$H$5:H907,"Falta",$L$5:L907,Config!$B$7,$M$5:M907,Config!$B$5)=1),COUNTIFS($E$5:$E$1204,E907,$H$5:$H$1204,"Falta",$L$5:$L$1204,Config!$B$7,$M$5:$M$1204,Config!$B$5)*1000-ROW()/100000,0)</f>
        <v>0</v>
      </c>
    </row>
    <row r="908">
      <c r="A908" s="39">
        <f>TODAY()+17</f>
        <v>46296.0</v>
      </c>
      <c r="B908" s="40" t="n">
        <v>0.5833333333333334</v>
      </c>
      <c r="C908" s="35" t="inlineStr">
        <is>
          <t>Dra. Renata Sousa</t>
        </is>
      </c>
      <c r="D908" s="35" t="inlineStr">
        <is>
          <t>Sala 1</t>
        </is>
      </c>
      <c r="E908" s="34" t="inlineStr">
        <is>
          <t>Priscila Reis</t>
        </is>
      </c>
      <c r="F908" s="35" t="inlineStr">
        <is>
          <t>Particular</t>
        </is>
      </c>
      <c r="G908" s="35" t="inlineStr">
        <is>
          <t>Avaliação endócrina</t>
        </is>
      </c>
      <c r="H908" s="35" t="inlineStr">
        <is>
          <t>Agendado</t>
        </is>
      </c>
      <c r="I908" s="35" t="n"/>
      <c r="J908" s="35" t="n"/>
      <c r="K908" s="34" t="n"/>
      <c r="L908" s="26">
        <f>IF(A908="","",MONTH(A908))</f>
        <v>10</v>
      </c>
      <c r="M908" s="26">
        <f>IF(A908="","",YEAR(A908))</f>
        <v>2026</v>
      </c>
      <c r="N908" s="26" t="str">
        <f>IF(A908="","",CHOOSE(WEEKDAY(A908,2),"Segunda","Terça","Quarta","Quinta","Sexta","Sábado","Domingo"))</f>
        <v>Quinta</v>
      </c>
      <c r="O908" s="26" t="str">
        <f>IF(B908="","",IF(B908&lt;TIME(12,0,0),"Manhã",IF(B908&lt;TIME(18,0,0),"Tarde","Noite")))</f>
        <v>Tarde</v>
      </c>
      <c r="P908" s="32">
        <f>IF(G908="","",IFERROR(INDEX(Config!$I$5:$I$16,MATCH(G908,Config!$H$5:$H$16,0)),0))</f>
        <v>45</v>
      </c>
      <c r="Q908" s="30">
        <f>IF(OR(H908&lt;&gt;"Realizado",P908="",P908=0),"",A908+P908)</f>
        <v/>
      </c>
      <c r="R908" s="26">
        <f>IF(Q908="","",IF(COUNTIFS($E$5:$E$1204,E908,$A$5:$A$1204,"&gt;"&amp;A908,$H$5:$H$1204,"&lt;&gt;Falta",$H$5:$H$1204,"&lt;&gt;Cancelado",$H$5:$H$1204,"&lt;&gt;Remarcado")&gt;0,"Sim","Não"))</f>
        <v/>
      </c>
      <c r="S908" s="32">
        <f>IF(R908&lt;&gt;"Não","",IF(Q908+Config!$B$9&lt;=Config!$B$8,Config!$B$8-Q908,""))</f>
        <v/>
      </c>
      <c r="T908" s="26">
        <f>IF(S908="","","Sim")</f>
        <v/>
      </c>
      <c r="U908" s="41">
        <f>IF(T908="Sim",S908+ROW()/100000,0)</f>
        <v>0</v>
      </c>
      <c r="V908" s="41">
        <f>IF(AND(H908="Falta",L908=Config!$B$7,M908=Config!$B$5,COUNTIFS($E$5:E908,E908,$H$5:H908,"Falta",$L$5:L908,Config!$B$7,$M$5:M908,Config!$B$5)=1),COUNTIFS($E$5:$E$1204,E908,$H$5:$H$1204,"Falta",$L$5:$L$1204,Config!$B$7,$M$5:$M$1204,Config!$B$5)*1000-ROW()/100000,0)</f>
        <v>0</v>
      </c>
    </row>
    <row r="909">
      <c r="A909" s="39">
        <f>TODAY()+17</f>
        <v>46296.0</v>
      </c>
      <c r="B909" s="40" t="n">
        <v>0.5833333333333334</v>
      </c>
      <c r="C909" s="35" t="inlineStr">
        <is>
          <t>Dr. Paulo Andrade</t>
        </is>
      </c>
      <c r="D909" s="35" t="inlineStr">
        <is>
          <t>Sala 2</t>
        </is>
      </c>
      <c r="E909" s="34" t="inlineStr">
        <is>
          <t>Wagner Costa</t>
        </is>
      </c>
      <c r="F909" s="35" t="inlineStr">
        <is>
          <t>Particular</t>
        </is>
      </c>
      <c r="G909" s="35" t="inlineStr">
        <is>
          <t>MAPA</t>
        </is>
      </c>
      <c r="H909" s="35" t="inlineStr">
        <is>
          <t>Agendado</t>
        </is>
      </c>
      <c r="I909" s="35" t="n"/>
      <c r="J909" s="35" t="n"/>
      <c r="K909" s="34" t="n"/>
      <c r="L909" s="26">
        <f>IF(A909="","",MONTH(A909))</f>
        <v>10</v>
      </c>
      <c r="M909" s="26">
        <f>IF(A909="","",YEAR(A909))</f>
        <v>2026</v>
      </c>
      <c r="N909" s="26" t="str">
        <f>IF(A909="","",CHOOSE(WEEKDAY(A909,2),"Segunda","Terça","Quarta","Quinta","Sexta","Sábado","Domingo"))</f>
        <v>Quinta</v>
      </c>
      <c r="O909" s="26" t="str">
        <f>IF(B909="","",IF(B909&lt;TIME(12,0,0),"Manhã",IF(B909&lt;TIME(18,0,0),"Tarde","Noite")))</f>
        <v>Tarde</v>
      </c>
      <c r="P909" s="32">
        <f>IF(G909="","",IFERROR(INDEX(Config!$I$5:$I$16,MATCH(G909,Config!$H$5:$H$16,0)),0))</f>
        <v>0</v>
      </c>
      <c r="Q909" s="30">
        <f>IF(OR(H909&lt;&gt;"Realizado",P909="",P909=0),"",A909+P909)</f>
        <v/>
      </c>
      <c r="R909" s="26">
        <f>IF(Q909="","",IF(COUNTIFS($E$5:$E$1204,E909,$A$5:$A$1204,"&gt;"&amp;A909,$H$5:$H$1204,"&lt;&gt;Falta",$H$5:$H$1204,"&lt;&gt;Cancelado",$H$5:$H$1204,"&lt;&gt;Remarcado")&gt;0,"Sim","Não"))</f>
        <v/>
      </c>
      <c r="S909" s="32">
        <f>IF(R909&lt;&gt;"Não","",IF(Q909+Config!$B$9&lt;=Config!$B$8,Config!$B$8-Q909,""))</f>
        <v/>
      </c>
      <c r="T909" s="26">
        <f>IF(S909="","","Sim")</f>
        <v/>
      </c>
      <c r="U909" s="41">
        <f>IF(T909="Sim",S909+ROW()/100000,0)</f>
        <v>0</v>
      </c>
      <c r="V909" s="41">
        <f>IF(AND(H909="Falta",L909=Config!$B$7,M909=Config!$B$5,COUNTIFS($E$5:E909,E909,$H$5:H909,"Falta",$L$5:L909,Config!$B$7,$M$5:M909,Config!$B$5)=1),COUNTIFS($E$5:$E$1204,E909,$H$5:$H$1204,"Falta",$L$5:$L$1204,Config!$B$7,$M$5:$M$1204,Config!$B$5)*1000-ROW()/100000,0)</f>
        <v>0</v>
      </c>
    </row>
    <row r="910">
      <c r="A910" s="39">
        <f>TODAY()+17</f>
        <v>46296.0</v>
      </c>
      <c r="B910" s="40" t="n">
        <v>0.5972222222222222</v>
      </c>
      <c r="C910" s="35" t="inlineStr">
        <is>
          <t>Dr. Paulo Andrade</t>
        </is>
      </c>
      <c r="D910" s="35" t="inlineStr">
        <is>
          <t>Sala 2</t>
        </is>
      </c>
      <c r="E910" s="34" t="inlineStr">
        <is>
          <t>Lucas Lopes</t>
        </is>
      </c>
      <c r="F910" s="35" t="inlineStr">
        <is>
          <t>Particular</t>
        </is>
      </c>
      <c r="G910" s="35" t="inlineStr">
        <is>
          <t>MAPA</t>
        </is>
      </c>
      <c r="H910" s="35" t="inlineStr">
        <is>
          <t>Agendado</t>
        </is>
      </c>
      <c r="I910" s="35" t="n"/>
      <c r="J910" s="35" t="n"/>
      <c r="K910" s="34" t="n"/>
      <c r="L910" s="26">
        <f>IF(A910="","",MONTH(A910))</f>
        <v>10</v>
      </c>
      <c r="M910" s="26">
        <f>IF(A910="","",YEAR(A910))</f>
        <v>2026</v>
      </c>
      <c r="N910" s="26" t="str">
        <f>IF(A910="","",CHOOSE(WEEKDAY(A910,2),"Segunda","Terça","Quarta","Quinta","Sexta","Sábado","Domingo"))</f>
        <v>Quinta</v>
      </c>
      <c r="O910" s="26" t="str">
        <f>IF(B910="","",IF(B910&lt;TIME(12,0,0),"Manhã",IF(B910&lt;TIME(18,0,0),"Tarde","Noite")))</f>
        <v>Tarde</v>
      </c>
      <c r="P910" s="32">
        <f>IF(G910="","",IFERROR(INDEX(Config!$I$5:$I$16,MATCH(G910,Config!$H$5:$H$16,0)),0))</f>
        <v>0</v>
      </c>
      <c r="Q910" s="30">
        <f>IF(OR(H910&lt;&gt;"Realizado",P910="",P910=0),"",A910+P910)</f>
        <v/>
      </c>
      <c r="R910" s="26">
        <f>IF(Q910="","",IF(COUNTIFS($E$5:$E$1204,E910,$A$5:$A$1204,"&gt;"&amp;A910,$H$5:$H$1204,"&lt;&gt;Falta",$H$5:$H$1204,"&lt;&gt;Cancelado",$H$5:$H$1204,"&lt;&gt;Remarcado")&gt;0,"Sim","Não"))</f>
        <v/>
      </c>
      <c r="S910" s="32">
        <f>IF(R910&lt;&gt;"Não","",IF(Q910+Config!$B$9&lt;=Config!$B$8,Config!$B$8-Q910,""))</f>
        <v/>
      </c>
      <c r="T910" s="26">
        <f>IF(S910="","","Sim")</f>
        <v/>
      </c>
      <c r="U910" s="41">
        <f>IF(T910="Sim",S910+ROW()/100000,0)</f>
        <v>0</v>
      </c>
      <c r="V910" s="41">
        <f>IF(AND(H910="Falta",L910=Config!$B$7,M910=Config!$B$5,COUNTIFS($E$5:E910,E910,$H$5:H910,"Falta",$L$5:L910,Config!$B$7,$M$5:M910,Config!$B$5)=1),COUNTIFS($E$5:$E$1204,E910,$H$5:$H$1204,"Falta",$L$5:$L$1204,Config!$B$7,$M$5:$M$1204,Config!$B$5)*1000-ROW()/100000,0)</f>
        <v>0</v>
      </c>
    </row>
    <row r="911">
      <c r="A911" s="39">
        <f>TODAY()+17</f>
        <v>46296.0</v>
      </c>
      <c r="B911" s="40" t="n">
        <v>0.6111111111111112</v>
      </c>
      <c r="C911" s="35" t="inlineStr">
        <is>
          <t>Dr. Paulo Andrade</t>
        </is>
      </c>
      <c r="D911" s="35" t="inlineStr">
        <is>
          <t>Sala 2</t>
        </is>
      </c>
      <c r="E911" s="34" t="inlineStr">
        <is>
          <t>Débora Moreira</t>
        </is>
      </c>
      <c r="F911" s="35" t="inlineStr">
        <is>
          <t>Particular</t>
        </is>
      </c>
      <c r="G911" s="35" t="inlineStr">
        <is>
          <t>Consulta</t>
        </is>
      </c>
      <c r="H911" s="35" t="inlineStr">
        <is>
          <t>Agendado</t>
        </is>
      </c>
      <c r="I911" s="35" t="n"/>
      <c r="J911" s="35" t="n"/>
      <c r="K911" s="34" t="n"/>
      <c r="L911" s="26">
        <f>IF(A911="","",MONTH(A911))</f>
        <v>10</v>
      </c>
      <c r="M911" s="26">
        <f>IF(A911="","",YEAR(A911))</f>
        <v>2026</v>
      </c>
      <c r="N911" s="26" t="str">
        <f>IF(A911="","",CHOOSE(WEEKDAY(A911,2),"Segunda","Terça","Quarta","Quinta","Sexta","Sábado","Domingo"))</f>
        <v>Quinta</v>
      </c>
      <c r="O911" s="26" t="str">
        <f>IF(B911="","",IF(B911&lt;TIME(12,0,0),"Manhã",IF(B911&lt;TIME(18,0,0),"Tarde","Noite")))</f>
        <v>Tarde</v>
      </c>
      <c r="P911" s="32">
        <f>IF(G911="","",IFERROR(INDEX(Config!$I$5:$I$16,MATCH(G911,Config!$H$5:$H$16,0)),0))</f>
        <v>30</v>
      </c>
      <c r="Q911" s="30">
        <f>IF(OR(H911&lt;&gt;"Realizado",P911="",P911=0),"",A911+P911)</f>
        <v/>
      </c>
      <c r="R911" s="26">
        <f>IF(Q911="","",IF(COUNTIFS($E$5:$E$1204,E911,$A$5:$A$1204,"&gt;"&amp;A911,$H$5:$H$1204,"&lt;&gt;Falta",$H$5:$H$1204,"&lt;&gt;Cancelado",$H$5:$H$1204,"&lt;&gt;Remarcado")&gt;0,"Sim","Não"))</f>
        <v/>
      </c>
      <c r="S911" s="32">
        <f>IF(R911&lt;&gt;"Não","",IF(Q911+Config!$B$9&lt;=Config!$B$8,Config!$B$8-Q911,""))</f>
        <v/>
      </c>
      <c r="T911" s="26">
        <f>IF(S911="","","Sim")</f>
        <v/>
      </c>
      <c r="U911" s="41">
        <f>IF(T911="Sim",S911+ROW()/100000,0)</f>
        <v>0</v>
      </c>
      <c r="V911" s="41">
        <f>IF(AND(H911="Falta",L911=Config!$B$7,M911=Config!$B$5,COUNTIFS($E$5:E911,E911,$H$5:H911,"Falta",$L$5:L911,Config!$B$7,$M$5:M911,Config!$B$5)=1),COUNTIFS($E$5:$E$1204,E911,$H$5:$H$1204,"Falta",$L$5:$L$1204,Config!$B$7,$M$5:$M$1204,Config!$B$5)*1000-ROW()/100000,0)</f>
        <v>0</v>
      </c>
    </row>
    <row r="912">
      <c r="A912" s="39">
        <f>TODAY()+17</f>
        <v>46296.0</v>
      </c>
      <c r="B912" s="40" t="n">
        <v>0.6319444444444444</v>
      </c>
      <c r="C912" s="35" t="inlineStr">
        <is>
          <t>Dra. Renata Sousa</t>
        </is>
      </c>
      <c r="D912" s="35" t="inlineStr">
        <is>
          <t>Sala 1</t>
        </is>
      </c>
      <c r="E912" s="34" t="inlineStr">
        <is>
          <t>Mariana Gomes</t>
        </is>
      </c>
      <c r="F912" s="35" t="inlineStr">
        <is>
          <t>Particular</t>
        </is>
      </c>
      <c r="G912" s="35" t="inlineStr">
        <is>
          <t>Avaliação endócrina</t>
        </is>
      </c>
      <c r="H912" s="35" t="inlineStr">
        <is>
          <t>Agendado</t>
        </is>
      </c>
      <c r="I912" s="35" t="n"/>
      <c r="J912" s="35" t="n"/>
      <c r="K912" s="34" t="n"/>
      <c r="L912" s="26">
        <f>IF(A912="","",MONTH(A912))</f>
        <v>10</v>
      </c>
      <c r="M912" s="26">
        <f>IF(A912="","",YEAR(A912))</f>
        <v>2026</v>
      </c>
      <c r="N912" s="26" t="str">
        <f>IF(A912="","",CHOOSE(WEEKDAY(A912,2),"Segunda","Terça","Quarta","Quinta","Sexta","Sábado","Domingo"))</f>
        <v>Quinta</v>
      </c>
      <c r="O912" s="26" t="str">
        <f>IF(B912="","",IF(B912&lt;TIME(12,0,0),"Manhã",IF(B912&lt;TIME(18,0,0),"Tarde","Noite")))</f>
        <v>Tarde</v>
      </c>
      <c r="P912" s="32">
        <f>IF(G912="","",IFERROR(INDEX(Config!$I$5:$I$16,MATCH(G912,Config!$H$5:$H$16,0)),0))</f>
        <v>45</v>
      </c>
      <c r="Q912" s="30">
        <f>IF(OR(H912&lt;&gt;"Realizado",P912="",P912=0),"",A912+P912)</f>
        <v/>
      </c>
      <c r="R912" s="26">
        <f>IF(Q912="","",IF(COUNTIFS($E$5:$E$1204,E912,$A$5:$A$1204,"&gt;"&amp;A912,$H$5:$H$1204,"&lt;&gt;Falta",$H$5:$H$1204,"&lt;&gt;Cancelado",$H$5:$H$1204,"&lt;&gt;Remarcado")&gt;0,"Sim","Não"))</f>
        <v/>
      </c>
      <c r="S912" s="32">
        <f>IF(R912&lt;&gt;"Não","",IF(Q912+Config!$B$9&lt;=Config!$B$8,Config!$B$8-Q912,""))</f>
        <v/>
      </c>
      <c r="T912" s="26">
        <f>IF(S912="","","Sim")</f>
        <v/>
      </c>
      <c r="U912" s="41">
        <f>IF(T912="Sim",S912+ROW()/100000,0)</f>
        <v>0</v>
      </c>
      <c r="V912" s="41">
        <f>IF(AND(H912="Falta",L912=Config!$B$7,M912=Config!$B$5,COUNTIFS($E$5:E912,E912,$H$5:H912,"Falta",$L$5:L912,Config!$B$7,$M$5:M912,Config!$B$5)=1),COUNTIFS($E$5:$E$1204,E912,$H$5:$H$1204,"Falta",$L$5:$L$1204,Config!$B$7,$M$5:$M$1204,Config!$B$5)*1000-ROW()/100000,0)</f>
        <v>0</v>
      </c>
    </row>
    <row r="913">
      <c r="A913" s="39">
        <f>TODAY()+17</f>
        <v>46296.0</v>
      </c>
      <c r="B913" s="40" t="n">
        <v>0.6319444444444444</v>
      </c>
      <c r="C913" s="35" t="inlineStr">
        <is>
          <t>Dr. Paulo Andrade</t>
        </is>
      </c>
      <c r="D913" s="35" t="inlineStr">
        <is>
          <t>Sala 2</t>
        </is>
      </c>
      <c r="E913" s="34" t="inlineStr">
        <is>
          <t>Cláudia Castro</t>
        </is>
      </c>
      <c r="F913" s="35" t="inlineStr">
        <is>
          <t>Vida Care</t>
        </is>
      </c>
      <c r="G913" s="35" t="inlineStr">
        <is>
          <t>Consulta</t>
        </is>
      </c>
      <c r="H913" s="35" t="inlineStr">
        <is>
          <t>Agendado</t>
        </is>
      </c>
      <c r="I913" s="35" t="n"/>
      <c r="J913" s="35" t="n"/>
      <c r="K913" s="34" t="n"/>
      <c r="L913" s="26">
        <f>IF(A913="","",MONTH(A913))</f>
        <v>10</v>
      </c>
      <c r="M913" s="26">
        <f>IF(A913="","",YEAR(A913))</f>
        <v>2026</v>
      </c>
      <c r="N913" s="26" t="str">
        <f>IF(A913="","",CHOOSE(WEEKDAY(A913,2),"Segunda","Terça","Quarta","Quinta","Sexta","Sábado","Domingo"))</f>
        <v>Quinta</v>
      </c>
      <c r="O913" s="26" t="str">
        <f>IF(B913="","",IF(B913&lt;TIME(12,0,0),"Manhã",IF(B913&lt;TIME(18,0,0),"Tarde","Noite")))</f>
        <v>Tarde</v>
      </c>
      <c r="P913" s="32">
        <f>IF(G913="","",IFERROR(INDEX(Config!$I$5:$I$16,MATCH(G913,Config!$H$5:$H$16,0)),0))</f>
        <v>30</v>
      </c>
      <c r="Q913" s="30">
        <f>IF(OR(H913&lt;&gt;"Realizado",P913="",P913=0),"",A913+P913)</f>
        <v/>
      </c>
      <c r="R913" s="26">
        <f>IF(Q913="","",IF(COUNTIFS($E$5:$E$1204,E913,$A$5:$A$1204,"&gt;"&amp;A913,$H$5:$H$1204,"&lt;&gt;Falta",$H$5:$H$1204,"&lt;&gt;Cancelado",$H$5:$H$1204,"&lt;&gt;Remarcado")&gt;0,"Sim","Não"))</f>
        <v/>
      </c>
      <c r="S913" s="32">
        <f>IF(R913&lt;&gt;"Não","",IF(Q913+Config!$B$9&lt;=Config!$B$8,Config!$B$8-Q913,""))</f>
        <v/>
      </c>
      <c r="T913" s="26">
        <f>IF(S913="","","Sim")</f>
        <v/>
      </c>
      <c r="U913" s="41">
        <f>IF(T913="Sim",S913+ROW()/100000,0)</f>
        <v>0</v>
      </c>
      <c r="V913" s="41">
        <f>IF(AND(H913="Falta",L913=Config!$B$7,M913=Config!$B$5,COUNTIFS($E$5:E913,E913,$H$5:H913,"Falta",$L$5:L913,Config!$B$7,$M$5:M913,Config!$B$5)=1),COUNTIFS($E$5:$E$1204,E913,$H$5:$H$1204,"Falta",$L$5:$L$1204,Config!$B$7,$M$5:$M$1204,Config!$B$5)*1000-ROW()/100000,0)</f>
        <v>0</v>
      </c>
    </row>
    <row r="914">
      <c r="A914" s="39">
        <f>TODAY()+17</f>
        <v>46296.0</v>
      </c>
      <c r="B914" s="40" t="n">
        <v>0.6527777777777778</v>
      </c>
      <c r="C914" s="35" t="inlineStr">
        <is>
          <t>Dr. Paulo Andrade</t>
        </is>
      </c>
      <c r="D914" s="35" t="inlineStr">
        <is>
          <t>Sala 2</t>
        </is>
      </c>
      <c r="E914" s="34" t="inlineStr">
        <is>
          <t>Priscila Nascimento</t>
        </is>
      </c>
      <c r="F914" s="35" t="inlineStr">
        <is>
          <t>MediPlan</t>
        </is>
      </c>
      <c r="G914" s="35" t="inlineStr">
        <is>
          <t>Consulta</t>
        </is>
      </c>
      <c r="H914" s="35" t="inlineStr">
        <is>
          <t>Agendado</t>
        </is>
      </c>
      <c r="I914" s="35" t="n"/>
      <c r="J914" s="35" t="n"/>
      <c r="K914" s="34" t="n"/>
      <c r="L914" s="26">
        <f>IF(A914="","",MONTH(A914))</f>
        <v>10</v>
      </c>
      <c r="M914" s="26">
        <f>IF(A914="","",YEAR(A914))</f>
        <v>2026</v>
      </c>
      <c r="N914" s="26" t="str">
        <f>IF(A914="","",CHOOSE(WEEKDAY(A914,2),"Segunda","Terça","Quarta","Quinta","Sexta","Sábado","Domingo"))</f>
        <v>Quinta</v>
      </c>
      <c r="O914" s="26" t="str">
        <f>IF(B914="","",IF(B914&lt;TIME(12,0,0),"Manhã",IF(B914&lt;TIME(18,0,0),"Tarde","Noite")))</f>
        <v>Tarde</v>
      </c>
      <c r="P914" s="32">
        <f>IF(G914="","",IFERROR(INDEX(Config!$I$5:$I$16,MATCH(G914,Config!$H$5:$H$16,0)),0))</f>
        <v>30</v>
      </c>
      <c r="Q914" s="30">
        <f>IF(OR(H914&lt;&gt;"Realizado",P914="",P914=0),"",A914+P914)</f>
        <v/>
      </c>
      <c r="R914" s="26">
        <f>IF(Q914="","",IF(COUNTIFS($E$5:$E$1204,E914,$A$5:$A$1204,"&gt;"&amp;A914,$H$5:$H$1204,"&lt;&gt;Falta",$H$5:$H$1204,"&lt;&gt;Cancelado",$H$5:$H$1204,"&lt;&gt;Remarcado")&gt;0,"Sim","Não"))</f>
        <v/>
      </c>
      <c r="S914" s="32">
        <f>IF(R914&lt;&gt;"Não","",IF(Q914+Config!$B$9&lt;=Config!$B$8,Config!$B$8-Q914,""))</f>
        <v/>
      </c>
      <c r="T914" s="26">
        <f>IF(S914="","","Sim")</f>
        <v/>
      </c>
      <c r="U914" s="41">
        <f>IF(T914="Sim",S914+ROW()/100000,0)</f>
        <v>0</v>
      </c>
      <c r="V914" s="41">
        <f>IF(AND(H914="Falta",L914=Config!$B$7,M914=Config!$B$5,COUNTIFS($E$5:E914,E914,$H$5:H914,"Falta",$L$5:L914,Config!$B$7,$M$5:M914,Config!$B$5)=1),COUNTIFS($E$5:$E$1204,E914,$H$5:$H$1204,"Falta",$L$5:$L$1204,Config!$B$7,$M$5:$M$1204,Config!$B$5)*1000-ROW()/100000,0)</f>
        <v>0</v>
      </c>
    </row>
    <row r="915">
      <c r="A915" s="39">
        <f>TODAY()+17</f>
        <v>46296.0</v>
      </c>
      <c r="B915" s="40" t="n">
        <v>0.6597222222222222</v>
      </c>
      <c r="C915" s="35" t="inlineStr">
        <is>
          <t>Dra. Renata Sousa</t>
        </is>
      </c>
      <c r="D915" s="35" t="inlineStr">
        <is>
          <t>Sala 1</t>
        </is>
      </c>
      <c r="E915" s="34" t="inlineStr">
        <is>
          <t>Fábio Gomes</t>
        </is>
      </c>
      <c r="F915" s="35" t="inlineStr">
        <is>
          <t>Particular</t>
        </is>
      </c>
      <c r="G915" s="35" t="inlineStr">
        <is>
          <t>Retorno</t>
        </is>
      </c>
      <c r="H915" s="35" t="inlineStr">
        <is>
          <t>Agendado</t>
        </is>
      </c>
      <c r="I915" s="35" t="n"/>
      <c r="J915" s="35" t="n"/>
      <c r="K915" s="34" t="n"/>
      <c r="L915" s="26">
        <f>IF(A915="","",MONTH(A915))</f>
        <v>10</v>
      </c>
      <c r="M915" s="26">
        <f>IF(A915="","",YEAR(A915))</f>
        <v>2026</v>
      </c>
      <c r="N915" s="26" t="str">
        <f>IF(A915="","",CHOOSE(WEEKDAY(A915,2),"Segunda","Terça","Quarta","Quinta","Sexta","Sábado","Domingo"))</f>
        <v>Quinta</v>
      </c>
      <c r="O915" s="26" t="str">
        <f>IF(B915="","",IF(B915&lt;TIME(12,0,0),"Manhã",IF(B915&lt;TIME(18,0,0),"Tarde","Noite")))</f>
        <v>Tarde</v>
      </c>
      <c r="P915" s="32">
        <f>IF(G915="","",IFERROR(INDEX(Config!$I$5:$I$16,MATCH(G915,Config!$H$5:$H$16,0)),0))</f>
        <v>0</v>
      </c>
      <c r="Q915" s="30">
        <f>IF(OR(H915&lt;&gt;"Realizado",P915="",P915=0),"",A915+P915)</f>
        <v/>
      </c>
      <c r="R915" s="26">
        <f>IF(Q915="","",IF(COUNTIFS($E$5:$E$1204,E915,$A$5:$A$1204,"&gt;"&amp;A915,$H$5:$H$1204,"&lt;&gt;Falta",$H$5:$H$1204,"&lt;&gt;Cancelado",$H$5:$H$1204,"&lt;&gt;Remarcado")&gt;0,"Sim","Não"))</f>
        <v/>
      </c>
      <c r="S915" s="32">
        <f>IF(R915&lt;&gt;"Não","",IF(Q915+Config!$B$9&lt;=Config!$B$8,Config!$B$8-Q915,""))</f>
        <v/>
      </c>
      <c r="T915" s="26">
        <f>IF(S915="","","Sim")</f>
        <v/>
      </c>
      <c r="U915" s="41">
        <f>IF(T915="Sim",S915+ROW()/100000,0)</f>
        <v>0</v>
      </c>
      <c r="V915" s="41">
        <f>IF(AND(H915="Falta",L915=Config!$B$7,M915=Config!$B$5,COUNTIFS($E$5:E915,E915,$H$5:H915,"Falta",$L$5:L915,Config!$B$7,$M$5:M915,Config!$B$5)=1),COUNTIFS($E$5:$E$1204,E915,$H$5:$H$1204,"Falta",$L$5:$L$1204,Config!$B$7,$M$5:$M$1204,Config!$B$5)*1000-ROW()/100000,0)</f>
        <v>0</v>
      </c>
    </row>
    <row r="916">
      <c r="A916" s="39">
        <f>TODAY()+17</f>
        <v>46296.0</v>
      </c>
      <c r="B916" s="40" t="n">
        <v>0.6736111111111112</v>
      </c>
      <c r="C916" s="35" t="inlineStr">
        <is>
          <t>Dr. Paulo Andrade</t>
        </is>
      </c>
      <c r="D916" s="35" t="inlineStr">
        <is>
          <t>Sala 2</t>
        </is>
      </c>
      <c r="E916" s="34" t="inlineStr">
        <is>
          <t>Rodrigo Teixeira</t>
        </is>
      </c>
      <c r="F916" s="35" t="inlineStr">
        <is>
          <t>Vida Care</t>
        </is>
      </c>
      <c r="G916" s="35" t="inlineStr">
        <is>
          <t>ECG</t>
        </is>
      </c>
      <c r="H916" s="35" t="inlineStr">
        <is>
          <t>Agendado</t>
        </is>
      </c>
      <c r="I916" s="35" t="n"/>
      <c r="J916" s="35" t="n"/>
      <c r="K916" s="34" t="n"/>
      <c r="L916" s="26">
        <f>IF(A916="","",MONTH(A916))</f>
        <v>10</v>
      </c>
      <c r="M916" s="26">
        <f>IF(A916="","",YEAR(A916))</f>
        <v>2026</v>
      </c>
      <c r="N916" s="26" t="str">
        <f>IF(A916="","",CHOOSE(WEEKDAY(A916,2),"Segunda","Terça","Quarta","Quinta","Sexta","Sábado","Domingo"))</f>
        <v>Quinta</v>
      </c>
      <c r="O916" s="26" t="str">
        <f>IF(B916="","",IF(B916&lt;TIME(12,0,0),"Manhã",IF(B916&lt;TIME(18,0,0),"Tarde","Noite")))</f>
        <v>Tarde</v>
      </c>
      <c r="P916" s="32">
        <f>IF(G916="","",IFERROR(INDEX(Config!$I$5:$I$16,MATCH(G916,Config!$H$5:$H$16,0)),0))</f>
        <v>0</v>
      </c>
      <c r="Q916" s="30">
        <f>IF(OR(H916&lt;&gt;"Realizado",P916="",P916=0),"",A916+P916)</f>
        <v/>
      </c>
      <c r="R916" s="26">
        <f>IF(Q916="","",IF(COUNTIFS($E$5:$E$1204,E916,$A$5:$A$1204,"&gt;"&amp;A916,$H$5:$H$1204,"&lt;&gt;Falta",$H$5:$H$1204,"&lt;&gt;Cancelado",$H$5:$H$1204,"&lt;&gt;Remarcado")&gt;0,"Sim","Não"))</f>
        <v/>
      </c>
      <c r="S916" s="32">
        <f>IF(R916&lt;&gt;"Não","",IF(Q916+Config!$B$9&lt;=Config!$B$8,Config!$B$8-Q916,""))</f>
        <v/>
      </c>
      <c r="T916" s="26">
        <f>IF(S916="","","Sim")</f>
        <v/>
      </c>
      <c r="U916" s="41">
        <f>IF(T916="Sim",S916+ROW()/100000,0)</f>
        <v>0</v>
      </c>
      <c r="V916" s="41">
        <f>IF(AND(H916="Falta",L916=Config!$B$7,M916=Config!$B$5,COUNTIFS($E$5:E916,E916,$H$5:H916,"Falta",$L$5:L916,Config!$B$7,$M$5:M916,Config!$B$5)=1),COUNTIFS($E$5:$E$1204,E916,$H$5:$H$1204,"Falta",$L$5:$L$1204,Config!$B$7,$M$5:$M$1204,Config!$B$5)*1000-ROW()/100000,0)</f>
        <v>0</v>
      </c>
    </row>
    <row r="917">
      <c r="A917" s="39">
        <f>TODAY()+17</f>
        <v>46296.0</v>
      </c>
      <c r="B917" s="40" t="n">
        <v>0.6875</v>
      </c>
      <c r="C917" s="35" t="inlineStr">
        <is>
          <t>Dr. Paulo Andrade</t>
        </is>
      </c>
      <c r="D917" s="35" t="inlineStr">
        <is>
          <t>Sala 2</t>
        </is>
      </c>
      <c r="E917" s="34" t="inlineStr">
        <is>
          <t>Paulo Ribeiro</t>
        </is>
      </c>
      <c r="F917" s="35" t="inlineStr">
        <is>
          <t>Saúde Total</t>
        </is>
      </c>
      <c r="G917" s="35" t="inlineStr">
        <is>
          <t>Consulta</t>
        </is>
      </c>
      <c r="H917" s="35" t="inlineStr">
        <is>
          <t>Agendado</t>
        </is>
      </c>
      <c r="I917" s="35" t="n"/>
      <c r="J917" s="35" t="n"/>
      <c r="K917" s="34" t="n"/>
      <c r="L917" s="26">
        <f>IF(A917="","",MONTH(A917))</f>
        <v>10</v>
      </c>
      <c r="M917" s="26">
        <f>IF(A917="","",YEAR(A917))</f>
        <v>2026</v>
      </c>
      <c r="N917" s="26" t="str">
        <f>IF(A917="","",CHOOSE(WEEKDAY(A917,2),"Segunda","Terça","Quarta","Quinta","Sexta","Sábado","Domingo"))</f>
        <v>Quinta</v>
      </c>
      <c r="O917" s="26" t="str">
        <f>IF(B917="","",IF(B917&lt;TIME(12,0,0),"Manhã",IF(B917&lt;TIME(18,0,0),"Tarde","Noite")))</f>
        <v>Tarde</v>
      </c>
      <c r="P917" s="32">
        <f>IF(G917="","",IFERROR(INDEX(Config!$I$5:$I$16,MATCH(G917,Config!$H$5:$H$16,0)),0))</f>
        <v>30</v>
      </c>
      <c r="Q917" s="30">
        <f>IF(OR(H917&lt;&gt;"Realizado",P917="",P917=0),"",A917+P917)</f>
        <v/>
      </c>
      <c r="R917" s="26">
        <f>IF(Q917="","",IF(COUNTIFS($E$5:$E$1204,E917,$A$5:$A$1204,"&gt;"&amp;A917,$H$5:$H$1204,"&lt;&gt;Falta",$H$5:$H$1204,"&lt;&gt;Cancelado",$H$5:$H$1204,"&lt;&gt;Remarcado")&gt;0,"Sim","Não"))</f>
        <v/>
      </c>
      <c r="S917" s="32">
        <f>IF(R917&lt;&gt;"Não","",IF(Q917+Config!$B$9&lt;=Config!$B$8,Config!$B$8-Q917,""))</f>
        <v/>
      </c>
      <c r="T917" s="26">
        <f>IF(S917="","","Sim")</f>
        <v/>
      </c>
      <c r="U917" s="41">
        <f>IF(T917="Sim",S917+ROW()/100000,0)</f>
        <v>0</v>
      </c>
      <c r="V917" s="41">
        <f>IF(AND(H917="Falta",L917=Config!$B$7,M917=Config!$B$5,COUNTIFS($E$5:E917,E917,$H$5:H917,"Falta",$L$5:L917,Config!$B$7,$M$5:M917,Config!$B$5)=1),COUNTIFS($E$5:$E$1204,E917,$H$5:$H$1204,"Falta",$L$5:$L$1204,Config!$B$7,$M$5:$M$1204,Config!$B$5)*1000-ROW()/100000,0)</f>
        <v>0</v>
      </c>
    </row>
    <row r="918">
      <c r="A918" s="39">
        <f>TODAY()+17</f>
        <v>46296.0</v>
      </c>
      <c r="B918" s="40" t="n">
        <v>0.6944444444444444</v>
      </c>
      <c r="C918" s="35" t="inlineStr">
        <is>
          <t>Dra. Renata Sousa</t>
        </is>
      </c>
      <c r="D918" s="35" t="inlineStr">
        <is>
          <t>Sala 1</t>
        </is>
      </c>
      <c r="E918" s="34" t="inlineStr">
        <is>
          <t>Cláudia Melo</t>
        </is>
      </c>
      <c r="F918" s="35" t="inlineStr">
        <is>
          <t>Particular</t>
        </is>
      </c>
      <c r="G918" s="35" t="inlineStr">
        <is>
          <t>Avaliação endócrina</t>
        </is>
      </c>
      <c r="H918" s="35" t="inlineStr">
        <is>
          <t>Agendado</t>
        </is>
      </c>
      <c r="I918" s="35" t="n"/>
      <c r="J918" s="35" t="n"/>
      <c r="K918" s="34" t="n"/>
      <c r="L918" s="26">
        <f>IF(A918="","",MONTH(A918))</f>
        <v>10</v>
      </c>
      <c r="M918" s="26">
        <f>IF(A918="","",YEAR(A918))</f>
        <v>2026</v>
      </c>
      <c r="N918" s="26" t="str">
        <f>IF(A918="","",CHOOSE(WEEKDAY(A918,2),"Segunda","Terça","Quarta","Quinta","Sexta","Sábado","Domingo"))</f>
        <v>Quinta</v>
      </c>
      <c r="O918" s="26" t="str">
        <f>IF(B918="","",IF(B918&lt;TIME(12,0,0),"Manhã",IF(B918&lt;TIME(18,0,0),"Tarde","Noite")))</f>
        <v>Tarde</v>
      </c>
      <c r="P918" s="32">
        <f>IF(G918="","",IFERROR(INDEX(Config!$I$5:$I$16,MATCH(G918,Config!$H$5:$H$16,0)),0))</f>
        <v>45</v>
      </c>
      <c r="Q918" s="30">
        <f>IF(OR(H918&lt;&gt;"Realizado",P918="",P918=0),"",A918+P918)</f>
        <v/>
      </c>
      <c r="R918" s="26">
        <f>IF(Q918="","",IF(COUNTIFS($E$5:$E$1204,E918,$A$5:$A$1204,"&gt;"&amp;A918,$H$5:$H$1204,"&lt;&gt;Falta",$H$5:$H$1204,"&lt;&gt;Cancelado",$H$5:$H$1204,"&lt;&gt;Remarcado")&gt;0,"Sim","Não"))</f>
        <v/>
      </c>
      <c r="S918" s="32">
        <f>IF(R918&lt;&gt;"Não","",IF(Q918+Config!$B$9&lt;=Config!$B$8,Config!$B$8-Q918,""))</f>
        <v/>
      </c>
      <c r="T918" s="26">
        <f>IF(S918="","","Sim")</f>
        <v/>
      </c>
      <c r="U918" s="41">
        <f>IF(T918="Sim",S918+ROW()/100000,0)</f>
        <v>0</v>
      </c>
      <c r="V918" s="41">
        <f>IF(AND(H918="Falta",L918=Config!$B$7,M918=Config!$B$5,COUNTIFS($E$5:E918,E918,$H$5:H918,"Falta",$L$5:L918,Config!$B$7,$M$5:M918,Config!$B$5)=1),COUNTIFS($E$5:$E$1204,E918,$H$5:$H$1204,"Falta",$L$5:$L$1204,Config!$B$7,$M$5:$M$1204,Config!$B$5)*1000-ROW()/100000,0)</f>
        <v>0</v>
      </c>
    </row>
    <row r="919">
      <c r="A919" s="39">
        <f>TODAY()+17</f>
        <v>46296.0</v>
      </c>
      <c r="B919" s="40" t="n">
        <v>0.7083333333333334</v>
      </c>
      <c r="C919" s="35" t="inlineStr">
        <is>
          <t>Dr. Paulo Andrade</t>
        </is>
      </c>
      <c r="D919" s="35" t="inlineStr">
        <is>
          <t>Sala 2</t>
        </is>
      </c>
      <c r="E919" s="34" t="inlineStr">
        <is>
          <t>Mateus Martins</t>
        </is>
      </c>
      <c r="F919" s="35" t="inlineStr">
        <is>
          <t>Vida Care</t>
        </is>
      </c>
      <c r="G919" s="35" t="inlineStr">
        <is>
          <t>Consulta</t>
        </is>
      </c>
      <c r="H919" s="35" t="inlineStr">
        <is>
          <t>Agendado</t>
        </is>
      </c>
      <c r="I919" s="35" t="n"/>
      <c r="J919" s="35" t="n"/>
      <c r="K919" s="34" t="n"/>
      <c r="L919" s="26">
        <f>IF(A919="","",MONTH(A919))</f>
        <v>10</v>
      </c>
      <c r="M919" s="26">
        <f>IF(A919="","",YEAR(A919))</f>
        <v>2026</v>
      </c>
      <c r="N919" s="26" t="str">
        <f>IF(A919="","",CHOOSE(WEEKDAY(A919,2),"Segunda","Terça","Quarta","Quinta","Sexta","Sábado","Domingo"))</f>
        <v>Quinta</v>
      </c>
      <c r="O919" s="26" t="str">
        <f>IF(B919="","",IF(B919&lt;TIME(12,0,0),"Manhã",IF(B919&lt;TIME(18,0,0),"Tarde","Noite")))</f>
        <v>Tarde</v>
      </c>
      <c r="P919" s="32">
        <f>IF(G919="","",IFERROR(INDEX(Config!$I$5:$I$16,MATCH(G919,Config!$H$5:$H$16,0)),0))</f>
        <v>30</v>
      </c>
      <c r="Q919" s="30">
        <f>IF(OR(H919&lt;&gt;"Realizado",P919="",P919=0),"",A919+P919)</f>
        <v/>
      </c>
      <c r="R919" s="26">
        <f>IF(Q919="","",IF(COUNTIFS($E$5:$E$1204,E919,$A$5:$A$1204,"&gt;"&amp;A919,$H$5:$H$1204,"&lt;&gt;Falta",$H$5:$H$1204,"&lt;&gt;Cancelado",$H$5:$H$1204,"&lt;&gt;Remarcado")&gt;0,"Sim","Não"))</f>
        <v/>
      </c>
      <c r="S919" s="32">
        <f>IF(R919&lt;&gt;"Não","",IF(Q919+Config!$B$9&lt;=Config!$B$8,Config!$B$8-Q919,""))</f>
        <v/>
      </c>
      <c r="T919" s="26">
        <f>IF(S919="","","Sim")</f>
        <v/>
      </c>
      <c r="U919" s="41">
        <f>IF(T919="Sim",S919+ROW()/100000,0)</f>
        <v>0</v>
      </c>
      <c r="V919" s="41">
        <f>IF(AND(H919="Falta",L919=Config!$B$7,M919=Config!$B$5,COUNTIFS($E$5:E919,E919,$H$5:H919,"Falta",$L$5:L919,Config!$B$7,$M$5:M919,Config!$B$5)=1),COUNTIFS($E$5:$E$1204,E919,$H$5:$H$1204,"Falta",$L$5:$L$1204,Config!$B$7,$M$5:$M$1204,Config!$B$5)*1000-ROW()/100000,0)</f>
        <v>0</v>
      </c>
    </row>
    <row r="920">
      <c r="A920" s="39">
        <f>TODAY()+17</f>
        <v>46296.0</v>
      </c>
      <c r="B920" s="40" t="n">
        <v>0.7222222222222222</v>
      </c>
      <c r="C920" s="35" t="inlineStr">
        <is>
          <t>Dra. Renata Sousa</t>
        </is>
      </c>
      <c r="D920" s="35" t="inlineStr">
        <is>
          <t>Sala 1</t>
        </is>
      </c>
      <c r="E920" s="34" t="inlineStr">
        <is>
          <t>Rodrigo Cardoso</t>
        </is>
      </c>
      <c r="F920" s="35" t="inlineStr">
        <is>
          <t>Saúde Total</t>
        </is>
      </c>
      <c r="G920" s="35" t="inlineStr">
        <is>
          <t>Avaliação endócrina</t>
        </is>
      </c>
      <c r="H920" s="35" t="inlineStr">
        <is>
          <t>Agendado</t>
        </is>
      </c>
      <c r="I920" s="35" t="n"/>
      <c r="J920" s="35" t="n"/>
      <c r="K920" s="34" t="n"/>
      <c r="L920" s="26">
        <f>IF(A920="","",MONTH(A920))</f>
        <v>10</v>
      </c>
      <c r="M920" s="26">
        <f>IF(A920="","",YEAR(A920))</f>
        <v>2026</v>
      </c>
      <c r="N920" s="26" t="str">
        <f>IF(A920="","",CHOOSE(WEEKDAY(A920,2),"Segunda","Terça","Quarta","Quinta","Sexta","Sábado","Domingo"))</f>
        <v>Quinta</v>
      </c>
      <c r="O920" s="26" t="str">
        <f>IF(B920="","",IF(B920&lt;TIME(12,0,0),"Manhã",IF(B920&lt;TIME(18,0,0),"Tarde","Noite")))</f>
        <v>Tarde</v>
      </c>
      <c r="P920" s="32">
        <f>IF(G920="","",IFERROR(INDEX(Config!$I$5:$I$16,MATCH(G920,Config!$H$5:$H$16,0)),0))</f>
        <v>45</v>
      </c>
      <c r="Q920" s="30">
        <f>IF(OR(H920&lt;&gt;"Realizado",P920="",P920=0),"",A920+P920)</f>
        <v/>
      </c>
      <c r="R920" s="26">
        <f>IF(Q920="","",IF(COUNTIFS($E$5:$E$1204,E920,$A$5:$A$1204,"&gt;"&amp;A920,$H$5:$H$1204,"&lt;&gt;Falta",$H$5:$H$1204,"&lt;&gt;Cancelado",$H$5:$H$1204,"&lt;&gt;Remarcado")&gt;0,"Sim","Não"))</f>
        <v/>
      </c>
      <c r="S920" s="32">
        <f>IF(R920&lt;&gt;"Não","",IF(Q920+Config!$B$9&lt;=Config!$B$8,Config!$B$8-Q920,""))</f>
        <v/>
      </c>
      <c r="T920" s="26">
        <f>IF(S920="","","Sim")</f>
        <v/>
      </c>
      <c r="U920" s="41">
        <f>IF(T920="Sim",S920+ROW()/100000,0)</f>
        <v>0</v>
      </c>
      <c r="V920" s="41">
        <f>IF(AND(H920="Falta",L920=Config!$B$7,M920=Config!$B$5,COUNTIFS($E$5:E920,E920,$H$5:H920,"Falta",$L$5:L920,Config!$B$7,$M$5:M920,Config!$B$5)=1),COUNTIFS($E$5:$E$1204,E920,$H$5:$H$1204,"Falta",$L$5:$L$1204,Config!$B$7,$M$5:$M$1204,Config!$B$5)*1000-ROW()/100000,0)</f>
        <v>0</v>
      </c>
    </row>
    <row r="921">
      <c r="A921" s="39">
        <f>TODAY()+17</f>
        <v>46296.0</v>
      </c>
      <c r="B921" s="40" t="n">
        <v>0.7291666666666666</v>
      </c>
      <c r="C921" s="35" t="inlineStr">
        <is>
          <t>Dr. Paulo Andrade</t>
        </is>
      </c>
      <c r="D921" s="35" t="inlineStr">
        <is>
          <t>Sala 2</t>
        </is>
      </c>
      <c r="E921" s="34" t="inlineStr">
        <is>
          <t>Leandro Ferreira</t>
        </is>
      </c>
      <c r="F921" s="35" t="inlineStr">
        <is>
          <t>Saúde Total</t>
        </is>
      </c>
      <c r="G921" s="35" t="inlineStr">
        <is>
          <t>Consulta</t>
        </is>
      </c>
      <c r="H921" s="35" t="inlineStr">
        <is>
          <t>Agendado</t>
        </is>
      </c>
      <c r="I921" s="35" t="n"/>
      <c r="J921" s="35" t="n"/>
      <c r="K921" s="34" t="n"/>
      <c r="L921" s="26">
        <f>IF(A921="","",MONTH(A921))</f>
        <v>10</v>
      </c>
      <c r="M921" s="26">
        <f>IF(A921="","",YEAR(A921))</f>
        <v>2026</v>
      </c>
      <c r="N921" s="26" t="str">
        <f>IF(A921="","",CHOOSE(WEEKDAY(A921,2),"Segunda","Terça","Quarta","Quinta","Sexta","Sábado","Domingo"))</f>
        <v>Quinta</v>
      </c>
      <c r="O921" s="26" t="str">
        <f>IF(B921="","",IF(B921&lt;TIME(12,0,0),"Manhã",IF(B921&lt;TIME(18,0,0),"Tarde","Noite")))</f>
        <v>Tarde</v>
      </c>
      <c r="P921" s="32">
        <f>IF(G921="","",IFERROR(INDEX(Config!$I$5:$I$16,MATCH(G921,Config!$H$5:$H$16,0)),0))</f>
        <v>30</v>
      </c>
      <c r="Q921" s="30">
        <f>IF(OR(H921&lt;&gt;"Realizado",P921="",P921=0),"",A921+P921)</f>
        <v/>
      </c>
      <c r="R921" s="26">
        <f>IF(Q921="","",IF(COUNTIFS($E$5:$E$1204,E921,$A$5:$A$1204,"&gt;"&amp;A921,$H$5:$H$1204,"&lt;&gt;Falta",$H$5:$H$1204,"&lt;&gt;Cancelado",$H$5:$H$1204,"&lt;&gt;Remarcado")&gt;0,"Sim","Não"))</f>
        <v/>
      </c>
      <c r="S921" s="32">
        <f>IF(R921&lt;&gt;"Não","",IF(Q921+Config!$B$9&lt;=Config!$B$8,Config!$B$8-Q921,""))</f>
        <v/>
      </c>
      <c r="T921" s="26">
        <f>IF(S921="","","Sim")</f>
        <v/>
      </c>
      <c r="U921" s="41">
        <f>IF(T921="Sim",S921+ROW()/100000,0)</f>
        <v>0</v>
      </c>
      <c r="V921" s="41">
        <f>IF(AND(H921="Falta",L921=Config!$B$7,M921=Config!$B$5,COUNTIFS($E$5:E921,E921,$H$5:H921,"Falta",$L$5:L921,Config!$B$7,$M$5:M921,Config!$B$5)=1),COUNTIFS($E$5:$E$1204,E921,$H$5:$H$1204,"Falta",$L$5:$L$1204,Config!$B$7,$M$5:$M$1204,Config!$B$5)*1000-ROW()/100000,0)</f>
        <v>0</v>
      </c>
    </row>
    <row r="922">
      <c r="A922" s="39">
        <f>TODAY()+18</f>
        <v>46297.0</v>
      </c>
      <c r="B922" s="40" t="n">
        <v>0.3333333333333333</v>
      </c>
      <c r="C922" s="35" t="inlineStr">
        <is>
          <t>Dr. Paulo Andrade</t>
        </is>
      </c>
      <c r="D922" s="35" t="inlineStr">
        <is>
          <t>Sala 2</t>
        </is>
      </c>
      <c r="E922" s="34" t="inlineStr">
        <is>
          <t>Viviane Duarte</t>
        </is>
      </c>
      <c r="F922" s="35" t="inlineStr">
        <is>
          <t>MediPlan</t>
        </is>
      </c>
      <c r="G922" s="35" t="inlineStr">
        <is>
          <t>Consulta</t>
        </is>
      </c>
      <c r="H922" s="35" t="inlineStr">
        <is>
          <t>Agendado</t>
        </is>
      </c>
      <c r="I922" s="35" t="n"/>
      <c r="J922" s="35" t="n"/>
      <c r="K922" s="34" t="n"/>
      <c r="L922" s="26">
        <f>IF(A922="","",MONTH(A922))</f>
        <v>10</v>
      </c>
      <c r="M922" s="26">
        <f>IF(A922="","",YEAR(A922))</f>
        <v>2026</v>
      </c>
      <c r="N922" s="26" t="str">
        <f>IF(A922="","",CHOOSE(WEEKDAY(A922,2),"Segunda","Terça","Quarta","Quinta","Sexta","Sábado","Domingo"))</f>
        <v>Sexta</v>
      </c>
      <c r="O922" s="26" t="str">
        <f>IF(B922="","",IF(B922&lt;TIME(12,0,0),"Manhã",IF(B922&lt;TIME(18,0,0),"Tarde","Noite")))</f>
        <v>Manhã</v>
      </c>
      <c r="P922" s="32">
        <f>IF(G922="","",IFERROR(INDEX(Config!$I$5:$I$16,MATCH(G922,Config!$H$5:$H$16,0)),0))</f>
        <v>30</v>
      </c>
      <c r="Q922" s="30">
        <f>IF(OR(H922&lt;&gt;"Realizado",P922="",P922=0),"",A922+P922)</f>
        <v/>
      </c>
      <c r="R922" s="26">
        <f>IF(Q922="","",IF(COUNTIFS($E$5:$E$1204,E922,$A$5:$A$1204,"&gt;"&amp;A922,$H$5:$H$1204,"&lt;&gt;Falta",$H$5:$H$1204,"&lt;&gt;Cancelado",$H$5:$H$1204,"&lt;&gt;Remarcado")&gt;0,"Sim","Não"))</f>
        <v/>
      </c>
      <c r="S922" s="32">
        <f>IF(R922&lt;&gt;"Não","",IF(Q922+Config!$B$9&lt;=Config!$B$8,Config!$B$8-Q922,""))</f>
        <v/>
      </c>
      <c r="T922" s="26">
        <f>IF(S922="","","Sim")</f>
        <v/>
      </c>
      <c r="U922" s="41">
        <f>IF(T922="Sim",S922+ROW()/100000,0)</f>
        <v>0</v>
      </c>
      <c r="V922" s="41">
        <f>IF(AND(H922="Falta",L922=Config!$B$7,M922=Config!$B$5,COUNTIFS($E$5:E922,E922,$H$5:H922,"Falta",$L$5:L922,Config!$B$7,$M$5:M922,Config!$B$5)=1),COUNTIFS($E$5:$E$1204,E922,$H$5:$H$1204,"Falta",$L$5:$L$1204,Config!$B$7,$M$5:$M$1204,Config!$B$5)*1000-ROW()/100000,0)</f>
        <v>0</v>
      </c>
    </row>
    <row r="923">
      <c r="A923" s="39">
        <f>TODAY()+18</f>
        <v>46297.0</v>
      </c>
      <c r="B923" s="40" t="n">
        <v>0.3541666666666667</v>
      </c>
      <c r="C923" s="35" t="inlineStr">
        <is>
          <t>Dr. Paulo Andrade</t>
        </is>
      </c>
      <c r="D923" s="35" t="inlineStr">
        <is>
          <t>Sala 2</t>
        </is>
      </c>
      <c r="E923" s="34" t="inlineStr">
        <is>
          <t>Carlos Oliveira</t>
        </is>
      </c>
      <c r="F923" s="35" t="inlineStr">
        <is>
          <t>Particular</t>
        </is>
      </c>
      <c r="G923" s="35" t="inlineStr">
        <is>
          <t>Consulta</t>
        </is>
      </c>
      <c r="H923" s="35" t="inlineStr">
        <is>
          <t>Agendado</t>
        </is>
      </c>
      <c r="I923" s="35" t="n"/>
      <c r="J923" s="35" t="n"/>
      <c r="K923" s="34" t="n"/>
      <c r="L923" s="26">
        <f>IF(A923="","",MONTH(A923))</f>
        <v>10</v>
      </c>
      <c r="M923" s="26">
        <f>IF(A923="","",YEAR(A923))</f>
        <v>2026</v>
      </c>
      <c r="N923" s="26" t="str">
        <f>IF(A923="","",CHOOSE(WEEKDAY(A923,2),"Segunda","Terça","Quarta","Quinta","Sexta","Sábado","Domingo"))</f>
        <v>Sexta</v>
      </c>
      <c r="O923" s="26" t="str">
        <f>IF(B923="","",IF(B923&lt;TIME(12,0,0),"Manhã",IF(B923&lt;TIME(18,0,0),"Tarde","Noite")))</f>
        <v>Manhã</v>
      </c>
      <c r="P923" s="32">
        <f>IF(G923="","",IFERROR(INDEX(Config!$I$5:$I$16,MATCH(G923,Config!$H$5:$H$16,0)),0))</f>
        <v>30</v>
      </c>
      <c r="Q923" s="30">
        <f>IF(OR(H923&lt;&gt;"Realizado",P923="",P923=0),"",A923+P923)</f>
        <v/>
      </c>
      <c r="R923" s="26">
        <f>IF(Q923="","",IF(COUNTIFS($E$5:$E$1204,E923,$A$5:$A$1204,"&gt;"&amp;A923,$H$5:$H$1204,"&lt;&gt;Falta",$H$5:$H$1204,"&lt;&gt;Cancelado",$H$5:$H$1204,"&lt;&gt;Remarcado")&gt;0,"Sim","Não"))</f>
        <v/>
      </c>
      <c r="S923" s="32">
        <f>IF(R923&lt;&gt;"Não","",IF(Q923+Config!$B$9&lt;=Config!$B$8,Config!$B$8-Q923,""))</f>
        <v/>
      </c>
      <c r="T923" s="26">
        <f>IF(S923="","","Sim")</f>
        <v/>
      </c>
      <c r="U923" s="41">
        <f>IF(T923="Sim",S923+ROW()/100000,0)</f>
        <v>0</v>
      </c>
      <c r="V923" s="41">
        <f>IF(AND(H923="Falta",L923=Config!$B$7,M923=Config!$B$5,COUNTIFS($E$5:E923,E923,$H$5:H923,"Falta",$L$5:L923,Config!$B$7,$M$5:M923,Config!$B$5)=1),COUNTIFS($E$5:$E$1204,E923,$H$5:$H$1204,"Falta",$L$5:$L$1204,Config!$B$7,$M$5:$M$1204,Config!$B$5)*1000-ROW()/100000,0)</f>
        <v>0</v>
      </c>
    </row>
    <row r="924">
      <c r="A924" s="39">
        <f>TODAY()+18</f>
        <v>46297.0</v>
      </c>
      <c r="B924" s="40" t="n">
        <v>0.3958333333333333</v>
      </c>
      <c r="C924" s="35" t="inlineStr">
        <is>
          <t>Dr. Paulo Andrade</t>
        </is>
      </c>
      <c r="D924" s="35" t="inlineStr">
        <is>
          <t>Sala 2</t>
        </is>
      </c>
      <c r="E924" s="34" t="inlineStr">
        <is>
          <t>Mateus Lima</t>
        </is>
      </c>
      <c r="F924" s="35" t="inlineStr">
        <is>
          <t>MediPlan</t>
        </is>
      </c>
      <c r="G924" s="35" t="inlineStr">
        <is>
          <t>MAPA</t>
        </is>
      </c>
      <c r="H924" s="35" t="inlineStr">
        <is>
          <t>Agendado</t>
        </is>
      </c>
      <c r="I924" s="35" t="n"/>
      <c r="J924" s="35" t="n"/>
      <c r="K924" s="34" t="n"/>
      <c r="L924" s="26">
        <f>IF(A924="","",MONTH(A924))</f>
        <v>10</v>
      </c>
      <c r="M924" s="26">
        <f>IF(A924="","",YEAR(A924))</f>
        <v>2026</v>
      </c>
      <c r="N924" s="26" t="str">
        <f>IF(A924="","",CHOOSE(WEEKDAY(A924,2),"Segunda","Terça","Quarta","Quinta","Sexta","Sábado","Domingo"))</f>
        <v>Sexta</v>
      </c>
      <c r="O924" s="26" t="str">
        <f>IF(B924="","",IF(B924&lt;TIME(12,0,0),"Manhã",IF(B924&lt;TIME(18,0,0),"Tarde","Noite")))</f>
        <v>Manhã</v>
      </c>
      <c r="P924" s="32">
        <f>IF(G924="","",IFERROR(INDEX(Config!$I$5:$I$16,MATCH(G924,Config!$H$5:$H$16,0)),0))</f>
        <v>0</v>
      </c>
      <c r="Q924" s="30">
        <f>IF(OR(H924&lt;&gt;"Realizado",P924="",P924=0),"",A924+P924)</f>
        <v/>
      </c>
      <c r="R924" s="26">
        <f>IF(Q924="","",IF(COUNTIFS($E$5:$E$1204,E924,$A$5:$A$1204,"&gt;"&amp;A924,$H$5:$H$1204,"&lt;&gt;Falta",$H$5:$H$1204,"&lt;&gt;Cancelado",$H$5:$H$1204,"&lt;&gt;Remarcado")&gt;0,"Sim","Não"))</f>
        <v/>
      </c>
      <c r="S924" s="32">
        <f>IF(R924&lt;&gt;"Não","",IF(Q924+Config!$B$9&lt;=Config!$B$8,Config!$B$8-Q924,""))</f>
        <v/>
      </c>
      <c r="T924" s="26">
        <f>IF(S924="","","Sim")</f>
        <v/>
      </c>
      <c r="U924" s="41">
        <f>IF(T924="Sim",S924+ROW()/100000,0)</f>
        <v>0</v>
      </c>
      <c r="V924" s="41">
        <f>IF(AND(H924="Falta",L924=Config!$B$7,M924=Config!$B$5,COUNTIFS($E$5:E924,E924,$H$5:H924,"Falta",$L$5:L924,Config!$B$7,$M$5:M924,Config!$B$5)=1),COUNTIFS($E$5:$E$1204,E924,$H$5:$H$1204,"Falta",$L$5:$L$1204,Config!$B$7,$M$5:$M$1204,Config!$B$5)*1000-ROW()/100000,0)</f>
        <v>0</v>
      </c>
    </row>
    <row r="925">
      <c r="A925" s="39">
        <f>TODAY()+18</f>
        <v>46297.0</v>
      </c>
      <c r="B925" s="40" t="n">
        <v>0.4097222222222222</v>
      </c>
      <c r="C925" s="35" t="inlineStr">
        <is>
          <t>Dr. Paulo Andrade</t>
        </is>
      </c>
      <c r="D925" s="35" t="inlineStr">
        <is>
          <t>Sala 2</t>
        </is>
      </c>
      <c r="E925" s="34" t="inlineStr">
        <is>
          <t>Sandra Cardoso</t>
        </is>
      </c>
      <c r="F925" s="35" t="inlineStr">
        <is>
          <t>Saúde Total</t>
        </is>
      </c>
      <c r="G925" s="35" t="inlineStr">
        <is>
          <t>Consulta</t>
        </is>
      </c>
      <c r="H925" s="35" t="inlineStr">
        <is>
          <t>Agendado</t>
        </is>
      </c>
      <c r="I925" s="35" t="n"/>
      <c r="J925" s="35" t="n"/>
      <c r="K925" s="34" t="n"/>
      <c r="L925" s="26">
        <f>IF(A925="","",MONTH(A925))</f>
        <v>10</v>
      </c>
      <c r="M925" s="26">
        <f>IF(A925="","",YEAR(A925))</f>
        <v>2026</v>
      </c>
      <c r="N925" s="26" t="str">
        <f>IF(A925="","",CHOOSE(WEEKDAY(A925,2),"Segunda","Terça","Quarta","Quinta","Sexta","Sábado","Domingo"))</f>
        <v>Sexta</v>
      </c>
      <c r="O925" s="26" t="str">
        <f>IF(B925="","",IF(B925&lt;TIME(12,0,0),"Manhã",IF(B925&lt;TIME(18,0,0),"Tarde","Noite")))</f>
        <v>Manhã</v>
      </c>
      <c r="P925" s="32">
        <f>IF(G925="","",IFERROR(INDEX(Config!$I$5:$I$16,MATCH(G925,Config!$H$5:$H$16,0)),0))</f>
        <v>30</v>
      </c>
      <c r="Q925" s="30">
        <f>IF(OR(H925&lt;&gt;"Realizado",P925="",P925=0),"",A925+P925)</f>
        <v/>
      </c>
      <c r="R925" s="26">
        <f>IF(Q925="","",IF(COUNTIFS($E$5:$E$1204,E925,$A$5:$A$1204,"&gt;"&amp;A925,$H$5:$H$1204,"&lt;&gt;Falta",$H$5:$H$1204,"&lt;&gt;Cancelado",$H$5:$H$1204,"&lt;&gt;Remarcado")&gt;0,"Sim","Não"))</f>
        <v/>
      </c>
      <c r="S925" s="32">
        <f>IF(R925&lt;&gt;"Não","",IF(Q925+Config!$B$9&lt;=Config!$B$8,Config!$B$8-Q925,""))</f>
        <v/>
      </c>
      <c r="T925" s="26">
        <f>IF(S925="","","Sim")</f>
        <v/>
      </c>
      <c r="U925" s="41">
        <f>IF(T925="Sim",S925+ROW()/100000,0)</f>
        <v>0</v>
      </c>
      <c r="V925" s="41">
        <f>IF(AND(H925="Falta",L925=Config!$B$7,M925=Config!$B$5,COUNTIFS($E$5:E925,E925,$H$5:H925,"Falta",$L$5:L925,Config!$B$7,$M$5:M925,Config!$B$5)=1),COUNTIFS($E$5:$E$1204,E925,$H$5:$H$1204,"Falta",$L$5:$L$1204,Config!$B$7,$M$5:$M$1204,Config!$B$5)*1000-ROW()/100000,0)</f>
        <v>0</v>
      </c>
    </row>
    <row r="926">
      <c r="A926" s="39">
        <f>TODAY()+18</f>
        <v>46297.0</v>
      </c>
      <c r="B926" s="40" t="n">
        <v>0.4305555555555556</v>
      </c>
      <c r="C926" s="35" t="inlineStr">
        <is>
          <t>Dr. Paulo Andrade</t>
        </is>
      </c>
      <c r="D926" s="35" t="inlineStr">
        <is>
          <t>Sala 2</t>
        </is>
      </c>
      <c r="E926" s="34" t="inlineStr">
        <is>
          <t>Rodrigo Moreira</t>
        </is>
      </c>
      <c r="F926" s="35" t="inlineStr">
        <is>
          <t>Particular</t>
        </is>
      </c>
      <c r="G926" s="35" t="inlineStr">
        <is>
          <t>Teste ergométrico</t>
        </is>
      </c>
      <c r="H926" s="35" t="inlineStr">
        <is>
          <t>Agendado</t>
        </is>
      </c>
      <c r="I926" s="35" t="n"/>
      <c r="J926" s="35" t="n"/>
      <c r="K926" s="34" t="n"/>
      <c r="L926" s="26">
        <f>IF(A926="","",MONTH(A926))</f>
        <v>10</v>
      </c>
      <c r="M926" s="26">
        <f>IF(A926="","",YEAR(A926))</f>
        <v>2026</v>
      </c>
      <c r="N926" s="26" t="str">
        <f>IF(A926="","",CHOOSE(WEEKDAY(A926,2),"Segunda","Terça","Quarta","Quinta","Sexta","Sábado","Domingo"))</f>
        <v>Sexta</v>
      </c>
      <c r="O926" s="26" t="str">
        <f>IF(B926="","",IF(B926&lt;TIME(12,0,0),"Manhã",IF(B926&lt;TIME(18,0,0),"Tarde","Noite")))</f>
        <v>Manhã</v>
      </c>
      <c r="P926" s="32">
        <f>IF(G926="","",IFERROR(INDEX(Config!$I$5:$I$16,MATCH(G926,Config!$H$5:$H$16,0)),0))</f>
        <v>0</v>
      </c>
      <c r="Q926" s="30">
        <f>IF(OR(H926&lt;&gt;"Realizado",P926="",P926=0),"",A926+P926)</f>
        <v/>
      </c>
      <c r="R926" s="26">
        <f>IF(Q926="","",IF(COUNTIFS($E$5:$E$1204,E926,$A$5:$A$1204,"&gt;"&amp;A926,$H$5:$H$1204,"&lt;&gt;Falta",$H$5:$H$1204,"&lt;&gt;Cancelado",$H$5:$H$1204,"&lt;&gt;Remarcado")&gt;0,"Sim","Não"))</f>
        <v/>
      </c>
      <c r="S926" s="32">
        <f>IF(R926&lt;&gt;"Não","",IF(Q926+Config!$B$9&lt;=Config!$B$8,Config!$B$8-Q926,""))</f>
        <v/>
      </c>
      <c r="T926" s="26">
        <f>IF(S926="","","Sim")</f>
        <v/>
      </c>
      <c r="U926" s="41">
        <f>IF(T926="Sim",S926+ROW()/100000,0)</f>
        <v>0</v>
      </c>
      <c r="V926" s="41">
        <f>IF(AND(H926="Falta",L926=Config!$B$7,M926=Config!$B$5,COUNTIFS($E$5:E926,E926,$H$5:H926,"Falta",$L$5:L926,Config!$B$7,$M$5:M926,Config!$B$5)=1),COUNTIFS($E$5:$E$1204,E926,$H$5:$H$1204,"Falta",$L$5:$L$1204,Config!$B$7,$M$5:$M$1204,Config!$B$5)*1000-ROW()/100000,0)</f>
        <v>0</v>
      </c>
    </row>
    <row r="927">
      <c r="A927" s="39">
        <f>TODAY()+18</f>
        <v>46297.0</v>
      </c>
      <c r="B927" s="40" t="n">
        <v>0.4583333333333333</v>
      </c>
      <c r="C927" s="35" t="inlineStr">
        <is>
          <t>Dr. Paulo Andrade</t>
        </is>
      </c>
      <c r="D927" s="35" t="inlineStr">
        <is>
          <t>Sala 2</t>
        </is>
      </c>
      <c r="E927" s="34" t="inlineStr">
        <is>
          <t>Tatiana Cunha</t>
        </is>
      </c>
      <c r="F927" s="35" t="inlineStr">
        <is>
          <t>Saúde Total</t>
        </is>
      </c>
      <c r="G927" s="35" t="inlineStr">
        <is>
          <t>ECG</t>
        </is>
      </c>
      <c r="H927" s="35" t="inlineStr">
        <is>
          <t>Agendado</t>
        </is>
      </c>
      <c r="I927" s="35" t="n"/>
      <c r="J927" s="35" t="n"/>
      <c r="K927" s="34" t="n"/>
      <c r="L927" s="26">
        <f>IF(A927="","",MONTH(A927))</f>
        <v>10</v>
      </c>
      <c r="M927" s="26">
        <f>IF(A927="","",YEAR(A927))</f>
        <v>2026</v>
      </c>
      <c r="N927" s="26" t="str">
        <f>IF(A927="","",CHOOSE(WEEKDAY(A927,2),"Segunda","Terça","Quarta","Quinta","Sexta","Sábado","Domingo"))</f>
        <v>Sexta</v>
      </c>
      <c r="O927" s="26" t="str">
        <f>IF(B927="","",IF(B927&lt;TIME(12,0,0),"Manhã",IF(B927&lt;TIME(18,0,0),"Tarde","Noite")))</f>
        <v>Manhã</v>
      </c>
      <c r="P927" s="32">
        <f>IF(G927="","",IFERROR(INDEX(Config!$I$5:$I$16,MATCH(G927,Config!$H$5:$H$16,0)),0))</f>
        <v>0</v>
      </c>
      <c r="Q927" s="30">
        <f>IF(OR(H927&lt;&gt;"Realizado",P927="",P927=0),"",A927+P927)</f>
        <v/>
      </c>
      <c r="R927" s="26">
        <f>IF(Q927="","",IF(COUNTIFS($E$5:$E$1204,E927,$A$5:$A$1204,"&gt;"&amp;A927,$H$5:$H$1204,"&lt;&gt;Falta",$H$5:$H$1204,"&lt;&gt;Cancelado",$H$5:$H$1204,"&lt;&gt;Remarcado")&gt;0,"Sim","Não"))</f>
        <v/>
      </c>
      <c r="S927" s="32">
        <f>IF(R927&lt;&gt;"Não","",IF(Q927+Config!$B$9&lt;=Config!$B$8,Config!$B$8-Q927,""))</f>
        <v/>
      </c>
      <c r="T927" s="26">
        <f>IF(S927="","","Sim")</f>
        <v/>
      </c>
      <c r="U927" s="41">
        <f>IF(T927="Sim",S927+ROW()/100000,0)</f>
        <v>0</v>
      </c>
      <c r="V927" s="41">
        <f>IF(AND(H927="Falta",L927=Config!$B$7,M927=Config!$B$5,COUNTIFS($E$5:E927,E927,$H$5:H927,"Falta",$L$5:L927,Config!$B$7,$M$5:M927,Config!$B$5)=1),COUNTIFS($E$5:$E$1204,E927,$H$5:$H$1204,"Falta",$L$5:$L$1204,Config!$B$7,$M$5:$M$1204,Config!$B$5)*1000-ROW()/100000,0)</f>
        <v>0</v>
      </c>
    </row>
    <row r="928">
      <c r="A928" s="39">
        <f>TODAY()+21</f>
        <v>46300.0</v>
      </c>
      <c r="B928" s="40" t="n">
        <v>0.3333333333333333</v>
      </c>
      <c r="C928" s="35" t="inlineStr">
        <is>
          <t>Dra. Carolina Mendes</t>
        </is>
      </c>
      <c r="D928" s="35" t="inlineStr">
        <is>
          <t>Sala 1</t>
        </is>
      </c>
      <c r="E928" s="34" t="inlineStr">
        <is>
          <t>Débora Machado</t>
        </is>
      </c>
      <c r="F928" s="35" t="inlineStr">
        <is>
          <t>Saúde Total</t>
        </is>
      </c>
      <c r="G928" s="35" t="inlineStr">
        <is>
          <t>Consulta</t>
        </is>
      </c>
      <c r="H928" s="35" t="inlineStr">
        <is>
          <t>Agendado</t>
        </is>
      </c>
      <c r="I928" s="35" t="n"/>
      <c r="J928" s="35" t="n"/>
      <c r="K928" s="34" t="n"/>
      <c r="L928" s="26">
        <f>IF(A928="","",MONTH(A928))</f>
        <v>10</v>
      </c>
      <c r="M928" s="26">
        <f>IF(A928="","",YEAR(A928))</f>
        <v>2026</v>
      </c>
      <c r="N928" s="26" t="str">
        <f>IF(A928="","",CHOOSE(WEEKDAY(A928,2),"Segunda","Terça","Quarta","Quinta","Sexta","Sábado","Domingo"))</f>
        <v>Segunda</v>
      </c>
      <c r="O928" s="26" t="str">
        <f>IF(B928="","",IF(B928&lt;TIME(12,0,0),"Manhã",IF(B928&lt;TIME(18,0,0),"Tarde","Noite")))</f>
        <v>Manhã</v>
      </c>
      <c r="P928" s="32">
        <f>IF(G928="","",IFERROR(INDEX(Config!$I$5:$I$16,MATCH(G928,Config!$H$5:$H$16,0)),0))</f>
        <v>30</v>
      </c>
      <c r="Q928" s="30">
        <f>IF(OR(H928&lt;&gt;"Realizado",P928="",P928=0),"",A928+P928)</f>
        <v/>
      </c>
      <c r="R928" s="26">
        <f>IF(Q928="","",IF(COUNTIFS($E$5:$E$1204,E928,$A$5:$A$1204,"&gt;"&amp;A928,$H$5:$H$1204,"&lt;&gt;Falta",$H$5:$H$1204,"&lt;&gt;Cancelado",$H$5:$H$1204,"&lt;&gt;Remarcado")&gt;0,"Sim","Não"))</f>
        <v/>
      </c>
      <c r="S928" s="32">
        <f>IF(R928&lt;&gt;"Não","",IF(Q928+Config!$B$9&lt;=Config!$B$8,Config!$B$8-Q928,""))</f>
        <v/>
      </c>
      <c r="T928" s="26">
        <f>IF(S928="","","Sim")</f>
        <v/>
      </c>
      <c r="U928" s="41">
        <f>IF(T928="Sim",S928+ROW()/100000,0)</f>
        <v>0</v>
      </c>
      <c r="V928" s="41">
        <f>IF(AND(H928="Falta",L928=Config!$B$7,M928=Config!$B$5,COUNTIFS($E$5:E928,E928,$H$5:H928,"Falta",$L$5:L928,Config!$B$7,$M$5:M928,Config!$B$5)=1),COUNTIFS($E$5:$E$1204,E928,$H$5:$H$1204,"Falta",$L$5:$L$1204,Config!$B$7,$M$5:$M$1204,Config!$B$5)*1000-ROW()/100000,0)</f>
        <v>0</v>
      </c>
    </row>
    <row r="929">
      <c r="A929" s="39">
        <f>TODAY()+21</f>
        <v>46300.0</v>
      </c>
      <c r="B929" s="40" t="n">
        <v>0.3541666666666667</v>
      </c>
      <c r="C929" s="35" t="inlineStr">
        <is>
          <t>Dra. Carolina Mendes</t>
        </is>
      </c>
      <c r="D929" s="35" t="inlineStr">
        <is>
          <t>Sala 1</t>
        </is>
      </c>
      <c r="E929" s="34" t="inlineStr">
        <is>
          <t>Juliana Silva</t>
        </is>
      </c>
      <c r="F929" s="35" t="inlineStr">
        <is>
          <t>Vida Care</t>
        </is>
      </c>
      <c r="G929" s="35" t="inlineStr">
        <is>
          <t>Consulta</t>
        </is>
      </c>
      <c r="H929" s="35" t="inlineStr">
        <is>
          <t>Agendado</t>
        </is>
      </c>
      <c r="I929" s="35" t="n"/>
      <c r="J929" s="35" t="n"/>
      <c r="K929" s="34" t="n"/>
      <c r="L929" s="26">
        <f>IF(A929="","",MONTH(A929))</f>
        <v>10</v>
      </c>
      <c r="M929" s="26">
        <f>IF(A929="","",YEAR(A929))</f>
        <v>2026</v>
      </c>
      <c r="N929" s="26" t="str">
        <f>IF(A929="","",CHOOSE(WEEKDAY(A929,2),"Segunda","Terça","Quarta","Quinta","Sexta","Sábado","Domingo"))</f>
        <v>Segunda</v>
      </c>
      <c r="O929" s="26" t="str">
        <f>IF(B929="","",IF(B929&lt;TIME(12,0,0),"Manhã",IF(B929&lt;TIME(18,0,0),"Tarde","Noite")))</f>
        <v>Manhã</v>
      </c>
      <c r="P929" s="32">
        <f>IF(G929="","",IFERROR(INDEX(Config!$I$5:$I$16,MATCH(G929,Config!$H$5:$H$16,0)),0))</f>
        <v>30</v>
      </c>
      <c r="Q929" s="30">
        <f>IF(OR(H929&lt;&gt;"Realizado",P929="",P929=0),"",A929+P929)</f>
        <v/>
      </c>
      <c r="R929" s="26">
        <f>IF(Q929="","",IF(COUNTIFS($E$5:$E$1204,E929,$A$5:$A$1204,"&gt;"&amp;A929,$H$5:$H$1204,"&lt;&gt;Falta",$H$5:$H$1204,"&lt;&gt;Cancelado",$H$5:$H$1204,"&lt;&gt;Remarcado")&gt;0,"Sim","Não"))</f>
        <v/>
      </c>
      <c r="S929" s="32">
        <f>IF(R929&lt;&gt;"Não","",IF(Q929+Config!$B$9&lt;=Config!$B$8,Config!$B$8-Q929,""))</f>
        <v/>
      </c>
      <c r="T929" s="26">
        <f>IF(S929="","","Sim")</f>
        <v/>
      </c>
      <c r="U929" s="41">
        <f>IF(T929="Sim",S929+ROW()/100000,0)</f>
        <v>0</v>
      </c>
      <c r="V929" s="41">
        <f>IF(AND(H929="Falta",L929=Config!$B$7,M929=Config!$B$5,COUNTIFS($E$5:E929,E929,$H$5:H929,"Falta",$L$5:L929,Config!$B$7,$M$5:M929,Config!$B$5)=1),COUNTIFS($E$5:$E$1204,E929,$H$5:$H$1204,"Falta",$L$5:$L$1204,Config!$B$7,$M$5:$M$1204,Config!$B$5)*1000-ROW()/100000,0)</f>
        <v>0</v>
      </c>
    </row>
    <row r="930">
      <c r="A930" s="39">
        <f>TODAY()+21</f>
        <v>46300.0</v>
      </c>
      <c r="B930" s="40" t="n">
        <v>0.375</v>
      </c>
      <c r="C930" s="35" t="inlineStr">
        <is>
          <t>Dra. Carolina Mendes</t>
        </is>
      </c>
      <c r="D930" s="35" t="inlineStr">
        <is>
          <t>Sala 1</t>
        </is>
      </c>
      <c r="E930" s="34" t="inlineStr">
        <is>
          <t>Ricardo Melo</t>
        </is>
      </c>
      <c r="F930" s="35" t="inlineStr">
        <is>
          <t>Saúde Total</t>
        </is>
      </c>
      <c r="G930" s="35" t="inlineStr">
        <is>
          <t>Consulta</t>
        </is>
      </c>
      <c r="H930" s="35" t="inlineStr">
        <is>
          <t>Agendado</t>
        </is>
      </c>
      <c r="I930" s="35" t="n"/>
      <c r="J930" s="35" t="n"/>
      <c r="K930" s="34" t="n"/>
      <c r="L930" s="26">
        <f>IF(A930="","",MONTH(A930))</f>
        <v>10</v>
      </c>
      <c r="M930" s="26">
        <f>IF(A930="","",YEAR(A930))</f>
        <v>2026</v>
      </c>
      <c r="N930" s="26" t="str">
        <f>IF(A930="","",CHOOSE(WEEKDAY(A930,2),"Segunda","Terça","Quarta","Quinta","Sexta","Sábado","Domingo"))</f>
        <v>Segunda</v>
      </c>
      <c r="O930" s="26" t="str">
        <f>IF(B930="","",IF(B930&lt;TIME(12,0,0),"Manhã",IF(B930&lt;TIME(18,0,0),"Tarde","Noite")))</f>
        <v>Manhã</v>
      </c>
      <c r="P930" s="32">
        <f>IF(G930="","",IFERROR(INDEX(Config!$I$5:$I$16,MATCH(G930,Config!$H$5:$H$16,0)),0))</f>
        <v>30</v>
      </c>
      <c r="Q930" s="30">
        <f>IF(OR(H930&lt;&gt;"Realizado",P930="",P930=0),"",A930+P930)</f>
        <v/>
      </c>
      <c r="R930" s="26">
        <f>IF(Q930="","",IF(COUNTIFS($E$5:$E$1204,E930,$A$5:$A$1204,"&gt;"&amp;A930,$H$5:$H$1204,"&lt;&gt;Falta",$H$5:$H$1204,"&lt;&gt;Cancelado",$H$5:$H$1204,"&lt;&gt;Remarcado")&gt;0,"Sim","Não"))</f>
        <v/>
      </c>
      <c r="S930" s="32">
        <f>IF(R930&lt;&gt;"Não","",IF(Q930+Config!$B$9&lt;=Config!$B$8,Config!$B$8-Q930,""))</f>
        <v/>
      </c>
      <c r="T930" s="26">
        <f>IF(S930="","","Sim")</f>
        <v/>
      </c>
      <c r="U930" s="41">
        <f>IF(T930="Sim",S930+ROW()/100000,0)</f>
        <v>0</v>
      </c>
      <c r="V930" s="41">
        <f>IF(AND(H930="Falta",L930=Config!$B$7,M930=Config!$B$5,COUNTIFS($E$5:E930,E930,$H$5:H930,"Falta",$L$5:L930,Config!$B$7,$M$5:M930,Config!$B$5)=1),COUNTIFS($E$5:$E$1204,E930,$H$5:$H$1204,"Falta",$L$5:$L$1204,Config!$B$7,$M$5:$M$1204,Config!$B$5)*1000-ROW()/100000,0)</f>
        <v>0</v>
      </c>
    </row>
    <row r="931">
      <c r="A931" s="39">
        <f>TODAY()+21</f>
        <v>46300.0</v>
      </c>
      <c r="B931" s="40" t="n">
        <v>0.4166666666666667</v>
      </c>
      <c r="C931" s="35" t="inlineStr">
        <is>
          <t>Dra. Carolina Mendes</t>
        </is>
      </c>
      <c r="D931" s="35" t="inlineStr">
        <is>
          <t>Sala 1</t>
        </is>
      </c>
      <c r="E931" s="34" t="inlineStr">
        <is>
          <t>Leandro Oliveira</t>
        </is>
      </c>
      <c r="F931" s="35" t="inlineStr">
        <is>
          <t>Particular</t>
        </is>
      </c>
      <c r="G931" s="35" t="inlineStr">
        <is>
          <t>Consulta</t>
        </is>
      </c>
      <c r="H931" s="35" t="inlineStr">
        <is>
          <t>Agendado</t>
        </is>
      </c>
      <c r="I931" s="35" t="n"/>
      <c r="J931" s="35" t="n"/>
      <c r="K931" s="34" t="n"/>
      <c r="L931" s="26">
        <f>IF(A931="","",MONTH(A931))</f>
        <v>10</v>
      </c>
      <c r="M931" s="26">
        <f>IF(A931="","",YEAR(A931))</f>
        <v>2026</v>
      </c>
      <c r="N931" s="26" t="str">
        <f>IF(A931="","",CHOOSE(WEEKDAY(A931,2),"Segunda","Terça","Quarta","Quinta","Sexta","Sábado","Domingo"))</f>
        <v>Segunda</v>
      </c>
      <c r="O931" s="26" t="str">
        <f>IF(B931="","",IF(B931&lt;TIME(12,0,0),"Manhã",IF(B931&lt;TIME(18,0,0),"Tarde","Noite")))</f>
        <v>Manhã</v>
      </c>
      <c r="P931" s="32">
        <f>IF(G931="","",IFERROR(INDEX(Config!$I$5:$I$16,MATCH(G931,Config!$H$5:$H$16,0)),0))</f>
        <v>30</v>
      </c>
      <c r="Q931" s="30">
        <f>IF(OR(H931&lt;&gt;"Realizado",P931="",P931=0),"",A931+P931)</f>
        <v/>
      </c>
      <c r="R931" s="26">
        <f>IF(Q931="","",IF(COUNTIFS($E$5:$E$1204,E931,$A$5:$A$1204,"&gt;"&amp;A931,$H$5:$H$1204,"&lt;&gt;Falta",$H$5:$H$1204,"&lt;&gt;Cancelado",$H$5:$H$1204,"&lt;&gt;Remarcado")&gt;0,"Sim","Não"))</f>
        <v/>
      </c>
      <c r="S931" s="32">
        <f>IF(R931&lt;&gt;"Não","",IF(Q931+Config!$B$9&lt;=Config!$B$8,Config!$B$8-Q931,""))</f>
        <v/>
      </c>
      <c r="T931" s="26">
        <f>IF(S931="","","Sim")</f>
        <v/>
      </c>
      <c r="U931" s="41">
        <f>IF(T931="Sim",S931+ROW()/100000,0)</f>
        <v>0</v>
      </c>
      <c r="V931" s="41">
        <f>IF(AND(H931="Falta",L931=Config!$B$7,M931=Config!$B$5,COUNTIFS($E$5:E931,E931,$H$5:H931,"Falta",$L$5:L931,Config!$B$7,$M$5:M931,Config!$B$5)=1),COUNTIFS($E$5:$E$1204,E931,$H$5:$H$1204,"Falta",$L$5:$L$1204,Config!$B$7,$M$5:$M$1204,Config!$B$5)*1000-ROW()/100000,0)</f>
        <v>0</v>
      </c>
    </row>
    <row r="932">
      <c r="A932" s="39">
        <f>TODAY()+21</f>
        <v>46300.0</v>
      </c>
      <c r="B932" s="40" t="n">
        <v>0.4375</v>
      </c>
      <c r="C932" s="35" t="inlineStr">
        <is>
          <t>Dra. Carolina Mendes</t>
        </is>
      </c>
      <c r="D932" s="35" t="inlineStr">
        <is>
          <t>Sala 1</t>
        </is>
      </c>
      <c r="E932" s="34" t="inlineStr">
        <is>
          <t>Leandro Gomes</t>
        </is>
      </c>
      <c r="F932" s="35" t="inlineStr">
        <is>
          <t>Saúde Total</t>
        </is>
      </c>
      <c r="G932" s="35" t="inlineStr">
        <is>
          <t>Consulta</t>
        </is>
      </c>
      <c r="H932" s="35" t="inlineStr">
        <is>
          <t>Agendado</t>
        </is>
      </c>
      <c r="I932" s="35" t="n"/>
      <c r="J932" s="35" t="n"/>
      <c r="K932" s="34" t="n"/>
      <c r="L932" s="26">
        <f>IF(A932="","",MONTH(A932))</f>
        <v>10</v>
      </c>
      <c r="M932" s="26">
        <f>IF(A932="","",YEAR(A932))</f>
        <v>2026</v>
      </c>
      <c r="N932" s="26" t="str">
        <f>IF(A932="","",CHOOSE(WEEKDAY(A932,2),"Segunda","Terça","Quarta","Quinta","Sexta","Sábado","Domingo"))</f>
        <v>Segunda</v>
      </c>
      <c r="O932" s="26" t="str">
        <f>IF(B932="","",IF(B932&lt;TIME(12,0,0),"Manhã",IF(B932&lt;TIME(18,0,0),"Tarde","Noite")))</f>
        <v>Manhã</v>
      </c>
      <c r="P932" s="32">
        <f>IF(G932="","",IFERROR(INDEX(Config!$I$5:$I$16,MATCH(G932,Config!$H$5:$H$16,0)),0))</f>
        <v>30</v>
      </c>
      <c r="Q932" s="30">
        <f>IF(OR(H932&lt;&gt;"Realizado",P932="",P932=0),"",A932+P932)</f>
        <v/>
      </c>
      <c r="R932" s="26">
        <f>IF(Q932="","",IF(COUNTIFS($E$5:$E$1204,E932,$A$5:$A$1204,"&gt;"&amp;A932,$H$5:$H$1204,"&lt;&gt;Falta",$H$5:$H$1204,"&lt;&gt;Cancelado",$H$5:$H$1204,"&lt;&gt;Remarcado")&gt;0,"Sim","Não"))</f>
        <v/>
      </c>
      <c r="S932" s="32">
        <f>IF(R932&lt;&gt;"Não","",IF(Q932+Config!$B$9&lt;=Config!$B$8,Config!$B$8-Q932,""))</f>
        <v/>
      </c>
      <c r="T932" s="26">
        <f>IF(S932="","","Sim")</f>
        <v/>
      </c>
      <c r="U932" s="41">
        <f>IF(T932="Sim",S932+ROW()/100000,0)</f>
        <v>0</v>
      </c>
      <c r="V932" s="41">
        <f>IF(AND(H932="Falta",L932=Config!$B$7,M932=Config!$B$5,COUNTIFS($E$5:E932,E932,$H$5:H932,"Falta",$L$5:L932,Config!$B$7,$M$5:M932,Config!$B$5)=1),COUNTIFS($E$5:$E$1204,E932,$H$5:$H$1204,"Falta",$L$5:$L$1204,Config!$B$7,$M$5:$M$1204,Config!$B$5)*1000-ROW()/100000,0)</f>
        <v>0</v>
      </c>
    </row>
    <row r="933">
      <c r="A933" s="39">
        <f>TODAY()+21</f>
        <v>46300.0</v>
      </c>
      <c r="B933" s="40" t="n">
        <v>0.4583333333333333</v>
      </c>
      <c r="C933" s="35" t="inlineStr">
        <is>
          <t>Dra. Carolina Mendes</t>
        </is>
      </c>
      <c r="D933" s="35" t="inlineStr">
        <is>
          <t>Sala 1</t>
        </is>
      </c>
      <c r="E933" s="34" t="inlineStr">
        <is>
          <t>Rodrigo Gomes</t>
        </is>
      </c>
      <c r="F933" s="35" t="inlineStr">
        <is>
          <t>Vida Care</t>
        </is>
      </c>
      <c r="G933" s="35" t="inlineStr">
        <is>
          <t>Consulta</t>
        </is>
      </c>
      <c r="H933" s="35" t="inlineStr">
        <is>
          <t>Agendado</t>
        </is>
      </c>
      <c r="I933" s="35" t="n"/>
      <c r="J933" s="35" t="n"/>
      <c r="K933" s="34" t="n"/>
      <c r="L933" s="26">
        <f>IF(A933="","",MONTH(A933))</f>
        <v>10</v>
      </c>
      <c r="M933" s="26">
        <f>IF(A933="","",YEAR(A933))</f>
        <v>2026</v>
      </c>
      <c r="N933" s="26" t="str">
        <f>IF(A933="","",CHOOSE(WEEKDAY(A933,2),"Segunda","Terça","Quarta","Quinta","Sexta","Sábado","Domingo"))</f>
        <v>Segunda</v>
      </c>
      <c r="O933" s="26" t="str">
        <f>IF(B933="","",IF(B933&lt;TIME(12,0,0),"Manhã",IF(B933&lt;TIME(18,0,0),"Tarde","Noite")))</f>
        <v>Manhã</v>
      </c>
      <c r="P933" s="32">
        <f>IF(G933="","",IFERROR(INDEX(Config!$I$5:$I$16,MATCH(G933,Config!$H$5:$H$16,0)),0))</f>
        <v>30</v>
      </c>
      <c r="Q933" s="30">
        <f>IF(OR(H933&lt;&gt;"Realizado",P933="",P933=0),"",A933+P933)</f>
        <v/>
      </c>
      <c r="R933" s="26">
        <f>IF(Q933="","",IF(COUNTIFS($E$5:$E$1204,E933,$A$5:$A$1204,"&gt;"&amp;A933,$H$5:$H$1204,"&lt;&gt;Falta",$H$5:$H$1204,"&lt;&gt;Cancelado",$H$5:$H$1204,"&lt;&gt;Remarcado")&gt;0,"Sim","Não"))</f>
        <v/>
      </c>
      <c r="S933" s="32">
        <f>IF(R933&lt;&gt;"Não","",IF(Q933+Config!$B$9&lt;=Config!$B$8,Config!$B$8-Q933,""))</f>
        <v/>
      </c>
      <c r="T933" s="26">
        <f>IF(S933="","","Sim")</f>
        <v/>
      </c>
      <c r="U933" s="41">
        <f>IF(T933="Sim",S933+ROW()/100000,0)</f>
        <v>0</v>
      </c>
      <c r="V933" s="41">
        <f>IF(AND(H933="Falta",L933=Config!$B$7,M933=Config!$B$5,COUNTIFS($E$5:E933,E933,$H$5:H933,"Falta",$L$5:L933,Config!$B$7,$M$5:M933,Config!$B$5)=1),COUNTIFS($E$5:$E$1204,E933,$H$5:$H$1204,"Falta",$L$5:$L$1204,Config!$B$7,$M$5:$M$1204,Config!$B$5)*1000-ROW()/100000,0)</f>
        <v>0</v>
      </c>
    </row>
    <row r="934">
      <c r="A934" s="39">
        <f>TODAY()+21</f>
        <v>46300.0</v>
      </c>
      <c r="B934" s="40" t="n">
        <v>0.4791666666666667</v>
      </c>
      <c r="C934" s="35" t="inlineStr">
        <is>
          <t>Dra. Carolina Mendes</t>
        </is>
      </c>
      <c r="D934" s="35" t="inlineStr">
        <is>
          <t>Sala 1</t>
        </is>
      </c>
      <c r="E934" s="34" t="inlineStr">
        <is>
          <t>Roberta Araújo</t>
        </is>
      </c>
      <c r="F934" s="35" t="inlineStr">
        <is>
          <t>Particular</t>
        </is>
      </c>
      <c r="G934" s="35" t="inlineStr">
        <is>
          <t>Consulta</t>
        </is>
      </c>
      <c r="H934" s="35" t="inlineStr">
        <is>
          <t>Agendado</t>
        </is>
      </c>
      <c r="I934" s="35" t="n"/>
      <c r="J934" s="35" t="n"/>
      <c r="K934" s="34" t="n"/>
      <c r="L934" s="26">
        <f>IF(A934="","",MONTH(A934))</f>
        <v>10</v>
      </c>
      <c r="M934" s="26">
        <f>IF(A934="","",YEAR(A934))</f>
        <v>2026</v>
      </c>
      <c r="N934" s="26" t="str">
        <f>IF(A934="","",CHOOSE(WEEKDAY(A934,2),"Segunda","Terça","Quarta","Quinta","Sexta","Sábado","Domingo"))</f>
        <v>Segunda</v>
      </c>
      <c r="O934" s="26" t="str">
        <f>IF(B934="","",IF(B934&lt;TIME(12,0,0),"Manhã",IF(B934&lt;TIME(18,0,0),"Tarde","Noite")))</f>
        <v>Manhã</v>
      </c>
      <c r="P934" s="32">
        <f>IF(G934="","",IFERROR(INDEX(Config!$I$5:$I$16,MATCH(G934,Config!$H$5:$H$16,0)),0))</f>
        <v>30</v>
      </c>
      <c r="Q934" s="30">
        <f>IF(OR(H934&lt;&gt;"Realizado",P934="",P934=0),"",A934+P934)</f>
        <v/>
      </c>
      <c r="R934" s="26">
        <f>IF(Q934="","",IF(COUNTIFS($E$5:$E$1204,E934,$A$5:$A$1204,"&gt;"&amp;A934,$H$5:$H$1204,"&lt;&gt;Falta",$H$5:$H$1204,"&lt;&gt;Cancelado",$H$5:$H$1204,"&lt;&gt;Remarcado")&gt;0,"Sim","Não"))</f>
        <v/>
      </c>
      <c r="S934" s="32">
        <f>IF(R934&lt;&gt;"Não","",IF(Q934+Config!$B$9&lt;=Config!$B$8,Config!$B$8-Q934,""))</f>
        <v/>
      </c>
      <c r="T934" s="26">
        <f>IF(S934="","","Sim")</f>
        <v/>
      </c>
      <c r="U934" s="41">
        <f>IF(T934="Sim",S934+ROW()/100000,0)</f>
        <v>0</v>
      </c>
      <c r="V934" s="41">
        <f>IF(AND(H934="Falta",L934=Config!$B$7,M934=Config!$B$5,COUNTIFS($E$5:E934,E934,$H$5:H934,"Falta",$L$5:L934,Config!$B$7,$M$5:M934,Config!$B$5)=1),COUNTIFS($E$5:$E$1204,E934,$H$5:$H$1204,"Falta",$L$5:$L$1204,Config!$B$7,$M$5:$M$1204,Config!$B$5)*1000-ROW()/100000,0)</f>
        <v>0</v>
      </c>
    </row>
    <row r="935">
      <c r="A935" s="39">
        <f>TODAY()+21</f>
        <v>46300.0</v>
      </c>
      <c r="B935" s="40" t="n">
        <v>0.5833333333333334</v>
      </c>
      <c r="C935" s="35" t="inlineStr">
        <is>
          <t>Dr. Paulo Andrade</t>
        </is>
      </c>
      <c r="D935" s="35" t="inlineStr">
        <is>
          <t>Sala 2</t>
        </is>
      </c>
      <c r="E935" s="34" t="inlineStr">
        <is>
          <t>Elaine Cardoso</t>
        </is>
      </c>
      <c r="F935" s="35" t="inlineStr">
        <is>
          <t>Particular</t>
        </is>
      </c>
      <c r="G935" s="35" t="inlineStr">
        <is>
          <t>MAPA</t>
        </is>
      </c>
      <c r="H935" s="35" t="inlineStr">
        <is>
          <t>Agendado</t>
        </is>
      </c>
      <c r="I935" s="35" t="n"/>
      <c r="J935" s="35" t="n"/>
      <c r="K935" s="34" t="n"/>
      <c r="L935" s="26">
        <f>IF(A935="","",MONTH(A935))</f>
        <v>10</v>
      </c>
      <c r="M935" s="26">
        <f>IF(A935="","",YEAR(A935))</f>
        <v>2026</v>
      </c>
      <c r="N935" s="26" t="str">
        <f>IF(A935="","",CHOOSE(WEEKDAY(A935,2),"Segunda","Terça","Quarta","Quinta","Sexta","Sábado","Domingo"))</f>
        <v>Segunda</v>
      </c>
      <c r="O935" s="26" t="str">
        <f>IF(B935="","",IF(B935&lt;TIME(12,0,0),"Manhã",IF(B935&lt;TIME(18,0,0),"Tarde","Noite")))</f>
        <v>Tarde</v>
      </c>
      <c r="P935" s="32">
        <f>IF(G935="","",IFERROR(INDEX(Config!$I$5:$I$16,MATCH(G935,Config!$H$5:$H$16,0)),0))</f>
        <v>0</v>
      </c>
      <c r="Q935" s="30">
        <f>IF(OR(H935&lt;&gt;"Realizado",P935="",P935=0),"",A935+P935)</f>
        <v/>
      </c>
      <c r="R935" s="26">
        <f>IF(Q935="","",IF(COUNTIFS($E$5:$E$1204,E935,$A$5:$A$1204,"&gt;"&amp;A935,$H$5:$H$1204,"&lt;&gt;Falta",$H$5:$H$1204,"&lt;&gt;Cancelado",$H$5:$H$1204,"&lt;&gt;Remarcado")&gt;0,"Sim","Não"))</f>
        <v/>
      </c>
      <c r="S935" s="32">
        <f>IF(R935&lt;&gt;"Não","",IF(Q935+Config!$B$9&lt;=Config!$B$8,Config!$B$8-Q935,""))</f>
        <v/>
      </c>
      <c r="T935" s="26">
        <f>IF(S935="","","Sim")</f>
        <v/>
      </c>
      <c r="U935" s="41">
        <f>IF(T935="Sim",S935+ROW()/100000,0)</f>
        <v>0</v>
      </c>
      <c r="V935" s="41">
        <f>IF(AND(H935="Falta",L935=Config!$B$7,M935=Config!$B$5,COUNTIFS($E$5:E935,E935,$H$5:H935,"Falta",$L$5:L935,Config!$B$7,$M$5:M935,Config!$B$5)=1),COUNTIFS($E$5:$E$1204,E935,$H$5:$H$1204,"Falta",$L$5:$L$1204,Config!$B$7,$M$5:$M$1204,Config!$B$5)*1000-ROW()/100000,0)</f>
        <v>0</v>
      </c>
    </row>
    <row r="936">
      <c r="A936" s="39">
        <f>TODAY()+21</f>
        <v>46300.0</v>
      </c>
      <c r="B936" s="40" t="n">
        <v>0.5972222222222222</v>
      </c>
      <c r="C936" s="35" t="inlineStr">
        <is>
          <t>Dr. Paulo Andrade</t>
        </is>
      </c>
      <c r="D936" s="35" t="inlineStr">
        <is>
          <t>Sala 2</t>
        </is>
      </c>
      <c r="E936" s="34" t="inlineStr">
        <is>
          <t>Marcelo Ferreira</t>
        </is>
      </c>
      <c r="F936" s="35" t="inlineStr">
        <is>
          <t>Particular</t>
        </is>
      </c>
      <c r="G936" s="35" t="inlineStr">
        <is>
          <t>Consulta</t>
        </is>
      </c>
      <c r="H936" s="35" t="inlineStr">
        <is>
          <t>Agendado</t>
        </is>
      </c>
      <c r="I936" s="35" t="n"/>
      <c r="J936" s="35" t="n"/>
      <c r="K936" s="34" t="n"/>
      <c r="L936" s="26">
        <f>IF(A936="","",MONTH(A936))</f>
        <v>10</v>
      </c>
      <c r="M936" s="26">
        <f>IF(A936="","",YEAR(A936))</f>
        <v>2026</v>
      </c>
      <c r="N936" s="26" t="str">
        <f>IF(A936="","",CHOOSE(WEEKDAY(A936,2),"Segunda","Terça","Quarta","Quinta","Sexta","Sábado","Domingo"))</f>
        <v>Segunda</v>
      </c>
      <c r="O936" s="26" t="str">
        <f>IF(B936="","",IF(B936&lt;TIME(12,0,0),"Manhã",IF(B936&lt;TIME(18,0,0),"Tarde","Noite")))</f>
        <v>Tarde</v>
      </c>
      <c r="P936" s="32">
        <f>IF(G936="","",IFERROR(INDEX(Config!$I$5:$I$16,MATCH(G936,Config!$H$5:$H$16,0)),0))</f>
        <v>30</v>
      </c>
      <c r="Q936" s="30">
        <f>IF(OR(H936&lt;&gt;"Realizado",P936="",P936=0),"",A936+P936)</f>
        <v/>
      </c>
      <c r="R936" s="26">
        <f>IF(Q936="","",IF(COUNTIFS($E$5:$E$1204,E936,$A$5:$A$1204,"&gt;"&amp;A936,$H$5:$H$1204,"&lt;&gt;Falta",$H$5:$H$1204,"&lt;&gt;Cancelado",$H$5:$H$1204,"&lt;&gt;Remarcado")&gt;0,"Sim","Não"))</f>
        <v/>
      </c>
      <c r="S936" s="32">
        <f>IF(R936&lt;&gt;"Não","",IF(Q936+Config!$B$9&lt;=Config!$B$8,Config!$B$8-Q936,""))</f>
        <v/>
      </c>
      <c r="T936" s="26">
        <f>IF(S936="","","Sim")</f>
        <v/>
      </c>
      <c r="U936" s="41">
        <f>IF(T936="Sim",S936+ROW()/100000,0)</f>
        <v>0</v>
      </c>
      <c r="V936" s="41">
        <f>IF(AND(H936="Falta",L936=Config!$B$7,M936=Config!$B$5,COUNTIFS($E$5:E936,E936,$H$5:H936,"Falta",$L$5:L936,Config!$B$7,$M$5:M936,Config!$B$5)=1),COUNTIFS($E$5:$E$1204,E936,$H$5:$H$1204,"Falta",$L$5:$L$1204,Config!$B$7,$M$5:$M$1204,Config!$B$5)*1000-ROW()/100000,0)</f>
        <v>0</v>
      </c>
    </row>
    <row r="937">
      <c r="A937" s="39">
        <f>TODAY()+21</f>
        <v>46300.0</v>
      </c>
      <c r="B937" s="40" t="n">
        <v>0.6180555555555556</v>
      </c>
      <c r="C937" s="35" t="inlineStr">
        <is>
          <t>Dr. Paulo Andrade</t>
        </is>
      </c>
      <c r="D937" s="35" t="inlineStr">
        <is>
          <t>Sala 2</t>
        </is>
      </c>
      <c r="E937" s="34" t="inlineStr">
        <is>
          <t>Priscila Nunes</t>
        </is>
      </c>
      <c r="F937" s="35" t="inlineStr">
        <is>
          <t>MediPlan</t>
        </is>
      </c>
      <c r="G937" s="35" t="inlineStr">
        <is>
          <t>Teste ergométrico</t>
        </is>
      </c>
      <c r="H937" s="35" t="inlineStr">
        <is>
          <t>Agendado</t>
        </is>
      </c>
      <c r="I937" s="35" t="n"/>
      <c r="J937" s="35" t="n"/>
      <c r="K937" s="34" t="n"/>
      <c r="L937" s="26">
        <f>IF(A937="","",MONTH(A937))</f>
        <v>10</v>
      </c>
      <c r="M937" s="26">
        <f>IF(A937="","",YEAR(A937))</f>
        <v>2026</v>
      </c>
      <c r="N937" s="26" t="str">
        <f>IF(A937="","",CHOOSE(WEEKDAY(A937,2),"Segunda","Terça","Quarta","Quinta","Sexta","Sábado","Domingo"))</f>
        <v>Segunda</v>
      </c>
      <c r="O937" s="26" t="str">
        <f>IF(B937="","",IF(B937&lt;TIME(12,0,0),"Manhã",IF(B937&lt;TIME(18,0,0),"Tarde","Noite")))</f>
        <v>Tarde</v>
      </c>
      <c r="P937" s="32">
        <f>IF(G937="","",IFERROR(INDEX(Config!$I$5:$I$16,MATCH(G937,Config!$H$5:$H$16,0)),0))</f>
        <v>0</v>
      </c>
      <c r="Q937" s="30">
        <f>IF(OR(H937&lt;&gt;"Realizado",P937="",P937=0),"",A937+P937)</f>
        <v/>
      </c>
      <c r="R937" s="26">
        <f>IF(Q937="","",IF(COUNTIFS($E$5:$E$1204,E937,$A$5:$A$1204,"&gt;"&amp;A937,$H$5:$H$1204,"&lt;&gt;Falta",$H$5:$H$1204,"&lt;&gt;Cancelado",$H$5:$H$1204,"&lt;&gt;Remarcado")&gt;0,"Sim","Não"))</f>
        <v/>
      </c>
      <c r="S937" s="32">
        <f>IF(R937&lt;&gt;"Não","",IF(Q937+Config!$B$9&lt;=Config!$B$8,Config!$B$8-Q937,""))</f>
        <v/>
      </c>
      <c r="T937" s="26">
        <f>IF(S937="","","Sim")</f>
        <v/>
      </c>
      <c r="U937" s="41">
        <f>IF(T937="Sim",S937+ROW()/100000,0)</f>
        <v>0</v>
      </c>
      <c r="V937" s="41">
        <f>IF(AND(H937="Falta",L937=Config!$B$7,M937=Config!$B$5,COUNTIFS($E$5:E937,E937,$H$5:H937,"Falta",$L$5:L937,Config!$B$7,$M$5:M937,Config!$B$5)=1),COUNTIFS($E$5:$E$1204,E937,$H$5:$H$1204,"Falta",$L$5:$L$1204,Config!$B$7,$M$5:$M$1204,Config!$B$5)*1000-ROW()/100000,0)</f>
        <v>0</v>
      </c>
    </row>
    <row r="938">
      <c r="A938" s="39">
        <f>TODAY()+21</f>
        <v>46300.0</v>
      </c>
      <c r="B938" s="40" t="n">
        <v>0.6458333333333334</v>
      </c>
      <c r="C938" s="35" t="inlineStr">
        <is>
          <t>Dr. Paulo Andrade</t>
        </is>
      </c>
      <c r="D938" s="35" t="inlineStr">
        <is>
          <t>Sala 2</t>
        </is>
      </c>
      <c r="E938" s="34" t="inlineStr">
        <is>
          <t>Mateus Dias</t>
        </is>
      </c>
      <c r="F938" s="35" t="inlineStr">
        <is>
          <t>Saúde Total</t>
        </is>
      </c>
      <c r="G938" s="35" t="inlineStr">
        <is>
          <t>Consulta</t>
        </is>
      </c>
      <c r="H938" s="35" t="inlineStr">
        <is>
          <t>Agendado</t>
        </is>
      </c>
      <c r="I938" s="35" t="n"/>
      <c r="J938" s="35" t="n"/>
      <c r="K938" s="34" t="n"/>
      <c r="L938" s="26">
        <f>IF(A938="","",MONTH(A938))</f>
        <v>10</v>
      </c>
      <c r="M938" s="26">
        <f>IF(A938="","",YEAR(A938))</f>
        <v>2026</v>
      </c>
      <c r="N938" s="26" t="str">
        <f>IF(A938="","",CHOOSE(WEEKDAY(A938,2),"Segunda","Terça","Quarta","Quinta","Sexta","Sábado","Domingo"))</f>
        <v>Segunda</v>
      </c>
      <c r="O938" s="26" t="str">
        <f>IF(B938="","",IF(B938&lt;TIME(12,0,0),"Manhã",IF(B938&lt;TIME(18,0,0),"Tarde","Noite")))</f>
        <v>Tarde</v>
      </c>
      <c r="P938" s="32">
        <f>IF(G938="","",IFERROR(INDEX(Config!$I$5:$I$16,MATCH(G938,Config!$H$5:$H$16,0)),0))</f>
        <v>30</v>
      </c>
      <c r="Q938" s="30">
        <f>IF(OR(H938&lt;&gt;"Realizado",P938="",P938=0),"",A938+P938)</f>
        <v/>
      </c>
      <c r="R938" s="26">
        <f>IF(Q938="","",IF(COUNTIFS($E$5:$E$1204,E938,$A$5:$A$1204,"&gt;"&amp;A938,$H$5:$H$1204,"&lt;&gt;Falta",$H$5:$H$1204,"&lt;&gt;Cancelado",$H$5:$H$1204,"&lt;&gt;Remarcado")&gt;0,"Sim","Não"))</f>
        <v/>
      </c>
      <c r="S938" s="32">
        <f>IF(R938&lt;&gt;"Não","",IF(Q938+Config!$B$9&lt;=Config!$B$8,Config!$B$8-Q938,""))</f>
        <v/>
      </c>
      <c r="T938" s="26">
        <f>IF(S938="","","Sim")</f>
        <v/>
      </c>
      <c r="U938" s="41">
        <f>IF(T938="Sim",S938+ROW()/100000,0)</f>
        <v>0</v>
      </c>
      <c r="V938" s="41">
        <f>IF(AND(H938="Falta",L938=Config!$B$7,M938=Config!$B$5,COUNTIFS($E$5:E938,E938,$H$5:H938,"Falta",$L$5:L938,Config!$B$7,$M$5:M938,Config!$B$5)=1),COUNTIFS($E$5:$E$1204,E938,$H$5:$H$1204,"Falta",$L$5:$L$1204,Config!$B$7,$M$5:$M$1204,Config!$B$5)*1000-ROW()/100000,0)</f>
        <v>0</v>
      </c>
    </row>
    <row r="939">
      <c r="A939" s="39">
        <f>TODAY()+21</f>
        <v>46300.0</v>
      </c>
      <c r="B939" s="40" t="n">
        <v>0.6666666666666666</v>
      </c>
      <c r="C939" s="35" t="inlineStr">
        <is>
          <t>Dr. Paulo Andrade</t>
        </is>
      </c>
      <c r="D939" s="35" t="inlineStr">
        <is>
          <t>Sala 2</t>
        </is>
      </c>
      <c r="E939" s="34" t="inlineStr">
        <is>
          <t>Viviane Ribeiro</t>
        </is>
      </c>
      <c r="F939" s="35" t="inlineStr">
        <is>
          <t>Particular</t>
        </is>
      </c>
      <c r="G939" s="35" t="inlineStr">
        <is>
          <t>MAPA</t>
        </is>
      </c>
      <c r="H939" s="35" t="inlineStr">
        <is>
          <t>Agendado</t>
        </is>
      </c>
      <c r="I939" s="35" t="n"/>
      <c r="J939" s="35" t="n"/>
      <c r="K939" s="34" t="n"/>
      <c r="L939" s="26">
        <f>IF(A939="","",MONTH(A939))</f>
        <v>10</v>
      </c>
      <c r="M939" s="26">
        <f>IF(A939="","",YEAR(A939))</f>
        <v>2026</v>
      </c>
      <c r="N939" s="26" t="str">
        <f>IF(A939="","",CHOOSE(WEEKDAY(A939,2),"Segunda","Terça","Quarta","Quinta","Sexta","Sábado","Domingo"))</f>
        <v>Segunda</v>
      </c>
      <c r="O939" s="26" t="str">
        <f>IF(B939="","",IF(B939&lt;TIME(12,0,0),"Manhã",IF(B939&lt;TIME(18,0,0),"Tarde","Noite")))</f>
        <v>Tarde</v>
      </c>
      <c r="P939" s="32">
        <f>IF(G939="","",IFERROR(INDEX(Config!$I$5:$I$16,MATCH(G939,Config!$H$5:$H$16,0)),0))</f>
        <v>0</v>
      </c>
      <c r="Q939" s="30">
        <f>IF(OR(H939&lt;&gt;"Realizado",P939="",P939=0),"",A939+P939)</f>
        <v/>
      </c>
      <c r="R939" s="26">
        <f>IF(Q939="","",IF(COUNTIFS($E$5:$E$1204,E939,$A$5:$A$1204,"&gt;"&amp;A939,$H$5:$H$1204,"&lt;&gt;Falta",$H$5:$H$1204,"&lt;&gt;Cancelado",$H$5:$H$1204,"&lt;&gt;Remarcado")&gt;0,"Sim","Não"))</f>
        <v/>
      </c>
      <c r="S939" s="32">
        <f>IF(R939&lt;&gt;"Não","",IF(Q939+Config!$B$9&lt;=Config!$B$8,Config!$B$8-Q939,""))</f>
        <v/>
      </c>
      <c r="T939" s="26">
        <f>IF(S939="","","Sim")</f>
        <v/>
      </c>
      <c r="U939" s="41">
        <f>IF(T939="Sim",S939+ROW()/100000,0)</f>
        <v>0</v>
      </c>
      <c r="V939" s="41">
        <f>IF(AND(H939="Falta",L939=Config!$B$7,M939=Config!$B$5,COUNTIFS($E$5:E939,E939,$H$5:H939,"Falta",$L$5:L939,Config!$B$7,$M$5:M939,Config!$B$5)=1),COUNTIFS($E$5:$E$1204,E939,$H$5:$H$1204,"Falta",$L$5:$L$1204,Config!$B$7,$M$5:$M$1204,Config!$B$5)*1000-ROW()/100000,0)</f>
        <v>0</v>
      </c>
    </row>
    <row r="940">
      <c r="A940" s="39">
        <f>TODAY()+21</f>
        <v>46300.0</v>
      </c>
      <c r="B940" s="40" t="n">
        <v>0.6805555555555556</v>
      </c>
      <c r="C940" s="35" t="inlineStr">
        <is>
          <t>Dr. Paulo Andrade</t>
        </is>
      </c>
      <c r="D940" s="35" t="inlineStr">
        <is>
          <t>Sala 2</t>
        </is>
      </c>
      <c r="E940" s="34" t="inlineStr">
        <is>
          <t>Gisele Ribeiro</t>
        </is>
      </c>
      <c r="F940" s="35" t="inlineStr">
        <is>
          <t>Particular</t>
        </is>
      </c>
      <c r="G940" s="35" t="inlineStr">
        <is>
          <t>Teste ergométrico</t>
        </is>
      </c>
      <c r="H940" s="35" t="inlineStr">
        <is>
          <t>Agendado</t>
        </is>
      </c>
      <c r="I940" s="35" t="n"/>
      <c r="J940" s="35" t="n"/>
      <c r="K940" s="34" t="n"/>
      <c r="L940" s="26">
        <f>IF(A940="","",MONTH(A940))</f>
        <v>10</v>
      </c>
      <c r="M940" s="26">
        <f>IF(A940="","",YEAR(A940))</f>
        <v>2026</v>
      </c>
      <c r="N940" s="26" t="str">
        <f>IF(A940="","",CHOOSE(WEEKDAY(A940,2),"Segunda","Terça","Quarta","Quinta","Sexta","Sábado","Domingo"))</f>
        <v>Segunda</v>
      </c>
      <c r="O940" s="26" t="str">
        <f>IF(B940="","",IF(B940&lt;TIME(12,0,0),"Manhã",IF(B940&lt;TIME(18,0,0),"Tarde","Noite")))</f>
        <v>Tarde</v>
      </c>
      <c r="P940" s="32">
        <f>IF(G940="","",IFERROR(INDEX(Config!$I$5:$I$16,MATCH(G940,Config!$H$5:$H$16,0)),0))</f>
        <v>0</v>
      </c>
      <c r="Q940" s="30">
        <f>IF(OR(H940&lt;&gt;"Realizado",P940="",P940=0),"",A940+P940)</f>
        <v/>
      </c>
      <c r="R940" s="26">
        <f>IF(Q940="","",IF(COUNTIFS($E$5:$E$1204,E940,$A$5:$A$1204,"&gt;"&amp;A940,$H$5:$H$1204,"&lt;&gt;Falta",$H$5:$H$1204,"&lt;&gt;Cancelado",$H$5:$H$1204,"&lt;&gt;Remarcado")&gt;0,"Sim","Não"))</f>
        <v/>
      </c>
      <c r="S940" s="32">
        <f>IF(R940&lt;&gt;"Não","",IF(Q940+Config!$B$9&lt;=Config!$B$8,Config!$B$8-Q940,""))</f>
        <v/>
      </c>
      <c r="T940" s="26">
        <f>IF(S940="","","Sim")</f>
        <v/>
      </c>
      <c r="U940" s="41">
        <f>IF(T940="Sim",S940+ROW()/100000,0)</f>
        <v>0</v>
      </c>
      <c r="V940" s="41">
        <f>IF(AND(H940="Falta",L940=Config!$B$7,M940=Config!$B$5,COUNTIFS($E$5:E940,E940,$H$5:H940,"Falta",$L$5:L940,Config!$B$7,$M$5:M940,Config!$B$5)=1),COUNTIFS($E$5:$E$1204,E940,$H$5:$H$1204,"Falta",$L$5:$L$1204,Config!$B$7,$M$5:$M$1204,Config!$B$5)*1000-ROW()/100000,0)</f>
        <v>0</v>
      </c>
    </row>
    <row r="941">
      <c r="A941" s="39">
        <f>TODAY()+21</f>
        <v>46300.0</v>
      </c>
      <c r="B941" s="40" t="n">
        <v>0.7083333333333334</v>
      </c>
      <c r="C941" s="35" t="inlineStr">
        <is>
          <t>Dr. Paulo Andrade</t>
        </is>
      </c>
      <c r="D941" s="35" t="inlineStr">
        <is>
          <t>Sala 2</t>
        </is>
      </c>
      <c r="E941" s="34" t="inlineStr">
        <is>
          <t>Sandra Barros</t>
        </is>
      </c>
      <c r="F941" s="35" t="inlineStr">
        <is>
          <t>Saúde Total</t>
        </is>
      </c>
      <c r="G941" s="35" t="inlineStr">
        <is>
          <t>ECG</t>
        </is>
      </c>
      <c r="H941" s="35" t="inlineStr">
        <is>
          <t>Agendado</t>
        </is>
      </c>
      <c r="I941" s="35" t="n"/>
      <c r="J941" s="35" t="n"/>
      <c r="K941" s="34" t="n"/>
      <c r="L941" s="26">
        <f>IF(A941="","",MONTH(A941))</f>
        <v>10</v>
      </c>
      <c r="M941" s="26">
        <f>IF(A941="","",YEAR(A941))</f>
        <v>2026</v>
      </c>
      <c r="N941" s="26" t="str">
        <f>IF(A941="","",CHOOSE(WEEKDAY(A941,2),"Segunda","Terça","Quarta","Quinta","Sexta","Sábado","Domingo"))</f>
        <v>Segunda</v>
      </c>
      <c r="O941" s="26" t="str">
        <f>IF(B941="","",IF(B941&lt;TIME(12,0,0),"Manhã",IF(B941&lt;TIME(18,0,0),"Tarde","Noite")))</f>
        <v>Tarde</v>
      </c>
      <c r="P941" s="32">
        <f>IF(G941="","",IFERROR(INDEX(Config!$I$5:$I$16,MATCH(G941,Config!$H$5:$H$16,0)),0))</f>
        <v>0</v>
      </c>
      <c r="Q941" s="30">
        <f>IF(OR(H941&lt;&gt;"Realizado",P941="",P941=0),"",A941+P941)</f>
        <v/>
      </c>
      <c r="R941" s="26">
        <f>IF(Q941="","",IF(COUNTIFS($E$5:$E$1204,E941,$A$5:$A$1204,"&gt;"&amp;A941,$H$5:$H$1204,"&lt;&gt;Falta",$H$5:$H$1204,"&lt;&gt;Cancelado",$H$5:$H$1204,"&lt;&gt;Remarcado")&gt;0,"Sim","Não"))</f>
        <v/>
      </c>
      <c r="S941" s="32">
        <f>IF(R941&lt;&gt;"Não","",IF(Q941+Config!$B$9&lt;=Config!$B$8,Config!$B$8-Q941,""))</f>
        <v/>
      </c>
      <c r="T941" s="26">
        <f>IF(S941="","","Sim")</f>
        <v/>
      </c>
      <c r="U941" s="41">
        <f>IF(T941="Sim",S941+ROW()/100000,0)</f>
        <v>0</v>
      </c>
      <c r="V941" s="41">
        <f>IF(AND(H941="Falta",L941=Config!$B$7,M941=Config!$B$5,COUNTIFS($E$5:E941,E941,$H$5:H941,"Falta",$L$5:L941,Config!$B$7,$M$5:M941,Config!$B$5)=1),COUNTIFS($E$5:$E$1204,E941,$H$5:$H$1204,"Falta",$L$5:$L$1204,Config!$B$7,$M$5:$M$1204,Config!$B$5)*1000-ROW()/100000,0)</f>
        <v>0</v>
      </c>
    </row>
    <row r="942">
      <c r="A942" s="39">
        <f>TODAY()+21</f>
        <v>46300.0</v>
      </c>
      <c r="B942" s="40" t="n">
        <v>0.7222222222222222</v>
      </c>
      <c r="C942" s="35" t="inlineStr">
        <is>
          <t>Dr. Paulo Andrade</t>
        </is>
      </c>
      <c r="D942" s="35" t="inlineStr">
        <is>
          <t>Sala 2</t>
        </is>
      </c>
      <c r="E942" s="34" t="inlineStr">
        <is>
          <t>Rodrigo Gomes</t>
        </is>
      </c>
      <c r="F942" s="35" t="inlineStr">
        <is>
          <t>Vida Care</t>
        </is>
      </c>
      <c r="G942" s="35" t="inlineStr">
        <is>
          <t>MAPA</t>
        </is>
      </c>
      <c r="H942" s="35" t="inlineStr">
        <is>
          <t>Agendado</t>
        </is>
      </c>
      <c r="I942" s="35" t="n"/>
      <c r="J942" s="35" t="n"/>
      <c r="K942" s="34" t="n"/>
      <c r="L942" s="26">
        <f>IF(A942="","",MONTH(A942))</f>
        <v>10</v>
      </c>
      <c r="M942" s="26">
        <f>IF(A942="","",YEAR(A942))</f>
        <v>2026</v>
      </c>
      <c r="N942" s="26" t="str">
        <f>IF(A942="","",CHOOSE(WEEKDAY(A942,2),"Segunda","Terça","Quarta","Quinta","Sexta","Sábado","Domingo"))</f>
        <v>Segunda</v>
      </c>
      <c r="O942" s="26" t="str">
        <f>IF(B942="","",IF(B942&lt;TIME(12,0,0),"Manhã",IF(B942&lt;TIME(18,0,0),"Tarde","Noite")))</f>
        <v>Tarde</v>
      </c>
      <c r="P942" s="32">
        <f>IF(G942="","",IFERROR(INDEX(Config!$I$5:$I$16,MATCH(G942,Config!$H$5:$H$16,0)),0))</f>
        <v>0</v>
      </c>
      <c r="Q942" s="30">
        <f>IF(OR(H942&lt;&gt;"Realizado",P942="",P942=0),"",A942+P942)</f>
        <v/>
      </c>
      <c r="R942" s="26">
        <f>IF(Q942="","",IF(COUNTIFS($E$5:$E$1204,E942,$A$5:$A$1204,"&gt;"&amp;A942,$H$5:$H$1204,"&lt;&gt;Falta",$H$5:$H$1204,"&lt;&gt;Cancelado",$H$5:$H$1204,"&lt;&gt;Remarcado")&gt;0,"Sim","Não"))</f>
        <v/>
      </c>
      <c r="S942" s="32">
        <f>IF(R942&lt;&gt;"Não","",IF(Q942+Config!$B$9&lt;=Config!$B$8,Config!$B$8-Q942,""))</f>
        <v/>
      </c>
      <c r="T942" s="26">
        <f>IF(S942="","","Sim")</f>
        <v/>
      </c>
      <c r="U942" s="41">
        <f>IF(T942="Sim",S942+ROW()/100000,0)</f>
        <v>0</v>
      </c>
      <c r="V942" s="41">
        <f>IF(AND(H942="Falta",L942=Config!$B$7,M942=Config!$B$5,COUNTIFS($E$5:E942,E942,$H$5:H942,"Falta",$L$5:L942,Config!$B$7,$M$5:M942,Config!$B$5)=1),COUNTIFS($E$5:$E$1204,E942,$H$5:$H$1204,"Falta",$L$5:$L$1204,Config!$B$7,$M$5:$M$1204,Config!$B$5)*1000-ROW()/100000,0)</f>
        <v>0</v>
      </c>
    </row>
    <row r="943">
      <c r="A943" s="39">
        <f>TODAY()+21</f>
        <v>46300.0</v>
      </c>
      <c r="B943" s="40" t="n">
        <v>0.7361111111111112</v>
      </c>
      <c r="C943" s="35" t="inlineStr">
        <is>
          <t>Dr. Paulo Andrade</t>
        </is>
      </c>
      <c r="D943" s="35" t="inlineStr">
        <is>
          <t>Sala 2</t>
        </is>
      </c>
      <c r="E943" s="34" t="inlineStr">
        <is>
          <t>Isabela Pinto</t>
        </is>
      </c>
      <c r="F943" s="35" t="inlineStr">
        <is>
          <t>Saúde Total</t>
        </is>
      </c>
      <c r="G943" s="35" t="inlineStr">
        <is>
          <t>ECG</t>
        </is>
      </c>
      <c r="H943" s="35" t="inlineStr">
        <is>
          <t>Agendado</t>
        </is>
      </c>
      <c r="I943" s="35" t="n"/>
      <c r="J943" s="35" t="n"/>
      <c r="K943" s="34" t="n"/>
      <c r="L943" s="26">
        <f>IF(A943="","",MONTH(A943))</f>
        <v>10</v>
      </c>
      <c r="M943" s="26">
        <f>IF(A943="","",YEAR(A943))</f>
        <v>2026</v>
      </c>
      <c r="N943" s="26" t="str">
        <f>IF(A943="","",CHOOSE(WEEKDAY(A943,2),"Segunda","Terça","Quarta","Quinta","Sexta","Sábado","Domingo"))</f>
        <v>Segunda</v>
      </c>
      <c r="O943" s="26" t="str">
        <f>IF(B943="","",IF(B943&lt;TIME(12,0,0),"Manhã",IF(B943&lt;TIME(18,0,0),"Tarde","Noite")))</f>
        <v>Tarde</v>
      </c>
      <c r="P943" s="32">
        <f>IF(G943="","",IFERROR(INDEX(Config!$I$5:$I$16,MATCH(G943,Config!$H$5:$H$16,0)),0))</f>
        <v>0</v>
      </c>
      <c r="Q943" s="30">
        <f>IF(OR(H943&lt;&gt;"Realizado",P943="",P943=0),"",A943+P943)</f>
        <v/>
      </c>
      <c r="R943" s="26">
        <f>IF(Q943="","",IF(COUNTIFS($E$5:$E$1204,E943,$A$5:$A$1204,"&gt;"&amp;A943,$H$5:$H$1204,"&lt;&gt;Falta",$H$5:$H$1204,"&lt;&gt;Cancelado",$H$5:$H$1204,"&lt;&gt;Remarcado")&gt;0,"Sim","Não"))</f>
        <v/>
      </c>
      <c r="S943" s="32">
        <f>IF(R943&lt;&gt;"Não","",IF(Q943+Config!$B$9&lt;=Config!$B$8,Config!$B$8-Q943,""))</f>
        <v/>
      </c>
      <c r="T943" s="26">
        <f>IF(S943="","","Sim")</f>
        <v/>
      </c>
      <c r="U943" s="41">
        <f>IF(T943="Sim",S943+ROW()/100000,0)</f>
        <v>0</v>
      </c>
      <c r="V943" s="41">
        <f>IF(AND(H943="Falta",L943=Config!$B$7,M943=Config!$B$5,COUNTIFS($E$5:E943,E943,$H$5:H943,"Falta",$L$5:L943,Config!$B$7,$M$5:M943,Config!$B$5)=1),COUNTIFS($E$5:$E$1204,E943,$H$5:$H$1204,"Falta",$L$5:$L$1204,Config!$B$7,$M$5:$M$1204,Config!$B$5)*1000-ROW()/100000,0)</f>
        <v>0</v>
      </c>
    </row>
    <row r="944">
      <c r="A944" s="39" t="n"/>
      <c r="B944" s="40" t="n"/>
      <c r="C944" s="35" t="n"/>
      <c r="D944" s="35" t="n"/>
      <c r="E944" s="34" t="n"/>
      <c r="F944" s="35" t="n"/>
      <c r="G944" s="35" t="n"/>
      <c r="H944" s="35" t="n"/>
      <c r="I944" s="35" t="n"/>
      <c r="J944" s="35" t="n"/>
      <c r="K944" s="34" t="n"/>
      <c r="L944" s="26">
        <f>IF(A944="","",MONTH(A944))</f>
        <v/>
      </c>
      <c r="M944" s="26">
        <f>IF(A944="","",YEAR(A944))</f>
        <v/>
      </c>
      <c r="N944" s="26">
        <f>IF(A944="","",CHOOSE(WEEKDAY(A944,2),"Segunda","Terça","Quarta","Quinta","Sexta","Sábado","Domingo"))</f>
        <v/>
      </c>
      <c r="O944" s="26">
        <f>IF(B944="","",IF(B944&lt;TIME(12,0,0),"Manhã",IF(B944&lt;TIME(18,0,0),"Tarde","Noite")))</f>
        <v/>
      </c>
      <c r="P944" s="32">
        <f>IF(G944="","",IFERROR(INDEX(Config!$I$5:$I$16,MATCH(G944,Config!$H$5:$H$16,0)),0))</f>
        <v/>
      </c>
      <c r="Q944" s="30">
        <f>IF(OR(H944&lt;&gt;"Realizado",P944="",P944=0),"",A944+P944)</f>
        <v/>
      </c>
      <c r="R944" s="26">
        <f>IF(Q944="","",IF(COUNTIFS($E$5:$E$1204,E944,$A$5:$A$1204,"&gt;"&amp;A944,$H$5:$H$1204,"&lt;&gt;Falta",$H$5:$H$1204,"&lt;&gt;Cancelado",$H$5:$H$1204,"&lt;&gt;Remarcado")&gt;0,"Sim","Não"))</f>
        <v/>
      </c>
      <c r="S944" s="32">
        <f>IF(R944&lt;&gt;"Não","",IF(Q944+Config!$B$9&lt;=Config!$B$8,Config!$B$8-Q944,""))</f>
        <v/>
      </c>
      <c r="T944" s="26">
        <f>IF(S944="","","Sim")</f>
        <v/>
      </c>
      <c r="U944" s="41">
        <f>IF(T944="Sim",S944+ROW()/100000,0)</f>
        <v>0</v>
      </c>
      <c r="V944" s="41">
        <f>IF(AND(H944="Falta",L944=Config!$B$7,M944=Config!$B$5,COUNTIFS($E$5:E944,E944,$H$5:H944,"Falta",$L$5:L944,Config!$B$7,$M$5:M944,Config!$B$5)=1),COUNTIFS($E$5:$E$1204,E944,$H$5:$H$1204,"Falta",$L$5:$L$1204,Config!$B$7,$M$5:$M$1204,Config!$B$5)*1000-ROW()/100000,0)</f>
        <v>0</v>
      </c>
    </row>
    <row r="945">
      <c r="A945" s="39" t="n"/>
      <c r="B945" s="40" t="n"/>
      <c r="C945" s="35" t="n"/>
      <c r="D945" s="35" t="n"/>
      <c r="E945" s="34" t="n"/>
      <c r="F945" s="35" t="n"/>
      <c r="G945" s="35" t="n"/>
      <c r="H945" s="35" t="n"/>
      <c r="I945" s="35" t="n"/>
      <c r="J945" s="35" t="n"/>
      <c r="K945" s="34" t="n"/>
      <c r="L945" s="26">
        <f>IF(A945="","",MONTH(A945))</f>
        <v/>
      </c>
      <c r="M945" s="26">
        <f>IF(A945="","",YEAR(A945))</f>
        <v/>
      </c>
      <c r="N945" s="26">
        <f>IF(A945="","",CHOOSE(WEEKDAY(A945,2),"Segunda","Terça","Quarta","Quinta","Sexta","Sábado","Domingo"))</f>
        <v/>
      </c>
      <c r="O945" s="26">
        <f>IF(B945="","",IF(B945&lt;TIME(12,0,0),"Manhã",IF(B945&lt;TIME(18,0,0),"Tarde","Noite")))</f>
        <v/>
      </c>
      <c r="P945" s="32">
        <f>IF(G945="","",IFERROR(INDEX(Config!$I$5:$I$16,MATCH(G945,Config!$H$5:$H$16,0)),0))</f>
        <v/>
      </c>
      <c r="Q945" s="30">
        <f>IF(OR(H945&lt;&gt;"Realizado",P945="",P945=0),"",A945+P945)</f>
        <v/>
      </c>
      <c r="R945" s="26">
        <f>IF(Q945="","",IF(COUNTIFS($E$5:$E$1204,E945,$A$5:$A$1204,"&gt;"&amp;A945,$H$5:$H$1204,"&lt;&gt;Falta",$H$5:$H$1204,"&lt;&gt;Cancelado",$H$5:$H$1204,"&lt;&gt;Remarcado")&gt;0,"Sim","Não"))</f>
        <v/>
      </c>
      <c r="S945" s="32">
        <f>IF(R945&lt;&gt;"Não","",IF(Q945+Config!$B$9&lt;=Config!$B$8,Config!$B$8-Q945,""))</f>
        <v/>
      </c>
      <c r="T945" s="26">
        <f>IF(S945="","","Sim")</f>
        <v/>
      </c>
      <c r="U945" s="41">
        <f>IF(T945="Sim",S945+ROW()/100000,0)</f>
        <v>0</v>
      </c>
      <c r="V945" s="41">
        <f>IF(AND(H945="Falta",L945=Config!$B$7,M945=Config!$B$5,COUNTIFS($E$5:E945,E945,$H$5:H945,"Falta",$L$5:L945,Config!$B$7,$M$5:M945,Config!$B$5)=1),COUNTIFS($E$5:$E$1204,E945,$H$5:$H$1204,"Falta",$L$5:$L$1204,Config!$B$7,$M$5:$M$1204,Config!$B$5)*1000-ROW()/100000,0)</f>
        <v>0</v>
      </c>
    </row>
    <row r="946">
      <c r="A946" s="39" t="n"/>
      <c r="B946" s="40" t="n"/>
      <c r="C946" s="35" t="n"/>
      <c r="D946" s="35" t="n"/>
      <c r="E946" s="34" t="n"/>
      <c r="F946" s="35" t="n"/>
      <c r="G946" s="35" t="n"/>
      <c r="H946" s="35" t="n"/>
      <c r="I946" s="35" t="n"/>
      <c r="J946" s="35" t="n"/>
      <c r="K946" s="34" t="n"/>
      <c r="L946" s="26">
        <f>IF(A946="","",MONTH(A946))</f>
        <v/>
      </c>
      <c r="M946" s="26">
        <f>IF(A946="","",YEAR(A946))</f>
        <v/>
      </c>
      <c r="N946" s="26">
        <f>IF(A946="","",CHOOSE(WEEKDAY(A946,2),"Segunda","Terça","Quarta","Quinta","Sexta","Sábado","Domingo"))</f>
        <v/>
      </c>
      <c r="O946" s="26">
        <f>IF(B946="","",IF(B946&lt;TIME(12,0,0),"Manhã",IF(B946&lt;TIME(18,0,0),"Tarde","Noite")))</f>
        <v/>
      </c>
      <c r="P946" s="32">
        <f>IF(G946="","",IFERROR(INDEX(Config!$I$5:$I$16,MATCH(G946,Config!$H$5:$H$16,0)),0))</f>
        <v/>
      </c>
      <c r="Q946" s="30">
        <f>IF(OR(H946&lt;&gt;"Realizado",P946="",P946=0),"",A946+P946)</f>
        <v/>
      </c>
      <c r="R946" s="26">
        <f>IF(Q946="","",IF(COUNTIFS($E$5:$E$1204,E946,$A$5:$A$1204,"&gt;"&amp;A946,$H$5:$H$1204,"&lt;&gt;Falta",$H$5:$H$1204,"&lt;&gt;Cancelado",$H$5:$H$1204,"&lt;&gt;Remarcado")&gt;0,"Sim","Não"))</f>
        <v/>
      </c>
      <c r="S946" s="32">
        <f>IF(R946&lt;&gt;"Não","",IF(Q946+Config!$B$9&lt;=Config!$B$8,Config!$B$8-Q946,""))</f>
        <v/>
      </c>
      <c r="T946" s="26">
        <f>IF(S946="","","Sim")</f>
        <v/>
      </c>
      <c r="U946" s="41">
        <f>IF(T946="Sim",S946+ROW()/100000,0)</f>
        <v>0</v>
      </c>
      <c r="V946" s="41">
        <f>IF(AND(H946="Falta",L946=Config!$B$7,M946=Config!$B$5,COUNTIFS($E$5:E946,E946,$H$5:H946,"Falta",$L$5:L946,Config!$B$7,$M$5:M946,Config!$B$5)=1),COUNTIFS($E$5:$E$1204,E946,$H$5:$H$1204,"Falta",$L$5:$L$1204,Config!$B$7,$M$5:$M$1204,Config!$B$5)*1000-ROW()/100000,0)</f>
        <v>0</v>
      </c>
    </row>
    <row r="947">
      <c r="A947" s="39" t="n"/>
      <c r="B947" s="40" t="n"/>
      <c r="C947" s="35" t="n"/>
      <c r="D947" s="35" t="n"/>
      <c r="E947" s="34" t="n"/>
      <c r="F947" s="35" t="n"/>
      <c r="G947" s="35" t="n"/>
      <c r="H947" s="35" t="n"/>
      <c r="I947" s="35" t="n"/>
      <c r="J947" s="35" t="n"/>
      <c r="K947" s="34" t="n"/>
      <c r="L947" s="26">
        <f>IF(A947="","",MONTH(A947))</f>
        <v/>
      </c>
      <c r="M947" s="26">
        <f>IF(A947="","",YEAR(A947))</f>
        <v/>
      </c>
      <c r="N947" s="26">
        <f>IF(A947="","",CHOOSE(WEEKDAY(A947,2),"Segunda","Terça","Quarta","Quinta","Sexta","Sábado","Domingo"))</f>
        <v/>
      </c>
      <c r="O947" s="26">
        <f>IF(B947="","",IF(B947&lt;TIME(12,0,0),"Manhã",IF(B947&lt;TIME(18,0,0),"Tarde","Noite")))</f>
        <v/>
      </c>
      <c r="P947" s="32">
        <f>IF(G947="","",IFERROR(INDEX(Config!$I$5:$I$16,MATCH(G947,Config!$H$5:$H$16,0)),0))</f>
        <v/>
      </c>
      <c r="Q947" s="30">
        <f>IF(OR(H947&lt;&gt;"Realizado",P947="",P947=0),"",A947+P947)</f>
        <v/>
      </c>
      <c r="R947" s="26">
        <f>IF(Q947="","",IF(COUNTIFS($E$5:$E$1204,E947,$A$5:$A$1204,"&gt;"&amp;A947,$H$5:$H$1204,"&lt;&gt;Falta",$H$5:$H$1204,"&lt;&gt;Cancelado",$H$5:$H$1204,"&lt;&gt;Remarcado")&gt;0,"Sim","Não"))</f>
        <v/>
      </c>
      <c r="S947" s="32">
        <f>IF(R947&lt;&gt;"Não","",IF(Q947+Config!$B$9&lt;=Config!$B$8,Config!$B$8-Q947,""))</f>
        <v/>
      </c>
      <c r="T947" s="26">
        <f>IF(S947="","","Sim")</f>
        <v/>
      </c>
      <c r="U947" s="41">
        <f>IF(T947="Sim",S947+ROW()/100000,0)</f>
        <v>0</v>
      </c>
      <c r="V947" s="41">
        <f>IF(AND(H947="Falta",L947=Config!$B$7,M947=Config!$B$5,COUNTIFS($E$5:E947,E947,$H$5:H947,"Falta",$L$5:L947,Config!$B$7,$M$5:M947,Config!$B$5)=1),COUNTIFS($E$5:$E$1204,E947,$H$5:$H$1204,"Falta",$L$5:$L$1204,Config!$B$7,$M$5:$M$1204,Config!$B$5)*1000-ROW()/100000,0)</f>
        <v>0</v>
      </c>
    </row>
    <row r="948">
      <c r="A948" s="39" t="n"/>
      <c r="B948" s="40" t="n"/>
      <c r="C948" s="35" t="n"/>
      <c r="D948" s="35" t="n"/>
      <c r="E948" s="34" t="n"/>
      <c r="F948" s="35" t="n"/>
      <c r="G948" s="35" t="n"/>
      <c r="H948" s="35" t="n"/>
      <c r="I948" s="35" t="n"/>
      <c r="J948" s="35" t="n"/>
      <c r="K948" s="34" t="n"/>
      <c r="L948" s="26">
        <f>IF(A948="","",MONTH(A948))</f>
        <v/>
      </c>
      <c r="M948" s="26">
        <f>IF(A948="","",YEAR(A948))</f>
        <v/>
      </c>
      <c r="N948" s="26">
        <f>IF(A948="","",CHOOSE(WEEKDAY(A948,2),"Segunda","Terça","Quarta","Quinta","Sexta","Sábado","Domingo"))</f>
        <v/>
      </c>
      <c r="O948" s="26">
        <f>IF(B948="","",IF(B948&lt;TIME(12,0,0),"Manhã",IF(B948&lt;TIME(18,0,0),"Tarde","Noite")))</f>
        <v/>
      </c>
      <c r="P948" s="32">
        <f>IF(G948="","",IFERROR(INDEX(Config!$I$5:$I$16,MATCH(G948,Config!$H$5:$H$16,0)),0))</f>
        <v/>
      </c>
      <c r="Q948" s="30">
        <f>IF(OR(H948&lt;&gt;"Realizado",P948="",P948=0),"",A948+P948)</f>
        <v/>
      </c>
      <c r="R948" s="26">
        <f>IF(Q948="","",IF(COUNTIFS($E$5:$E$1204,E948,$A$5:$A$1204,"&gt;"&amp;A948,$H$5:$H$1204,"&lt;&gt;Falta",$H$5:$H$1204,"&lt;&gt;Cancelado",$H$5:$H$1204,"&lt;&gt;Remarcado")&gt;0,"Sim","Não"))</f>
        <v/>
      </c>
      <c r="S948" s="32">
        <f>IF(R948&lt;&gt;"Não","",IF(Q948+Config!$B$9&lt;=Config!$B$8,Config!$B$8-Q948,""))</f>
        <v/>
      </c>
      <c r="T948" s="26">
        <f>IF(S948="","","Sim")</f>
        <v/>
      </c>
      <c r="U948" s="41">
        <f>IF(T948="Sim",S948+ROW()/100000,0)</f>
        <v>0</v>
      </c>
      <c r="V948" s="41">
        <f>IF(AND(H948="Falta",L948=Config!$B$7,M948=Config!$B$5,COUNTIFS($E$5:E948,E948,$H$5:H948,"Falta",$L$5:L948,Config!$B$7,$M$5:M948,Config!$B$5)=1),COUNTIFS($E$5:$E$1204,E948,$H$5:$H$1204,"Falta",$L$5:$L$1204,Config!$B$7,$M$5:$M$1204,Config!$B$5)*1000-ROW()/100000,0)</f>
        <v>0</v>
      </c>
    </row>
    <row r="949">
      <c r="A949" s="39" t="n"/>
      <c r="B949" s="40" t="n"/>
      <c r="C949" s="35" t="n"/>
      <c r="D949" s="35" t="n"/>
      <c r="E949" s="34" t="n"/>
      <c r="F949" s="35" t="n"/>
      <c r="G949" s="35" t="n"/>
      <c r="H949" s="35" t="n"/>
      <c r="I949" s="35" t="n"/>
      <c r="J949" s="35" t="n"/>
      <c r="K949" s="34" t="n"/>
      <c r="L949" s="26">
        <f>IF(A949="","",MONTH(A949))</f>
        <v/>
      </c>
      <c r="M949" s="26">
        <f>IF(A949="","",YEAR(A949))</f>
        <v/>
      </c>
      <c r="N949" s="26">
        <f>IF(A949="","",CHOOSE(WEEKDAY(A949,2),"Segunda","Terça","Quarta","Quinta","Sexta","Sábado","Domingo"))</f>
        <v/>
      </c>
      <c r="O949" s="26">
        <f>IF(B949="","",IF(B949&lt;TIME(12,0,0),"Manhã",IF(B949&lt;TIME(18,0,0),"Tarde","Noite")))</f>
        <v/>
      </c>
      <c r="P949" s="32">
        <f>IF(G949="","",IFERROR(INDEX(Config!$I$5:$I$16,MATCH(G949,Config!$H$5:$H$16,0)),0))</f>
        <v/>
      </c>
      <c r="Q949" s="30">
        <f>IF(OR(H949&lt;&gt;"Realizado",P949="",P949=0),"",A949+P949)</f>
        <v/>
      </c>
      <c r="R949" s="26">
        <f>IF(Q949="","",IF(COUNTIFS($E$5:$E$1204,E949,$A$5:$A$1204,"&gt;"&amp;A949,$H$5:$H$1204,"&lt;&gt;Falta",$H$5:$H$1204,"&lt;&gt;Cancelado",$H$5:$H$1204,"&lt;&gt;Remarcado")&gt;0,"Sim","Não"))</f>
        <v/>
      </c>
      <c r="S949" s="32">
        <f>IF(R949&lt;&gt;"Não","",IF(Q949+Config!$B$9&lt;=Config!$B$8,Config!$B$8-Q949,""))</f>
        <v/>
      </c>
      <c r="T949" s="26">
        <f>IF(S949="","","Sim")</f>
        <v/>
      </c>
      <c r="U949" s="41">
        <f>IF(T949="Sim",S949+ROW()/100000,0)</f>
        <v>0</v>
      </c>
      <c r="V949" s="41">
        <f>IF(AND(H949="Falta",L949=Config!$B$7,M949=Config!$B$5,COUNTIFS($E$5:E949,E949,$H$5:H949,"Falta",$L$5:L949,Config!$B$7,$M$5:M949,Config!$B$5)=1),COUNTIFS($E$5:$E$1204,E949,$H$5:$H$1204,"Falta",$L$5:$L$1204,Config!$B$7,$M$5:$M$1204,Config!$B$5)*1000-ROW()/100000,0)</f>
        <v>0</v>
      </c>
    </row>
    <row r="950">
      <c r="A950" s="39" t="n"/>
      <c r="B950" s="40" t="n"/>
      <c r="C950" s="35" t="n"/>
      <c r="D950" s="35" t="n"/>
      <c r="E950" s="34" t="n"/>
      <c r="F950" s="35" t="n"/>
      <c r="G950" s="35" t="n"/>
      <c r="H950" s="35" t="n"/>
      <c r="I950" s="35" t="n"/>
      <c r="J950" s="35" t="n"/>
      <c r="K950" s="34" t="n"/>
      <c r="L950" s="26">
        <f>IF(A950="","",MONTH(A950))</f>
        <v/>
      </c>
      <c r="M950" s="26">
        <f>IF(A950="","",YEAR(A950))</f>
        <v/>
      </c>
      <c r="N950" s="26">
        <f>IF(A950="","",CHOOSE(WEEKDAY(A950,2),"Segunda","Terça","Quarta","Quinta","Sexta","Sábado","Domingo"))</f>
        <v/>
      </c>
      <c r="O950" s="26">
        <f>IF(B950="","",IF(B950&lt;TIME(12,0,0),"Manhã",IF(B950&lt;TIME(18,0,0),"Tarde","Noite")))</f>
        <v/>
      </c>
      <c r="P950" s="32">
        <f>IF(G950="","",IFERROR(INDEX(Config!$I$5:$I$16,MATCH(G950,Config!$H$5:$H$16,0)),0))</f>
        <v/>
      </c>
      <c r="Q950" s="30">
        <f>IF(OR(H950&lt;&gt;"Realizado",P950="",P950=0),"",A950+P950)</f>
        <v/>
      </c>
      <c r="R950" s="26">
        <f>IF(Q950="","",IF(COUNTIFS($E$5:$E$1204,E950,$A$5:$A$1204,"&gt;"&amp;A950,$H$5:$H$1204,"&lt;&gt;Falta",$H$5:$H$1204,"&lt;&gt;Cancelado",$H$5:$H$1204,"&lt;&gt;Remarcado")&gt;0,"Sim","Não"))</f>
        <v/>
      </c>
      <c r="S950" s="32">
        <f>IF(R950&lt;&gt;"Não","",IF(Q950+Config!$B$9&lt;=Config!$B$8,Config!$B$8-Q950,""))</f>
        <v/>
      </c>
      <c r="T950" s="26">
        <f>IF(S950="","","Sim")</f>
        <v/>
      </c>
      <c r="U950" s="41">
        <f>IF(T950="Sim",S950+ROW()/100000,0)</f>
        <v>0</v>
      </c>
      <c r="V950" s="41">
        <f>IF(AND(H950="Falta",L950=Config!$B$7,M950=Config!$B$5,COUNTIFS($E$5:E950,E950,$H$5:H950,"Falta",$L$5:L950,Config!$B$7,$M$5:M950,Config!$B$5)=1),COUNTIFS($E$5:$E$1204,E950,$H$5:$H$1204,"Falta",$L$5:$L$1204,Config!$B$7,$M$5:$M$1204,Config!$B$5)*1000-ROW()/100000,0)</f>
        <v>0</v>
      </c>
    </row>
    <row r="951">
      <c r="A951" s="39" t="n"/>
      <c r="B951" s="40" t="n"/>
      <c r="C951" s="35" t="n"/>
      <c r="D951" s="35" t="n"/>
      <c r="E951" s="34" t="n"/>
      <c r="F951" s="35" t="n"/>
      <c r="G951" s="35" t="n"/>
      <c r="H951" s="35" t="n"/>
      <c r="I951" s="35" t="n"/>
      <c r="J951" s="35" t="n"/>
      <c r="K951" s="34" t="n"/>
      <c r="L951" s="26">
        <f>IF(A951="","",MONTH(A951))</f>
        <v/>
      </c>
      <c r="M951" s="26">
        <f>IF(A951="","",YEAR(A951))</f>
        <v/>
      </c>
      <c r="N951" s="26">
        <f>IF(A951="","",CHOOSE(WEEKDAY(A951,2),"Segunda","Terça","Quarta","Quinta","Sexta","Sábado","Domingo"))</f>
        <v/>
      </c>
      <c r="O951" s="26">
        <f>IF(B951="","",IF(B951&lt;TIME(12,0,0),"Manhã",IF(B951&lt;TIME(18,0,0),"Tarde","Noite")))</f>
        <v/>
      </c>
      <c r="P951" s="32">
        <f>IF(G951="","",IFERROR(INDEX(Config!$I$5:$I$16,MATCH(G951,Config!$H$5:$H$16,0)),0))</f>
        <v/>
      </c>
      <c r="Q951" s="30">
        <f>IF(OR(H951&lt;&gt;"Realizado",P951="",P951=0),"",A951+P951)</f>
        <v/>
      </c>
      <c r="R951" s="26">
        <f>IF(Q951="","",IF(COUNTIFS($E$5:$E$1204,E951,$A$5:$A$1204,"&gt;"&amp;A951,$H$5:$H$1204,"&lt;&gt;Falta",$H$5:$H$1204,"&lt;&gt;Cancelado",$H$5:$H$1204,"&lt;&gt;Remarcado")&gt;0,"Sim","Não"))</f>
        <v/>
      </c>
      <c r="S951" s="32">
        <f>IF(R951&lt;&gt;"Não","",IF(Q951+Config!$B$9&lt;=Config!$B$8,Config!$B$8-Q951,""))</f>
        <v/>
      </c>
      <c r="T951" s="26">
        <f>IF(S951="","","Sim")</f>
        <v/>
      </c>
      <c r="U951" s="41">
        <f>IF(T951="Sim",S951+ROW()/100000,0)</f>
        <v>0</v>
      </c>
      <c r="V951" s="41">
        <f>IF(AND(H951="Falta",L951=Config!$B$7,M951=Config!$B$5,COUNTIFS($E$5:E951,E951,$H$5:H951,"Falta",$L$5:L951,Config!$B$7,$M$5:M951,Config!$B$5)=1),COUNTIFS($E$5:$E$1204,E951,$H$5:$H$1204,"Falta",$L$5:$L$1204,Config!$B$7,$M$5:$M$1204,Config!$B$5)*1000-ROW()/100000,0)</f>
        <v>0</v>
      </c>
    </row>
    <row r="952">
      <c r="A952" s="39" t="n"/>
      <c r="B952" s="40" t="n"/>
      <c r="C952" s="35" t="n"/>
      <c r="D952" s="35" t="n"/>
      <c r="E952" s="34" t="n"/>
      <c r="F952" s="35" t="n"/>
      <c r="G952" s="35" t="n"/>
      <c r="H952" s="35" t="n"/>
      <c r="I952" s="35" t="n"/>
      <c r="J952" s="35" t="n"/>
      <c r="K952" s="34" t="n"/>
      <c r="L952" s="26">
        <f>IF(A952="","",MONTH(A952))</f>
        <v/>
      </c>
      <c r="M952" s="26">
        <f>IF(A952="","",YEAR(A952))</f>
        <v/>
      </c>
      <c r="N952" s="26">
        <f>IF(A952="","",CHOOSE(WEEKDAY(A952,2),"Segunda","Terça","Quarta","Quinta","Sexta","Sábado","Domingo"))</f>
        <v/>
      </c>
      <c r="O952" s="26">
        <f>IF(B952="","",IF(B952&lt;TIME(12,0,0),"Manhã",IF(B952&lt;TIME(18,0,0),"Tarde","Noite")))</f>
        <v/>
      </c>
      <c r="P952" s="32">
        <f>IF(G952="","",IFERROR(INDEX(Config!$I$5:$I$16,MATCH(G952,Config!$H$5:$H$16,0)),0))</f>
        <v/>
      </c>
      <c r="Q952" s="30">
        <f>IF(OR(H952&lt;&gt;"Realizado",P952="",P952=0),"",A952+P952)</f>
        <v/>
      </c>
      <c r="R952" s="26">
        <f>IF(Q952="","",IF(COUNTIFS($E$5:$E$1204,E952,$A$5:$A$1204,"&gt;"&amp;A952,$H$5:$H$1204,"&lt;&gt;Falta",$H$5:$H$1204,"&lt;&gt;Cancelado",$H$5:$H$1204,"&lt;&gt;Remarcado")&gt;0,"Sim","Não"))</f>
        <v/>
      </c>
      <c r="S952" s="32">
        <f>IF(R952&lt;&gt;"Não","",IF(Q952+Config!$B$9&lt;=Config!$B$8,Config!$B$8-Q952,""))</f>
        <v/>
      </c>
      <c r="T952" s="26">
        <f>IF(S952="","","Sim")</f>
        <v/>
      </c>
      <c r="U952" s="41">
        <f>IF(T952="Sim",S952+ROW()/100000,0)</f>
        <v>0</v>
      </c>
      <c r="V952" s="41">
        <f>IF(AND(H952="Falta",L952=Config!$B$7,M952=Config!$B$5,COUNTIFS($E$5:E952,E952,$H$5:H952,"Falta",$L$5:L952,Config!$B$7,$M$5:M952,Config!$B$5)=1),COUNTIFS($E$5:$E$1204,E952,$H$5:$H$1204,"Falta",$L$5:$L$1204,Config!$B$7,$M$5:$M$1204,Config!$B$5)*1000-ROW()/100000,0)</f>
        <v>0</v>
      </c>
    </row>
    <row r="953">
      <c r="A953" s="39" t="n"/>
      <c r="B953" s="40" t="n"/>
      <c r="C953" s="35" t="n"/>
      <c r="D953" s="35" t="n"/>
      <c r="E953" s="34" t="n"/>
      <c r="F953" s="35" t="n"/>
      <c r="G953" s="35" t="n"/>
      <c r="H953" s="35" t="n"/>
      <c r="I953" s="35" t="n"/>
      <c r="J953" s="35" t="n"/>
      <c r="K953" s="34" t="n"/>
      <c r="L953" s="26">
        <f>IF(A953="","",MONTH(A953))</f>
        <v/>
      </c>
      <c r="M953" s="26">
        <f>IF(A953="","",YEAR(A953))</f>
        <v/>
      </c>
      <c r="N953" s="26">
        <f>IF(A953="","",CHOOSE(WEEKDAY(A953,2),"Segunda","Terça","Quarta","Quinta","Sexta","Sábado","Domingo"))</f>
        <v/>
      </c>
      <c r="O953" s="26">
        <f>IF(B953="","",IF(B953&lt;TIME(12,0,0),"Manhã",IF(B953&lt;TIME(18,0,0),"Tarde","Noite")))</f>
        <v/>
      </c>
      <c r="P953" s="32">
        <f>IF(G953="","",IFERROR(INDEX(Config!$I$5:$I$16,MATCH(G953,Config!$H$5:$H$16,0)),0))</f>
        <v/>
      </c>
      <c r="Q953" s="30">
        <f>IF(OR(H953&lt;&gt;"Realizado",P953="",P953=0),"",A953+P953)</f>
        <v/>
      </c>
      <c r="R953" s="26">
        <f>IF(Q953="","",IF(COUNTIFS($E$5:$E$1204,E953,$A$5:$A$1204,"&gt;"&amp;A953,$H$5:$H$1204,"&lt;&gt;Falta",$H$5:$H$1204,"&lt;&gt;Cancelado",$H$5:$H$1204,"&lt;&gt;Remarcado")&gt;0,"Sim","Não"))</f>
        <v/>
      </c>
      <c r="S953" s="32">
        <f>IF(R953&lt;&gt;"Não","",IF(Q953+Config!$B$9&lt;=Config!$B$8,Config!$B$8-Q953,""))</f>
        <v/>
      </c>
      <c r="T953" s="26">
        <f>IF(S953="","","Sim")</f>
        <v/>
      </c>
      <c r="U953" s="41">
        <f>IF(T953="Sim",S953+ROW()/100000,0)</f>
        <v>0</v>
      </c>
      <c r="V953" s="41">
        <f>IF(AND(H953="Falta",L953=Config!$B$7,M953=Config!$B$5,COUNTIFS($E$5:E953,E953,$H$5:H953,"Falta",$L$5:L953,Config!$B$7,$M$5:M953,Config!$B$5)=1),COUNTIFS($E$5:$E$1204,E953,$H$5:$H$1204,"Falta",$L$5:$L$1204,Config!$B$7,$M$5:$M$1204,Config!$B$5)*1000-ROW()/100000,0)</f>
        <v>0</v>
      </c>
    </row>
    <row r="954">
      <c r="A954" s="39" t="n"/>
      <c r="B954" s="40" t="n"/>
      <c r="C954" s="35" t="n"/>
      <c r="D954" s="35" t="n"/>
      <c r="E954" s="34" t="n"/>
      <c r="F954" s="35" t="n"/>
      <c r="G954" s="35" t="n"/>
      <c r="H954" s="35" t="n"/>
      <c r="I954" s="35" t="n"/>
      <c r="J954" s="35" t="n"/>
      <c r="K954" s="34" t="n"/>
      <c r="L954" s="26">
        <f>IF(A954="","",MONTH(A954))</f>
        <v/>
      </c>
      <c r="M954" s="26">
        <f>IF(A954="","",YEAR(A954))</f>
        <v/>
      </c>
      <c r="N954" s="26">
        <f>IF(A954="","",CHOOSE(WEEKDAY(A954,2),"Segunda","Terça","Quarta","Quinta","Sexta","Sábado","Domingo"))</f>
        <v/>
      </c>
      <c r="O954" s="26">
        <f>IF(B954="","",IF(B954&lt;TIME(12,0,0),"Manhã",IF(B954&lt;TIME(18,0,0),"Tarde","Noite")))</f>
        <v/>
      </c>
      <c r="P954" s="32">
        <f>IF(G954="","",IFERROR(INDEX(Config!$I$5:$I$16,MATCH(G954,Config!$H$5:$H$16,0)),0))</f>
        <v/>
      </c>
      <c r="Q954" s="30">
        <f>IF(OR(H954&lt;&gt;"Realizado",P954="",P954=0),"",A954+P954)</f>
        <v/>
      </c>
      <c r="R954" s="26">
        <f>IF(Q954="","",IF(COUNTIFS($E$5:$E$1204,E954,$A$5:$A$1204,"&gt;"&amp;A954,$H$5:$H$1204,"&lt;&gt;Falta",$H$5:$H$1204,"&lt;&gt;Cancelado",$H$5:$H$1204,"&lt;&gt;Remarcado")&gt;0,"Sim","Não"))</f>
        <v/>
      </c>
      <c r="S954" s="32">
        <f>IF(R954&lt;&gt;"Não","",IF(Q954+Config!$B$9&lt;=Config!$B$8,Config!$B$8-Q954,""))</f>
        <v/>
      </c>
      <c r="T954" s="26">
        <f>IF(S954="","","Sim")</f>
        <v/>
      </c>
      <c r="U954" s="41">
        <f>IF(T954="Sim",S954+ROW()/100000,0)</f>
        <v>0</v>
      </c>
      <c r="V954" s="41">
        <f>IF(AND(H954="Falta",L954=Config!$B$7,M954=Config!$B$5,COUNTIFS($E$5:E954,E954,$H$5:H954,"Falta",$L$5:L954,Config!$B$7,$M$5:M954,Config!$B$5)=1),COUNTIFS($E$5:$E$1204,E954,$H$5:$H$1204,"Falta",$L$5:$L$1204,Config!$B$7,$M$5:$M$1204,Config!$B$5)*1000-ROW()/100000,0)</f>
        <v>0</v>
      </c>
    </row>
    <row r="955">
      <c r="A955" s="39" t="n"/>
      <c r="B955" s="40" t="n"/>
      <c r="C955" s="35" t="n"/>
      <c r="D955" s="35" t="n"/>
      <c r="E955" s="34" t="n"/>
      <c r="F955" s="35" t="n"/>
      <c r="G955" s="35" t="n"/>
      <c r="H955" s="35" t="n"/>
      <c r="I955" s="35" t="n"/>
      <c r="J955" s="35" t="n"/>
      <c r="K955" s="34" t="n"/>
      <c r="L955" s="26">
        <f>IF(A955="","",MONTH(A955))</f>
        <v/>
      </c>
      <c r="M955" s="26">
        <f>IF(A955="","",YEAR(A955))</f>
        <v/>
      </c>
      <c r="N955" s="26">
        <f>IF(A955="","",CHOOSE(WEEKDAY(A955,2),"Segunda","Terça","Quarta","Quinta","Sexta","Sábado","Domingo"))</f>
        <v/>
      </c>
      <c r="O955" s="26">
        <f>IF(B955="","",IF(B955&lt;TIME(12,0,0),"Manhã",IF(B955&lt;TIME(18,0,0),"Tarde","Noite")))</f>
        <v/>
      </c>
      <c r="P955" s="32">
        <f>IF(G955="","",IFERROR(INDEX(Config!$I$5:$I$16,MATCH(G955,Config!$H$5:$H$16,0)),0))</f>
        <v/>
      </c>
      <c r="Q955" s="30">
        <f>IF(OR(H955&lt;&gt;"Realizado",P955="",P955=0),"",A955+P955)</f>
        <v/>
      </c>
      <c r="R955" s="26">
        <f>IF(Q955="","",IF(COUNTIFS($E$5:$E$1204,E955,$A$5:$A$1204,"&gt;"&amp;A955,$H$5:$H$1204,"&lt;&gt;Falta",$H$5:$H$1204,"&lt;&gt;Cancelado",$H$5:$H$1204,"&lt;&gt;Remarcado")&gt;0,"Sim","Não"))</f>
        <v/>
      </c>
      <c r="S955" s="32">
        <f>IF(R955&lt;&gt;"Não","",IF(Q955+Config!$B$9&lt;=Config!$B$8,Config!$B$8-Q955,""))</f>
        <v/>
      </c>
      <c r="T955" s="26">
        <f>IF(S955="","","Sim")</f>
        <v/>
      </c>
      <c r="U955" s="41">
        <f>IF(T955="Sim",S955+ROW()/100000,0)</f>
        <v>0</v>
      </c>
      <c r="V955" s="41">
        <f>IF(AND(H955="Falta",L955=Config!$B$7,M955=Config!$B$5,COUNTIFS($E$5:E955,E955,$H$5:H955,"Falta",$L$5:L955,Config!$B$7,$M$5:M955,Config!$B$5)=1),COUNTIFS($E$5:$E$1204,E955,$H$5:$H$1204,"Falta",$L$5:$L$1204,Config!$B$7,$M$5:$M$1204,Config!$B$5)*1000-ROW()/100000,0)</f>
        <v>0</v>
      </c>
    </row>
    <row r="956">
      <c r="A956" s="39" t="n"/>
      <c r="B956" s="40" t="n"/>
      <c r="C956" s="35" t="n"/>
      <c r="D956" s="35" t="n"/>
      <c r="E956" s="34" t="n"/>
      <c r="F956" s="35" t="n"/>
      <c r="G956" s="35" t="n"/>
      <c r="H956" s="35" t="n"/>
      <c r="I956" s="35" t="n"/>
      <c r="J956" s="35" t="n"/>
      <c r="K956" s="34" t="n"/>
      <c r="L956" s="26">
        <f>IF(A956="","",MONTH(A956))</f>
        <v/>
      </c>
      <c r="M956" s="26">
        <f>IF(A956="","",YEAR(A956))</f>
        <v/>
      </c>
      <c r="N956" s="26">
        <f>IF(A956="","",CHOOSE(WEEKDAY(A956,2),"Segunda","Terça","Quarta","Quinta","Sexta","Sábado","Domingo"))</f>
        <v/>
      </c>
      <c r="O956" s="26">
        <f>IF(B956="","",IF(B956&lt;TIME(12,0,0),"Manhã",IF(B956&lt;TIME(18,0,0),"Tarde","Noite")))</f>
        <v/>
      </c>
      <c r="P956" s="32">
        <f>IF(G956="","",IFERROR(INDEX(Config!$I$5:$I$16,MATCH(G956,Config!$H$5:$H$16,0)),0))</f>
        <v/>
      </c>
      <c r="Q956" s="30">
        <f>IF(OR(H956&lt;&gt;"Realizado",P956="",P956=0),"",A956+P956)</f>
        <v/>
      </c>
      <c r="R956" s="26">
        <f>IF(Q956="","",IF(COUNTIFS($E$5:$E$1204,E956,$A$5:$A$1204,"&gt;"&amp;A956,$H$5:$H$1204,"&lt;&gt;Falta",$H$5:$H$1204,"&lt;&gt;Cancelado",$H$5:$H$1204,"&lt;&gt;Remarcado")&gt;0,"Sim","Não"))</f>
        <v/>
      </c>
      <c r="S956" s="32">
        <f>IF(R956&lt;&gt;"Não","",IF(Q956+Config!$B$9&lt;=Config!$B$8,Config!$B$8-Q956,""))</f>
        <v/>
      </c>
      <c r="T956" s="26">
        <f>IF(S956="","","Sim")</f>
        <v/>
      </c>
      <c r="U956" s="41">
        <f>IF(T956="Sim",S956+ROW()/100000,0)</f>
        <v>0</v>
      </c>
      <c r="V956" s="41">
        <f>IF(AND(H956="Falta",L956=Config!$B$7,M956=Config!$B$5,COUNTIFS($E$5:E956,E956,$H$5:H956,"Falta",$L$5:L956,Config!$B$7,$M$5:M956,Config!$B$5)=1),COUNTIFS($E$5:$E$1204,E956,$H$5:$H$1204,"Falta",$L$5:$L$1204,Config!$B$7,$M$5:$M$1204,Config!$B$5)*1000-ROW()/100000,0)</f>
        <v>0</v>
      </c>
    </row>
    <row r="957">
      <c r="A957" s="39" t="n"/>
      <c r="B957" s="40" t="n"/>
      <c r="C957" s="35" t="n"/>
      <c r="D957" s="35" t="n"/>
      <c r="E957" s="34" t="n"/>
      <c r="F957" s="35" t="n"/>
      <c r="G957" s="35" t="n"/>
      <c r="H957" s="35" t="n"/>
      <c r="I957" s="35" t="n"/>
      <c r="J957" s="35" t="n"/>
      <c r="K957" s="34" t="n"/>
      <c r="L957" s="26">
        <f>IF(A957="","",MONTH(A957))</f>
        <v/>
      </c>
      <c r="M957" s="26">
        <f>IF(A957="","",YEAR(A957))</f>
        <v/>
      </c>
      <c r="N957" s="26">
        <f>IF(A957="","",CHOOSE(WEEKDAY(A957,2),"Segunda","Terça","Quarta","Quinta","Sexta","Sábado","Domingo"))</f>
        <v/>
      </c>
      <c r="O957" s="26">
        <f>IF(B957="","",IF(B957&lt;TIME(12,0,0),"Manhã",IF(B957&lt;TIME(18,0,0),"Tarde","Noite")))</f>
        <v/>
      </c>
      <c r="P957" s="32">
        <f>IF(G957="","",IFERROR(INDEX(Config!$I$5:$I$16,MATCH(G957,Config!$H$5:$H$16,0)),0))</f>
        <v/>
      </c>
      <c r="Q957" s="30">
        <f>IF(OR(H957&lt;&gt;"Realizado",P957="",P957=0),"",A957+P957)</f>
        <v/>
      </c>
      <c r="R957" s="26">
        <f>IF(Q957="","",IF(COUNTIFS($E$5:$E$1204,E957,$A$5:$A$1204,"&gt;"&amp;A957,$H$5:$H$1204,"&lt;&gt;Falta",$H$5:$H$1204,"&lt;&gt;Cancelado",$H$5:$H$1204,"&lt;&gt;Remarcado")&gt;0,"Sim","Não"))</f>
        <v/>
      </c>
      <c r="S957" s="32">
        <f>IF(R957&lt;&gt;"Não","",IF(Q957+Config!$B$9&lt;=Config!$B$8,Config!$B$8-Q957,""))</f>
        <v/>
      </c>
      <c r="T957" s="26">
        <f>IF(S957="","","Sim")</f>
        <v/>
      </c>
      <c r="U957" s="41">
        <f>IF(T957="Sim",S957+ROW()/100000,0)</f>
        <v>0</v>
      </c>
      <c r="V957" s="41">
        <f>IF(AND(H957="Falta",L957=Config!$B$7,M957=Config!$B$5,COUNTIFS($E$5:E957,E957,$H$5:H957,"Falta",$L$5:L957,Config!$B$7,$M$5:M957,Config!$B$5)=1),COUNTIFS($E$5:$E$1204,E957,$H$5:$H$1204,"Falta",$L$5:$L$1204,Config!$B$7,$M$5:$M$1204,Config!$B$5)*1000-ROW()/100000,0)</f>
        <v>0</v>
      </c>
    </row>
    <row r="958">
      <c r="A958" s="39" t="n"/>
      <c r="B958" s="40" t="n"/>
      <c r="C958" s="35" t="n"/>
      <c r="D958" s="35" t="n"/>
      <c r="E958" s="34" t="n"/>
      <c r="F958" s="35" t="n"/>
      <c r="G958" s="35" t="n"/>
      <c r="H958" s="35" t="n"/>
      <c r="I958" s="35" t="n"/>
      <c r="J958" s="35" t="n"/>
      <c r="K958" s="34" t="n"/>
      <c r="L958" s="26">
        <f>IF(A958="","",MONTH(A958))</f>
        <v/>
      </c>
      <c r="M958" s="26">
        <f>IF(A958="","",YEAR(A958))</f>
        <v/>
      </c>
      <c r="N958" s="26">
        <f>IF(A958="","",CHOOSE(WEEKDAY(A958,2),"Segunda","Terça","Quarta","Quinta","Sexta","Sábado","Domingo"))</f>
        <v/>
      </c>
      <c r="O958" s="26">
        <f>IF(B958="","",IF(B958&lt;TIME(12,0,0),"Manhã",IF(B958&lt;TIME(18,0,0),"Tarde","Noite")))</f>
        <v/>
      </c>
      <c r="P958" s="32">
        <f>IF(G958="","",IFERROR(INDEX(Config!$I$5:$I$16,MATCH(G958,Config!$H$5:$H$16,0)),0))</f>
        <v/>
      </c>
      <c r="Q958" s="30">
        <f>IF(OR(H958&lt;&gt;"Realizado",P958="",P958=0),"",A958+P958)</f>
        <v/>
      </c>
      <c r="R958" s="26">
        <f>IF(Q958="","",IF(COUNTIFS($E$5:$E$1204,E958,$A$5:$A$1204,"&gt;"&amp;A958,$H$5:$H$1204,"&lt;&gt;Falta",$H$5:$H$1204,"&lt;&gt;Cancelado",$H$5:$H$1204,"&lt;&gt;Remarcado")&gt;0,"Sim","Não"))</f>
        <v/>
      </c>
      <c r="S958" s="32">
        <f>IF(R958&lt;&gt;"Não","",IF(Q958+Config!$B$9&lt;=Config!$B$8,Config!$B$8-Q958,""))</f>
        <v/>
      </c>
      <c r="T958" s="26">
        <f>IF(S958="","","Sim")</f>
        <v/>
      </c>
      <c r="U958" s="41">
        <f>IF(T958="Sim",S958+ROW()/100000,0)</f>
        <v>0</v>
      </c>
      <c r="V958" s="41">
        <f>IF(AND(H958="Falta",L958=Config!$B$7,M958=Config!$B$5,COUNTIFS($E$5:E958,E958,$H$5:H958,"Falta",$L$5:L958,Config!$B$7,$M$5:M958,Config!$B$5)=1),COUNTIFS($E$5:$E$1204,E958,$H$5:$H$1204,"Falta",$L$5:$L$1204,Config!$B$7,$M$5:$M$1204,Config!$B$5)*1000-ROW()/100000,0)</f>
        <v>0</v>
      </c>
    </row>
    <row r="959">
      <c r="A959" s="39" t="n"/>
      <c r="B959" s="40" t="n"/>
      <c r="C959" s="35" t="n"/>
      <c r="D959" s="35" t="n"/>
      <c r="E959" s="34" t="n"/>
      <c r="F959" s="35" t="n"/>
      <c r="G959" s="35" t="n"/>
      <c r="H959" s="35" t="n"/>
      <c r="I959" s="35" t="n"/>
      <c r="J959" s="35" t="n"/>
      <c r="K959" s="34" t="n"/>
      <c r="L959" s="26">
        <f>IF(A959="","",MONTH(A959))</f>
        <v/>
      </c>
      <c r="M959" s="26">
        <f>IF(A959="","",YEAR(A959))</f>
        <v/>
      </c>
      <c r="N959" s="26">
        <f>IF(A959="","",CHOOSE(WEEKDAY(A959,2),"Segunda","Terça","Quarta","Quinta","Sexta","Sábado","Domingo"))</f>
        <v/>
      </c>
      <c r="O959" s="26">
        <f>IF(B959="","",IF(B959&lt;TIME(12,0,0),"Manhã",IF(B959&lt;TIME(18,0,0),"Tarde","Noite")))</f>
        <v/>
      </c>
      <c r="P959" s="32">
        <f>IF(G959="","",IFERROR(INDEX(Config!$I$5:$I$16,MATCH(G959,Config!$H$5:$H$16,0)),0))</f>
        <v/>
      </c>
      <c r="Q959" s="30">
        <f>IF(OR(H959&lt;&gt;"Realizado",P959="",P959=0),"",A959+P959)</f>
        <v/>
      </c>
      <c r="R959" s="26">
        <f>IF(Q959="","",IF(COUNTIFS($E$5:$E$1204,E959,$A$5:$A$1204,"&gt;"&amp;A959,$H$5:$H$1204,"&lt;&gt;Falta",$H$5:$H$1204,"&lt;&gt;Cancelado",$H$5:$H$1204,"&lt;&gt;Remarcado")&gt;0,"Sim","Não"))</f>
        <v/>
      </c>
      <c r="S959" s="32">
        <f>IF(R959&lt;&gt;"Não","",IF(Q959+Config!$B$9&lt;=Config!$B$8,Config!$B$8-Q959,""))</f>
        <v/>
      </c>
      <c r="T959" s="26">
        <f>IF(S959="","","Sim")</f>
        <v/>
      </c>
      <c r="U959" s="41">
        <f>IF(T959="Sim",S959+ROW()/100000,0)</f>
        <v>0</v>
      </c>
      <c r="V959" s="41">
        <f>IF(AND(H959="Falta",L959=Config!$B$7,M959=Config!$B$5,COUNTIFS($E$5:E959,E959,$H$5:H959,"Falta",$L$5:L959,Config!$B$7,$M$5:M959,Config!$B$5)=1),COUNTIFS($E$5:$E$1204,E959,$H$5:$H$1204,"Falta",$L$5:$L$1204,Config!$B$7,$M$5:$M$1204,Config!$B$5)*1000-ROW()/100000,0)</f>
        <v>0</v>
      </c>
    </row>
    <row r="960">
      <c r="A960" s="39" t="n"/>
      <c r="B960" s="40" t="n"/>
      <c r="C960" s="35" t="n"/>
      <c r="D960" s="35" t="n"/>
      <c r="E960" s="34" t="n"/>
      <c r="F960" s="35" t="n"/>
      <c r="G960" s="35" t="n"/>
      <c r="H960" s="35" t="n"/>
      <c r="I960" s="35" t="n"/>
      <c r="J960" s="35" t="n"/>
      <c r="K960" s="34" t="n"/>
      <c r="L960" s="26">
        <f>IF(A960="","",MONTH(A960))</f>
        <v/>
      </c>
      <c r="M960" s="26">
        <f>IF(A960="","",YEAR(A960))</f>
        <v/>
      </c>
      <c r="N960" s="26">
        <f>IF(A960="","",CHOOSE(WEEKDAY(A960,2),"Segunda","Terça","Quarta","Quinta","Sexta","Sábado","Domingo"))</f>
        <v/>
      </c>
      <c r="O960" s="26">
        <f>IF(B960="","",IF(B960&lt;TIME(12,0,0),"Manhã",IF(B960&lt;TIME(18,0,0),"Tarde","Noite")))</f>
        <v/>
      </c>
      <c r="P960" s="32">
        <f>IF(G960="","",IFERROR(INDEX(Config!$I$5:$I$16,MATCH(G960,Config!$H$5:$H$16,0)),0))</f>
        <v/>
      </c>
      <c r="Q960" s="30">
        <f>IF(OR(H960&lt;&gt;"Realizado",P960="",P960=0),"",A960+P960)</f>
        <v/>
      </c>
      <c r="R960" s="26">
        <f>IF(Q960="","",IF(COUNTIFS($E$5:$E$1204,E960,$A$5:$A$1204,"&gt;"&amp;A960,$H$5:$H$1204,"&lt;&gt;Falta",$H$5:$H$1204,"&lt;&gt;Cancelado",$H$5:$H$1204,"&lt;&gt;Remarcado")&gt;0,"Sim","Não"))</f>
        <v/>
      </c>
      <c r="S960" s="32">
        <f>IF(R960&lt;&gt;"Não","",IF(Q960+Config!$B$9&lt;=Config!$B$8,Config!$B$8-Q960,""))</f>
        <v/>
      </c>
      <c r="T960" s="26">
        <f>IF(S960="","","Sim")</f>
        <v/>
      </c>
      <c r="U960" s="41">
        <f>IF(T960="Sim",S960+ROW()/100000,0)</f>
        <v>0</v>
      </c>
      <c r="V960" s="41">
        <f>IF(AND(H960="Falta",L960=Config!$B$7,M960=Config!$B$5,COUNTIFS($E$5:E960,E960,$H$5:H960,"Falta",$L$5:L960,Config!$B$7,$M$5:M960,Config!$B$5)=1),COUNTIFS($E$5:$E$1204,E960,$H$5:$H$1204,"Falta",$L$5:$L$1204,Config!$B$7,$M$5:$M$1204,Config!$B$5)*1000-ROW()/100000,0)</f>
        <v>0</v>
      </c>
    </row>
    <row r="961">
      <c r="A961" s="39" t="n"/>
      <c r="B961" s="40" t="n"/>
      <c r="C961" s="35" t="n"/>
      <c r="D961" s="35" t="n"/>
      <c r="E961" s="34" t="n"/>
      <c r="F961" s="35" t="n"/>
      <c r="G961" s="35" t="n"/>
      <c r="H961" s="35" t="n"/>
      <c r="I961" s="35" t="n"/>
      <c r="J961" s="35" t="n"/>
      <c r="K961" s="34" t="n"/>
      <c r="L961" s="26">
        <f>IF(A961="","",MONTH(A961))</f>
        <v/>
      </c>
      <c r="M961" s="26">
        <f>IF(A961="","",YEAR(A961))</f>
        <v/>
      </c>
      <c r="N961" s="26">
        <f>IF(A961="","",CHOOSE(WEEKDAY(A961,2),"Segunda","Terça","Quarta","Quinta","Sexta","Sábado","Domingo"))</f>
        <v/>
      </c>
      <c r="O961" s="26">
        <f>IF(B961="","",IF(B961&lt;TIME(12,0,0),"Manhã",IF(B961&lt;TIME(18,0,0),"Tarde","Noite")))</f>
        <v/>
      </c>
      <c r="P961" s="32">
        <f>IF(G961="","",IFERROR(INDEX(Config!$I$5:$I$16,MATCH(G961,Config!$H$5:$H$16,0)),0))</f>
        <v/>
      </c>
      <c r="Q961" s="30">
        <f>IF(OR(H961&lt;&gt;"Realizado",P961="",P961=0),"",A961+P961)</f>
        <v/>
      </c>
      <c r="R961" s="26">
        <f>IF(Q961="","",IF(COUNTIFS($E$5:$E$1204,E961,$A$5:$A$1204,"&gt;"&amp;A961,$H$5:$H$1204,"&lt;&gt;Falta",$H$5:$H$1204,"&lt;&gt;Cancelado",$H$5:$H$1204,"&lt;&gt;Remarcado")&gt;0,"Sim","Não"))</f>
        <v/>
      </c>
      <c r="S961" s="32">
        <f>IF(R961&lt;&gt;"Não","",IF(Q961+Config!$B$9&lt;=Config!$B$8,Config!$B$8-Q961,""))</f>
        <v/>
      </c>
      <c r="T961" s="26">
        <f>IF(S961="","","Sim")</f>
        <v/>
      </c>
      <c r="U961" s="41">
        <f>IF(T961="Sim",S961+ROW()/100000,0)</f>
        <v>0</v>
      </c>
      <c r="V961" s="41">
        <f>IF(AND(H961="Falta",L961=Config!$B$7,M961=Config!$B$5,COUNTIFS($E$5:E961,E961,$H$5:H961,"Falta",$L$5:L961,Config!$B$7,$M$5:M961,Config!$B$5)=1),COUNTIFS($E$5:$E$1204,E961,$H$5:$H$1204,"Falta",$L$5:$L$1204,Config!$B$7,$M$5:$M$1204,Config!$B$5)*1000-ROW()/100000,0)</f>
        <v>0</v>
      </c>
    </row>
    <row r="962">
      <c r="A962" s="39" t="n"/>
      <c r="B962" s="40" t="n"/>
      <c r="C962" s="35" t="n"/>
      <c r="D962" s="35" t="n"/>
      <c r="E962" s="34" t="n"/>
      <c r="F962" s="35" t="n"/>
      <c r="G962" s="35" t="n"/>
      <c r="H962" s="35" t="n"/>
      <c r="I962" s="35" t="n"/>
      <c r="J962" s="35" t="n"/>
      <c r="K962" s="34" t="n"/>
      <c r="L962" s="26">
        <f>IF(A962="","",MONTH(A962))</f>
        <v/>
      </c>
      <c r="M962" s="26">
        <f>IF(A962="","",YEAR(A962))</f>
        <v/>
      </c>
      <c r="N962" s="26">
        <f>IF(A962="","",CHOOSE(WEEKDAY(A962,2),"Segunda","Terça","Quarta","Quinta","Sexta","Sábado","Domingo"))</f>
        <v/>
      </c>
      <c r="O962" s="26">
        <f>IF(B962="","",IF(B962&lt;TIME(12,0,0),"Manhã",IF(B962&lt;TIME(18,0,0),"Tarde","Noite")))</f>
        <v/>
      </c>
      <c r="P962" s="32">
        <f>IF(G962="","",IFERROR(INDEX(Config!$I$5:$I$16,MATCH(G962,Config!$H$5:$H$16,0)),0))</f>
        <v/>
      </c>
      <c r="Q962" s="30">
        <f>IF(OR(H962&lt;&gt;"Realizado",P962="",P962=0),"",A962+P962)</f>
        <v/>
      </c>
      <c r="R962" s="26">
        <f>IF(Q962="","",IF(COUNTIFS($E$5:$E$1204,E962,$A$5:$A$1204,"&gt;"&amp;A962,$H$5:$H$1204,"&lt;&gt;Falta",$H$5:$H$1204,"&lt;&gt;Cancelado",$H$5:$H$1204,"&lt;&gt;Remarcado")&gt;0,"Sim","Não"))</f>
        <v/>
      </c>
      <c r="S962" s="32">
        <f>IF(R962&lt;&gt;"Não","",IF(Q962+Config!$B$9&lt;=Config!$B$8,Config!$B$8-Q962,""))</f>
        <v/>
      </c>
      <c r="T962" s="26">
        <f>IF(S962="","","Sim")</f>
        <v/>
      </c>
      <c r="U962" s="41">
        <f>IF(T962="Sim",S962+ROW()/100000,0)</f>
        <v>0</v>
      </c>
      <c r="V962" s="41">
        <f>IF(AND(H962="Falta",L962=Config!$B$7,M962=Config!$B$5,COUNTIFS($E$5:E962,E962,$H$5:H962,"Falta",$L$5:L962,Config!$B$7,$M$5:M962,Config!$B$5)=1),COUNTIFS($E$5:$E$1204,E962,$H$5:$H$1204,"Falta",$L$5:$L$1204,Config!$B$7,$M$5:$M$1204,Config!$B$5)*1000-ROW()/100000,0)</f>
        <v>0</v>
      </c>
    </row>
    <row r="963">
      <c r="A963" s="39" t="n"/>
      <c r="B963" s="40" t="n"/>
      <c r="C963" s="35" t="n"/>
      <c r="D963" s="35" t="n"/>
      <c r="E963" s="34" t="n"/>
      <c r="F963" s="35" t="n"/>
      <c r="G963" s="35" t="n"/>
      <c r="H963" s="35" t="n"/>
      <c r="I963" s="35" t="n"/>
      <c r="J963" s="35" t="n"/>
      <c r="K963" s="34" t="n"/>
      <c r="L963" s="26">
        <f>IF(A963="","",MONTH(A963))</f>
        <v/>
      </c>
      <c r="M963" s="26">
        <f>IF(A963="","",YEAR(A963))</f>
        <v/>
      </c>
      <c r="N963" s="26">
        <f>IF(A963="","",CHOOSE(WEEKDAY(A963,2),"Segunda","Terça","Quarta","Quinta","Sexta","Sábado","Domingo"))</f>
        <v/>
      </c>
      <c r="O963" s="26">
        <f>IF(B963="","",IF(B963&lt;TIME(12,0,0),"Manhã",IF(B963&lt;TIME(18,0,0),"Tarde","Noite")))</f>
        <v/>
      </c>
      <c r="P963" s="32">
        <f>IF(G963="","",IFERROR(INDEX(Config!$I$5:$I$16,MATCH(G963,Config!$H$5:$H$16,0)),0))</f>
        <v/>
      </c>
      <c r="Q963" s="30">
        <f>IF(OR(H963&lt;&gt;"Realizado",P963="",P963=0),"",A963+P963)</f>
        <v/>
      </c>
      <c r="R963" s="26">
        <f>IF(Q963="","",IF(COUNTIFS($E$5:$E$1204,E963,$A$5:$A$1204,"&gt;"&amp;A963,$H$5:$H$1204,"&lt;&gt;Falta",$H$5:$H$1204,"&lt;&gt;Cancelado",$H$5:$H$1204,"&lt;&gt;Remarcado")&gt;0,"Sim","Não"))</f>
        <v/>
      </c>
      <c r="S963" s="32">
        <f>IF(R963&lt;&gt;"Não","",IF(Q963+Config!$B$9&lt;=Config!$B$8,Config!$B$8-Q963,""))</f>
        <v/>
      </c>
      <c r="T963" s="26">
        <f>IF(S963="","","Sim")</f>
        <v/>
      </c>
      <c r="U963" s="41">
        <f>IF(T963="Sim",S963+ROW()/100000,0)</f>
        <v>0</v>
      </c>
      <c r="V963" s="41">
        <f>IF(AND(H963="Falta",L963=Config!$B$7,M963=Config!$B$5,COUNTIFS($E$5:E963,E963,$H$5:H963,"Falta",$L$5:L963,Config!$B$7,$M$5:M963,Config!$B$5)=1),COUNTIFS($E$5:$E$1204,E963,$H$5:$H$1204,"Falta",$L$5:$L$1204,Config!$B$7,$M$5:$M$1204,Config!$B$5)*1000-ROW()/100000,0)</f>
        <v>0</v>
      </c>
    </row>
    <row r="964">
      <c r="A964" s="39" t="n"/>
      <c r="B964" s="40" t="n"/>
      <c r="C964" s="35" t="n"/>
      <c r="D964" s="35" t="n"/>
      <c r="E964" s="34" t="n"/>
      <c r="F964" s="35" t="n"/>
      <c r="G964" s="35" t="n"/>
      <c r="H964" s="35" t="n"/>
      <c r="I964" s="35" t="n"/>
      <c r="J964" s="35" t="n"/>
      <c r="K964" s="34" t="n"/>
      <c r="L964" s="26">
        <f>IF(A964="","",MONTH(A964))</f>
        <v/>
      </c>
      <c r="M964" s="26">
        <f>IF(A964="","",YEAR(A964))</f>
        <v/>
      </c>
      <c r="N964" s="26">
        <f>IF(A964="","",CHOOSE(WEEKDAY(A964,2),"Segunda","Terça","Quarta","Quinta","Sexta","Sábado","Domingo"))</f>
        <v/>
      </c>
      <c r="O964" s="26">
        <f>IF(B964="","",IF(B964&lt;TIME(12,0,0),"Manhã",IF(B964&lt;TIME(18,0,0),"Tarde","Noite")))</f>
        <v/>
      </c>
      <c r="P964" s="32">
        <f>IF(G964="","",IFERROR(INDEX(Config!$I$5:$I$16,MATCH(G964,Config!$H$5:$H$16,0)),0))</f>
        <v/>
      </c>
      <c r="Q964" s="30">
        <f>IF(OR(H964&lt;&gt;"Realizado",P964="",P964=0),"",A964+P964)</f>
        <v/>
      </c>
      <c r="R964" s="26">
        <f>IF(Q964="","",IF(COUNTIFS($E$5:$E$1204,E964,$A$5:$A$1204,"&gt;"&amp;A964,$H$5:$H$1204,"&lt;&gt;Falta",$H$5:$H$1204,"&lt;&gt;Cancelado",$H$5:$H$1204,"&lt;&gt;Remarcado")&gt;0,"Sim","Não"))</f>
        <v/>
      </c>
      <c r="S964" s="32">
        <f>IF(R964&lt;&gt;"Não","",IF(Q964+Config!$B$9&lt;=Config!$B$8,Config!$B$8-Q964,""))</f>
        <v/>
      </c>
      <c r="T964" s="26">
        <f>IF(S964="","","Sim")</f>
        <v/>
      </c>
      <c r="U964" s="41">
        <f>IF(T964="Sim",S964+ROW()/100000,0)</f>
        <v>0</v>
      </c>
      <c r="V964" s="41">
        <f>IF(AND(H964="Falta",L964=Config!$B$7,M964=Config!$B$5,COUNTIFS($E$5:E964,E964,$H$5:H964,"Falta",$L$5:L964,Config!$B$7,$M$5:M964,Config!$B$5)=1),COUNTIFS($E$5:$E$1204,E964,$H$5:$H$1204,"Falta",$L$5:$L$1204,Config!$B$7,$M$5:$M$1204,Config!$B$5)*1000-ROW()/100000,0)</f>
        <v>0</v>
      </c>
    </row>
    <row r="965">
      <c r="A965" s="39" t="n"/>
      <c r="B965" s="40" t="n"/>
      <c r="C965" s="35" t="n"/>
      <c r="D965" s="35" t="n"/>
      <c r="E965" s="34" t="n"/>
      <c r="F965" s="35" t="n"/>
      <c r="G965" s="35" t="n"/>
      <c r="H965" s="35" t="n"/>
      <c r="I965" s="35" t="n"/>
      <c r="J965" s="35" t="n"/>
      <c r="K965" s="34" t="n"/>
      <c r="L965" s="26">
        <f>IF(A965="","",MONTH(A965))</f>
        <v/>
      </c>
      <c r="M965" s="26">
        <f>IF(A965="","",YEAR(A965))</f>
        <v/>
      </c>
      <c r="N965" s="26">
        <f>IF(A965="","",CHOOSE(WEEKDAY(A965,2),"Segunda","Terça","Quarta","Quinta","Sexta","Sábado","Domingo"))</f>
        <v/>
      </c>
      <c r="O965" s="26">
        <f>IF(B965="","",IF(B965&lt;TIME(12,0,0),"Manhã",IF(B965&lt;TIME(18,0,0),"Tarde","Noite")))</f>
        <v/>
      </c>
      <c r="P965" s="32">
        <f>IF(G965="","",IFERROR(INDEX(Config!$I$5:$I$16,MATCH(G965,Config!$H$5:$H$16,0)),0))</f>
        <v/>
      </c>
      <c r="Q965" s="30">
        <f>IF(OR(H965&lt;&gt;"Realizado",P965="",P965=0),"",A965+P965)</f>
        <v/>
      </c>
      <c r="R965" s="26">
        <f>IF(Q965="","",IF(COUNTIFS($E$5:$E$1204,E965,$A$5:$A$1204,"&gt;"&amp;A965,$H$5:$H$1204,"&lt;&gt;Falta",$H$5:$H$1204,"&lt;&gt;Cancelado",$H$5:$H$1204,"&lt;&gt;Remarcado")&gt;0,"Sim","Não"))</f>
        <v/>
      </c>
      <c r="S965" s="32">
        <f>IF(R965&lt;&gt;"Não","",IF(Q965+Config!$B$9&lt;=Config!$B$8,Config!$B$8-Q965,""))</f>
        <v/>
      </c>
      <c r="T965" s="26">
        <f>IF(S965="","","Sim")</f>
        <v/>
      </c>
      <c r="U965" s="41">
        <f>IF(T965="Sim",S965+ROW()/100000,0)</f>
        <v>0</v>
      </c>
      <c r="V965" s="41">
        <f>IF(AND(H965="Falta",L965=Config!$B$7,M965=Config!$B$5,COUNTIFS($E$5:E965,E965,$H$5:H965,"Falta",$L$5:L965,Config!$B$7,$M$5:M965,Config!$B$5)=1),COUNTIFS($E$5:$E$1204,E965,$H$5:$H$1204,"Falta",$L$5:$L$1204,Config!$B$7,$M$5:$M$1204,Config!$B$5)*1000-ROW()/100000,0)</f>
        <v>0</v>
      </c>
    </row>
    <row r="966">
      <c r="A966" s="39" t="n"/>
      <c r="B966" s="40" t="n"/>
      <c r="C966" s="35" t="n"/>
      <c r="D966" s="35" t="n"/>
      <c r="E966" s="34" t="n"/>
      <c r="F966" s="35" t="n"/>
      <c r="G966" s="35" t="n"/>
      <c r="H966" s="35" t="n"/>
      <c r="I966" s="35" t="n"/>
      <c r="J966" s="35" t="n"/>
      <c r="K966" s="34" t="n"/>
      <c r="L966" s="26">
        <f>IF(A966="","",MONTH(A966))</f>
        <v/>
      </c>
      <c r="M966" s="26">
        <f>IF(A966="","",YEAR(A966))</f>
        <v/>
      </c>
      <c r="N966" s="26">
        <f>IF(A966="","",CHOOSE(WEEKDAY(A966,2),"Segunda","Terça","Quarta","Quinta","Sexta","Sábado","Domingo"))</f>
        <v/>
      </c>
      <c r="O966" s="26">
        <f>IF(B966="","",IF(B966&lt;TIME(12,0,0),"Manhã",IF(B966&lt;TIME(18,0,0),"Tarde","Noite")))</f>
        <v/>
      </c>
      <c r="P966" s="32">
        <f>IF(G966="","",IFERROR(INDEX(Config!$I$5:$I$16,MATCH(G966,Config!$H$5:$H$16,0)),0))</f>
        <v/>
      </c>
      <c r="Q966" s="30">
        <f>IF(OR(H966&lt;&gt;"Realizado",P966="",P966=0),"",A966+P966)</f>
        <v/>
      </c>
      <c r="R966" s="26">
        <f>IF(Q966="","",IF(COUNTIFS($E$5:$E$1204,E966,$A$5:$A$1204,"&gt;"&amp;A966,$H$5:$H$1204,"&lt;&gt;Falta",$H$5:$H$1204,"&lt;&gt;Cancelado",$H$5:$H$1204,"&lt;&gt;Remarcado")&gt;0,"Sim","Não"))</f>
        <v/>
      </c>
      <c r="S966" s="32">
        <f>IF(R966&lt;&gt;"Não","",IF(Q966+Config!$B$9&lt;=Config!$B$8,Config!$B$8-Q966,""))</f>
        <v/>
      </c>
      <c r="T966" s="26">
        <f>IF(S966="","","Sim")</f>
        <v/>
      </c>
      <c r="U966" s="41">
        <f>IF(T966="Sim",S966+ROW()/100000,0)</f>
        <v>0</v>
      </c>
      <c r="V966" s="41">
        <f>IF(AND(H966="Falta",L966=Config!$B$7,M966=Config!$B$5,COUNTIFS($E$5:E966,E966,$H$5:H966,"Falta",$L$5:L966,Config!$B$7,$M$5:M966,Config!$B$5)=1),COUNTIFS($E$5:$E$1204,E966,$H$5:$H$1204,"Falta",$L$5:$L$1204,Config!$B$7,$M$5:$M$1204,Config!$B$5)*1000-ROW()/100000,0)</f>
        <v>0</v>
      </c>
    </row>
    <row r="967">
      <c r="A967" s="39" t="n"/>
      <c r="B967" s="40" t="n"/>
      <c r="C967" s="35" t="n"/>
      <c r="D967" s="35" t="n"/>
      <c r="E967" s="34" t="n"/>
      <c r="F967" s="35" t="n"/>
      <c r="G967" s="35" t="n"/>
      <c r="H967" s="35" t="n"/>
      <c r="I967" s="35" t="n"/>
      <c r="J967" s="35" t="n"/>
      <c r="K967" s="34" t="n"/>
      <c r="L967" s="26">
        <f>IF(A967="","",MONTH(A967))</f>
        <v/>
      </c>
      <c r="M967" s="26">
        <f>IF(A967="","",YEAR(A967))</f>
        <v/>
      </c>
      <c r="N967" s="26">
        <f>IF(A967="","",CHOOSE(WEEKDAY(A967,2),"Segunda","Terça","Quarta","Quinta","Sexta","Sábado","Domingo"))</f>
        <v/>
      </c>
      <c r="O967" s="26">
        <f>IF(B967="","",IF(B967&lt;TIME(12,0,0),"Manhã",IF(B967&lt;TIME(18,0,0),"Tarde","Noite")))</f>
        <v/>
      </c>
      <c r="P967" s="32">
        <f>IF(G967="","",IFERROR(INDEX(Config!$I$5:$I$16,MATCH(G967,Config!$H$5:$H$16,0)),0))</f>
        <v/>
      </c>
      <c r="Q967" s="30">
        <f>IF(OR(H967&lt;&gt;"Realizado",P967="",P967=0),"",A967+P967)</f>
        <v/>
      </c>
      <c r="R967" s="26">
        <f>IF(Q967="","",IF(COUNTIFS($E$5:$E$1204,E967,$A$5:$A$1204,"&gt;"&amp;A967,$H$5:$H$1204,"&lt;&gt;Falta",$H$5:$H$1204,"&lt;&gt;Cancelado",$H$5:$H$1204,"&lt;&gt;Remarcado")&gt;0,"Sim","Não"))</f>
        <v/>
      </c>
      <c r="S967" s="32">
        <f>IF(R967&lt;&gt;"Não","",IF(Q967+Config!$B$9&lt;=Config!$B$8,Config!$B$8-Q967,""))</f>
        <v/>
      </c>
      <c r="T967" s="26">
        <f>IF(S967="","","Sim")</f>
        <v/>
      </c>
      <c r="U967" s="41">
        <f>IF(T967="Sim",S967+ROW()/100000,0)</f>
        <v>0</v>
      </c>
      <c r="V967" s="41">
        <f>IF(AND(H967="Falta",L967=Config!$B$7,M967=Config!$B$5,COUNTIFS($E$5:E967,E967,$H$5:H967,"Falta",$L$5:L967,Config!$B$7,$M$5:M967,Config!$B$5)=1),COUNTIFS($E$5:$E$1204,E967,$H$5:$H$1204,"Falta",$L$5:$L$1204,Config!$B$7,$M$5:$M$1204,Config!$B$5)*1000-ROW()/100000,0)</f>
        <v>0</v>
      </c>
    </row>
    <row r="968">
      <c r="A968" s="39" t="n"/>
      <c r="B968" s="40" t="n"/>
      <c r="C968" s="35" t="n"/>
      <c r="D968" s="35" t="n"/>
      <c r="E968" s="34" t="n"/>
      <c r="F968" s="35" t="n"/>
      <c r="G968" s="35" t="n"/>
      <c r="H968" s="35" t="n"/>
      <c r="I968" s="35" t="n"/>
      <c r="J968" s="35" t="n"/>
      <c r="K968" s="34" t="n"/>
      <c r="L968" s="26">
        <f>IF(A968="","",MONTH(A968))</f>
        <v/>
      </c>
      <c r="M968" s="26">
        <f>IF(A968="","",YEAR(A968))</f>
        <v/>
      </c>
      <c r="N968" s="26">
        <f>IF(A968="","",CHOOSE(WEEKDAY(A968,2),"Segunda","Terça","Quarta","Quinta","Sexta","Sábado","Domingo"))</f>
        <v/>
      </c>
      <c r="O968" s="26">
        <f>IF(B968="","",IF(B968&lt;TIME(12,0,0),"Manhã",IF(B968&lt;TIME(18,0,0),"Tarde","Noite")))</f>
        <v/>
      </c>
      <c r="P968" s="32">
        <f>IF(G968="","",IFERROR(INDEX(Config!$I$5:$I$16,MATCH(G968,Config!$H$5:$H$16,0)),0))</f>
        <v/>
      </c>
      <c r="Q968" s="30">
        <f>IF(OR(H968&lt;&gt;"Realizado",P968="",P968=0),"",A968+P968)</f>
        <v/>
      </c>
      <c r="R968" s="26">
        <f>IF(Q968="","",IF(COUNTIFS($E$5:$E$1204,E968,$A$5:$A$1204,"&gt;"&amp;A968,$H$5:$H$1204,"&lt;&gt;Falta",$H$5:$H$1204,"&lt;&gt;Cancelado",$H$5:$H$1204,"&lt;&gt;Remarcado")&gt;0,"Sim","Não"))</f>
        <v/>
      </c>
      <c r="S968" s="32">
        <f>IF(R968&lt;&gt;"Não","",IF(Q968+Config!$B$9&lt;=Config!$B$8,Config!$B$8-Q968,""))</f>
        <v/>
      </c>
      <c r="T968" s="26">
        <f>IF(S968="","","Sim")</f>
        <v/>
      </c>
      <c r="U968" s="41">
        <f>IF(T968="Sim",S968+ROW()/100000,0)</f>
        <v>0</v>
      </c>
      <c r="V968" s="41">
        <f>IF(AND(H968="Falta",L968=Config!$B$7,M968=Config!$B$5,COUNTIFS($E$5:E968,E968,$H$5:H968,"Falta",$L$5:L968,Config!$B$7,$M$5:M968,Config!$B$5)=1),COUNTIFS($E$5:$E$1204,E968,$H$5:$H$1204,"Falta",$L$5:$L$1204,Config!$B$7,$M$5:$M$1204,Config!$B$5)*1000-ROW()/100000,0)</f>
        <v>0</v>
      </c>
    </row>
    <row r="969">
      <c r="A969" s="39" t="n"/>
      <c r="B969" s="40" t="n"/>
      <c r="C969" s="35" t="n"/>
      <c r="D969" s="35" t="n"/>
      <c r="E969" s="34" t="n"/>
      <c r="F969" s="35" t="n"/>
      <c r="G969" s="35" t="n"/>
      <c r="H969" s="35" t="n"/>
      <c r="I969" s="35" t="n"/>
      <c r="J969" s="35" t="n"/>
      <c r="K969" s="34" t="n"/>
      <c r="L969" s="26">
        <f>IF(A969="","",MONTH(A969))</f>
        <v/>
      </c>
      <c r="M969" s="26">
        <f>IF(A969="","",YEAR(A969))</f>
        <v/>
      </c>
      <c r="N969" s="26">
        <f>IF(A969="","",CHOOSE(WEEKDAY(A969,2),"Segunda","Terça","Quarta","Quinta","Sexta","Sábado","Domingo"))</f>
        <v/>
      </c>
      <c r="O969" s="26">
        <f>IF(B969="","",IF(B969&lt;TIME(12,0,0),"Manhã",IF(B969&lt;TIME(18,0,0),"Tarde","Noite")))</f>
        <v/>
      </c>
      <c r="P969" s="32">
        <f>IF(G969="","",IFERROR(INDEX(Config!$I$5:$I$16,MATCH(G969,Config!$H$5:$H$16,0)),0))</f>
        <v/>
      </c>
      <c r="Q969" s="30">
        <f>IF(OR(H969&lt;&gt;"Realizado",P969="",P969=0),"",A969+P969)</f>
        <v/>
      </c>
      <c r="R969" s="26">
        <f>IF(Q969="","",IF(COUNTIFS($E$5:$E$1204,E969,$A$5:$A$1204,"&gt;"&amp;A969,$H$5:$H$1204,"&lt;&gt;Falta",$H$5:$H$1204,"&lt;&gt;Cancelado",$H$5:$H$1204,"&lt;&gt;Remarcado")&gt;0,"Sim","Não"))</f>
        <v/>
      </c>
      <c r="S969" s="32">
        <f>IF(R969&lt;&gt;"Não","",IF(Q969+Config!$B$9&lt;=Config!$B$8,Config!$B$8-Q969,""))</f>
        <v/>
      </c>
      <c r="T969" s="26">
        <f>IF(S969="","","Sim")</f>
        <v/>
      </c>
      <c r="U969" s="41">
        <f>IF(T969="Sim",S969+ROW()/100000,0)</f>
        <v>0</v>
      </c>
      <c r="V969" s="41">
        <f>IF(AND(H969="Falta",L969=Config!$B$7,M969=Config!$B$5,COUNTIFS($E$5:E969,E969,$H$5:H969,"Falta",$L$5:L969,Config!$B$7,$M$5:M969,Config!$B$5)=1),COUNTIFS($E$5:$E$1204,E969,$H$5:$H$1204,"Falta",$L$5:$L$1204,Config!$B$7,$M$5:$M$1204,Config!$B$5)*1000-ROW()/100000,0)</f>
        <v>0</v>
      </c>
    </row>
    <row r="970">
      <c r="A970" s="39" t="n"/>
      <c r="B970" s="40" t="n"/>
      <c r="C970" s="35" t="n"/>
      <c r="D970" s="35" t="n"/>
      <c r="E970" s="34" t="n"/>
      <c r="F970" s="35" t="n"/>
      <c r="G970" s="35" t="n"/>
      <c r="H970" s="35" t="n"/>
      <c r="I970" s="35" t="n"/>
      <c r="J970" s="35" t="n"/>
      <c r="K970" s="34" t="n"/>
      <c r="L970" s="26">
        <f>IF(A970="","",MONTH(A970))</f>
        <v/>
      </c>
      <c r="M970" s="26">
        <f>IF(A970="","",YEAR(A970))</f>
        <v/>
      </c>
      <c r="N970" s="26">
        <f>IF(A970="","",CHOOSE(WEEKDAY(A970,2),"Segunda","Terça","Quarta","Quinta","Sexta","Sábado","Domingo"))</f>
        <v/>
      </c>
      <c r="O970" s="26">
        <f>IF(B970="","",IF(B970&lt;TIME(12,0,0),"Manhã",IF(B970&lt;TIME(18,0,0),"Tarde","Noite")))</f>
        <v/>
      </c>
      <c r="P970" s="32">
        <f>IF(G970="","",IFERROR(INDEX(Config!$I$5:$I$16,MATCH(G970,Config!$H$5:$H$16,0)),0))</f>
        <v/>
      </c>
      <c r="Q970" s="30">
        <f>IF(OR(H970&lt;&gt;"Realizado",P970="",P970=0),"",A970+P970)</f>
        <v/>
      </c>
      <c r="R970" s="26">
        <f>IF(Q970="","",IF(COUNTIFS($E$5:$E$1204,E970,$A$5:$A$1204,"&gt;"&amp;A970,$H$5:$H$1204,"&lt;&gt;Falta",$H$5:$H$1204,"&lt;&gt;Cancelado",$H$5:$H$1204,"&lt;&gt;Remarcado")&gt;0,"Sim","Não"))</f>
        <v/>
      </c>
      <c r="S970" s="32">
        <f>IF(R970&lt;&gt;"Não","",IF(Q970+Config!$B$9&lt;=Config!$B$8,Config!$B$8-Q970,""))</f>
        <v/>
      </c>
      <c r="T970" s="26">
        <f>IF(S970="","","Sim")</f>
        <v/>
      </c>
      <c r="U970" s="41">
        <f>IF(T970="Sim",S970+ROW()/100000,0)</f>
        <v>0</v>
      </c>
      <c r="V970" s="41">
        <f>IF(AND(H970="Falta",L970=Config!$B$7,M970=Config!$B$5,COUNTIFS($E$5:E970,E970,$H$5:H970,"Falta",$L$5:L970,Config!$B$7,$M$5:M970,Config!$B$5)=1),COUNTIFS($E$5:$E$1204,E970,$H$5:$H$1204,"Falta",$L$5:$L$1204,Config!$B$7,$M$5:$M$1204,Config!$B$5)*1000-ROW()/100000,0)</f>
        <v>0</v>
      </c>
    </row>
    <row r="971">
      <c r="A971" s="39" t="n"/>
      <c r="B971" s="40" t="n"/>
      <c r="C971" s="35" t="n"/>
      <c r="D971" s="35" t="n"/>
      <c r="E971" s="34" t="n"/>
      <c r="F971" s="35" t="n"/>
      <c r="G971" s="35" t="n"/>
      <c r="H971" s="35" t="n"/>
      <c r="I971" s="35" t="n"/>
      <c r="J971" s="35" t="n"/>
      <c r="K971" s="34" t="n"/>
      <c r="L971" s="26">
        <f>IF(A971="","",MONTH(A971))</f>
        <v/>
      </c>
      <c r="M971" s="26">
        <f>IF(A971="","",YEAR(A971))</f>
        <v/>
      </c>
      <c r="N971" s="26">
        <f>IF(A971="","",CHOOSE(WEEKDAY(A971,2),"Segunda","Terça","Quarta","Quinta","Sexta","Sábado","Domingo"))</f>
        <v/>
      </c>
      <c r="O971" s="26">
        <f>IF(B971="","",IF(B971&lt;TIME(12,0,0),"Manhã",IF(B971&lt;TIME(18,0,0),"Tarde","Noite")))</f>
        <v/>
      </c>
      <c r="P971" s="32">
        <f>IF(G971="","",IFERROR(INDEX(Config!$I$5:$I$16,MATCH(G971,Config!$H$5:$H$16,0)),0))</f>
        <v/>
      </c>
      <c r="Q971" s="30">
        <f>IF(OR(H971&lt;&gt;"Realizado",P971="",P971=0),"",A971+P971)</f>
        <v/>
      </c>
      <c r="R971" s="26">
        <f>IF(Q971="","",IF(COUNTIFS($E$5:$E$1204,E971,$A$5:$A$1204,"&gt;"&amp;A971,$H$5:$H$1204,"&lt;&gt;Falta",$H$5:$H$1204,"&lt;&gt;Cancelado",$H$5:$H$1204,"&lt;&gt;Remarcado")&gt;0,"Sim","Não"))</f>
        <v/>
      </c>
      <c r="S971" s="32">
        <f>IF(R971&lt;&gt;"Não","",IF(Q971+Config!$B$9&lt;=Config!$B$8,Config!$B$8-Q971,""))</f>
        <v/>
      </c>
      <c r="T971" s="26">
        <f>IF(S971="","","Sim")</f>
        <v/>
      </c>
      <c r="U971" s="41">
        <f>IF(T971="Sim",S971+ROW()/100000,0)</f>
        <v>0</v>
      </c>
      <c r="V971" s="41">
        <f>IF(AND(H971="Falta",L971=Config!$B$7,M971=Config!$B$5,COUNTIFS($E$5:E971,E971,$H$5:H971,"Falta",$L$5:L971,Config!$B$7,$M$5:M971,Config!$B$5)=1),COUNTIFS($E$5:$E$1204,E971,$H$5:$H$1204,"Falta",$L$5:$L$1204,Config!$B$7,$M$5:$M$1204,Config!$B$5)*1000-ROW()/100000,0)</f>
        <v>0</v>
      </c>
    </row>
    <row r="972">
      <c r="A972" s="39" t="n"/>
      <c r="B972" s="40" t="n"/>
      <c r="C972" s="35" t="n"/>
      <c r="D972" s="35" t="n"/>
      <c r="E972" s="34" t="n"/>
      <c r="F972" s="35" t="n"/>
      <c r="G972" s="35" t="n"/>
      <c r="H972" s="35" t="n"/>
      <c r="I972" s="35" t="n"/>
      <c r="J972" s="35" t="n"/>
      <c r="K972" s="34" t="n"/>
      <c r="L972" s="26">
        <f>IF(A972="","",MONTH(A972))</f>
        <v/>
      </c>
      <c r="M972" s="26">
        <f>IF(A972="","",YEAR(A972))</f>
        <v/>
      </c>
      <c r="N972" s="26">
        <f>IF(A972="","",CHOOSE(WEEKDAY(A972,2),"Segunda","Terça","Quarta","Quinta","Sexta","Sábado","Domingo"))</f>
        <v/>
      </c>
      <c r="O972" s="26">
        <f>IF(B972="","",IF(B972&lt;TIME(12,0,0),"Manhã",IF(B972&lt;TIME(18,0,0),"Tarde","Noite")))</f>
        <v/>
      </c>
      <c r="P972" s="32">
        <f>IF(G972="","",IFERROR(INDEX(Config!$I$5:$I$16,MATCH(G972,Config!$H$5:$H$16,0)),0))</f>
        <v/>
      </c>
      <c r="Q972" s="30">
        <f>IF(OR(H972&lt;&gt;"Realizado",P972="",P972=0),"",A972+P972)</f>
        <v/>
      </c>
      <c r="R972" s="26">
        <f>IF(Q972="","",IF(COUNTIFS($E$5:$E$1204,E972,$A$5:$A$1204,"&gt;"&amp;A972,$H$5:$H$1204,"&lt;&gt;Falta",$H$5:$H$1204,"&lt;&gt;Cancelado",$H$5:$H$1204,"&lt;&gt;Remarcado")&gt;0,"Sim","Não"))</f>
        <v/>
      </c>
      <c r="S972" s="32">
        <f>IF(R972&lt;&gt;"Não","",IF(Q972+Config!$B$9&lt;=Config!$B$8,Config!$B$8-Q972,""))</f>
        <v/>
      </c>
      <c r="T972" s="26">
        <f>IF(S972="","","Sim")</f>
        <v/>
      </c>
      <c r="U972" s="41">
        <f>IF(T972="Sim",S972+ROW()/100000,0)</f>
        <v>0</v>
      </c>
      <c r="V972" s="41">
        <f>IF(AND(H972="Falta",L972=Config!$B$7,M972=Config!$B$5,COUNTIFS($E$5:E972,E972,$H$5:H972,"Falta",$L$5:L972,Config!$B$7,$M$5:M972,Config!$B$5)=1),COUNTIFS($E$5:$E$1204,E972,$H$5:$H$1204,"Falta",$L$5:$L$1204,Config!$B$7,$M$5:$M$1204,Config!$B$5)*1000-ROW()/100000,0)</f>
        <v>0</v>
      </c>
    </row>
    <row r="973">
      <c r="A973" s="39" t="n"/>
      <c r="B973" s="40" t="n"/>
      <c r="C973" s="35" t="n"/>
      <c r="D973" s="35" t="n"/>
      <c r="E973" s="34" t="n"/>
      <c r="F973" s="35" t="n"/>
      <c r="G973" s="35" t="n"/>
      <c r="H973" s="35" t="n"/>
      <c r="I973" s="35" t="n"/>
      <c r="J973" s="35" t="n"/>
      <c r="K973" s="34" t="n"/>
      <c r="L973" s="26">
        <f>IF(A973="","",MONTH(A973))</f>
        <v/>
      </c>
      <c r="M973" s="26">
        <f>IF(A973="","",YEAR(A973))</f>
        <v/>
      </c>
      <c r="N973" s="26">
        <f>IF(A973="","",CHOOSE(WEEKDAY(A973,2),"Segunda","Terça","Quarta","Quinta","Sexta","Sábado","Domingo"))</f>
        <v/>
      </c>
      <c r="O973" s="26">
        <f>IF(B973="","",IF(B973&lt;TIME(12,0,0),"Manhã",IF(B973&lt;TIME(18,0,0),"Tarde","Noite")))</f>
        <v/>
      </c>
      <c r="P973" s="32">
        <f>IF(G973="","",IFERROR(INDEX(Config!$I$5:$I$16,MATCH(G973,Config!$H$5:$H$16,0)),0))</f>
        <v/>
      </c>
      <c r="Q973" s="30">
        <f>IF(OR(H973&lt;&gt;"Realizado",P973="",P973=0),"",A973+P973)</f>
        <v/>
      </c>
      <c r="R973" s="26">
        <f>IF(Q973="","",IF(COUNTIFS($E$5:$E$1204,E973,$A$5:$A$1204,"&gt;"&amp;A973,$H$5:$H$1204,"&lt;&gt;Falta",$H$5:$H$1204,"&lt;&gt;Cancelado",$H$5:$H$1204,"&lt;&gt;Remarcado")&gt;0,"Sim","Não"))</f>
        <v/>
      </c>
      <c r="S973" s="32">
        <f>IF(R973&lt;&gt;"Não","",IF(Q973+Config!$B$9&lt;=Config!$B$8,Config!$B$8-Q973,""))</f>
        <v/>
      </c>
      <c r="T973" s="26">
        <f>IF(S973="","","Sim")</f>
        <v/>
      </c>
      <c r="U973" s="41">
        <f>IF(T973="Sim",S973+ROW()/100000,0)</f>
        <v>0</v>
      </c>
      <c r="V973" s="41">
        <f>IF(AND(H973="Falta",L973=Config!$B$7,M973=Config!$B$5,COUNTIFS($E$5:E973,E973,$H$5:H973,"Falta",$L$5:L973,Config!$B$7,$M$5:M973,Config!$B$5)=1),COUNTIFS($E$5:$E$1204,E973,$H$5:$H$1204,"Falta",$L$5:$L$1204,Config!$B$7,$M$5:$M$1204,Config!$B$5)*1000-ROW()/100000,0)</f>
        <v>0</v>
      </c>
    </row>
    <row r="974">
      <c r="A974" s="39" t="n"/>
      <c r="B974" s="40" t="n"/>
      <c r="C974" s="35" t="n"/>
      <c r="D974" s="35" t="n"/>
      <c r="E974" s="34" t="n"/>
      <c r="F974" s="35" t="n"/>
      <c r="G974" s="35" t="n"/>
      <c r="H974" s="35" t="n"/>
      <c r="I974" s="35" t="n"/>
      <c r="J974" s="35" t="n"/>
      <c r="K974" s="34" t="n"/>
      <c r="L974" s="26">
        <f>IF(A974="","",MONTH(A974))</f>
        <v/>
      </c>
      <c r="M974" s="26">
        <f>IF(A974="","",YEAR(A974))</f>
        <v/>
      </c>
      <c r="N974" s="26">
        <f>IF(A974="","",CHOOSE(WEEKDAY(A974,2),"Segunda","Terça","Quarta","Quinta","Sexta","Sábado","Domingo"))</f>
        <v/>
      </c>
      <c r="O974" s="26">
        <f>IF(B974="","",IF(B974&lt;TIME(12,0,0),"Manhã",IF(B974&lt;TIME(18,0,0),"Tarde","Noite")))</f>
        <v/>
      </c>
      <c r="P974" s="32">
        <f>IF(G974="","",IFERROR(INDEX(Config!$I$5:$I$16,MATCH(G974,Config!$H$5:$H$16,0)),0))</f>
        <v/>
      </c>
      <c r="Q974" s="30">
        <f>IF(OR(H974&lt;&gt;"Realizado",P974="",P974=0),"",A974+P974)</f>
        <v/>
      </c>
      <c r="R974" s="26">
        <f>IF(Q974="","",IF(COUNTIFS($E$5:$E$1204,E974,$A$5:$A$1204,"&gt;"&amp;A974,$H$5:$H$1204,"&lt;&gt;Falta",$H$5:$H$1204,"&lt;&gt;Cancelado",$H$5:$H$1204,"&lt;&gt;Remarcado")&gt;0,"Sim","Não"))</f>
        <v/>
      </c>
      <c r="S974" s="32">
        <f>IF(R974&lt;&gt;"Não","",IF(Q974+Config!$B$9&lt;=Config!$B$8,Config!$B$8-Q974,""))</f>
        <v/>
      </c>
      <c r="T974" s="26">
        <f>IF(S974="","","Sim")</f>
        <v/>
      </c>
      <c r="U974" s="41">
        <f>IF(T974="Sim",S974+ROW()/100000,0)</f>
        <v>0</v>
      </c>
      <c r="V974" s="41">
        <f>IF(AND(H974="Falta",L974=Config!$B$7,M974=Config!$B$5,COUNTIFS($E$5:E974,E974,$H$5:H974,"Falta",$L$5:L974,Config!$B$7,$M$5:M974,Config!$B$5)=1),COUNTIFS($E$5:$E$1204,E974,$H$5:$H$1204,"Falta",$L$5:$L$1204,Config!$B$7,$M$5:$M$1204,Config!$B$5)*1000-ROW()/100000,0)</f>
        <v>0</v>
      </c>
    </row>
    <row r="975">
      <c r="A975" s="39" t="n"/>
      <c r="B975" s="40" t="n"/>
      <c r="C975" s="35" t="n"/>
      <c r="D975" s="35" t="n"/>
      <c r="E975" s="34" t="n"/>
      <c r="F975" s="35" t="n"/>
      <c r="G975" s="35" t="n"/>
      <c r="H975" s="35" t="n"/>
      <c r="I975" s="35" t="n"/>
      <c r="J975" s="35" t="n"/>
      <c r="K975" s="34" t="n"/>
      <c r="L975" s="26">
        <f>IF(A975="","",MONTH(A975))</f>
        <v/>
      </c>
      <c r="M975" s="26">
        <f>IF(A975="","",YEAR(A975))</f>
        <v/>
      </c>
      <c r="N975" s="26">
        <f>IF(A975="","",CHOOSE(WEEKDAY(A975,2),"Segunda","Terça","Quarta","Quinta","Sexta","Sábado","Domingo"))</f>
        <v/>
      </c>
      <c r="O975" s="26">
        <f>IF(B975="","",IF(B975&lt;TIME(12,0,0),"Manhã",IF(B975&lt;TIME(18,0,0),"Tarde","Noite")))</f>
        <v/>
      </c>
      <c r="P975" s="32">
        <f>IF(G975="","",IFERROR(INDEX(Config!$I$5:$I$16,MATCH(G975,Config!$H$5:$H$16,0)),0))</f>
        <v/>
      </c>
      <c r="Q975" s="30">
        <f>IF(OR(H975&lt;&gt;"Realizado",P975="",P975=0),"",A975+P975)</f>
        <v/>
      </c>
      <c r="R975" s="26">
        <f>IF(Q975="","",IF(COUNTIFS($E$5:$E$1204,E975,$A$5:$A$1204,"&gt;"&amp;A975,$H$5:$H$1204,"&lt;&gt;Falta",$H$5:$H$1204,"&lt;&gt;Cancelado",$H$5:$H$1204,"&lt;&gt;Remarcado")&gt;0,"Sim","Não"))</f>
        <v/>
      </c>
      <c r="S975" s="32">
        <f>IF(R975&lt;&gt;"Não","",IF(Q975+Config!$B$9&lt;=Config!$B$8,Config!$B$8-Q975,""))</f>
        <v/>
      </c>
      <c r="T975" s="26">
        <f>IF(S975="","","Sim")</f>
        <v/>
      </c>
      <c r="U975" s="41">
        <f>IF(T975="Sim",S975+ROW()/100000,0)</f>
        <v>0</v>
      </c>
      <c r="V975" s="41">
        <f>IF(AND(H975="Falta",L975=Config!$B$7,M975=Config!$B$5,COUNTIFS($E$5:E975,E975,$H$5:H975,"Falta",$L$5:L975,Config!$B$7,$M$5:M975,Config!$B$5)=1),COUNTIFS($E$5:$E$1204,E975,$H$5:$H$1204,"Falta",$L$5:$L$1204,Config!$B$7,$M$5:$M$1204,Config!$B$5)*1000-ROW()/100000,0)</f>
        <v>0</v>
      </c>
    </row>
    <row r="976">
      <c r="A976" s="39" t="n"/>
      <c r="B976" s="40" t="n"/>
      <c r="C976" s="35" t="n"/>
      <c r="D976" s="35" t="n"/>
      <c r="E976" s="34" t="n"/>
      <c r="F976" s="35" t="n"/>
      <c r="G976" s="35" t="n"/>
      <c r="H976" s="35" t="n"/>
      <c r="I976" s="35" t="n"/>
      <c r="J976" s="35" t="n"/>
      <c r="K976" s="34" t="n"/>
      <c r="L976" s="26">
        <f>IF(A976="","",MONTH(A976))</f>
        <v/>
      </c>
      <c r="M976" s="26">
        <f>IF(A976="","",YEAR(A976))</f>
        <v/>
      </c>
      <c r="N976" s="26">
        <f>IF(A976="","",CHOOSE(WEEKDAY(A976,2),"Segunda","Terça","Quarta","Quinta","Sexta","Sábado","Domingo"))</f>
        <v/>
      </c>
      <c r="O976" s="26">
        <f>IF(B976="","",IF(B976&lt;TIME(12,0,0),"Manhã",IF(B976&lt;TIME(18,0,0),"Tarde","Noite")))</f>
        <v/>
      </c>
      <c r="P976" s="32">
        <f>IF(G976="","",IFERROR(INDEX(Config!$I$5:$I$16,MATCH(G976,Config!$H$5:$H$16,0)),0))</f>
        <v/>
      </c>
      <c r="Q976" s="30">
        <f>IF(OR(H976&lt;&gt;"Realizado",P976="",P976=0),"",A976+P976)</f>
        <v/>
      </c>
      <c r="R976" s="26">
        <f>IF(Q976="","",IF(COUNTIFS($E$5:$E$1204,E976,$A$5:$A$1204,"&gt;"&amp;A976,$H$5:$H$1204,"&lt;&gt;Falta",$H$5:$H$1204,"&lt;&gt;Cancelado",$H$5:$H$1204,"&lt;&gt;Remarcado")&gt;0,"Sim","Não"))</f>
        <v/>
      </c>
      <c r="S976" s="32">
        <f>IF(R976&lt;&gt;"Não","",IF(Q976+Config!$B$9&lt;=Config!$B$8,Config!$B$8-Q976,""))</f>
        <v/>
      </c>
      <c r="T976" s="26">
        <f>IF(S976="","","Sim")</f>
        <v/>
      </c>
      <c r="U976" s="41">
        <f>IF(T976="Sim",S976+ROW()/100000,0)</f>
        <v>0</v>
      </c>
      <c r="V976" s="41">
        <f>IF(AND(H976="Falta",L976=Config!$B$7,M976=Config!$B$5,COUNTIFS($E$5:E976,E976,$H$5:H976,"Falta",$L$5:L976,Config!$B$7,$M$5:M976,Config!$B$5)=1),COUNTIFS($E$5:$E$1204,E976,$H$5:$H$1204,"Falta",$L$5:$L$1204,Config!$B$7,$M$5:$M$1204,Config!$B$5)*1000-ROW()/100000,0)</f>
        <v>0</v>
      </c>
    </row>
    <row r="977">
      <c r="A977" s="39" t="n"/>
      <c r="B977" s="40" t="n"/>
      <c r="C977" s="35" t="n"/>
      <c r="D977" s="35" t="n"/>
      <c r="E977" s="34" t="n"/>
      <c r="F977" s="35" t="n"/>
      <c r="G977" s="35" t="n"/>
      <c r="H977" s="35" t="n"/>
      <c r="I977" s="35" t="n"/>
      <c r="J977" s="35" t="n"/>
      <c r="K977" s="34" t="n"/>
      <c r="L977" s="26">
        <f>IF(A977="","",MONTH(A977))</f>
        <v/>
      </c>
      <c r="M977" s="26">
        <f>IF(A977="","",YEAR(A977))</f>
        <v/>
      </c>
      <c r="N977" s="26">
        <f>IF(A977="","",CHOOSE(WEEKDAY(A977,2),"Segunda","Terça","Quarta","Quinta","Sexta","Sábado","Domingo"))</f>
        <v/>
      </c>
      <c r="O977" s="26">
        <f>IF(B977="","",IF(B977&lt;TIME(12,0,0),"Manhã",IF(B977&lt;TIME(18,0,0),"Tarde","Noite")))</f>
        <v/>
      </c>
      <c r="P977" s="32">
        <f>IF(G977="","",IFERROR(INDEX(Config!$I$5:$I$16,MATCH(G977,Config!$H$5:$H$16,0)),0))</f>
        <v/>
      </c>
      <c r="Q977" s="30">
        <f>IF(OR(H977&lt;&gt;"Realizado",P977="",P977=0),"",A977+P977)</f>
        <v/>
      </c>
      <c r="R977" s="26">
        <f>IF(Q977="","",IF(COUNTIFS($E$5:$E$1204,E977,$A$5:$A$1204,"&gt;"&amp;A977,$H$5:$H$1204,"&lt;&gt;Falta",$H$5:$H$1204,"&lt;&gt;Cancelado",$H$5:$H$1204,"&lt;&gt;Remarcado")&gt;0,"Sim","Não"))</f>
        <v/>
      </c>
      <c r="S977" s="32">
        <f>IF(R977&lt;&gt;"Não","",IF(Q977+Config!$B$9&lt;=Config!$B$8,Config!$B$8-Q977,""))</f>
        <v/>
      </c>
      <c r="T977" s="26">
        <f>IF(S977="","","Sim")</f>
        <v/>
      </c>
      <c r="U977" s="41">
        <f>IF(T977="Sim",S977+ROW()/100000,0)</f>
        <v>0</v>
      </c>
      <c r="V977" s="41">
        <f>IF(AND(H977="Falta",L977=Config!$B$7,M977=Config!$B$5,COUNTIFS($E$5:E977,E977,$H$5:H977,"Falta",$L$5:L977,Config!$B$7,$M$5:M977,Config!$B$5)=1),COUNTIFS($E$5:$E$1204,E977,$H$5:$H$1204,"Falta",$L$5:$L$1204,Config!$B$7,$M$5:$M$1204,Config!$B$5)*1000-ROW()/100000,0)</f>
        <v>0</v>
      </c>
    </row>
    <row r="978">
      <c r="A978" s="39" t="n"/>
      <c r="B978" s="40" t="n"/>
      <c r="C978" s="35" t="n"/>
      <c r="D978" s="35" t="n"/>
      <c r="E978" s="34" t="n"/>
      <c r="F978" s="35" t="n"/>
      <c r="G978" s="35" t="n"/>
      <c r="H978" s="35" t="n"/>
      <c r="I978" s="35" t="n"/>
      <c r="J978" s="35" t="n"/>
      <c r="K978" s="34" t="n"/>
      <c r="L978" s="26">
        <f>IF(A978="","",MONTH(A978))</f>
        <v/>
      </c>
      <c r="M978" s="26">
        <f>IF(A978="","",YEAR(A978))</f>
        <v/>
      </c>
      <c r="N978" s="26">
        <f>IF(A978="","",CHOOSE(WEEKDAY(A978,2),"Segunda","Terça","Quarta","Quinta","Sexta","Sábado","Domingo"))</f>
        <v/>
      </c>
      <c r="O978" s="26">
        <f>IF(B978="","",IF(B978&lt;TIME(12,0,0),"Manhã",IF(B978&lt;TIME(18,0,0),"Tarde","Noite")))</f>
        <v/>
      </c>
      <c r="P978" s="32">
        <f>IF(G978="","",IFERROR(INDEX(Config!$I$5:$I$16,MATCH(G978,Config!$H$5:$H$16,0)),0))</f>
        <v/>
      </c>
      <c r="Q978" s="30">
        <f>IF(OR(H978&lt;&gt;"Realizado",P978="",P978=0),"",A978+P978)</f>
        <v/>
      </c>
      <c r="R978" s="26">
        <f>IF(Q978="","",IF(COUNTIFS($E$5:$E$1204,E978,$A$5:$A$1204,"&gt;"&amp;A978,$H$5:$H$1204,"&lt;&gt;Falta",$H$5:$H$1204,"&lt;&gt;Cancelado",$H$5:$H$1204,"&lt;&gt;Remarcado")&gt;0,"Sim","Não"))</f>
        <v/>
      </c>
      <c r="S978" s="32">
        <f>IF(R978&lt;&gt;"Não","",IF(Q978+Config!$B$9&lt;=Config!$B$8,Config!$B$8-Q978,""))</f>
        <v/>
      </c>
      <c r="T978" s="26">
        <f>IF(S978="","","Sim")</f>
        <v/>
      </c>
      <c r="U978" s="41">
        <f>IF(T978="Sim",S978+ROW()/100000,0)</f>
        <v>0</v>
      </c>
      <c r="V978" s="41">
        <f>IF(AND(H978="Falta",L978=Config!$B$7,M978=Config!$B$5,COUNTIFS($E$5:E978,E978,$H$5:H978,"Falta",$L$5:L978,Config!$B$7,$M$5:M978,Config!$B$5)=1),COUNTIFS($E$5:$E$1204,E978,$H$5:$H$1204,"Falta",$L$5:$L$1204,Config!$B$7,$M$5:$M$1204,Config!$B$5)*1000-ROW()/100000,0)</f>
        <v>0</v>
      </c>
    </row>
    <row r="979">
      <c r="A979" s="39" t="n"/>
      <c r="B979" s="40" t="n"/>
      <c r="C979" s="35" t="n"/>
      <c r="D979" s="35" t="n"/>
      <c r="E979" s="34" t="n"/>
      <c r="F979" s="35" t="n"/>
      <c r="G979" s="35" t="n"/>
      <c r="H979" s="35" t="n"/>
      <c r="I979" s="35" t="n"/>
      <c r="J979" s="35" t="n"/>
      <c r="K979" s="34" t="n"/>
      <c r="L979" s="26">
        <f>IF(A979="","",MONTH(A979))</f>
        <v/>
      </c>
      <c r="M979" s="26">
        <f>IF(A979="","",YEAR(A979))</f>
        <v/>
      </c>
      <c r="N979" s="26">
        <f>IF(A979="","",CHOOSE(WEEKDAY(A979,2),"Segunda","Terça","Quarta","Quinta","Sexta","Sábado","Domingo"))</f>
        <v/>
      </c>
      <c r="O979" s="26">
        <f>IF(B979="","",IF(B979&lt;TIME(12,0,0),"Manhã",IF(B979&lt;TIME(18,0,0),"Tarde","Noite")))</f>
        <v/>
      </c>
      <c r="P979" s="32">
        <f>IF(G979="","",IFERROR(INDEX(Config!$I$5:$I$16,MATCH(G979,Config!$H$5:$H$16,0)),0))</f>
        <v/>
      </c>
      <c r="Q979" s="30">
        <f>IF(OR(H979&lt;&gt;"Realizado",P979="",P979=0),"",A979+P979)</f>
        <v/>
      </c>
      <c r="R979" s="26">
        <f>IF(Q979="","",IF(COUNTIFS($E$5:$E$1204,E979,$A$5:$A$1204,"&gt;"&amp;A979,$H$5:$H$1204,"&lt;&gt;Falta",$H$5:$H$1204,"&lt;&gt;Cancelado",$H$5:$H$1204,"&lt;&gt;Remarcado")&gt;0,"Sim","Não"))</f>
        <v/>
      </c>
      <c r="S979" s="32">
        <f>IF(R979&lt;&gt;"Não","",IF(Q979+Config!$B$9&lt;=Config!$B$8,Config!$B$8-Q979,""))</f>
        <v/>
      </c>
      <c r="T979" s="26">
        <f>IF(S979="","","Sim")</f>
        <v/>
      </c>
      <c r="U979" s="41">
        <f>IF(T979="Sim",S979+ROW()/100000,0)</f>
        <v>0</v>
      </c>
      <c r="V979" s="41">
        <f>IF(AND(H979="Falta",L979=Config!$B$7,M979=Config!$B$5,COUNTIFS($E$5:E979,E979,$H$5:H979,"Falta",$L$5:L979,Config!$B$7,$M$5:M979,Config!$B$5)=1),COUNTIFS($E$5:$E$1204,E979,$H$5:$H$1204,"Falta",$L$5:$L$1204,Config!$B$7,$M$5:$M$1204,Config!$B$5)*1000-ROW()/100000,0)</f>
        <v>0</v>
      </c>
    </row>
    <row r="980">
      <c r="A980" s="39" t="n"/>
      <c r="B980" s="40" t="n"/>
      <c r="C980" s="35" t="n"/>
      <c r="D980" s="35" t="n"/>
      <c r="E980" s="34" t="n"/>
      <c r="F980" s="35" t="n"/>
      <c r="G980" s="35" t="n"/>
      <c r="H980" s="35" t="n"/>
      <c r="I980" s="35" t="n"/>
      <c r="J980" s="35" t="n"/>
      <c r="K980" s="34" t="n"/>
      <c r="L980" s="26">
        <f>IF(A980="","",MONTH(A980))</f>
        <v/>
      </c>
      <c r="M980" s="26">
        <f>IF(A980="","",YEAR(A980))</f>
        <v/>
      </c>
      <c r="N980" s="26">
        <f>IF(A980="","",CHOOSE(WEEKDAY(A980,2),"Segunda","Terça","Quarta","Quinta","Sexta","Sábado","Domingo"))</f>
        <v/>
      </c>
      <c r="O980" s="26">
        <f>IF(B980="","",IF(B980&lt;TIME(12,0,0),"Manhã",IF(B980&lt;TIME(18,0,0),"Tarde","Noite")))</f>
        <v/>
      </c>
      <c r="P980" s="32">
        <f>IF(G980="","",IFERROR(INDEX(Config!$I$5:$I$16,MATCH(G980,Config!$H$5:$H$16,0)),0))</f>
        <v/>
      </c>
      <c r="Q980" s="30">
        <f>IF(OR(H980&lt;&gt;"Realizado",P980="",P980=0),"",A980+P980)</f>
        <v/>
      </c>
      <c r="R980" s="26">
        <f>IF(Q980="","",IF(COUNTIFS($E$5:$E$1204,E980,$A$5:$A$1204,"&gt;"&amp;A980,$H$5:$H$1204,"&lt;&gt;Falta",$H$5:$H$1204,"&lt;&gt;Cancelado",$H$5:$H$1204,"&lt;&gt;Remarcado")&gt;0,"Sim","Não"))</f>
        <v/>
      </c>
      <c r="S980" s="32">
        <f>IF(R980&lt;&gt;"Não","",IF(Q980+Config!$B$9&lt;=Config!$B$8,Config!$B$8-Q980,""))</f>
        <v/>
      </c>
      <c r="T980" s="26">
        <f>IF(S980="","","Sim")</f>
        <v/>
      </c>
      <c r="U980" s="41">
        <f>IF(T980="Sim",S980+ROW()/100000,0)</f>
        <v>0</v>
      </c>
      <c r="V980" s="41">
        <f>IF(AND(H980="Falta",L980=Config!$B$7,M980=Config!$B$5,COUNTIFS($E$5:E980,E980,$H$5:H980,"Falta",$L$5:L980,Config!$B$7,$M$5:M980,Config!$B$5)=1),COUNTIFS($E$5:$E$1204,E980,$H$5:$H$1204,"Falta",$L$5:$L$1204,Config!$B$7,$M$5:$M$1204,Config!$B$5)*1000-ROW()/100000,0)</f>
        <v>0</v>
      </c>
    </row>
    <row r="981">
      <c r="A981" s="39" t="n"/>
      <c r="B981" s="40" t="n"/>
      <c r="C981" s="35" t="n"/>
      <c r="D981" s="35" t="n"/>
      <c r="E981" s="34" t="n"/>
      <c r="F981" s="35" t="n"/>
      <c r="G981" s="35" t="n"/>
      <c r="H981" s="35" t="n"/>
      <c r="I981" s="35" t="n"/>
      <c r="J981" s="35" t="n"/>
      <c r="K981" s="34" t="n"/>
      <c r="L981" s="26">
        <f>IF(A981="","",MONTH(A981))</f>
        <v/>
      </c>
      <c r="M981" s="26">
        <f>IF(A981="","",YEAR(A981))</f>
        <v/>
      </c>
      <c r="N981" s="26">
        <f>IF(A981="","",CHOOSE(WEEKDAY(A981,2),"Segunda","Terça","Quarta","Quinta","Sexta","Sábado","Domingo"))</f>
        <v/>
      </c>
      <c r="O981" s="26">
        <f>IF(B981="","",IF(B981&lt;TIME(12,0,0),"Manhã",IF(B981&lt;TIME(18,0,0),"Tarde","Noite")))</f>
        <v/>
      </c>
      <c r="P981" s="32">
        <f>IF(G981="","",IFERROR(INDEX(Config!$I$5:$I$16,MATCH(G981,Config!$H$5:$H$16,0)),0))</f>
        <v/>
      </c>
      <c r="Q981" s="30">
        <f>IF(OR(H981&lt;&gt;"Realizado",P981="",P981=0),"",A981+P981)</f>
        <v/>
      </c>
      <c r="R981" s="26">
        <f>IF(Q981="","",IF(COUNTIFS($E$5:$E$1204,E981,$A$5:$A$1204,"&gt;"&amp;A981,$H$5:$H$1204,"&lt;&gt;Falta",$H$5:$H$1204,"&lt;&gt;Cancelado",$H$5:$H$1204,"&lt;&gt;Remarcado")&gt;0,"Sim","Não"))</f>
        <v/>
      </c>
      <c r="S981" s="32">
        <f>IF(R981&lt;&gt;"Não","",IF(Q981+Config!$B$9&lt;=Config!$B$8,Config!$B$8-Q981,""))</f>
        <v/>
      </c>
      <c r="T981" s="26">
        <f>IF(S981="","","Sim")</f>
        <v/>
      </c>
      <c r="U981" s="41">
        <f>IF(T981="Sim",S981+ROW()/100000,0)</f>
        <v>0</v>
      </c>
      <c r="V981" s="41">
        <f>IF(AND(H981="Falta",L981=Config!$B$7,M981=Config!$B$5,COUNTIFS($E$5:E981,E981,$H$5:H981,"Falta",$L$5:L981,Config!$B$7,$M$5:M981,Config!$B$5)=1),COUNTIFS($E$5:$E$1204,E981,$H$5:$H$1204,"Falta",$L$5:$L$1204,Config!$B$7,$M$5:$M$1204,Config!$B$5)*1000-ROW()/100000,0)</f>
        <v>0</v>
      </c>
    </row>
    <row r="982">
      <c r="A982" s="39" t="n"/>
      <c r="B982" s="40" t="n"/>
      <c r="C982" s="35" t="n"/>
      <c r="D982" s="35" t="n"/>
      <c r="E982" s="34" t="n"/>
      <c r="F982" s="35" t="n"/>
      <c r="G982" s="35" t="n"/>
      <c r="H982" s="35" t="n"/>
      <c r="I982" s="35" t="n"/>
      <c r="J982" s="35" t="n"/>
      <c r="K982" s="34" t="n"/>
      <c r="L982" s="26">
        <f>IF(A982="","",MONTH(A982))</f>
        <v/>
      </c>
      <c r="M982" s="26">
        <f>IF(A982="","",YEAR(A982))</f>
        <v/>
      </c>
      <c r="N982" s="26">
        <f>IF(A982="","",CHOOSE(WEEKDAY(A982,2),"Segunda","Terça","Quarta","Quinta","Sexta","Sábado","Domingo"))</f>
        <v/>
      </c>
      <c r="O982" s="26">
        <f>IF(B982="","",IF(B982&lt;TIME(12,0,0),"Manhã",IF(B982&lt;TIME(18,0,0),"Tarde","Noite")))</f>
        <v/>
      </c>
      <c r="P982" s="32">
        <f>IF(G982="","",IFERROR(INDEX(Config!$I$5:$I$16,MATCH(G982,Config!$H$5:$H$16,0)),0))</f>
        <v/>
      </c>
      <c r="Q982" s="30">
        <f>IF(OR(H982&lt;&gt;"Realizado",P982="",P982=0),"",A982+P982)</f>
        <v/>
      </c>
      <c r="R982" s="26">
        <f>IF(Q982="","",IF(COUNTIFS($E$5:$E$1204,E982,$A$5:$A$1204,"&gt;"&amp;A982,$H$5:$H$1204,"&lt;&gt;Falta",$H$5:$H$1204,"&lt;&gt;Cancelado",$H$5:$H$1204,"&lt;&gt;Remarcado")&gt;0,"Sim","Não"))</f>
        <v/>
      </c>
      <c r="S982" s="32">
        <f>IF(R982&lt;&gt;"Não","",IF(Q982+Config!$B$9&lt;=Config!$B$8,Config!$B$8-Q982,""))</f>
        <v/>
      </c>
      <c r="T982" s="26">
        <f>IF(S982="","","Sim")</f>
        <v/>
      </c>
      <c r="U982" s="41">
        <f>IF(T982="Sim",S982+ROW()/100000,0)</f>
        <v>0</v>
      </c>
      <c r="V982" s="41">
        <f>IF(AND(H982="Falta",L982=Config!$B$7,M982=Config!$B$5,COUNTIFS($E$5:E982,E982,$H$5:H982,"Falta",$L$5:L982,Config!$B$7,$M$5:M982,Config!$B$5)=1),COUNTIFS($E$5:$E$1204,E982,$H$5:$H$1204,"Falta",$L$5:$L$1204,Config!$B$7,$M$5:$M$1204,Config!$B$5)*1000-ROW()/100000,0)</f>
        <v>0</v>
      </c>
    </row>
    <row r="983">
      <c r="A983" s="39" t="n"/>
      <c r="B983" s="40" t="n"/>
      <c r="C983" s="35" t="n"/>
      <c r="D983" s="35" t="n"/>
      <c r="E983" s="34" t="n"/>
      <c r="F983" s="35" t="n"/>
      <c r="G983" s="35" t="n"/>
      <c r="H983" s="35" t="n"/>
      <c r="I983" s="35" t="n"/>
      <c r="J983" s="35" t="n"/>
      <c r="K983" s="34" t="n"/>
      <c r="L983" s="26">
        <f>IF(A983="","",MONTH(A983))</f>
        <v/>
      </c>
      <c r="M983" s="26">
        <f>IF(A983="","",YEAR(A983))</f>
        <v/>
      </c>
      <c r="N983" s="26">
        <f>IF(A983="","",CHOOSE(WEEKDAY(A983,2),"Segunda","Terça","Quarta","Quinta","Sexta","Sábado","Domingo"))</f>
        <v/>
      </c>
      <c r="O983" s="26">
        <f>IF(B983="","",IF(B983&lt;TIME(12,0,0),"Manhã",IF(B983&lt;TIME(18,0,0),"Tarde","Noite")))</f>
        <v/>
      </c>
      <c r="P983" s="32">
        <f>IF(G983="","",IFERROR(INDEX(Config!$I$5:$I$16,MATCH(G983,Config!$H$5:$H$16,0)),0))</f>
        <v/>
      </c>
      <c r="Q983" s="30">
        <f>IF(OR(H983&lt;&gt;"Realizado",P983="",P983=0),"",A983+P983)</f>
        <v/>
      </c>
      <c r="R983" s="26">
        <f>IF(Q983="","",IF(COUNTIFS($E$5:$E$1204,E983,$A$5:$A$1204,"&gt;"&amp;A983,$H$5:$H$1204,"&lt;&gt;Falta",$H$5:$H$1204,"&lt;&gt;Cancelado",$H$5:$H$1204,"&lt;&gt;Remarcado")&gt;0,"Sim","Não"))</f>
        <v/>
      </c>
      <c r="S983" s="32">
        <f>IF(R983&lt;&gt;"Não","",IF(Q983+Config!$B$9&lt;=Config!$B$8,Config!$B$8-Q983,""))</f>
        <v/>
      </c>
      <c r="T983" s="26">
        <f>IF(S983="","","Sim")</f>
        <v/>
      </c>
      <c r="U983" s="41">
        <f>IF(T983="Sim",S983+ROW()/100000,0)</f>
        <v>0</v>
      </c>
      <c r="V983" s="41">
        <f>IF(AND(H983="Falta",L983=Config!$B$7,M983=Config!$B$5,COUNTIFS($E$5:E983,E983,$H$5:H983,"Falta",$L$5:L983,Config!$B$7,$M$5:M983,Config!$B$5)=1),COUNTIFS($E$5:$E$1204,E983,$H$5:$H$1204,"Falta",$L$5:$L$1204,Config!$B$7,$M$5:$M$1204,Config!$B$5)*1000-ROW()/100000,0)</f>
        <v>0</v>
      </c>
    </row>
    <row r="984">
      <c r="A984" s="39" t="n"/>
      <c r="B984" s="40" t="n"/>
      <c r="C984" s="35" t="n"/>
      <c r="D984" s="35" t="n"/>
      <c r="E984" s="34" t="n"/>
      <c r="F984" s="35" t="n"/>
      <c r="G984" s="35" t="n"/>
      <c r="H984" s="35" t="n"/>
      <c r="I984" s="35" t="n"/>
      <c r="J984" s="35" t="n"/>
      <c r="K984" s="34" t="n"/>
      <c r="L984" s="26">
        <f>IF(A984="","",MONTH(A984))</f>
        <v/>
      </c>
      <c r="M984" s="26">
        <f>IF(A984="","",YEAR(A984))</f>
        <v/>
      </c>
      <c r="N984" s="26">
        <f>IF(A984="","",CHOOSE(WEEKDAY(A984,2),"Segunda","Terça","Quarta","Quinta","Sexta","Sábado","Domingo"))</f>
        <v/>
      </c>
      <c r="O984" s="26">
        <f>IF(B984="","",IF(B984&lt;TIME(12,0,0),"Manhã",IF(B984&lt;TIME(18,0,0),"Tarde","Noite")))</f>
        <v/>
      </c>
      <c r="P984" s="32">
        <f>IF(G984="","",IFERROR(INDEX(Config!$I$5:$I$16,MATCH(G984,Config!$H$5:$H$16,0)),0))</f>
        <v/>
      </c>
      <c r="Q984" s="30">
        <f>IF(OR(H984&lt;&gt;"Realizado",P984="",P984=0),"",A984+P984)</f>
        <v/>
      </c>
      <c r="R984" s="26">
        <f>IF(Q984="","",IF(COUNTIFS($E$5:$E$1204,E984,$A$5:$A$1204,"&gt;"&amp;A984,$H$5:$H$1204,"&lt;&gt;Falta",$H$5:$H$1204,"&lt;&gt;Cancelado",$H$5:$H$1204,"&lt;&gt;Remarcado")&gt;0,"Sim","Não"))</f>
        <v/>
      </c>
      <c r="S984" s="32">
        <f>IF(R984&lt;&gt;"Não","",IF(Q984+Config!$B$9&lt;=Config!$B$8,Config!$B$8-Q984,""))</f>
        <v/>
      </c>
      <c r="T984" s="26">
        <f>IF(S984="","","Sim")</f>
        <v/>
      </c>
      <c r="U984" s="41">
        <f>IF(T984="Sim",S984+ROW()/100000,0)</f>
        <v>0</v>
      </c>
      <c r="V984" s="41">
        <f>IF(AND(H984="Falta",L984=Config!$B$7,M984=Config!$B$5,COUNTIFS($E$5:E984,E984,$H$5:H984,"Falta",$L$5:L984,Config!$B$7,$M$5:M984,Config!$B$5)=1),COUNTIFS($E$5:$E$1204,E984,$H$5:$H$1204,"Falta",$L$5:$L$1204,Config!$B$7,$M$5:$M$1204,Config!$B$5)*1000-ROW()/100000,0)</f>
        <v>0</v>
      </c>
    </row>
    <row r="985">
      <c r="A985" s="39" t="n"/>
      <c r="B985" s="40" t="n"/>
      <c r="C985" s="35" t="n"/>
      <c r="D985" s="35" t="n"/>
      <c r="E985" s="34" t="n"/>
      <c r="F985" s="35" t="n"/>
      <c r="G985" s="35" t="n"/>
      <c r="H985" s="35" t="n"/>
      <c r="I985" s="35" t="n"/>
      <c r="J985" s="35" t="n"/>
      <c r="K985" s="34" t="n"/>
      <c r="L985" s="26">
        <f>IF(A985="","",MONTH(A985))</f>
        <v/>
      </c>
      <c r="M985" s="26">
        <f>IF(A985="","",YEAR(A985))</f>
        <v/>
      </c>
      <c r="N985" s="26">
        <f>IF(A985="","",CHOOSE(WEEKDAY(A985,2),"Segunda","Terça","Quarta","Quinta","Sexta","Sábado","Domingo"))</f>
        <v/>
      </c>
      <c r="O985" s="26">
        <f>IF(B985="","",IF(B985&lt;TIME(12,0,0),"Manhã",IF(B985&lt;TIME(18,0,0),"Tarde","Noite")))</f>
        <v/>
      </c>
      <c r="P985" s="32">
        <f>IF(G985="","",IFERROR(INDEX(Config!$I$5:$I$16,MATCH(G985,Config!$H$5:$H$16,0)),0))</f>
        <v/>
      </c>
      <c r="Q985" s="30">
        <f>IF(OR(H985&lt;&gt;"Realizado",P985="",P985=0),"",A985+P985)</f>
        <v/>
      </c>
      <c r="R985" s="26">
        <f>IF(Q985="","",IF(COUNTIFS($E$5:$E$1204,E985,$A$5:$A$1204,"&gt;"&amp;A985,$H$5:$H$1204,"&lt;&gt;Falta",$H$5:$H$1204,"&lt;&gt;Cancelado",$H$5:$H$1204,"&lt;&gt;Remarcado")&gt;0,"Sim","Não"))</f>
        <v/>
      </c>
      <c r="S985" s="32">
        <f>IF(R985&lt;&gt;"Não","",IF(Q985+Config!$B$9&lt;=Config!$B$8,Config!$B$8-Q985,""))</f>
        <v/>
      </c>
      <c r="T985" s="26">
        <f>IF(S985="","","Sim")</f>
        <v/>
      </c>
      <c r="U985" s="41">
        <f>IF(T985="Sim",S985+ROW()/100000,0)</f>
        <v>0</v>
      </c>
      <c r="V985" s="41">
        <f>IF(AND(H985="Falta",L985=Config!$B$7,M985=Config!$B$5,COUNTIFS($E$5:E985,E985,$H$5:H985,"Falta",$L$5:L985,Config!$B$7,$M$5:M985,Config!$B$5)=1),COUNTIFS($E$5:$E$1204,E985,$H$5:$H$1204,"Falta",$L$5:$L$1204,Config!$B$7,$M$5:$M$1204,Config!$B$5)*1000-ROW()/100000,0)</f>
        <v>0</v>
      </c>
    </row>
    <row r="986">
      <c r="A986" s="39" t="n"/>
      <c r="B986" s="40" t="n"/>
      <c r="C986" s="35" t="n"/>
      <c r="D986" s="35" t="n"/>
      <c r="E986" s="34" t="n"/>
      <c r="F986" s="35" t="n"/>
      <c r="G986" s="35" t="n"/>
      <c r="H986" s="35" t="n"/>
      <c r="I986" s="35" t="n"/>
      <c r="J986" s="35" t="n"/>
      <c r="K986" s="34" t="n"/>
      <c r="L986" s="26">
        <f>IF(A986="","",MONTH(A986))</f>
        <v/>
      </c>
      <c r="M986" s="26">
        <f>IF(A986="","",YEAR(A986))</f>
        <v/>
      </c>
      <c r="N986" s="26">
        <f>IF(A986="","",CHOOSE(WEEKDAY(A986,2),"Segunda","Terça","Quarta","Quinta","Sexta","Sábado","Domingo"))</f>
        <v/>
      </c>
      <c r="O986" s="26">
        <f>IF(B986="","",IF(B986&lt;TIME(12,0,0),"Manhã",IF(B986&lt;TIME(18,0,0),"Tarde","Noite")))</f>
        <v/>
      </c>
      <c r="P986" s="32">
        <f>IF(G986="","",IFERROR(INDEX(Config!$I$5:$I$16,MATCH(G986,Config!$H$5:$H$16,0)),0))</f>
        <v/>
      </c>
      <c r="Q986" s="30">
        <f>IF(OR(H986&lt;&gt;"Realizado",P986="",P986=0),"",A986+P986)</f>
        <v/>
      </c>
      <c r="R986" s="26">
        <f>IF(Q986="","",IF(COUNTIFS($E$5:$E$1204,E986,$A$5:$A$1204,"&gt;"&amp;A986,$H$5:$H$1204,"&lt;&gt;Falta",$H$5:$H$1204,"&lt;&gt;Cancelado",$H$5:$H$1204,"&lt;&gt;Remarcado")&gt;0,"Sim","Não"))</f>
        <v/>
      </c>
      <c r="S986" s="32">
        <f>IF(R986&lt;&gt;"Não","",IF(Q986+Config!$B$9&lt;=Config!$B$8,Config!$B$8-Q986,""))</f>
        <v/>
      </c>
      <c r="T986" s="26">
        <f>IF(S986="","","Sim")</f>
        <v/>
      </c>
      <c r="U986" s="41">
        <f>IF(T986="Sim",S986+ROW()/100000,0)</f>
        <v>0</v>
      </c>
      <c r="V986" s="41">
        <f>IF(AND(H986="Falta",L986=Config!$B$7,M986=Config!$B$5,COUNTIFS($E$5:E986,E986,$H$5:H986,"Falta",$L$5:L986,Config!$B$7,$M$5:M986,Config!$B$5)=1),COUNTIFS($E$5:$E$1204,E986,$H$5:$H$1204,"Falta",$L$5:$L$1204,Config!$B$7,$M$5:$M$1204,Config!$B$5)*1000-ROW()/100000,0)</f>
        <v>0</v>
      </c>
    </row>
    <row r="987">
      <c r="A987" s="39" t="n"/>
      <c r="B987" s="40" t="n"/>
      <c r="C987" s="35" t="n"/>
      <c r="D987" s="35" t="n"/>
      <c r="E987" s="34" t="n"/>
      <c r="F987" s="35" t="n"/>
      <c r="G987" s="35" t="n"/>
      <c r="H987" s="35" t="n"/>
      <c r="I987" s="35" t="n"/>
      <c r="J987" s="35" t="n"/>
      <c r="K987" s="34" t="n"/>
      <c r="L987" s="26">
        <f>IF(A987="","",MONTH(A987))</f>
        <v/>
      </c>
      <c r="M987" s="26">
        <f>IF(A987="","",YEAR(A987))</f>
        <v/>
      </c>
      <c r="N987" s="26">
        <f>IF(A987="","",CHOOSE(WEEKDAY(A987,2),"Segunda","Terça","Quarta","Quinta","Sexta","Sábado","Domingo"))</f>
        <v/>
      </c>
      <c r="O987" s="26">
        <f>IF(B987="","",IF(B987&lt;TIME(12,0,0),"Manhã",IF(B987&lt;TIME(18,0,0),"Tarde","Noite")))</f>
        <v/>
      </c>
      <c r="P987" s="32">
        <f>IF(G987="","",IFERROR(INDEX(Config!$I$5:$I$16,MATCH(G987,Config!$H$5:$H$16,0)),0))</f>
        <v/>
      </c>
      <c r="Q987" s="30">
        <f>IF(OR(H987&lt;&gt;"Realizado",P987="",P987=0),"",A987+P987)</f>
        <v/>
      </c>
      <c r="R987" s="26">
        <f>IF(Q987="","",IF(COUNTIFS($E$5:$E$1204,E987,$A$5:$A$1204,"&gt;"&amp;A987,$H$5:$H$1204,"&lt;&gt;Falta",$H$5:$H$1204,"&lt;&gt;Cancelado",$H$5:$H$1204,"&lt;&gt;Remarcado")&gt;0,"Sim","Não"))</f>
        <v/>
      </c>
      <c r="S987" s="32">
        <f>IF(R987&lt;&gt;"Não","",IF(Q987+Config!$B$9&lt;=Config!$B$8,Config!$B$8-Q987,""))</f>
        <v/>
      </c>
      <c r="T987" s="26">
        <f>IF(S987="","","Sim")</f>
        <v/>
      </c>
      <c r="U987" s="41">
        <f>IF(T987="Sim",S987+ROW()/100000,0)</f>
        <v>0</v>
      </c>
      <c r="V987" s="41">
        <f>IF(AND(H987="Falta",L987=Config!$B$7,M987=Config!$B$5,COUNTIFS($E$5:E987,E987,$H$5:H987,"Falta",$L$5:L987,Config!$B$7,$M$5:M987,Config!$B$5)=1),COUNTIFS($E$5:$E$1204,E987,$H$5:$H$1204,"Falta",$L$5:$L$1204,Config!$B$7,$M$5:$M$1204,Config!$B$5)*1000-ROW()/100000,0)</f>
        <v>0</v>
      </c>
    </row>
    <row r="988">
      <c r="A988" s="39" t="n"/>
      <c r="B988" s="40" t="n"/>
      <c r="C988" s="35" t="n"/>
      <c r="D988" s="35" t="n"/>
      <c r="E988" s="34" t="n"/>
      <c r="F988" s="35" t="n"/>
      <c r="G988" s="35" t="n"/>
      <c r="H988" s="35" t="n"/>
      <c r="I988" s="35" t="n"/>
      <c r="J988" s="35" t="n"/>
      <c r="K988" s="34" t="n"/>
      <c r="L988" s="26">
        <f>IF(A988="","",MONTH(A988))</f>
        <v/>
      </c>
      <c r="M988" s="26">
        <f>IF(A988="","",YEAR(A988))</f>
        <v/>
      </c>
      <c r="N988" s="26">
        <f>IF(A988="","",CHOOSE(WEEKDAY(A988,2),"Segunda","Terça","Quarta","Quinta","Sexta","Sábado","Domingo"))</f>
        <v/>
      </c>
      <c r="O988" s="26">
        <f>IF(B988="","",IF(B988&lt;TIME(12,0,0),"Manhã",IF(B988&lt;TIME(18,0,0),"Tarde","Noite")))</f>
        <v/>
      </c>
      <c r="P988" s="32">
        <f>IF(G988="","",IFERROR(INDEX(Config!$I$5:$I$16,MATCH(G988,Config!$H$5:$H$16,0)),0))</f>
        <v/>
      </c>
      <c r="Q988" s="30">
        <f>IF(OR(H988&lt;&gt;"Realizado",P988="",P988=0),"",A988+P988)</f>
        <v/>
      </c>
      <c r="R988" s="26">
        <f>IF(Q988="","",IF(COUNTIFS($E$5:$E$1204,E988,$A$5:$A$1204,"&gt;"&amp;A988,$H$5:$H$1204,"&lt;&gt;Falta",$H$5:$H$1204,"&lt;&gt;Cancelado",$H$5:$H$1204,"&lt;&gt;Remarcado")&gt;0,"Sim","Não"))</f>
        <v/>
      </c>
      <c r="S988" s="32">
        <f>IF(R988&lt;&gt;"Não","",IF(Q988+Config!$B$9&lt;=Config!$B$8,Config!$B$8-Q988,""))</f>
        <v/>
      </c>
      <c r="T988" s="26">
        <f>IF(S988="","","Sim")</f>
        <v/>
      </c>
      <c r="U988" s="41">
        <f>IF(T988="Sim",S988+ROW()/100000,0)</f>
        <v>0</v>
      </c>
      <c r="V988" s="41">
        <f>IF(AND(H988="Falta",L988=Config!$B$7,M988=Config!$B$5,COUNTIFS($E$5:E988,E988,$H$5:H988,"Falta",$L$5:L988,Config!$B$7,$M$5:M988,Config!$B$5)=1),COUNTIFS($E$5:$E$1204,E988,$H$5:$H$1204,"Falta",$L$5:$L$1204,Config!$B$7,$M$5:$M$1204,Config!$B$5)*1000-ROW()/100000,0)</f>
        <v>0</v>
      </c>
    </row>
    <row r="989">
      <c r="A989" s="39" t="n"/>
      <c r="B989" s="40" t="n"/>
      <c r="C989" s="35" t="n"/>
      <c r="D989" s="35" t="n"/>
      <c r="E989" s="34" t="n"/>
      <c r="F989" s="35" t="n"/>
      <c r="G989" s="35" t="n"/>
      <c r="H989" s="35" t="n"/>
      <c r="I989" s="35" t="n"/>
      <c r="J989" s="35" t="n"/>
      <c r="K989" s="34" t="n"/>
      <c r="L989" s="26">
        <f>IF(A989="","",MONTH(A989))</f>
        <v/>
      </c>
      <c r="M989" s="26">
        <f>IF(A989="","",YEAR(A989))</f>
        <v/>
      </c>
      <c r="N989" s="26">
        <f>IF(A989="","",CHOOSE(WEEKDAY(A989,2),"Segunda","Terça","Quarta","Quinta","Sexta","Sábado","Domingo"))</f>
        <v/>
      </c>
      <c r="O989" s="26">
        <f>IF(B989="","",IF(B989&lt;TIME(12,0,0),"Manhã",IF(B989&lt;TIME(18,0,0),"Tarde","Noite")))</f>
        <v/>
      </c>
      <c r="P989" s="32">
        <f>IF(G989="","",IFERROR(INDEX(Config!$I$5:$I$16,MATCH(G989,Config!$H$5:$H$16,0)),0))</f>
        <v/>
      </c>
      <c r="Q989" s="30">
        <f>IF(OR(H989&lt;&gt;"Realizado",P989="",P989=0),"",A989+P989)</f>
        <v/>
      </c>
      <c r="R989" s="26">
        <f>IF(Q989="","",IF(COUNTIFS($E$5:$E$1204,E989,$A$5:$A$1204,"&gt;"&amp;A989,$H$5:$H$1204,"&lt;&gt;Falta",$H$5:$H$1204,"&lt;&gt;Cancelado",$H$5:$H$1204,"&lt;&gt;Remarcado")&gt;0,"Sim","Não"))</f>
        <v/>
      </c>
      <c r="S989" s="32">
        <f>IF(R989&lt;&gt;"Não","",IF(Q989+Config!$B$9&lt;=Config!$B$8,Config!$B$8-Q989,""))</f>
        <v/>
      </c>
      <c r="T989" s="26">
        <f>IF(S989="","","Sim")</f>
        <v/>
      </c>
      <c r="U989" s="41">
        <f>IF(T989="Sim",S989+ROW()/100000,0)</f>
        <v>0</v>
      </c>
      <c r="V989" s="41">
        <f>IF(AND(H989="Falta",L989=Config!$B$7,M989=Config!$B$5,COUNTIFS($E$5:E989,E989,$H$5:H989,"Falta",$L$5:L989,Config!$B$7,$M$5:M989,Config!$B$5)=1),COUNTIFS($E$5:$E$1204,E989,$H$5:$H$1204,"Falta",$L$5:$L$1204,Config!$B$7,$M$5:$M$1204,Config!$B$5)*1000-ROW()/100000,0)</f>
        <v>0</v>
      </c>
    </row>
    <row r="990">
      <c r="A990" s="39" t="n"/>
      <c r="B990" s="40" t="n"/>
      <c r="C990" s="35" t="n"/>
      <c r="D990" s="35" t="n"/>
      <c r="E990" s="34" t="n"/>
      <c r="F990" s="35" t="n"/>
      <c r="G990" s="35" t="n"/>
      <c r="H990" s="35" t="n"/>
      <c r="I990" s="35" t="n"/>
      <c r="J990" s="35" t="n"/>
      <c r="K990" s="34" t="n"/>
      <c r="L990" s="26">
        <f>IF(A990="","",MONTH(A990))</f>
        <v/>
      </c>
      <c r="M990" s="26">
        <f>IF(A990="","",YEAR(A990))</f>
        <v/>
      </c>
      <c r="N990" s="26">
        <f>IF(A990="","",CHOOSE(WEEKDAY(A990,2),"Segunda","Terça","Quarta","Quinta","Sexta","Sábado","Domingo"))</f>
        <v/>
      </c>
      <c r="O990" s="26">
        <f>IF(B990="","",IF(B990&lt;TIME(12,0,0),"Manhã",IF(B990&lt;TIME(18,0,0),"Tarde","Noite")))</f>
        <v/>
      </c>
      <c r="P990" s="32">
        <f>IF(G990="","",IFERROR(INDEX(Config!$I$5:$I$16,MATCH(G990,Config!$H$5:$H$16,0)),0))</f>
        <v/>
      </c>
      <c r="Q990" s="30">
        <f>IF(OR(H990&lt;&gt;"Realizado",P990="",P990=0),"",A990+P990)</f>
        <v/>
      </c>
      <c r="R990" s="26">
        <f>IF(Q990="","",IF(COUNTIFS($E$5:$E$1204,E990,$A$5:$A$1204,"&gt;"&amp;A990,$H$5:$H$1204,"&lt;&gt;Falta",$H$5:$H$1204,"&lt;&gt;Cancelado",$H$5:$H$1204,"&lt;&gt;Remarcado")&gt;0,"Sim","Não"))</f>
        <v/>
      </c>
      <c r="S990" s="32">
        <f>IF(R990&lt;&gt;"Não","",IF(Q990+Config!$B$9&lt;=Config!$B$8,Config!$B$8-Q990,""))</f>
        <v/>
      </c>
      <c r="T990" s="26">
        <f>IF(S990="","","Sim")</f>
        <v/>
      </c>
      <c r="U990" s="41">
        <f>IF(T990="Sim",S990+ROW()/100000,0)</f>
        <v>0</v>
      </c>
      <c r="V990" s="41">
        <f>IF(AND(H990="Falta",L990=Config!$B$7,M990=Config!$B$5,COUNTIFS($E$5:E990,E990,$H$5:H990,"Falta",$L$5:L990,Config!$B$7,$M$5:M990,Config!$B$5)=1),COUNTIFS($E$5:$E$1204,E990,$H$5:$H$1204,"Falta",$L$5:$L$1204,Config!$B$7,$M$5:$M$1204,Config!$B$5)*1000-ROW()/100000,0)</f>
        <v>0</v>
      </c>
    </row>
    <row r="991">
      <c r="A991" s="39" t="n"/>
      <c r="B991" s="40" t="n"/>
      <c r="C991" s="35" t="n"/>
      <c r="D991" s="35" t="n"/>
      <c r="E991" s="34" t="n"/>
      <c r="F991" s="35" t="n"/>
      <c r="G991" s="35" t="n"/>
      <c r="H991" s="35" t="n"/>
      <c r="I991" s="35" t="n"/>
      <c r="J991" s="35" t="n"/>
      <c r="K991" s="34" t="n"/>
      <c r="L991" s="26">
        <f>IF(A991="","",MONTH(A991))</f>
        <v/>
      </c>
      <c r="M991" s="26">
        <f>IF(A991="","",YEAR(A991))</f>
        <v/>
      </c>
      <c r="N991" s="26">
        <f>IF(A991="","",CHOOSE(WEEKDAY(A991,2),"Segunda","Terça","Quarta","Quinta","Sexta","Sábado","Domingo"))</f>
        <v/>
      </c>
      <c r="O991" s="26">
        <f>IF(B991="","",IF(B991&lt;TIME(12,0,0),"Manhã",IF(B991&lt;TIME(18,0,0),"Tarde","Noite")))</f>
        <v/>
      </c>
      <c r="P991" s="32">
        <f>IF(G991="","",IFERROR(INDEX(Config!$I$5:$I$16,MATCH(G991,Config!$H$5:$H$16,0)),0))</f>
        <v/>
      </c>
      <c r="Q991" s="30">
        <f>IF(OR(H991&lt;&gt;"Realizado",P991="",P991=0),"",A991+P991)</f>
        <v/>
      </c>
      <c r="R991" s="26">
        <f>IF(Q991="","",IF(COUNTIFS($E$5:$E$1204,E991,$A$5:$A$1204,"&gt;"&amp;A991,$H$5:$H$1204,"&lt;&gt;Falta",$H$5:$H$1204,"&lt;&gt;Cancelado",$H$5:$H$1204,"&lt;&gt;Remarcado")&gt;0,"Sim","Não"))</f>
        <v/>
      </c>
      <c r="S991" s="32">
        <f>IF(R991&lt;&gt;"Não","",IF(Q991+Config!$B$9&lt;=Config!$B$8,Config!$B$8-Q991,""))</f>
        <v/>
      </c>
      <c r="T991" s="26">
        <f>IF(S991="","","Sim")</f>
        <v/>
      </c>
      <c r="U991" s="41">
        <f>IF(T991="Sim",S991+ROW()/100000,0)</f>
        <v>0</v>
      </c>
      <c r="V991" s="41">
        <f>IF(AND(H991="Falta",L991=Config!$B$7,M991=Config!$B$5,COUNTIFS($E$5:E991,E991,$H$5:H991,"Falta",$L$5:L991,Config!$B$7,$M$5:M991,Config!$B$5)=1),COUNTIFS($E$5:$E$1204,E991,$H$5:$H$1204,"Falta",$L$5:$L$1204,Config!$B$7,$M$5:$M$1204,Config!$B$5)*1000-ROW()/100000,0)</f>
        <v>0</v>
      </c>
    </row>
    <row r="992">
      <c r="A992" s="39" t="n"/>
      <c r="B992" s="40" t="n"/>
      <c r="C992" s="35" t="n"/>
      <c r="D992" s="35" t="n"/>
      <c r="E992" s="34" t="n"/>
      <c r="F992" s="35" t="n"/>
      <c r="G992" s="35" t="n"/>
      <c r="H992" s="35" t="n"/>
      <c r="I992" s="35" t="n"/>
      <c r="J992" s="35" t="n"/>
      <c r="K992" s="34" t="n"/>
      <c r="L992" s="26">
        <f>IF(A992="","",MONTH(A992))</f>
        <v/>
      </c>
      <c r="M992" s="26">
        <f>IF(A992="","",YEAR(A992))</f>
        <v/>
      </c>
      <c r="N992" s="26">
        <f>IF(A992="","",CHOOSE(WEEKDAY(A992,2),"Segunda","Terça","Quarta","Quinta","Sexta","Sábado","Domingo"))</f>
        <v/>
      </c>
      <c r="O992" s="26">
        <f>IF(B992="","",IF(B992&lt;TIME(12,0,0),"Manhã",IF(B992&lt;TIME(18,0,0),"Tarde","Noite")))</f>
        <v/>
      </c>
      <c r="P992" s="32">
        <f>IF(G992="","",IFERROR(INDEX(Config!$I$5:$I$16,MATCH(G992,Config!$H$5:$H$16,0)),0))</f>
        <v/>
      </c>
      <c r="Q992" s="30">
        <f>IF(OR(H992&lt;&gt;"Realizado",P992="",P992=0),"",A992+P992)</f>
        <v/>
      </c>
      <c r="R992" s="26">
        <f>IF(Q992="","",IF(COUNTIFS($E$5:$E$1204,E992,$A$5:$A$1204,"&gt;"&amp;A992,$H$5:$H$1204,"&lt;&gt;Falta",$H$5:$H$1204,"&lt;&gt;Cancelado",$H$5:$H$1204,"&lt;&gt;Remarcado")&gt;0,"Sim","Não"))</f>
        <v/>
      </c>
      <c r="S992" s="32">
        <f>IF(R992&lt;&gt;"Não","",IF(Q992+Config!$B$9&lt;=Config!$B$8,Config!$B$8-Q992,""))</f>
        <v/>
      </c>
      <c r="T992" s="26">
        <f>IF(S992="","","Sim")</f>
        <v/>
      </c>
      <c r="U992" s="41">
        <f>IF(T992="Sim",S992+ROW()/100000,0)</f>
        <v>0</v>
      </c>
      <c r="V992" s="41">
        <f>IF(AND(H992="Falta",L992=Config!$B$7,M992=Config!$B$5,COUNTIFS($E$5:E992,E992,$H$5:H992,"Falta",$L$5:L992,Config!$B$7,$M$5:M992,Config!$B$5)=1),COUNTIFS($E$5:$E$1204,E992,$H$5:$H$1204,"Falta",$L$5:$L$1204,Config!$B$7,$M$5:$M$1204,Config!$B$5)*1000-ROW()/100000,0)</f>
        <v>0</v>
      </c>
    </row>
    <row r="993">
      <c r="A993" s="39" t="n"/>
      <c r="B993" s="40" t="n"/>
      <c r="C993" s="35" t="n"/>
      <c r="D993" s="35" t="n"/>
      <c r="E993" s="34" t="n"/>
      <c r="F993" s="35" t="n"/>
      <c r="G993" s="35" t="n"/>
      <c r="H993" s="35" t="n"/>
      <c r="I993" s="35" t="n"/>
      <c r="J993" s="35" t="n"/>
      <c r="K993" s="34" t="n"/>
      <c r="L993" s="26">
        <f>IF(A993="","",MONTH(A993))</f>
        <v/>
      </c>
      <c r="M993" s="26">
        <f>IF(A993="","",YEAR(A993))</f>
        <v/>
      </c>
      <c r="N993" s="26">
        <f>IF(A993="","",CHOOSE(WEEKDAY(A993,2),"Segunda","Terça","Quarta","Quinta","Sexta","Sábado","Domingo"))</f>
        <v/>
      </c>
      <c r="O993" s="26">
        <f>IF(B993="","",IF(B993&lt;TIME(12,0,0),"Manhã",IF(B993&lt;TIME(18,0,0),"Tarde","Noite")))</f>
        <v/>
      </c>
      <c r="P993" s="32">
        <f>IF(G993="","",IFERROR(INDEX(Config!$I$5:$I$16,MATCH(G993,Config!$H$5:$H$16,0)),0))</f>
        <v/>
      </c>
      <c r="Q993" s="30">
        <f>IF(OR(H993&lt;&gt;"Realizado",P993="",P993=0),"",A993+P993)</f>
        <v/>
      </c>
      <c r="R993" s="26">
        <f>IF(Q993="","",IF(COUNTIFS($E$5:$E$1204,E993,$A$5:$A$1204,"&gt;"&amp;A993,$H$5:$H$1204,"&lt;&gt;Falta",$H$5:$H$1204,"&lt;&gt;Cancelado",$H$5:$H$1204,"&lt;&gt;Remarcado")&gt;0,"Sim","Não"))</f>
        <v/>
      </c>
      <c r="S993" s="32">
        <f>IF(R993&lt;&gt;"Não","",IF(Q993+Config!$B$9&lt;=Config!$B$8,Config!$B$8-Q993,""))</f>
        <v/>
      </c>
      <c r="T993" s="26">
        <f>IF(S993="","","Sim")</f>
        <v/>
      </c>
      <c r="U993" s="41">
        <f>IF(T993="Sim",S993+ROW()/100000,0)</f>
        <v>0</v>
      </c>
      <c r="V993" s="41">
        <f>IF(AND(H993="Falta",L993=Config!$B$7,M993=Config!$B$5,COUNTIFS($E$5:E993,E993,$H$5:H993,"Falta",$L$5:L993,Config!$B$7,$M$5:M993,Config!$B$5)=1),COUNTIFS($E$5:$E$1204,E993,$H$5:$H$1204,"Falta",$L$5:$L$1204,Config!$B$7,$M$5:$M$1204,Config!$B$5)*1000-ROW()/100000,0)</f>
        <v>0</v>
      </c>
    </row>
    <row r="994">
      <c r="A994" s="39" t="n"/>
      <c r="B994" s="40" t="n"/>
      <c r="C994" s="35" t="n"/>
      <c r="D994" s="35" t="n"/>
      <c r="E994" s="34" t="n"/>
      <c r="F994" s="35" t="n"/>
      <c r="G994" s="35" t="n"/>
      <c r="H994" s="35" t="n"/>
      <c r="I994" s="35" t="n"/>
      <c r="J994" s="35" t="n"/>
      <c r="K994" s="34" t="n"/>
      <c r="L994" s="26">
        <f>IF(A994="","",MONTH(A994))</f>
        <v/>
      </c>
      <c r="M994" s="26">
        <f>IF(A994="","",YEAR(A994))</f>
        <v/>
      </c>
      <c r="N994" s="26">
        <f>IF(A994="","",CHOOSE(WEEKDAY(A994,2),"Segunda","Terça","Quarta","Quinta","Sexta","Sábado","Domingo"))</f>
        <v/>
      </c>
      <c r="O994" s="26">
        <f>IF(B994="","",IF(B994&lt;TIME(12,0,0),"Manhã",IF(B994&lt;TIME(18,0,0),"Tarde","Noite")))</f>
        <v/>
      </c>
      <c r="P994" s="32">
        <f>IF(G994="","",IFERROR(INDEX(Config!$I$5:$I$16,MATCH(G994,Config!$H$5:$H$16,0)),0))</f>
        <v/>
      </c>
      <c r="Q994" s="30">
        <f>IF(OR(H994&lt;&gt;"Realizado",P994="",P994=0),"",A994+P994)</f>
        <v/>
      </c>
      <c r="R994" s="26">
        <f>IF(Q994="","",IF(COUNTIFS($E$5:$E$1204,E994,$A$5:$A$1204,"&gt;"&amp;A994,$H$5:$H$1204,"&lt;&gt;Falta",$H$5:$H$1204,"&lt;&gt;Cancelado",$H$5:$H$1204,"&lt;&gt;Remarcado")&gt;0,"Sim","Não"))</f>
        <v/>
      </c>
      <c r="S994" s="32">
        <f>IF(R994&lt;&gt;"Não","",IF(Q994+Config!$B$9&lt;=Config!$B$8,Config!$B$8-Q994,""))</f>
        <v/>
      </c>
      <c r="T994" s="26">
        <f>IF(S994="","","Sim")</f>
        <v/>
      </c>
      <c r="U994" s="41">
        <f>IF(T994="Sim",S994+ROW()/100000,0)</f>
        <v>0</v>
      </c>
      <c r="V994" s="41">
        <f>IF(AND(H994="Falta",L994=Config!$B$7,M994=Config!$B$5,COUNTIFS($E$5:E994,E994,$H$5:H994,"Falta",$L$5:L994,Config!$B$7,$M$5:M994,Config!$B$5)=1),COUNTIFS($E$5:$E$1204,E994,$H$5:$H$1204,"Falta",$L$5:$L$1204,Config!$B$7,$M$5:$M$1204,Config!$B$5)*1000-ROW()/100000,0)</f>
        <v>0</v>
      </c>
    </row>
    <row r="995">
      <c r="A995" s="39" t="n"/>
      <c r="B995" s="40" t="n"/>
      <c r="C995" s="35" t="n"/>
      <c r="D995" s="35" t="n"/>
      <c r="E995" s="34" t="n"/>
      <c r="F995" s="35" t="n"/>
      <c r="G995" s="35" t="n"/>
      <c r="H995" s="35" t="n"/>
      <c r="I995" s="35" t="n"/>
      <c r="J995" s="35" t="n"/>
      <c r="K995" s="34" t="n"/>
      <c r="L995" s="26">
        <f>IF(A995="","",MONTH(A995))</f>
        <v/>
      </c>
      <c r="M995" s="26">
        <f>IF(A995="","",YEAR(A995))</f>
        <v/>
      </c>
      <c r="N995" s="26">
        <f>IF(A995="","",CHOOSE(WEEKDAY(A995,2),"Segunda","Terça","Quarta","Quinta","Sexta","Sábado","Domingo"))</f>
        <v/>
      </c>
      <c r="O995" s="26">
        <f>IF(B995="","",IF(B995&lt;TIME(12,0,0),"Manhã",IF(B995&lt;TIME(18,0,0),"Tarde","Noite")))</f>
        <v/>
      </c>
      <c r="P995" s="32">
        <f>IF(G995="","",IFERROR(INDEX(Config!$I$5:$I$16,MATCH(G995,Config!$H$5:$H$16,0)),0))</f>
        <v/>
      </c>
      <c r="Q995" s="30">
        <f>IF(OR(H995&lt;&gt;"Realizado",P995="",P995=0),"",A995+P995)</f>
        <v/>
      </c>
      <c r="R995" s="26">
        <f>IF(Q995="","",IF(COUNTIFS($E$5:$E$1204,E995,$A$5:$A$1204,"&gt;"&amp;A995,$H$5:$H$1204,"&lt;&gt;Falta",$H$5:$H$1204,"&lt;&gt;Cancelado",$H$5:$H$1204,"&lt;&gt;Remarcado")&gt;0,"Sim","Não"))</f>
        <v/>
      </c>
      <c r="S995" s="32">
        <f>IF(R995&lt;&gt;"Não","",IF(Q995+Config!$B$9&lt;=Config!$B$8,Config!$B$8-Q995,""))</f>
        <v/>
      </c>
      <c r="T995" s="26">
        <f>IF(S995="","","Sim")</f>
        <v/>
      </c>
      <c r="U995" s="41">
        <f>IF(T995="Sim",S995+ROW()/100000,0)</f>
        <v>0</v>
      </c>
      <c r="V995" s="41">
        <f>IF(AND(H995="Falta",L995=Config!$B$7,M995=Config!$B$5,COUNTIFS($E$5:E995,E995,$H$5:H995,"Falta",$L$5:L995,Config!$B$7,$M$5:M995,Config!$B$5)=1),COUNTIFS($E$5:$E$1204,E995,$H$5:$H$1204,"Falta",$L$5:$L$1204,Config!$B$7,$M$5:$M$1204,Config!$B$5)*1000-ROW()/100000,0)</f>
        <v>0</v>
      </c>
    </row>
    <row r="996">
      <c r="A996" s="39" t="n"/>
      <c r="B996" s="40" t="n"/>
      <c r="C996" s="35" t="n"/>
      <c r="D996" s="35" t="n"/>
      <c r="E996" s="34" t="n"/>
      <c r="F996" s="35" t="n"/>
      <c r="G996" s="35" t="n"/>
      <c r="H996" s="35" t="n"/>
      <c r="I996" s="35" t="n"/>
      <c r="J996" s="35" t="n"/>
      <c r="K996" s="34" t="n"/>
      <c r="L996" s="26">
        <f>IF(A996="","",MONTH(A996))</f>
        <v/>
      </c>
      <c r="M996" s="26">
        <f>IF(A996="","",YEAR(A996))</f>
        <v/>
      </c>
      <c r="N996" s="26">
        <f>IF(A996="","",CHOOSE(WEEKDAY(A996,2),"Segunda","Terça","Quarta","Quinta","Sexta","Sábado","Domingo"))</f>
        <v/>
      </c>
      <c r="O996" s="26">
        <f>IF(B996="","",IF(B996&lt;TIME(12,0,0),"Manhã",IF(B996&lt;TIME(18,0,0),"Tarde","Noite")))</f>
        <v/>
      </c>
      <c r="P996" s="32">
        <f>IF(G996="","",IFERROR(INDEX(Config!$I$5:$I$16,MATCH(G996,Config!$H$5:$H$16,0)),0))</f>
        <v/>
      </c>
      <c r="Q996" s="30">
        <f>IF(OR(H996&lt;&gt;"Realizado",P996="",P996=0),"",A996+P996)</f>
        <v/>
      </c>
      <c r="R996" s="26">
        <f>IF(Q996="","",IF(COUNTIFS($E$5:$E$1204,E996,$A$5:$A$1204,"&gt;"&amp;A996,$H$5:$H$1204,"&lt;&gt;Falta",$H$5:$H$1204,"&lt;&gt;Cancelado",$H$5:$H$1204,"&lt;&gt;Remarcado")&gt;0,"Sim","Não"))</f>
        <v/>
      </c>
      <c r="S996" s="32">
        <f>IF(R996&lt;&gt;"Não","",IF(Q996+Config!$B$9&lt;=Config!$B$8,Config!$B$8-Q996,""))</f>
        <v/>
      </c>
      <c r="T996" s="26">
        <f>IF(S996="","","Sim")</f>
        <v/>
      </c>
      <c r="U996" s="41">
        <f>IF(T996="Sim",S996+ROW()/100000,0)</f>
        <v>0</v>
      </c>
      <c r="V996" s="41">
        <f>IF(AND(H996="Falta",L996=Config!$B$7,M996=Config!$B$5,COUNTIFS($E$5:E996,E996,$H$5:H996,"Falta",$L$5:L996,Config!$B$7,$M$5:M996,Config!$B$5)=1),COUNTIFS($E$5:$E$1204,E996,$H$5:$H$1204,"Falta",$L$5:$L$1204,Config!$B$7,$M$5:$M$1204,Config!$B$5)*1000-ROW()/100000,0)</f>
        <v>0</v>
      </c>
    </row>
    <row r="997">
      <c r="A997" s="39" t="n"/>
      <c r="B997" s="40" t="n"/>
      <c r="C997" s="35" t="n"/>
      <c r="D997" s="35" t="n"/>
      <c r="E997" s="34" t="n"/>
      <c r="F997" s="35" t="n"/>
      <c r="G997" s="35" t="n"/>
      <c r="H997" s="35" t="n"/>
      <c r="I997" s="35" t="n"/>
      <c r="J997" s="35" t="n"/>
      <c r="K997" s="34" t="n"/>
      <c r="L997" s="26">
        <f>IF(A997="","",MONTH(A997))</f>
        <v/>
      </c>
      <c r="M997" s="26">
        <f>IF(A997="","",YEAR(A997))</f>
        <v/>
      </c>
      <c r="N997" s="26">
        <f>IF(A997="","",CHOOSE(WEEKDAY(A997,2),"Segunda","Terça","Quarta","Quinta","Sexta","Sábado","Domingo"))</f>
        <v/>
      </c>
      <c r="O997" s="26">
        <f>IF(B997="","",IF(B997&lt;TIME(12,0,0),"Manhã",IF(B997&lt;TIME(18,0,0),"Tarde","Noite")))</f>
        <v/>
      </c>
      <c r="P997" s="32">
        <f>IF(G997="","",IFERROR(INDEX(Config!$I$5:$I$16,MATCH(G997,Config!$H$5:$H$16,0)),0))</f>
        <v/>
      </c>
      <c r="Q997" s="30">
        <f>IF(OR(H997&lt;&gt;"Realizado",P997="",P997=0),"",A997+P997)</f>
        <v/>
      </c>
      <c r="R997" s="26">
        <f>IF(Q997="","",IF(COUNTIFS($E$5:$E$1204,E997,$A$5:$A$1204,"&gt;"&amp;A997,$H$5:$H$1204,"&lt;&gt;Falta",$H$5:$H$1204,"&lt;&gt;Cancelado",$H$5:$H$1204,"&lt;&gt;Remarcado")&gt;0,"Sim","Não"))</f>
        <v/>
      </c>
      <c r="S997" s="32">
        <f>IF(R997&lt;&gt;"Não","",IF(Q997+Config!$B$9&lt;=Config!$B$8,Config!$B$8-Q997,""))</f>
        <v/>
      </c>
      <c r="T997" s="26">
        <f>IF(S997="","","Sim")</f>
        <v/>
      </c>
      <c r="U997" s="41">
        <f>IF(T997="Sim",S997+ROW()/100000,0)</f>
        <v>0</v>
      </c>
      <c r="V997" s="41">
        <f>IF(AND(H997="Falta",L997=Config!$B$7,M997=Config!$B$5,COUNTIFS($E$5:E997,E997,$H$5:H997,"Falta",$L$5:L997,Config!$B$7,$M$5:M997,Config!$B$5)=1),COUNTIFS($E$5:$E$1204,E997,$H$5:$H$1204,"Falta",$L$5:$L$1204,Config!$B$7,$M$5:$M$1204,Config!$B$5)*1000-ROW()/100000,0)</f>
        <v>0</v>
      </c>
    </row>
    <row r="998">
      <c r="A998" s="39" t="n"/>
      <c r="B998" s="40" t="n"/>
      <c r="C998" s="35" t="n"/>
      <c r="D998" s="35" t="n"/>
      <c r="E998" s="34" t="n"/>
      <c r="F998" s="35" t="n"/>
      <c r="G998" s="35" t="n"/>
      <c r="H998" s="35" t="n"/>
      <c r="I998" s="35" t="n"/>
      <c r="J998" s="35" t="n"/>
      <c r="K998" s="34" t="n"/>
      <c r="L998" s="26">
        <f>IF(A998="","",MONTH(A998))</f>
        <v/>
      </c>
      <c r="M998" s="26">
        <f>IF(A998="","",YEAR(A998))</f>
        <v/>
      </c>
      <c r="N998" s="26">
        <f>IF(A998="","",CHOOSE(WEEKDAY(A998,2),"Segunda","Terça","Quarta","Quinta","Sexta","Sábado","Domingo"))</f>
        <v/>
      </c>
      <c r="O998" s="26">
        <f>IF(B998="","",IF(B998&lt;TIME(12,0,0),"Manhã",IF(B998&lt;TIME(18,0,0),"Tarde","Noite")))</f>
        <v/>
      </c>
      <c r="P998" s="32">
        <f>IF(G998="","",IFERROR(INDEX(Config!$I$5:$I$16,MATCH(G998,Config!$H$5:$H$16,0)),0))</f>
        <v/>
      </c>
      <c r="Q998" s="30">
        <f>IF(OR(H998&lt;&gt;"Realizado",P998="",P998=0),"",A998+P998)</f>
        <v/>
      </c>
      <c r="R998" s="26">
        <f>IF(Q998="","",IF(COUNTIFS($E$5:$E$1204,E998,$A$5:$A$1204,"&gt;"&amp;A998,$H$5:$H$1204,"&lt;&gt;Falta",$H$5:$H$1204,"&lt;&gt;Cancelado",$H$5:$H$1204,"&lt;&gt;Remarcado")&gt;0,"Sim","Não"))</f>
        <v/>
      </c>
      <c r="S998" s="32">
        <f>IF(R998&lt;&gt;"Não","",IF(Q998+Config!$B$9&lt;=Config!$B$8,Config!$B$8-Q998,""))</f>
        <v/>
      </c>
      <c r="T998" s="26">
        <f>IF(S998="","","Sim")</f>
        <v/>
      </c>
      <c r="U998" s="41">
        <f>IF(T998="Sim",S998+ROW()/100000,0)</f>
        <v>0</v>
      </c>
      <c r="V998" s="41">
        <f>IF(AND(H998="Falta",L998=Config!$B$7,M998=Config!$B$5,COUNTIFS($E$5:E998,E998,$H$5:H998,"Falta",$L$5:L998,Config!$B$7,$M$5:M998,Config!$B$5)=1),COUNTIFS($E$5:$E$1204,E998,$H$5:$H$1204,"Falta",$L$5:$L$1204,Config!$B$7,$M$5:$M$1204,Config!$B$5)*1000-ROW()/100000,0)</f>
        <v>0</v>
      </c>
    </row>
    <row r="999">
      <c r="A999" s="39" t="n"/>
      <c r="B999" s="40" t="n"/>
      <c r="C999" s="35" t="n"/>
      <c r="D999" s="35" t="n"/>
      <c r="E999" s="34" t="n"/>
      <c r="F999" s="35" t="n"/>
      <c r="G999" s="35" t="n"/>
      <c r="H999" s="35" t="n"/>
      <c r="I999" s="35" t="n"/>
      <c r="J999" s="35" t="n"/>
      <c r="K999" s="34" t="n"/>
      <c r="L999" s="26">
        <f>IF(A999="","",MONTH(A999))</f>
        <v/>
      </c>
      <c r="M999" s="26">
        <f>IF(A999="","",YEAR(A999))</f>
        <v/>
      </c>
      <c r="N999" s="26">
        <f>IF(A999="","",CHOOSE(WEEKDAY(A999,2),"Segunda","Terça","Quarta","Quinta","Sexta","Sábado","Domingo"))</f>
        <v/>
      </c>
      <c r="O999" s="26">
        <f>IF(B999="","",IF(B999&lt;TIME(12,0,0),"Manhã",IF(B999&lt;TIME(18,0,0),"Tarde","Noite")))</f>
        <v/>
      </c>
      <c r="P999" s="32">
        <f>IF(G999="","",IFERROR(INDEX(Config!$I$5:$I$16,MATCH(G999,Config!$H$5:$H$16,0)),0))</f>
        <v/>
      </c>
      <c r="Q999" s="30">
        <f>IF(OR(H999&lt;&gt;"Realizado",P999="",P999=0),"",A999+P999)</f>
        <v/>
      </c>
      <c r="R999" s="26">
        <f>IF(Q999="","",IF(COUNTIFS($E$5:$E$1204,E999,$A$5:$A$1204,"&gt;"&amp;A999,$H$5:$H$1204,"&lt;&gt;Falta",$H$5:$H$1204,"&lt;&gt;Cancelado",$H$5:$H$1204,"&lt;&gt;Remarcado")&gt;0,"Sim","Não"))</f>
        <v/>
      </c>
      <c r="S999" s="32">
        <f>IF(R999&lt;&gt;"Não","",IF(Q999+Config!$B$9&lt;=Config!$B$8,Config!$B$8-Q999,""))</f>
        <v/>
      </c>
      <c r="T999" s="26">
        <f>IF(S999="","","Sim")</f>
        <v/>
      </c>
      <c r="U999" s="41">
        <f>IF(T999="Sim",S999+ROW()/100000,0)</f>
        <v>0</v>
      </c>
      <c r="V999" s="41">
        <f>IF(AND(H999="Falta",L999=Config!$B$7,M999=Config!$B$5,COUNTIFS($E$5:E999,E999,$H$5:H999,"Falta",$L$5:L999,Config!$B$7,$M$5:M999,Config!$B$5)=1),COUNTIFS($E$5:$E$1204,E999,$H$5:$H$1204,"Falta",$L$5:$L$1204,Config!$B$7,$M$5:$M$1204,Config!$B$5)*1000-ROW()/100000,0)</f>
        <v>0</v>
      </c>
    </row>
    <row r="1000">
      <c r="A1000" s="39" t="n"/>
      <c r="B1000" s="40" t="n"/>
      <c r="C1000" s="35" t="n"/>
      <c r="D1000" s="35" t="n"/>
      <c r="E1000" s="34" t="n"/>
      <c r="F1000" s="35" t="n"/>
      <c r="G1000" s="35" t="n"/>
      <c r="H1000" s="35" t="n"/>
      <c r="I1000" s="35" t="n"/>
      <c r="J1000" s="35" t="n"/>
      <c r="K1000" s="34" t="n"/>
      <c r="L1000" s="26">
        <f>IF(A1000="","",MONTH(A1000))</f>
        <v/>
      </c>
      <c r="M1000" s="26">
        <f>IF(A1000="","",YEAR(A1000))</f>
        <v/>
      </c>
      <c r="N1000" s="26">
        <f>IF(A1000="","",CHOOSE(WEEKDAY(A1000,2),"Segunda","Terça","Quarta","Quinta","Sexta","Sábado","Domingo"))</f>
        <v/>
      </c>
      <c r="O1000" s="26">
        <f>IF(B1000="","",IF(B1000&lt;TIME(12,0,0),"Manhã",IF(B1000&lt;TIME(18,0,0),"Tarde","Noite")))</f>
        <v/>
      </c>
      <c r="P1000" s="32">
        <f>IF(G1000="","",IFERROR(INDEX(Config!$I$5:$I$16,MATCH(G1000,Config!$H$5:$H$16,0)),0))</f>
        <v/>
      </c>
      <c r="Q1000" s="30">
        <f>IF(OR(H1000&lt;&gt;"Realizado",P1000="",P1000=0),"",A1000+P1000)</f>
        <v/>
      </c>
      <c r="R1000" s="26">
        <f>IF(Q1000="","",IF(COUNTIFS($E$5:$E$1204,E1000,$A$5:$A$1204,"&gt;"&amp;A1000,$H$5:$H$1204,"&lt;&gt;Falta",$H$5:$H$1204,"&lt;&gt;Cancelado",$H$5:$H$1204,"&lt;&gt;Remarcado")&gt;0,"Sim","Não"))</f>
        <v/>
      </c>
      <c r="S1000" s="32">
        <f>IF(R1000&lt;&gt;"Não","",IF(Q1000+Config!$B$9&lt;=Config!$B$8,Config!$B$8-Q1000,""))</f>
        <v/>
      </c>
      <c r="T1000" s="26">
        <f>IF(S1000="","","Sim")</f>
        <v/>
      </c>
      <c r="U1000" s="41">
        <f>IF(T1000="Sim",S1000+ROW()/100000,0)</f>
        <v>0</v>
      </c>
      <c r="V1000" s="41">
        <f>IF(AND(H1000="Falta",L1000=Config!$B$7,M1000=Config!$B$5,COUNTIFS($E$5:E1000,E1000,$H$5:H1000,"Falta",$L$5:L1000,Config!$B$7,$M$5:M1000,Config!$B$5)=1),COUNTIFS($E$5:$E$1204,E1000,$H$5:$H$1204,"Falta",$L$5:$L$1204,Config!$B$7,$M$5:$M$1204,Config!$B$5)*1000-ROW()/100000,0)</f>
        <v>0</v>
      </c>
    </row>
    <row r="1001">
      <c r="A1001" s="39" t="n"/>
      <c r="B1001" s="40" t="n"/>
      <c r="C1001" s="35" t="n"/>
      <c r="D1001" s="35" t="n"/>
      <c r="E1001" s="34" t="n"/>
      <c r="F1001" s="35" t="n"/>
      <c r="G1001" s="35" t="n"/>
      <c r="H1001" s="35" t="n"/>
      <c r="I1001" s="35" t="n"/>
      <c r="J1001" s="35" t="n"/>
      <c r="K1001" s="34" t="n"/>
      <c r="L1001" s="26">
        <f>IF(A1001="","",MONTH(A1001))</f>
        <v/>
      </c>
      <c r="M1001" s="26">
        <f>IF(A1001="","",YEAR(A1001))</f>
        <v/>
      </c>
      <c r="N1001" s="26">
        <f>IF(A1001="","",CHOOSE(WEEKDAY(A1001,2),"Segunda","Terça","Quarta","Quinta","Sexta","Sábado","Domingo"))</f>
        <v/>
      </c>
      <c r="O1001" s="26">
        <f>IF(B1001="","",IF(B1001&lt;TIME(12,0,0),"Manhã",IF(B1001&lt;TIME(18,0,0),"Tarde","Noite")))</f>
        <v/>
      </c>
      <c r="P1001" s="32">
        <f>IF(G1001="","",IFERROR(INDEX(Config!$I$5:$I$16,MATCH(G1001,Config!$H$5:$H$16,0)),0))</f>
        <v/>
      </c>
      <c r="Q1001" s="30">
        <f>IF(OR(H1001&lt;&gt;"Realizado",P1001="",P1001=0),"",A1001+P1001)</f>
        <v/>
      </c>
      <c r="R1001" s="26">
        <f>IF(Q1001="","",IF(COUNTIFS($E$5:$E$1204,E1001,$A$5:$A$1204,"&gt;"&amp;A1001,$H$5:$H$1204,"&lt;&gt;Falta",$H$5:$H$1204,"&lt;&gt;Cancelado",$H$5:$H$1204,"&lt;&gt;Remarcado")&gt;0,"Sim","Não"))</f>
        <v/>
      </c>
      <c r="S1001" s="32">
        <f>IF(R1001&lt;&gt;"Não","",IF(Q1001+Config!$B$9&lt;=Config!$B$8,Config!$B$8-Q1001,""))</f>
        <v/>
      </c>
      <c r="T1001" s="26">
        <f>IF(S1001="","","Sim")</f>
        <v/>
      </c>
      <c r="U1001" s="41">
        <f>IF(T1001="Sim",S1001+ROW()/100000,0)</f>
        <v>0</v>
      </c>
      <c r="V1001" s="41">
        <f>IF(AND(H1001="Falta",L1001=Config!$B$7,M1001=Config!$B$5,COUNTIFS($E$5:E1001,E1001,$H$5:H1001,"Falta",$L$5:L1001,Config!$B$7,$M$5:M1001,Config!$B$5)=1),COUNTIFS($E$5:$E$1204,E1001,$H$5:$H$1204,"Falta",$L$5:$L$1204,Config!$B$7,$M$5:$M$1204,Config!$B$5)*1000-ROW()/100000,0)</f>
        <v>0</v>
      </c>
    </row>
    <row r="1002">
      <c r="A1002" s="39" t="n"/>
      <c r="B1002" s="40" t="n"/>
      <c r="C1002" s="35" t="n"/>
      <c r="D1002" s="35" t="n"/>
      <c r="E1002" s="34" t="n"/>
      <c r="F1002" s="35" t="n"/>
      <c r="G1002" s="35" t="n"/>
      <c r="H1002" s="35" t="n"/>
      <c r="I1002" s="35" t="n"/>
      <c r="J1002" s="35" t="n"/>
      <c r="K1002" s="34" t="n"/>
      <c r="L1002" s="26">
        <f>IF(A1002="","",MONTH(A1002))</f>
        <v/>
      </c>
      <c r="M1002" s="26">
        <f>IF(A1002="","",YEAR(A1002))</f>
        <v/>
      </c>
      <c r="N1002" s="26">
        <f>IF(A1002="","",CHOOSE(WEEKDAY(A1002,2),"Segunda","Terça","Quarta","Quinta","Sexta","Sábado","Domingo"))</f>
        <v/>
      </c>
      <c r="O1002" s="26">
        <f>IF(B1002="","",IF(B1002&lt;TIME(12,0,0),"Manhã",IF(B1002&lt;TIME(18,0,0),"Tarde","Noite")))</f>
        <v/>
      </c>
      <c r="P1002" s="32">
        <f>IF(G1002="","",IFERROR(INDEX(Config!$I$5:$I$16,MATCH(G1002,Config!$H$5:$H$16,0)),0))</f>
        <v/>
      </c>
      <c r="Q1002" s="30">
        <f>IF(OR(H1002&lt;&gt;"Realizado",P1002="",P1002=0),"",A1002+P1002)</f>
        <v/>
      </c>
      <c r="R1002" s="26">
        <f>IF(Q1002="","",IF(COUNTIFS($E$5:$E$1204,E1002,$A$5:$A$1204,"&gt;"&amp;A1002,$H$5:$H$1204,"&lt;&gt;Falta",$H$5:$H$1204,"&lt;&gt;Cancelado",$H$5:$H$1204,"&lt;&gt;Remarcado")&gt;0,"Sim","Não"))</f>
        <v/>
      </c>
      <c r="S1002" s="32">
        <f>IF(R1002&lt;&gt;"Não","",IF(Q1002+Config!$B$9&lt;=Config!$B$8,Config!$B$8-Q1002,""))</f>
        <v/>
      </c>
      <c r="T1002" s="26">
        <f>IF(S1002="","","Sim")</f>
        <v/>
      </c>
      <c r="U1002" s="41">
        <f>IF(T1002="Sim",S1002+ROW()/100000,0)</f>
        <v>0</v>
      </c>
      <c r="V1002" s="41">
        <f>IF(AND(H1002="Falta",L1002=Config!$B$7,M1002=Config!$B$5,COUNTIFS($E$5:E1002,E1002,$H$5:H1002,"Falta",$L$5:L1002,Config!$B$7,$M$5:M1002,Config!$B$5)=1),COUNTIFS($E$5:$E$1204,E1002,$H$5:$H$1204,"Falta",$L$5:$L$1204,Config!$B$7,$M$5:$M$1204,Config!$B$5)*1000-ROW()/100000,0)</f>
        <v>0</v>
      </c>
    </row>
    <row r="1003">
      <c r="A1003" s="39" t="n"/>
      <c r="B1003" s="40" t="n"/>
      <c r="C1003" s="35" t="n"/>
      <c r="D1003" s="35" t="n"/>
      <c r="E1003" s="34" t="n"/>
      <c r="F1003" s="35" t="n"/>
      <c r="G1003" s="35" t="n"/>
      <c r="H1003" s="35" t="n"/>
      <c r="I1003" s="35" t="n"/>
      <c r="J1003" s="35" t="n"/>
      <c r="K1003" s="34" t="n"/>
      <c r="L1003" s="26">
        <f>IF(A1003="","",MONTH(A1003))</f>
        <v/>
      </c>
      <c r="M1003" s="26">
        <f>IF(A1003="","",YEAR(A1003))</f>
        <v/>
      </c>
      <c r="N1003" s="26">
        <f>IF(A1003="","",CHOOSE(WEEKDAY(A1003,2),"Segunda","Terça","Quarta","Quinta","Sexta","Sábado","Domingo"))</f>
        <v/>
      </c>
      <c r="O1003" s="26">
        <f>IF(B1003="","",IF(B1003&lt;TIME(12,0,0),"Manhã",IF(B1003&lt;TIME(18,0,0),"Tarde","Noite")))</f>
        <v/>
      </c>
      <c r="P1003" s="32">
        <f>IF(G1003="","",IFERROR(INDEX(Config!$I$5:$I$16,MATCH(G1003,Config!$H$5:$H$16,0)),0))</f>
        <v/>
      </c>
      <c r="Q1003" s="30">
        <f>IF(OR(H1003&lt;&gt;"Realizado",P1003="",P1003=0),"",A1003+P1003)</f>
        <v/>
      </c>
      <c r="R1003" s="26">
        <f>IF(Q1003="","",IF(COUNTIFS($E$5:$E$1204,E1003,$A$5:$A$1204,"&gt;"&amp;A1003,$H$5:$H$1204,"&lt;&gt;Falta",$H$5:$H$1204,"&lt;&gt;Cancelado",$H$5:$H$1204,"&lt;&gt;Remarcado")&gt;0,"Sim","Não"))</f>
        <v/>
      </c>
      <c r="S1003" s="32">
        <f>IF(R1003&lt;&gt;"Não","",IF(Q1003+Config!$B$9&lt;=Config!$B$8,Config!$B$8-Q1003,""))</f>
        <v/>
      </c>
      <c r="T1003" s="26">
        <f>IF(S1003="","","Sim")</f>
        <v/>
      </c>
      <c r="U1003" s="41">
        <f>IF(T1003="Sim",S1003+ROW()/100000,0)</f>
        <v>0</v>
      </c>
      <c r="V1003" s="41">
        <f>IF(AND(H1003="Falta",L1003=Config!$B$7,M1003=Config!$B$5,COUNTIFS($E$5:E1003,E1003,$H$5:H1003,"Falta",$L$5:L1003,Config!$B$7,$M$5:M1003,Config!$B$5)=1),COUNTIFS($E$5:$E$1204,E1003,$H$5:$H$1204,"Falta",$L$5:$L$1204,Config!$B$7,$M$5:$M$1204,Config!$B$5)*1000-ROW()/100000,0)</f>
        <v>0</v>
      </c>
    </row>
    <row r="1004">
      <c r="A1004" s="39" t="n"/>
      <c r="B1004" s="40" t="n"/>
      <c r="C1004" s="35" t="n"/>
      <c r="D1004" s="35" t="n"/>
      <c r="E1004" s="34" t="n"/>
      <c r="F1004" s="35" t="n"/>
      <c r="G1004" s="35" t="n"/>
      <c r="H1004" s="35" t="n"/>
      <c r="I1004" s="35" t="n"/>
      <c r="J1004" s="35" t="n"/>
      <c r="K1004" s="34" t="n"/>
      <c r="L1004" s="26">
        <f>IF(A1004="","",MONTH(A1004))</f>
        <v/>
      </c>
      <c r="M1004" s="26">
        <f>IF(A1004="","",YEAR(A1004))</f>
        <v/>
      </c>
      <c r="N1004" s="26">
        <f>IF(A1004="","",CHOOSE(WEEKDAY(A1004,2),"Segunda","Terça","Quarta","Quinta","Sexta","Sábado","Domingo"))</f>
        <v/>
      </c>
      <c r="O1004" s="26">
        <f>IF(B1004="","",IF(B1004&lt;TIME(12,0,0),"Manhã",IF(B1004&lt;TIME(18,0,0),"Tarde","Noite")))</f>
        <v/>
      </c>
      <c r="P1004" s="32">
        <f>IF(G1004="","",IFERROR(INDEX(Config!$I$5:$I$16,MATCH(G1004,Config!$H$5:$H$16,0)),0))</f>
        <v/>
      </c>
      <c r="Q1004" s="30">
        <f>IF(OR(H1004&lt;&gt;"Realizado",P1004="",P1004=0),"",A1004+P1004)</f>
        <v/>
      </c>
      <c r="R1004" s="26">
        <f>IF(Q1004="","",IF(COUNTIFS($E$5:$E$1204,E1004,$A$5:$A$1204,"&gt;"&amp;A1004,$H$5:$H$1204,"&lt;&gt;Falta",$H$5:$H$1204,"&lt;&gt;Cancelado",$H$5:$H$1204,"&lt;&gt;Remarcado")&gt;0,"Sim","Não"))</f>
        <v/>
      </c>
      <c r="S1004" s="32">
        <f>IF(R1004&lt;&gt;"Não","",IF(Q1004+Config!$B$9&lt;=Config!$B$8,Config!$B$8-Q1004,""))</f>
        <v/>
      </c>
      <c r="T1004" s="26">
        <f>IF(S1004="","","Sim")</f>
        <v/>
      </c>
      <c r="U1004" s="41">
        <f>IF(T1004="Sim",S1004+ROW()/100000,0)</f>
        <v>0</v>
      </c>
      <c r="V1004" s="41">
        <f>IF(AND(H1004="Falta",L1004=Config!$B$7,M1004=Config!$B$5,COUNTIFS($E$5:E1004,E1004,$H$5:H1004,"Falta",$L$5:L1004,Config!$B$7,$M$5:M1004,Config!$B$5)=1),COUNTIFS($E$5:$E$1204,E1004,$H$5:$H$1204,"Falta",$L$5:$L$1204,Config!$B$7,$M$5:$M$1204,Config!$B$5)*1000-ROW()/100000,0)</f>
        <v>0</v>
      </c>
    </row>
    <row r="1005">
      <c r="A1005" s="39" t="n"/>
      <c r="B1005" s="40" t="n"/>
      <c r="C1005" s="35" t="n"/>
      <c r="D1005" s="35" t="n"/>
      <c r="E1005" s="34" t="n"/>
      <c r="F1005" s="35" t="n"/>
      <c r="G1005" s="35" t="n"/>
      <c r="H1005" s="35" t="n"/>
      <c r="I1005" s="35" t="n"/>
      <c r="J1005" s="35" t="n"/>
      <c r="K1005" s="34" t="n"/>
      <c r="L1005" s="26">
        <f>IF(A1005="","",MONTH(A1005))</f>
        <v/>
      </c>
      <c r="M1005" s="26">
        <f>IF(A1005="","",YEAR(A1005))</f>
        <v/>
      </c>
      <c r="N1005" s="26">
        <f>IF(A1005="","",CHOOSE(WEEKDAY(A1005,2),"Segunda","Terça","Quarta","Quinta","Sexta","Sábado","Domingo"))</f>
        <v/>
      </c>
      <c r="O1005" s="26">
        <f>IF(B1005="","",IF(B1005&lt;TIME(12,0,0),"Manhã",IF(B1005&lt;TIME(18,0,0),"Tarde","Noite")))</f>
        <v/>
      </c>
      <c r="P1005" s="32">
        <f>IF(G1005="","",IFERROR(INDEX(Config!$I$5:$I$16,MATCH(G1005,Config!$H$5:$H$16,0)),0))</f>
        <v/>
      </c>
      <c r="Q1005" s="30">
        <f>IF(OR(H1005&lt;&gt;"Realizado",P1005="",P1005=0),"",A1005+P1005)</f>
        <v/>
      </c>
      <c r="R1005" s="26">
        <f>IF(Q1005="","",IF(COUNTIFS($E$5:$E$1204,E1005,$A$5:$A$1204,"&gt;"&amp;A1005,$H$5:$H$1204,"&lt;&gt;Falta",$H$5:$H$1204,"&lt;&gt;Cancelado",$H$5:$H$1204,"&lt;&gt;Remarcado")&gt;0,"Sim","Não"))</f>
        <v/>
      </c>
      <c r="S1005" s="32">
        <f>IF(R1005&lt;&gt;"Não","",IF(Q1005+Config!$B$9&lt;=Config!$B$8,Config!$B$8-Q1005,""))</f>
        <v/>
      </c>
      <c r="T1005" s="26">
        <f>IF(S1005="","","Sim")</f>
        <v/>
      </c>
      <c r="U1005" s="41">
        <f>IF(T1005="Sim",S1005+ROW()/100000,0)</f>
        <v>0</v>
      </c>
      <c r="V1005" s="41">
        <f>IF(AND(H1005="Falta",L1005=Config!$B$7,M1005=Config!$B$5,COUNTIFS($E$5:E1005,E1005,$H$5:H1005,"Falta",$L$5:L1005,Config!$B$7,$M$5:M1005,Config!$B$5)=1),COUNTIFS($E$5:$E$1204,E1005,$H$5:$H$1204,"Falta",$L$5:$L$1204,Config!$B$7,$M$5:$M$1204,Config!$B$5)*1000-ROW()/100000,0)</f>
        <v>0</v>
      </c>
    </row>
    <row r="1006">
      <c r="A1006" s="39" t="n"/>
      <c r="B1006" s="40" t="n"/>
      <c r="C1006" s="35" t="n"/>
      <c r="D1006" s="35" t="n"/>
      <c r="E1006" s="34" t="n"/>
      <c r="F1006" s="35" t="n"/>
      <c r="G1006" s="35" t="n"/>
      <c r="H1006" s="35" t="n"/>
      <c r="I1006" s="35" t="n"/>
      <c r="J1006" s="35" t="n"/>
      <c r="K1006" s="34" t="n"/>
      <c r="L1006" s="26">
        <f>IF(A1006="","",MONTH(A1006))</f>
        <v/>
      </c>
      <c r="M1006" s="26">
        <f>IF(A1006="","",YEAR(A1006))</f>
        <v/>
      </c>
      <c r="N1006" s="26">
        <f>IF(A1006="","",CHOOSE(WEEKDAY(A1006,2),"Segunda","Terça","Quarta","Quinta","Sexta","Sábado","Domingo"))</f>
        <v/>
      </c>
      <c r="O1006" s="26">
        <f>IF(B1006="","",IF(B1006&lt;TIME(12,0,0),"Manhã",IF(B1006&lt;TIME(18,0,0),"Tarde","Noite")))</f>
        <v/>
      </c>
      <c r="P1006" s="32">
        <f>IF(G1006="","",IFERROR(INDEX(Config!$I$5:$I$16,MATCH(G1006,Config!$H$5:$H$16,0)),0))</f>
        <v/>
      </c>
      <c r="Q1006" s="30">
        <f>IF(OR(H1006&lt;&gt;"Realizado",P1006="",P1006=0),"",A1006+P1006)</f>
        <v/>
      </c>
      <c r="R1006" s="26">
        <f>IF(Q1006="","",IF(COUNTIFS($E$5:$E$1204,E1006,$A$5:$A$1204,"&gt;"&amp;A1006,$H$5:$H$1204,"&lt;&gt;Falta",$H$5:$H$1204,"&lt;&gt;Cancelado",$H$5:$H$1204,"&lt;&gt;Remarcado")&gt;0,"Sim","Não"))</f>
        <v/>
      </c>
      <c r="S1006" s="32">
        <f>IF(R1006&lt;&gt;"Não","",IF(Q1006+Config!$B$9&lt;=Config!$B$8,Config!$B$8-Q1006,""))</f>
        <v/>
      </c>
      <c r="T1006" s="26">
        <f>IF(S1006="","","Sim")</f>
        <v/>
      </c>
      <c r="U1006" s="41">
        <f>IF(T1006="Sim",S1006+ROW()/100000,0)</f>
        <v>0</v>
      </c>
      <c r="V1006" s="41">
        <f>IF(AND(H1006="Falta",L1006=Config!$B$7,M1006=Config!$B$5,COUNTIFS($E$5:E1006,E1006,$H$5:H1006,"Falta",$L$5:L1006,Config!$B$7,$M$5:M1006,Config!$B$5)=1),COUNTIFS($E$5:$E$1204,E1006,$H$5:$H$1204,"Falta",$L$5:$L$1204,Config!$B$7,$M$5:$M$1204,Config!$B$5)*1000-ROW()/100000,0)</f>
        <v>0</v>
      </c>
    </row>
    <row r="1007">
      <c r="A1007" s="39" t="n"/>
      <c r="B1007" s="40" t="n"/>
      <c r="C1007" s="35" t="n"/>
      <c r="D1007" s="35" t="n"/>
      <c r="E1007" s="34" t="n"/>
      <c r="F1007" s="35" t="n"/>
      <c r="G1007" s="35" t="n"/>
      <c r="H1007" s="35" t="n"/>
      <c r="I1007" s="35" t="n"/>
      <c r="J1007" s="35" t="n"/>
      <c r="K1007" s="34" t="n"/>
      <c r="L1007" s="26">
        <f>IF(A1007="","",MONTH(A1007))</f>
        <v/>
      </c>
      <c r="M1007" s="26">
        <f>IF(A1007="","",YEAR(A1007))</f>
        <v/>
      </c>
      <c r="N1007" s="26">
        <f>IF(A1007="","",CHOOSE(WEEKDAY(A1007,2),"Segunda","Terça","Quarta","Quinta","Sexta","Sábado","Domingo"))</f>
        <v/>
      </c>
      <c r="O1007" s="26">
        <f>IF(B1007="","",IF(B1007&lt;TIME(12,0,0),"Manhã",IF(B1007&lt;TIME(18,0,0),"Tarde","Noite")))</f>
        <v/>
      </c>
      <c r="P1007" s="32">
        <f>IF(G1007="","",IFERROR(INDEX(Config!$I$5:$I$16,MATCH(G1007,Config!$H$5:$H$16,0)),0))</f>
        <v/>
      </c>
      <c r="Q1007" s="30">
        <f>IF(OR(H1007&lt;&gt;"Realizado",P1007="",P1007=0),"",A1007+P1007)</f>
        <v/>
      </c>
      <c r="R1007" s="26">
        <f>IF(Q1007="","",IF(COUNTIFS($E$5:$E$1204,E1007,$A$5:$A$1204,"&gt;"&amp;A1007,$H$5:$H$1204,"&lt;&gt;Falta",$H$5:$H$1204,"&lt;&gt;Cancelado",$H$5:$H$1204,"&lt;&gt;Remarcado")&gt;0,"Sim","Não"))</f>
        <v/>
      </c>
      <c r="S1007" s="32">
        <f>IF(R1007&lt;&gt;"Não","",IF(Q1007+Config!$B$9&lt;=Config!$B$8,Config!$B$8-Q1007,""))</f>
        <v/>
      </c>
      <c r="T1007" s="26">
        <f>IF(S1007="","","Sim")</f>
        <v/>
      </c>
      <c r="U1007" s="41">
        <f>IF(T1007="Sim",S1007+ROW()/100000,0)</f>
        <v>0</v>
      </c>
      <c r="V1007" s="41">
        <f>IF(AND(H1007="Falta",L1007=Config!$B$7,M1007=Config!$B$5,COUNTIFS($E$5:E1007,E1007,$H$5:H1007,"Falta",$L$5:L1007,Config!$B$7,$M$5:M1007,Config!$B$5)=1),COUNTIFS($E$5:$E$1204,E1007,$H$5:$H$1204,"Falta",$L$5:$L$1204,Config!$B$7,$M$5:$M$1204,Config!$B$5)*1000-ROW()/100000,0)</f>
        <v>0</v>
      </c>
    </row>
    <row r="1008">
      <c r="A1008" s="39" t="n"/>
      <c r="B1008" s="40" t="n"/>
      <c r="C1008" s="35" t="n"/>
      <c r="D1008" s="35" t="n"/>
      <c r="E1008" s="34" t="n"/>
      <c r="F1008" s="35" t="n"/>
      <c r="G1008" s="35" t="n"/>
      <c r="H1008" s="35" t="n"/>
      <c r="I1008" s="35" t="n"/>
      <c r="J1008" s="35" t="n"/>
      <c r="K1008" s="34" t="n"/>
      <c r="L1008" s="26">
        <f>IF(A1008="","",MONTH(A1008))</f>
        <v/>
      </c>
      <c r="M1008" s="26">
        <f>IF(A1008="","",YEAR(A1008))</f>
        <v/>
      </c>
      <c r="N1008" s="26">
        <f>IF(A1008="","",CHOOSE(WEEKDAY(A1008,2),"Segunda","Terça","Quarta","Quinta","Sexta","Sábado","Domingo"))</f>
        <v/>
      </c>
      <c r="O1008" s="26">
        <f>IF(B1008="","",IF(B1008&lt;TIME(12,0,0),"Manhã",IF(B1008&lt;TIME(18,0,0),"Tarde","Noite")))</f>
        <v/>
      </c>
      <c r="P1008" s="32">
        <f>IF(G1008="","",IFERROR(INDEX(Config!$I$5:$I$16,MATCH(G1008,Config!$H$5:$H$16,0)),0))</f>
        <v/>
      </c>
      <c r="Q1008" s="30">
        <f>IF(OR(H1008&lt;&gt;"Realizado",P1008="",P1008=0),"",A1008+P1008)</f>
        <v/>
      </c>
      <c r="R1008" s="26">
        <f>IF(Q1008="","",IF(COUNTIFS($E$5:$E$1204,E1008,$A$5:$A$1204,"&gt;"&amp;A1008,$H$5:$H$1204,"&lt;&gt;Falta",$H$5:$H$1204,"&lt;&gt;Cancelado",$H$5:$H$1204,"&lt;&gt;Remarcado")&gt;0,"Sim","Não"))</f>
        <v/>
      </c>
      <c r="S1008" s="32">
        <f>IF(R1008&lt;&gt;"Não","",IF(Q1008+Config!$B$9&lt;=Config!$B$8,Config!$B$8-Q1008,""))</f>
        <v/>
      </c>
      <c r="T1008" s="26">
        <f>IF(S1008="","","Sim")</f>
        <v/>
      </c>
      <c r="U1008" s="41">
        <f>IF(T1008="Sim",S1008+ROW()/100000,0)</f>
        <v>0</v>
      </c>
      <c r="V1008" s="41">
        <f>IF(AND(H1008="Falta",L1008=Config!$B$7,M1008=Config!$B$5,COUNTIFS($E$5:E1008,E1008,$H$5:H1008,"Falta",$L$5:L1008,Config!$B$7,$M$5:M1008,Config!$B$5)=1),COUNTIFS($E$5:$E$1204,E1008,$H$5:$H$1204,"Falta",$L$5:$L$1204,Config!$B$7,$M$5:$M$1204,Config!$B$5)*1000-ROW()/100000,0)</f>
        <v>0</v>
      </c>
    </row>
    <row r="1009">
      <c r="A1009" s="39" t="n"/>
      <c r="B1009" s="40" t="n"/>
      <c r="C1009" s="35" t="n"/>
      <c r="D1009" s="35" t="n"/>
      <c r="E1009" s="34" t="n"/>
      <c r="F1009" s="35" t="n"/>
      <c r="G1009" s="35" t="n"/>
      <c r="H1009" s="35" t="n"/>
      <c r="I1009" s="35" t="n"/>
      <c r="J1009" s="35" t="n"/>
      <c r="K1009" s="34" t="n"/>
      <c r="L1009" s="26">
        <f>IF(A1009="","",MONTH(A1009))</f>
        <v/>
      </c>
      <c r="M1009" s="26">
        <f>IF(A1009="","",YEAR(A1009))</f>
        <v/>
      </c>
      <c r="N1009" s="26">
        <f>IF(A1009="","",CHOOSE(WEEKDAY(A1009,2),"Segunda","Terça","Quarta","Quinta","Sexta","Sábado","Domingo"))</f>
        <v/>
      </c>
      <c r="O1009" s="26">
        <f>IF(B1009="","",IF(B1009&lt;TIME(12,0,0),"Manhã",IF(B1009&lt;TIME(18,0,0),"Tarde","Noite")))</f>
        <v/>
      </c>
      <c r="P1009" s="32">
        <f>IF(G1009="","",IFERROR(INDEX(Config!$I$5:$I$16,MATCH(G1009,Config!$H$5:$H$16,0)),0))</f>
        <v/>
      </c>
      <c r="Q1009" s="30">
        <f>IF(OR(H1009&lt;&gt;"Realizado",P1009="",P1009=0),"",A1009+P1009)</f>
        <v/>
      </c>
      <c r="R1009" s="26">
        <f>IF(Q1009="","",IF(COUNTIFS($E$5:$E$1204,E1009,$A$5:$A$1204,"&gt;"&amp;A1009,$H$5:$H$1204,"&lt;&gt;Falta",$H$5:$H$1204,"&lt;&gt;Cancelado",$H$5:$H$1204,"&lt;&gt;Remarcado")&gt;0,"Sim","Não"))</f>
        <v/>
      </c>
      <c r="S1009" s="32">
        <f>IF(R1009&lt;&gt;"Não","",IF(Q1009+Config!$B$9&lt;=Config!$B$8,Config!$B$8-Q1009,""))</f>
        <v/>
      </c>
      <c r="T1009" s="26">
        <f>IF(S1009="","","Sim")</f>
        <v/>
      </c>
      <c r="U1009" s="41">
        <f>IF(T1009="Sim",S1009+ROW()/100000,0)</f>
        <v>0</v>
      </c>
      <c r="V1009" s="41">
        <f>IF(AND(H1009="Falta",L1009=Config!$B$7,M1009=Config!$B$5,COUNTIFS($E$5:E1009,E1009,$H$5:H1009,"Falta",$L$5:L1009,Config!$B$7,$M$5:M1009,Config!$B$5)=1),COUNTIFS($E$5:$E$1204,E1009,$H$5:$H$1204,"Falta",$L$5:$L$1204,Config!$B$7,$M$5:$M$1204,Config!$B$5)*1000-ROW()/100000,0)</f>
        <v>0</v>
      </c>
    </row>
    <row r="1010">
      <c r="A1010" s="39" t="n"/>
      <c r="B1010" s="40" t="n"/>
      <c r="C1010" s="35" t="n"/>
      <c r="D1010" s="35" t="n"/>
      <c r="E1010" s="34" t="n"/>
      <c r="F1010" s="35" t="n"/>
      <c r="G1010" s="35" t="n"/>
      <c r="H1010" s="35" t="n"/>
      <c r="I1010" s="35" t="n"/>
      <c r="J1010" s="35" t="n"/>
      <c r="K1010" s="34" t="n"/>
      <c r="L1010" s="26">
        <f>IF(A1010="","",MONTH(A1010))</f>
        <v/>
      </c>
      <c r="M1010" s="26">
        <f>IF(A1010="","",YEAR(A1010))</f>
        <v/>
      </c>
      <c r="N1010" s="26">
        <f>IF(A1010="","",CHOOSE(WEEKDAY(A1010,2),"Segunda","Terça","Quarta","Quinta","Sexta","Sábado","Domingo"))</f>
        <v/>
      </c>
      <c r="O1010" s="26">
        <f>IF(B1010="","",IF(B1010&lt;TIME(12,0,0),"Manhã",IF(B1010&lt;TIME(18,0,0),"Tarde","Noite")))</f>
        <v/>
      </c>
      <c r="P1010" s="32">
        <f>IF(G1010="","",IFERROR(INDEX(Config!$I$5:$I$16,MATCH(G1010,Config!$H$5:$H$16,0)),0))</f>
        <v/>
      </c>
      <c r="Q1010" s="30">
        <f>IF(OR(H1010&lt;&gt;"Realizado",P1010="",P1010=0),"",A1010+P1010)</f>
        <v/>
      </c>
      <c r="R1010" s="26">
        <f>IF(Q1010="","",IF(COUNTIFS($E$5:$E$1204,E1010,$A$5:$A$1204,"&gt;"&amp;A1010,$H$5:$H$1204,"&lt;&gt;Falta",$H$5:$H$1204,"&lt;&gt;Cancelado",$H$5:$H$1204,"&lt;&gt;Remarcado")&gt;0,"Sim","Não"))</f>
        <v/>
      </c>
      <c r="S1010" s="32">
        <f>IF(R1010&lt;&gt;"Não","",IF(Q1010+Config!$B$9&lt;=Config!$B$8,Config!$B$8-Q1010,""))</f>
        <v/>
      </c>
      <c r="T1010" s="26">
        <f>IF(S1010="","","Sim")</f>
        <v/>
      </c>
      <c r="U1010" s="41">
        <f>IF(T1010="Sim",S1010+ROW()/100000,0)</f>
        <v>0</v>
      </c>
      <c r="V1010" s="41">
        <f>IF(AND(H1010="Falta",L1010=Config!$B$7,M1010=Config!$B$5,COUNTIFS($E$5:E1010,E1010,$H$5:H1010,"Falta",$L$5:L1010,Config!$B$7,$M$5:M1010,Config!$B$5)=1),COUNTIFS($E$5:$E$1204,E1010,$H$5:$H$1204,"Falta",$L$5:$L$1204,Config!$B$7,$M$5:$M$1204,Config!$B$5)*1000-ROW()/100000,0)</f>
        <v>0</v>
      </c>
    </row>
    <row r="1011">
      <c r="A1011" s="39" t="n"/>
      <c r="B1011" s="40" t="n"/>
      <c r="C1011" s="35" t="n"/>
      <c r="D1011" s="35" t="n"/>
      <c r="E1011" s="34" t="n"/>
      <c r="F1011" s="35" t="n"/>
      <c r="G1011" s="35" t="n"/>
      <c r="H1011" s="35" t="n"/>
      <c r="I1011" s="35" t="n"/>
      <c r="J1011" s="35" t="n"/>
      <c r="K1011" s="34" t="n"/>
      <c r="L1011" s="26">
        <f>IF(A1011="","",MONTH(A1011))</f>
        <v/>
      </c>
      <c r="M1011" s="26">
        <f>IF(A1011="","",YEAR(A1011))</f>
        <v/>
      </c>
      <c r="N1011" s="26">
        <f>IF(A1011="","",CHOOSE(WEEKDAY(A1011,2),"Segunda","Terça","Quarta","Quinta","Sexta","Sábado","Domingo"))</f>
        <v/>
      </c>
      <c r="O1011" s="26">
        <f>IF(B1011="","",IF(B1011&lt;TIME(12,0,0),"Manhã",IF(B1011&lt;TIME(18,0,0),"Tarde","Noite")))</f>
        <v/>
      </c>
      <c r="P1011" s="32">
        <f>IF(G1011="","",IFERROR(INDEX(Config!$I$5:$I$16,MATCH(G1011,Config!$H$5:$H$16,0)),0))</f>
        <v/>
      </c>
      <c r="Q1011" s="30">
        <f>IF(OR(H1011&lt;&gt;"Realizado",P1011="",P1011=0),"",A1011+P1011)</f>
        <v/>
      </c>
      <c r="R1011" s="26">
        <f>IF(Q1011="","",IF(COUNTIFS($E$5:$E$1204,E1011,$A$5:$A$1204,"&gt;"&amp;A1011,$H$5:$H$1204,"&lt;&gt;Falta",$H$5:$H$1204,"&lt;&gt;Cancelado",$H$5:$H$1204,"&lt;&gt;Remarcado")&gt;0,"Sim","Não"))</f>
        <v/>
      </c>
      <c r="S1011" s="32">
        <f>IF(R1011&lt;&gt;"Não","",IF(Q1011+Config!$B$9&lt;=Config!$B$8,Config!$B$8-Q1011,""))</f>
        <v/>
      </c>
      <c r="T1011" s="26">
        <f>IF(S1011="","","Sim")</f>
        <v/>
      </c>
      <c r="U1011" s="41">
        <f>IF(T1011="Sim",S1011+ROW()/100000,0)</f>
        <v>0</v>
      </c>
      <c r="V1011" s="41">
        <f>IF(AND(H1011="Falta",L1011=Config!$B$7,M1011=Config!$B$5,COUNTIFS($E$5:E1011,E1011,$H$5:H1011,"Falta",$L$5:L1011,Config!$B$7,$M$5:M1011,Config!$B$5)=1),COUNTIFS($E$5:$E$1204,E1011,$H$5:$H$1204,"Falta",$L$5:$L$1204,Config!$B$7,$M$5:$M$1204,Config!$B$5)*1000-ROW()/100000,0)</f>
        <v>0</v>
      </c>
    </row>
    <row r="1012">
      <c r="A1012" s="39" t="n"/>
      <c r="B1012" s="40" t="n"/>
      <c r="C1012" s="35" t="n"/>
      <c r="D1012" s="35" t="n"/>
      <c r="E1012" s="34" t="n"/>
      <c r="F1012" s="35" t="n"/>
      <c r="G1012" s="35" t="n"/>
      <c r="H1012" s="35" t="n"/>
      <c r="I1012" s="35" t="n"/>
      <c r="J1012" s="35" t="n"/>
      <c r="K1012" s="34" t="n"/>
      <c r="L1012" s="26">
        <f>IF(A1012="","",MONTH(A1012))</f>
        <v/>
      </c>
      <c r="M1012" s="26">
        <f>IF(A1012="","",YEAR(A1012))</f>
        <v/>
      </c>
      <c r="N1012" s="26">
        <f>IF(A1012="","",CHOOSE(WEEKDAY(A1012,2),"Segunda","Terça","Quarta","Quinta","Sexta","Sábado","Domingo"))</f>
        <v/>
      </c>
      <c r="O1012" s="26">
        <f>IF(B1012="","",IF(B1012&lt;TIME(12,0,0),"Manhã",IF(B1012&lt;TIME(18,0,0),"Tarde","Noite")))</f>
        <v/>
      </c>
      <c r="P1012" s="32">
        <f>IF(G1012="","",IFERROR(INDEX(Config!$I$5:$I$16,MATCH(G1012,Config!$H$5:$H$16,0)),0))</f>
        <v/>
      </c>
      <c r="Q1012" s="30">
        <f>IF(OR(H1012&lt;&gt;"Realizado",P1012="",P1012=0),"",A1012+P1012)</f>
        <v/>
      </c>
      <c r="R1012" s="26">
        <f>IF(Q1012="","",IF(COUNTIFS($E$5:$E$1204,E1012,$A$5:$A$1204,"&gt;"&amp;A1012,$H$5:$H$1204,"&lt;&gt;Falta",$H$5:$H$1204,"&lt;&gt;Cancelado",$H$5:$H$1204,"&lt;&gt;Remarcado")&gt;0,"Sim","Não"))</f>
        <v/>
      </c>
      <c r="S1012" s="32">
        <f>IF(R1012&lt;&gt;"Não","",IF(Q1012+Config!$B$9&lt;=Config!$B$8,Config!$B$8-Q1012,""))</f>
        <v/>
      </c>
      <c r="T1012" s="26">
        <f>IF(S1012="","","Sim")</f>
        <v/>
      </c>
      <c r="U1012" s="41">
        <f>IF(T1012="Sim",S1012+ROW()/100000,0)</f>
        <v>0</v>
      </c>
      <c r="V1012" s="41">
        <f>IF(AND(H1012="Falta",L1012=Config!$B$7,M1012=Config!$B$5,COUNTIFS($E$5:E1012,E1012,$H$5:H1012,"Falta",$L$5:L1012,Config!$B$7,$M$5:M1012,Config!$B$5)=1),COUNTIFS($E$5:$E$1204,E1012,$H$5:$H$1204,"Falta",$L$5:$L$1204,Config!$B$7,$M$5:$M$1204,Config!$B$5)*1000-ROW()/100000,0)</f>
        <v>0</v>
      </c>
    </row>
    <row r="1013">
      <c r="A1013" s="39" t="n"/>
      <c r="B1013" s="40" t="n"/>
      <c r="C1013" s="35" t="n"/>
      <c r="D1013" s="35" t="n"/>
      <c r="E1013" s="34" t="n"/>
      <c r="F1013" s="35" t="n"/>
      <c r="G1013" s="35" t="n"/>
      <c r="H1013" s="35" t="n"/>
      <c r="I1013" s="35" t="n"/>
      <c r="J1013" s="35" t="n"/>
      <c r="K1013" s="34" t="n"/>
      <c r="L1013" s="26">
        <f>IF(A1013="","",MONTH(A1013))</f>
        <v/>
      </c>
      <c r="M1013" s="26">
        <f>IF(A1013="","",YEAR(A1013))</f>
        <v/>
      </c>
      <c r="N1013" s="26">
        <f>IF(A1013="","",CHOOSE(WEEKDAY(A1013,2),"Segunda","Terça","Quarta","Quinta","Sexta","Sábado","Domingo"))</f>
        <v/>
      </c>
      <c r="O1013" s="26">
        <f>IF(B1013="","",IF(B1013&lt;TIME(12,0,0),"Manhã",IF(B1013&lt;TIME(18,0,0),"Tarde","Noite")))</f>
        <v/>
      </c>
      <c r="P1013" s="32">
        <f>IF(G1013="","",IFERROR(INDEX(Config!$I$5:$I$16,MATCH(G1013,Config!$H$5:$H$16,0)),0))</f>
        <v/>
      </c>
      <c r="Q1013" s="30">
        <f>IF(OR(H1013&lt;&gt;"Realizado",P1013="",P1013=0),"",A1013+P1013)</f>
        <v/>
      </c>
      <c r="R1013" s="26">
        <f>IF(Q1013="","",IF(COUNTIFS($E$5:$E$1204,E1013,$A$5:$A$1204,"&gt;"&amp;A1013,$H$5:$H$1204,"&lt;&gt;Falta",$H$5:$H$1204,"&lt;&gt;Cancelado",$H$5:$H$1204,"&lt;&gt;Remarcado")&gt;0,"Sim","Não"))</f>
        <v/>
      </c>
      <c r="S1013" s="32">
        <f>IF(R1013&lt;&gt;"Não","",IF(Q1013+Config!$B$9&lt;=Config!$B$8,Config!$B$8-Q1013,""))</f>
        <v/>
      </c>
      <c r="T1013" s="26">
        <f>IF(S1013="","","Sim")</f>
        <v/>
      </c>
      <c r="U1013" s="41">
        <f>IF(T1013="Sim",S1013+ROW()/100000,0)</f>
        <v>0</v>
      </c>
      <c r="V1013" s="41">
        <f>IF(AND(H1013="Falta",L1013=Config!$B$7,M1013=Config!$B$5,COUNTIFS($E$5:E1013,E1013,$H$5:H1013,"Falta",$L$5:L1013,Config!$B$7,$M$5:M1013,Config!$B$5)=1),COUNTIFS($E$5:$E$1204,E1013,$H$5:$H$1204,"Falta",$L$5:$L$1204,Config!$B$7,$M$5:$M$1204,Config!$B$5)*1000-ROW()/100000,0)</f>
        <v>0</v>
      </c>
    </row>
    <row r="1014">
      <c r="A1014" s="39" t="n"/>
      <c r="B1014" s="40" t="n"/>
      <c r="C1014" s="35" t="n"/>
      <c r="D1014" s="35" t="n"/>
      <c r="E1014" s="34" t="n"/>
      <c r="F1014" s="35" t="n"/>
      <c r="G1014" s="35" t="n"/>
      <c r="H1014" s="35" t="n"/>
      <c r="I1014" s="35" t="n"/>
      <c r="J1014" s="35" t="n"/>
      <c r="K1014" s="34" t="n"/>
      <c r="L1014" s="26">
        <f>IF(A1014="","",MONTH(A1014))</f>
        <v/>
      </c>
      <c r="M1014" s="26">
        <f>IF(A1014="","",YEAR(A1014))</f>
        <v/>
      </c>
      <c r="N1014" s="26">
        <f>IF(A1014="","",CHOOSE(WEEKDAY(A1014,2),"Segunda","Terça","Quarta","Quinta","Sexta","Sábado","Domingo"))</f>
        <v/>
      </c>
      <c r="O1014" s="26">
        <f>IF(B1014="","",IF(B1014&lt;TIME(12,0,0),"Manhã",IF(B1014&lt;TIME(18,0,0),"Tarde","Noite")))</f>
        <v/>
      </c>
      <c r="P1014" s="32">
        <f>IF(G1014="","",IFERROR(INDEX(Config!$I$5:$I$16,MATCH(G1014,Config!$H$5:$H$16,0)),0))</f>
        <v/>
      </c>
      <c r="Q1014" s="30">
        <f>IF(OR(H1014&lt;&gt;"Realizado",P1014="",P1014=0),"",A1014+P1014)</f>
        <v/>
      </c>
      <c r="R1014" s="26">
        <f>IF(Q1014="","",IF(COUNTIFS($E$5:$E$1204,E1014,$A$5:$A$1204,"&gt;"&amp;A1014,$H$5:$H$1204,"&lt;&gt;Falta",$H$5:$H$1204,"&lt;&gt;Cancelado",$H$5:$H$1204,"&lt;&gt;Remarcado")&gt;0,"Sim","Não"))</f>
        <v/>
      </c>
      <c r="S1014" s="32">
        <f>IF(R1014&lt;&gt;"Não","",IF(Q1014+Config!$B$9&lt;=Config!$B$8,Config!$B$8-Q1014,""))</f>
        <v/>
      </c>
      <c r="T1014" s="26">
        <f>IF(S1014="","","Sim")</f>
        <v/>
      </c>
      <c r="U1014" s="41">
        <f>IF(T1014="Sim",S1014+ROW()/100000,0)</f>
        <v>0</v>
      </c>
      <c r="V1014" s="41">
        <f>IF(AND(H1014="Falta",L1014=Config!$B$7,M1014=Config!$B$5,COUNTIFS($E$5:E1014,E1014,$H$5:H1014,"Falta",$L$5:L1014,Config!$B$7,$M$5:M1014,Config!$B$5)=1),COUNTIFS($E$5:$E$1204,E1014,$H$5:$H$1204,"Falta",$L$5:$L$1204,Config!$B$7,$M$5:$M$1204,Config!$B$5)*1000-ROW()/100000,0)</f>
        <v>0</v>
      </c>
    </row>
    <row r="1015">
      <c r="A1015" s="39" t="n"/>
      <c r="B1015" s="40" t="n"/>
      <c r="C1015" s="35" t="n"/>
      <c r="D1015" s="35" t="n"/>
      <c r="E1015" s="34" t="n"/>
      <c r="F1015" s="35" t="n"/>
      <c r="G1015" s="35" t="n"/>
      <c r="H1015" s="35" t="n"/>
      <c r="I1015" s="35" t="n"/>
      <c r="J1015" s="35" t="n"/>
      <c r="K1015" s="34" t="n"/>
      <c r="L1015" s="26">
        <f>IF(A1015="","",MONTH(A1015))</f>
        <v/>
      </c>
      <c r="M1015" s="26">
        <f>IF(A1015="","",YEAR(A1015))</f>
        <v/>
      </c>
      <c r="N1015" s="26">
        <f>IF(A1015="","",CHOOSE(WEEKDAY(A1015,2),"Segunda","Terça","Quarta","Quinta","Sexta","Sábado","Domingo"))</f>
        <v/>
      </c>
      <c r="O1015" s="26">
        <f>IF(B1015="","",IF(B1015&lt;TIME(12,0,0),"Manhã",IF(B1015&lt;TIME(18,0,0),"Tarde","Noite")))</f>
        <v/>
      </c>
      <c r="P1015" s="32">
        <f>IF(G1015="","",IFERROR(INDEX(Config!$I$5:$I$16,MATCH(G1015,Config!$H$5:$H$16,0)),0))</f>
        <v/>
      </c>
      <c r="Q1015" s="30">
        <f>IF(OR(H1015&lt;&gt;"Realizado",P1015="",P1015=0),"",A1015+P1015)</f>
        <v/>
      </c>
      <c r="R1015" s="26">
        <f>IF(Q1015="","",IF(COUNTIFS($E$5:$E$1204,E1015,$A$5:$A$1204,"&gt;"&amp;A1015,$H$5:$H$1204,"&lt;&gt;Falta",$H$5:$H$1204,"&lt;&gt;Cancelado",$H$5:$H$1204,"&lt;&gt;Remarcado")&gt;0,"Sim","Não"))</f>
        <v/>
      </c>
      <c r="S1015" s="32">
        <f>IF(R1015&lt;&gt;"Não","",IF(Q1015+Config!$B$9&lt;=Config!$B$8,Config!$B$8-Q1015,""))</f>
        <v/>
      </c>
      <c r="T1015" s="26">
        <f>IF(S1015="","","Sim")</f>
        <v/>
      </c>
      <c r="U1015" s="41">
        <f>IF(T1015="Sim",S1015+ROW()/100000,0)</f>
        <v>0</v>
      </c>
      <c r="V1015" s="41">
        <f>IF(AND(H1015="Falta",L1015=Config!$B$7,M1015=Config!$B$5,COUNTIFS($E$5:E1015,E1015,$H$5:H1015,"Falta",$L$5:L1015,Config!$B$7,$M$5:M1015,Config!$B$5)=1),COUNTIFS($E$5:$E$1204,E1015,$H$5:$H$1204,"Falta",$L$5:$L$1204,Config!$B$7,$M$5:$M$1204,Config!$B$5)*1000-ROW()/100000,0)</f>
        <v>0</v>
      </c>
    </row>
    <row r="1016">
      <c r="A1016" s="39" t="n"/>
      <c r="B1016" s="40" t="n"/>
      <c r="C1016" s="35" t="n"/>
      <c r="D1016" s="35" t="n"/>
      <c r="E1016" s="34" t="n"/>
      <c r="F1016" s="35" t="n"/>
      <c r="G1016" s="35" t="n"/>
      <c r="H1016" s="35" t="n"/>
      <c r="I1016" s="35" t="n"/>
      <c r="J1016" s="35" t="n"/>
      <c r="K1016" s="34" t="n"/>
      <c r="L1016" s="26">
        <f>IF(A1016="","",MONTH(A1016))</f>
        <v/>
      </c>
      <c r="M1016" s="26">
        <f>IF(A1016="","",YEAR(A1016))</f>
        <v/>
      </c>
      <c r="N1016" s="26">
        <f>IF(A1016="","",CHOOSE(WEEKDAY(A1016,2),"Segunda","Terça","Quarta","Quinta","Sexta","Sábado","Domingo"))</f>
        <v/>
      </c>
      <c r="O1016" s="26">
        <f>IF(B1016="","",IF(B1016&lt;TIME(12,0,0),"Manhã",IF(B1016&lt;TIME(18,0,0),"Tarde","Noite")))</f>
        <v/>
      </c>
      <c r="P1016" s="32">
        <f>IF(G1016="","",IFERROR(INDEX(Config!$I$5:$I$16,MATCH(G1016,Config!$H$5:$H$16,0)),0))</f>
        <v/>
      </c>
      <c r="Q1016" s="30">
        <f>IF(OR(H1016&lt;&gt;"Realizado",P1016="",P1016=0),"",A1016+P1016)</f>
        <v/>
      </c>
      <c r="R1016" s="26">
        <f>IF(Q1016="","",IF(COUNTIFS($E$5:$E$1204,E1016,$A$5:$A$1204,"&gt;"&amp;A1016,$H$5:$H$1204,"&lt;&gt;Falta",$H$5:$H$1204,"&lt;&gt;Cancelado",$H$5:$H$1204,"&lt;&gt;Remarcado")&gt;0,"Sim","Não"))</f>
        <v/>
      </c>
      <c r="S1016" s="32">
        <f>IF(R1016&lt;&gt;"Não","",IF(Q1016+Config!$B$9&lt;=Config!$B$8,Config!$B$8-Q1016,""))</f>
        <v/>
      </c>
      <c r="T1016" s="26">
        <f>IF(S1016="","","Sim")</f>
        <v/>
      </c>
      <c r="U1016" s="41">
        <f>IF(T1016="Sim",S1016+ROW()/100000,0)</f>
        <v>0</v>
      </c>
      <c r="V1016" s="41">
        <f>IF(AND(H1016="Falta",L1016=Config!$B$7,M1016=Config!$B$5,COUNTIFS($E$5:E1016,E1016,$H$5:H1016,"Falta",$L$5:L1016,Config!$B$7,$M$5:M1016,Config!$B$5)=1),COUNTIFS($E$5:$E$1204,E1016,$H$5:$H$1204,"Falta",$L$5:$L$1204,Config!$B$7,$M$5:$M$1204,Config!$B$5)*1000-ROW()/100000,0)</f>
        <v>0</v>
      </c>
    </row>
    <row r="1017">
      <c r="A1017" s="39" t="n"/>
      <c r="B1017" s="40" t="n"/>
      <c r="C1017" s="35" t="n"/>
      <c r="D1017" s="35" t="n"/>
      <c r="E1017" s="34" t="n"/>
      <c r="F1017" s="35" t="n"/>
      <c r="G1017" s="35" t="n"/>
      <c r="H1017" s="35" t="n"/>
      <c r="I1017" s="35" t="n"/>
      <c r="J1017" s="35" t="n"/>
      <c r="K1017" s="34" t="n"/>
      <c r="L1017" s="26">
        <f>IF(A1017="","",MONTH(A1017))</f>
        <v/>
      </c>
      <c r="M1017" s="26">
        <f>IF(A1017="","",YEAR(A1017))</f>
        <v/>
      </c>
      <c r="N1017" s="26">
        <f>IF(A1017="","",CHOOSE(WEEKDAY(A1017,2),"Segunda","Terça","Quarta","Quinta","Sexta","Sábado","Domingo"))</f>
        <v/>
      </c>
      <c r="O1017" s="26">
        <f>IF(B1017="","",IF(B1017&lt;TIME(12,0,0),"Manhã",IF(B1017&lt;TIME(18,0,0),"Tarde","Noite")))</f>
        <v/>
      </c>
      <c r="P1017" s="32">
        <f>IF(G1017="","",IFERROR(INDEX(Config!$I$5:$I$16,MATCH(G1017,Config!$H$5:$H$16,0)),0))</f>
        <v/>
      </c>
      <c r="Q1017" s="30">
        <f>IF(OR(H1017&lt;&gt;"Realizado",P1017="",P1017=0),"",A1017+P1017)</f>
        <v/>
      </c>
      <c r="R1017" s="26">
        <f>IF(Q1017="","",IF(COUNTIFS($E$5:$E$1204,E1017,$A$5:$A$1204,"&gt;"&amp;A1017,$H$5:$H$1204,"&lt;&gt;Falta",$H$5:$H$1204,"&lt;&gt;Cancelado",$H$5:$H$1204,"&lt;&gt;Remarcado")&gt;0,"Sim","Não"))</f>
        <v/>
      </c>
      <c r="S1017" s="32">
        <f>IF(R1017&lt;&gt;"Não","",IF(Q1017+Config!$B$9&lt;=Config!$B$8,Config!$B$8-Q1017,""))</f>
        <v/>
      </c>
      <c r="T1017" s="26">
        <f>IF(S1017="","","Sim")</f>
        <v/>
      </c>
      <c r="U1017" s="41">
        <f>IF(T1017="Sim",S1017+ROW()/100000,0)</f>
        <v>0</v>
      </c>
      <c r="V1017" s="41">
        <f>IF(AND(H1017="Falta",L1017=Config!$B$7,M1017=Config!$B$5,COUNTIFS($E$5:E1017,E1017,$H$5:H1017,"Falta",$L$5:L1017,Config!$B$7,$M$5:M1017,Config!$B$5)=1),COUNTIFS($E$5:$E$1204,E1017,$H$5:$H$1204,"Falta",$L$5:$L$1204,Config!$B$7,$M$5:$M$1204,Config!$B$5)*1000-ROW()/100000,0)</f>
        <v>0</v>
      </c>
    </row>
    <row r="1018">
      <c r="A1018" s="39" t="n"/>
      <c r="B1018" s="40" t="n"/>
      <c r="C1018" s="35" t="n"/>
      <c r="D1018" s="35" t="n"/>
      <c r="E1018" s="34" t="n"/>
      <c r="F1018" s="35" t="n"/>
      <c r="G1018" s="35" t="n"/>
      <c r="H1018" s="35" t="n"/>
      <c r="I1018" s="35" t="n"/>
      <c r="J1018" s="35" t="n"/>
      <c r="K1018" s="34" t="n"/>
      <c r="L1018" s="26">
        <f>IF(A1018="","",MONTH(A1018))</f>
        <v/>
      </c>
      <c r="M1018" s="26">
        <f>IF(A1018="","",YEAR(A1018))</f>
        <v/>
      </c>
      <c r="N1018" s="26">
        <f>IF(A1018="","",CHOOSE(WEEKDAY(A1018,2),"Segunda","Terça","Quarta","Quinta","Sexta","Sábado","Domingo"))</f>
        <v/>
      </c>
      <c r="O1018" s="26">
        <f>IF(B1018="","",IF(B1018&lt;TIME(12,0,0),"Manhã",IF(B1018&lt;TIME(18,0,0),"Tarde","Noite")))</f>
        <v/>
      </c>
      <c r="P1018" s="32">
        <f>IF(G1018="","",IFERROR(INDEX(Config!$I$5:$I$16,MATCH(G1018,Config!$H$5:$H$16,0)),0))</f>
        <v/>
      </c>
      <c r="Q1018" s="30">
        <f>IF(OR(H1018&lt;&gt;"Realizado",P1018="",P1018=0),"",A1018+P1018)</f>
        <v/>
      </c>
      <c r="R1018" s="26">
        <f>IF(Q1018="","",IF(COUNTIFS($E$5:$E$1204,E1018,$A$5:$A$1204,"&gt;"&amp;A1018,$H$5:$H$1204,"&lt;&gt;Falta",$H$5:$H$1204,"&lt;&gt;Cancelado",$H$5:$H$1204,"&lt;&gt;Remarcado")&gt;0,"Sim","Não"))</f>
        <v/>
      </c>
      <c r="S1018" s="32">
        <f>IF(R1018&lt;&gt;"Não","",IF(Q1018+Config!$B$9&lt;=Config!$B$8,Config!$B$8-Q1018,""))</f>
        <v/>
      </c>
      <c r="T1018" s="26">
        <f>IF(S1018="","","Sim")</f>
        <v/>
      </c>
      <c r="U1018" s="41">
        <f>IF(T1018="Sim",S1018+ROW()/100000,0)</f>
        <v>0</v>
      </c>
      <c r="V1018" s="41">
        <f>IF(AND(H1018="Falta",L1018=Config!$B$7,M1018=Config!$B$5,COUNTIFS($E$5:E1018,E1018,$H$5:H1018,"Falta",$L$5:L1018,Config!$B$7,$M$5:M1018,Config!$B$5)=1),COUNTIFS($E$5:$E$1204,E1018,$H$5:$H$1204,"Falta",$L$5:$L$1204,Config!$B$7,$M$5:$M$1204,Config!$B$5)*1000-ROW()/100000,0)</f>
        <v>0</v>
      </c>
    </row>
    <row r="1019">
      <c r="A1019" s="39" t="n"/>
      <c r="B1019" s="40" t="n"/>
      <c r="C1019" s="35" t="n"/>
      <c r="D1019" s="35" t="n"/>
      <c r="E1019" s="34" t="n"/>
      <c r="F1019" s="35" t="n"/>
      <c r="G1019" s="35" t="n"/>
      <c r="H1019" s="35" t="n"/>
      <c r="I1019" s="35" t="n"/>
      <c r="J1019" s="35" t="n"/>
      <c r="K1019" s="34" t="n"/>
      <c r="L1019" s="26">
        <f>IF(A1019="","",MONTH(A1019))</f>
        <v/>
      </c>
      <c r="M1019" s="26">
        <f>IF(A1019="","",YEAR(A1019))</f>
        <v/>
      </c>
      <c r="N1019" s="26">
        <f>IF(A1019="","",CHOOSE(WEEKDAY(A1019,2),"Segunda","Terça","Quarta","Quinta","Sexta","Sábado","Domingo"))</f>
        <v/>
      </c>
      <c r="O1019" s="26">
        <f>IF(B1019="","",IF(B1019&lt;TIME(12,0,0),"Manhã",IF(B1019&lt;TIME(18,0,0),"Tarde","Noite")))</f>
        <v/>
      </c>
      <c r="P1019" s="32">
        <f>IF(G1019="","",IFERROR(INDEX(Config!$I$5:$I$16,MATCH(G1019,Config!$H$5:$H$16,0)),0))</f>
        <v/>
      </c>
      <c r="Q1019" s="30">
        <f>IF(OR(H1019&lt;&gt;"Realizado",P1019="",P1019=0),"",A1019+P1019)</f>
        <v/>
      </c>
      <c r="R1019" s="26">
        <f>IF(Q1019="","",IF(COUNTIFS($E$5:$E$1204,E1019,$A$5:$A$1204,"&gt;"&amp;A1019,$H$5:$H$1204,"&lt;&gt;Falta",$H$5:$H$1204,"&lt;&gt;Cancelado",$H$5:$H$1204,"&lt;&gt;Remarcado")&gt;0,"Sim","Não"))</f>
        <v/>
      </c>
      <c r="S1019" s="32">
        <f>IF(R1019&lt;&gt;"Não","",IF(Q1019+Config!$B$9&lt;=Config!$B$8,Config!$B$8-Q1019,""))</f>
        <v/>
      </c>
      <c r="T1019" s="26">
        <f>IF(S1019="","","Sim")</f>
        <v/>
      </c>
      <c r="U1019" s="41">
        <f>IF(T1019="Sim",S1019+ROW()/100000,0)</f>
        <v>0</v>
      </c>
      <c r="V1019" s="41">
        <f>IF(AND(H1019="Falta",L1019=Config!$B$7,M1019=Config!$B$5,COUNTIFS($E$5:E1019,E1019,$H$5:H1019,"Falta",$L$5:L1019,Config!$B$7,$M$5:M1019,Config!$B$5)=1),COUNTIFS($E$5:$E$1204,E1019,$H$5:$H$1204,"Falta",$L$5:$L$1204,Config!$B$7,$M$5:$M$1204,Config!$B$5)*1000-ROW()/100000,0)</f>
        <v>0</v>
      </c>
    </row>
    <row r="1020">
      <c r="A1020" s="39" t="n"/>
      <c r="B1020" s="40" t="n"/>
      <c r="C1020" s="35" t="n"/>
      <c r="D1020" s="35" t="n"/>
      <c r="E1020" s="34" t="n"/>
      <c r="F1020" s="35" t="n"/>
      <c r="G1020" s="35" t="n"/>
      <c r="H1020" s="35" t="n"/>
      <c r="I1020" s="35" t="n"/>
      <c r="J1020" s="35" t="n"/>
      <c r="K1020" s="34" t="n"/>
      <c r="L1020" s="26">
        <f>IF(A1020="","",MONTH(A1020))</f>
        <v/>
      </c>
      <c r="M1020" s="26">
        <f>IF(A1020="","",YEAR(A1020))</f>
        <v/>
      </c>
      <c r="N1020" s="26">
        <f>IF(A1020="","",CHOOSE(WEEKDAY(A1020,2),"Segunda","Terça","Quarta","Quinta","Sexta","Sábado","Domingo"))</f>
        <v/>
      </c>
      <c r="O1020" s="26">
        <f>IF(B1020="","",IF(B1020&lt;TIME(12,0,0),"Manhã",IF(B1020&lt;TIME(18,0,0),"Tarde","Noite")))</f>
        <v/>
      </c>
      <c r="P1020" s="32">
        <f>IF(G1020="","",IFERROR(INDEX(Config!$I$5:$I$16,MATCH(G1020,Config!$H$5:$H$16,0)),0))</f>
        <v/>
      </c>
      <c r="Q1020" s="30">
        <f>IF(OR(H1020&lt;&gt;"Realizado",P1020="",P1020=0),"",A1020+P1020)</f>
        <v/>
      </c>
      <c r="R1020" s="26">
        <f>IF(Q1020="","",IF(COUNTIFS($E$5:$E$1204,E1020,$A$5:$A$1204,"&gt;"&amp;A1020,$H$5:$H$1204,"&lt;&gt;Falta",$H$5:$H$1204,"&lt;&gt;Cancelado",$H$5:$H$1204,"&lt;&gt;Remarcado")&gt;0,"Sim","Não"))</f>
        <v/>
      </c>
      <c r="S1020" s="32">
        <f>IF(R1020&lt;&gt;"Não","",IF(Q1020+Config!$B$9&lt;=Config!$B$8,Config!$B$8-Q1020,""))</f>
        <v/>
      </c>
      <c r="T1020" s="26">
        <f>IF(S1020="","","Sim")</f>
        <v/>
      </c>
      <c r="U1020" s="41">
        <f>IF(T1020="Sim",S1020+ROW()/100000,0)</f>
        <v>0</v>
      </c>
      <c r="V1020" s="41">
        <f>IF(AND(H1020="Falta",L1020=Config!$B$7,M1020=Config!$B$5,COUNTIFS($E$5:E1020,E1020,$H$5:H1020,"Falta",$L$5:L1020,Config!$B$7,$M$5:M1020,Config!$B$5)=1),COUNTIFS($E$5:$E$1204,E1020,$H$5:$H$1204,"Falta",$L$5:$L$1204,Config!$B$7,$M$5:$M$1204,Config!$B$5)*1000-ROW()/100000,0)</f>
        <v>0</v>
      </c>
    </row>
    <row r="1021">
      <c r="A1021" s="39" t="n"/>
      <c r="B1021" s="40" t="n"/>
      <c r="C1021" s="35" t="n"/>
      <c r="D1021" s="35" t="n"/>
      <c r="E1021" s="34" t="n"/>
      <c r="F1021" s="35" t="n"/>
      <c r="G1021" s="35" t="n"/>
      <c r="H1021" s="35" t="n"/>
      <c r="I1021" s="35" t="n"/>
      <c r="J1021" s="35" t="n"/>
      <c r="K1021" s="34" t="n"/>
      <c r="L1021" s="26">
        <f>IF(A1021="","",MONTH(A1021))</f>
        <v/>
      </c>
      <c r="M1021" s="26">
        <f>IF(A1021="","",YEAR(A1021))</f>
        <v/>
      </c>
      <c r="N1021" s="26">
        <f>IF(A1021="","",CHOOSE(WEEKDAY(A1021,2),"Segunda","Terça","Quarta","Quinta","Sexta","Sábado","Domingo"))</f>
        <v/>
      </c>
      <c r="O1021" s="26">
        <f>IF(B1021="","",IF(B1021&lt;TIME(12,0,0),"Manhã",IF(B1021&lt;TIME(18,0,0),"Tarde","Noite")))</f>
        <v/>
      </c>
      <c r="P1021" s="32">
        <f>IF(G1021="","",IFERROR(INDEX(Config!$I$5:$I$16,MATCH(G1021,Config!$H$5:$H$16,0)),0))</f>
        <v/>
      </c>
      <c r="Q1021" s="30">
        <f>IF(OR(H1021&lt;&gt;"Realizado",P1021="",P1021=0),"",A1021+P1021)</f>
        <v/>
      </c>
      <c r="R1021" s="26">
        <f>IF(Q1021="","",IF(COUNTIFS($E$5:$E$1204,E1021,$A$5:$A$1204,"&gt;"&amp;A1021,$H$5:$H$1204,"&lt;&gt;Falta",$H$5:$H$1204,"&lt;&gt;Cancelado",$H$5:$H$1204,"&lt;&gt;Remarcado")&gt;0,"Sim","Não"))</f>
        <v/>
      </c>
      <c r="S1021" s="32">
        <f>IF(R1021&lt;&gt;"Não","",IF(Q1021+Config!$B$9&lt;=Config!$B$8,Config!$B$8-Q1021,""))</f>
        <v/>
      </c>
      <c r="T1021" s="26">
        <f>IF(S1021="","","Sim")</f>
        <v/>
      </c>
      <c r="U1021" s="41">
        <f>IF(T1021="Sim",S1021+ROW()/100000,0)</f>
        <v>0</v>
      </c>
      <c r="V1021" s="41">
        <f>IF(AND(H1021="Falta",L1021=Config!$B$7,M1021=Config!$B$5,COUNTIFS($E$5:E1021,E1021,$H$5:H1021,"Falta",$L$5:L1021,Config!$B$7,$M$5:M1021,Config!$B$5)=1),COUNTIFS($E$5:$E$1204,E1021,$H$5:$H$1204,"Falta",$L$5:$L$1204,Config!$B$7,$M$5:$M$1204,Config!$B$5)*1000-ROW()/100000,0)</f>
        <v>0</v>
      </c>
    </row>
    <row r="1022">
      <c r="A1022" s="39" t="n"/>
      <c r="B1022" s="40" t="n"/>
      <c r="C1022" s="35" t="n"/>
      <c r="D1022" s="35" t="n"/>
      <c r="E1022" s="34" t="n"/>
      <c r="F1022" s="35" t="n"/>
      <c r="G1022" s="35" t="n"/>
      <c r="H1022" s="35" t="n"/>
      <c r="I1022" s="35" t="n"/>
      <c r="J1022" s="35" t="n"/>
      <c r="K1022" s="34" t="n"/>
      <c r="L1022" s="26">
        <f>IF(A1022="","",MONTH(A1022))</f>
        <v/>
      </c>
      <c r="M1022" s="26">
        <f>IF(A1022="","",YEAR(A1022))</f>
        <v/>
      </c>
      <c r="N1022" s="26">
        <f>IF(A1022="","",CHOOSE(WEEKDAY(A1022,2),"Segunda","Terça","Quarta","Quinta","Sexta","Sábado","Domingo"))</f>
        <v/>
      </c>
      <c r="O1022" s="26">
        <f>IF(B1022="","",IF(B1022&lt;TIME(12,0,0),"Manhã",IF(B1022&lt;TIME(18,0,0),"Tarde","Noite")))</f>
        <v/>
      </c>
      <c r="P1022" s="32">
        <f>IF(G1022="","",IFERROR(INDEX(Config!$I$5:$I$16,MATCH(G1022,Config!$H$5:$H$16,0)),0))</f>
        <v/>
      </c>
      <c r="Q1022" s="30">
        <f>IF(OR(H1022&lt;&gt;"Realizado",P1022="",P1022=0),"",A1022+P1022)</f>
        <v/>
      </c>
      <c r="R1022" s="26">
        <f>IF(Q1022="","",IF(COUNTIFS($E$5:$E$1204,E1022,$A$5:$A$1204,"&gt;"&amp;A1022,$H$5:$H$1204,"&lt;&gt;Falta",$H$5:$H$1204,"&lt;&gt;Cancelado",$H$5:$H$1204,"&lt;&gt;Remarcado")&gt;0,"Sim","Não"))</f>
        <v/>
      </c>
      <c r="S1022" s="32">
        <f>IF(R1022&lt;&gt;"Não","",IF(Q1022+Config!$B$9&lt;=Config!$B$8,Config!$B$8-Q1022,""))</f>
        <v/>
      </c>
      <c r="T1022" s="26">
        <f>IF(S1022="","","Sim")</f>
        <v/>
      </c>
      <c r="U1022" s="41">
        <f>IF(T1022="Sim",S1022+ROW()/100000,0)</f>
        <v>0</v>
      </c>
      <c r="V1022" s="41">
        <f>IF(AND(H1022="Falta",L1022=Config!$B$7,M1022=Config!$B$5,COUNTIFS($E$5:E1022,E1022,$H$5:H1022,"Falta",$L$5:L1022,Config!$B$7,$M$5:M1022,Config!$B$5)=1),COUNTIFS($E$5:$E$1204,E1022,$H$5:$H$1204,"Falta",$L$5:$L$1204,Config!$B$7,$M$5:$M$1204,Config!$B$5)*1000-ROW()/100000,0)</f>
        <v>0</v>
      </c>
    </row>
    <row r="1023">
      <c r="A1023" s="39" t="n"/>
      <c r="B1023" s="40" t="n"/>
      <c r="C1023" s="35" t="n"/>
      <c r="D1023" s="35" t="n"/>
      <c r="E1023" s="34" t="n"/>
      <c r="F1023" s="35" t="n"/>
      <c r="G1023" s="35" t="n"/>
      <c r="H1023" s="35" t="n"/>
      <c r="I1023" s="35" t="n"/>
      <c r="J1023" s="35" t="n"/>
      <c r="K1023" s="34" t="n"/>
      <c r="L1023" s="26">
        <f>IF(A1023="","",MONTH(A1023))</f>
        <v/>
      </c>
      <c r="M1023" s="26">
        <f>IF(A1023="","",YEAR(A1023))</f>
        <v/>
      </c>
      <c r="N1023" s="26">
        <f>IF(A1023="","",CHOOSE(WEEKDAY(A1023,2),"Segunda","Terça","Quarta","Quinta","Sexta","Sábado","Domingo"))</f>
        <v/>
      </c>
      <c r="O1023" s="26">
        <f>IF(B1023="","",IF(B1023&lt;TIME(12,0,0),"Manhã",IF(B1023&lt;TIME(18,0,0),"Tarde","Noite")))</f>
        <v/>
      </c>
      <c r="P1023" s="32">
        <f>IF(G1023="","",IFERROR(INDEX(Config!$I$5:$I$16,MATCH(G1023,Config!$H$5:$H$16,0)),0))</f>
        <v/>
      </c>
      <c r="Q1023" s="30">
        <f>IF(OR(H1023&lt;&gt;"Realizado",P1023="",P1023=0),"",A1023+P1023)</f>
        <v/>
      </c>
      <c r="R1023" s="26">
        <f>IF(Q1023="","",IF(COUNTIFS($E$5:$E$1204,E1023,$A$5:$A$1204,"&gt;"&amp;A1023,$H$5:$H$1204,"&lt;&gt;Falta",$H$5:$H$1204,"&lt;&gt;Cancelado",$H$5:$H$1204,"&lt;&gt;Remarcado")&gt;0,"Sim","Não"))</f>
        <v/>
      </c>
      <c r="S1023" s="32">
        <f>IF(R1023&lt;&gt;"Não","",IF(Q1023+Config!$B$9&lt;=Config!$B$8,Config!$B$8-Q1023,""))</f>
        <v/>
      </c>
      <c r="T1023" s="26">
        <f>IF(S1023="","","Sim")</f>
        <v/>
      </c>
      <c r="U1023" s="41">
        <f>IF(T1023="Sim",S1023+ROW()/100000,0)</f>
        <v>0</v>
      </c>
      <c r="V1023" s="41">
        <f>IF(AND(H1023="Falta",L1023=Config!$B$7,M1023=Config!$B$5,COUNTIFS($E$5:E1023,E1023,$H$5:H1023,"Falta",$L$5:L1023,Config!$B$7,$M$5:M1023,Config!$B$5)=1),COUNTIFS($E$5:$E$1204,E1023,$H$5:$H$1204,"Falta",$L$5:$L$1204,Config!$B$7,$M$5:$M$1204,Config!$B$5)*1000-ROW()/100000,0)</f>
        <v>0</v>
      </c>
    </row>
    <row r="1024">
      <c r="A1024" s="39" t="n"/>
      <c r="B1024" s="40" t="n"/>
      <c r="C1024" s="35" t="n"/>
      <c r="D1024" s="35" t="n"/>
      <c r="E1024" s="34" t="n"/>
      <c r="F1024" s="35" t="n"/>
      <c r="G1024" s="35" t="n"/>
      <c r="H1024" s="35" t="n"/>
      <c r="I1024" s="35" t="n"/>
      <c r="J1024" s="35" t="n"/>
      <c r="K1024" s="34" t="n"/>
      <c r="L1024" s="26">
        <f>IF(A1024="","",MONTH(A1024))</f>
        <v/>
      </c>
      <c r="M1024" s="26">
        <f>IF(A1024="","",YEAR(A1024))</f>
        <v/>
      </c>
      <c r="N1024" s="26">
        <f>IF(A1024="","",CHOOSE(WEEKDAY(A1024,2),"Segunda","Terça","Quarta","Quinta","Sexta","Sábado","Domingo"))</f>
        <v/>
      </c>
      <c r="O1024" s="26">
        <f>IF(B1024="","",IF(B1024&lt;TIME(12,0,0),"Manhã",IF(B1024&lt;TIME(18,0,0),"Tarde","Noite")))</f>
        <v/>
      </c>
      <c r="P1024" s="32">
        <f>IF(G1024="","",IFERROR(INDEX(Config!$I$5:$I$16,MATCH(G1024,Config!$H$5:$H$16,0)),0))</f>
        <v/>
      </c>
      <c r="Q1024" s="30">
        <f>IF(OR(H1024&lt;&gt;"Realizado",P1024="",P1024=0),"",A1024+P1024)</f>
        <v/>
      </c>
      <c r="R1024" s="26">
        <f>IF(Q1024="","",IF(COUNTIFS($E$5:$E$1204,E1024,$A$5:$A$1204,"&gt;"&amp;A1024,$H$5:$H$1204,"&lt;&gt;Falta",$H$5:$H$1204,"&lt;&gt;Cancelado",$H$5:$H$1204,"&lt;&gt;Remarcado")&gt;0,"Sim","Não"))</f>
        <v/>
      </c>
      <c r="S1024" s="32">
        <f>IF(R1024&lt;&gt;"Não","",IF(Q1024+Config!$B$9&lt;=Config!$B$8,Config!$B$8-Q1024,""))</f>
        <v/>
      </c>
      <c r="T1024" s="26">
        <f>IF(S1024="","","Sim")</f>
        <v/>
      </c>
      <c r="U1024" s="41">
        <f>IF(T1024="Sim",S1024+ROW()/100000,0)</f>
        <v>0</v>
      </c>
      <c r="V1024" s="41">
        <f>IF(AND(H1024="Falta",L1024=Config!$B$7,M1024=Config!$B$5,COUNTIFS($E$5:E1024,E1024,$H$5:H1024,"Falta",$L$5:L1024,Config!$B$7,$M$5:M1024,Config!$B$5)=1),COUNTIFS($E$5:$E$1204,E1024,$H$5:$H$1204,"Falta",$L$5:$L$1204,Config!$B$7,$M$5:$M$1204,Config!$B$5)*1000-ROW()/100000,0)</f>
        <v>0</v>
      </c>
    </row>
    <row r="1025">
      <c r="A1025" s="39" t="n"/>
      <c r="B1025" s="40" t="n"/>
      <c r="C1025" s="35" t="n"/>
      <c r="D1025" s="35" t="n"/>
      <c r="E1025" s="34" t="n"/>
      <c r="F1025" s="35" t="n"/>
      <c r="G1025" s="35" t="n"/>
      <c r="H1025" s="35" t="n"/>
      <c r="I1025" s="35" t="n"/>
      <c r="J1025" s="35" t="n"/>
      <c r="K1025" s="34" t="n"/>
      <c r="L1025" s="26">
        <f>IF(A1025="","",MONTH(A1025))</f>
        <v/>
      </c>
      <c r="M1025" s="26">
        <f>IF(A1025="","",YEAR(A1025))</f>
        <v/>
      </c>
      <c r="N1025" s="26">
        <f>IF(A1025="","",CHOOSE(WEEKDAY(A1025,2),"Segunda","Terça","Quarta","Quinta","Sexta","Sábado","Domingo"))</f>
        <v/>
      </c>
      <c r="O1025" s="26">
        <f>IF(B1025="","",IF(B1025&lt;TIME(12,0,0),"Manhã",IF(B1025&lt;TIME(18,0,0),"Tarde","Noite")))</f>
        <v/>
      </c>
      <c r="P1025" s="32">
        <f>IF(G1025="","",IFERROR(INDEX(Config!$I$5:$I$16,MATCH(G1025,Config!$H$5:$H$16,0)),0))</f>
        <v/>
      </c>
      <c r="Q1025" s="30">
        <f>IF(OR(H1025&lt;&gt;"Realizado",P1025="",P1025=0),"",A1025+P1025)</f>
        <v/>
      </c>
      <c r="R1025" s="26">
        <f>IF(Q1025="","",IF(COUNTIFS($E$5:$E$1204,E1025,$A$5:$A$1204,"&gt;"&amp;A1025,$H$5:$H$1204,"&lt;&gt;Falta",$H$5:$H$1204,"&lt;&gt;Cancelado",$H$5:$H$1204,"&lt;&gt;Remarcado")&gt;0,"Sim","Não"))</f>
        <v/>
      </c>
      <c r="S1025" s="32">
        <f>IF(R1025&lt;&gt;"Não","",IF(Q1025+Config!$B$9&lt;=Config!$B$8,Config!$B$8-Q1025,""))</f>
        <v/>
      </c>
      <c r="T1025" s="26">
        <f>IF(S1025="","","Sim")</f>
        <v/>
      </c>
      <c r="U1025" s="41">
        <f>IF(T1025="Sim",S1025+ROW()/100000,0)</f>
        <v>0</v>
      </c>
      <c r="V1025" s="41">
        <f>IF(AND(H1025="Falta",L1025=Config!$B$7,M1025=Config!$B$5,COUNTIFS($E$5:E1025,E1025,$H$5:H1025,"Falta",$L$5:L1025,Config!$B$7,$M$5:M1025,Config!$B$5)=1),COUNTIFS($E$5:$E$1204,E1025,$H$5:$H$1204,"Falta",$L$5:$L$1204,Config!$B$7,$M$5:$M$1204,Config!$B$5)*1000-ROW()/100000,0)</f>
        <v>0</v>
      </c>
    </row>
    <row r="1026">
      <c r="A1026" s="39" t="n"/>
      <c r="B1026" s="40" t="n"/>
      <c r="C1026" s="35" t="n"/>
      <c r="D1026" s="35" t="n"/>
      <c r="E1026" s="34" t="n"/>
      <c r="F1026" s="35" t="n"/>
      <c r="G1026" s="35" t="n"/>
      <c r="H1026" s="35" t="n"/>
      <c r="I1026" s="35" t="n"/>
      <c r="J1026" s="35" t="n"/>
      <c r="K1026" s="34" t="n"/>
      <c r="L1026" s="26">
        <f>IF(A1026="","",MONTH(A1026))</f>
        <v/>
      </c>
      <c r="M1026" s="26">
        <f>IF(A1026="","",YEAR(A1026))</f>
        <v/>
      </c>
      <c r="N1026" s="26">
        <f>IF(A1026="","",CHOOSE(WEEKDAY(A1026,2),"Segunda","Terça","Quarta","Quinta","Sexta","Sábado","Domingo"))</f>
        <v/>
      </c>
      <c r="O1026" s="26">
        <f>IF(B1026="","",IF(B1026&lt;TIME(12,0,0),"Manhã",IF(B1026&lt;TIME(18,0,0),"Tarde","Noite")))</f>
        <v/>
      </c>
      <c r="P1026" s="32">
        <f>IF(G1026="","",IFERROR(INDEX(Config!$I$5:$I$16,MATCH(G1026,Config!$H$5:$H$16,0)),0))</f>
        <v/>
      </c>
      <c r="Q1026" s="30">
        <f>IF(OR(H1026&lt;&gt;"Realizado",P1026="",P1026=0),"",A1026+P1026)</f>
        <v/>
      </c>
      <c r="R1026" s="26">
        <f>IF(Q1026="","",IF(COUNTIFS($E$5:$E$1204,E1026,$A$5:$A$1204,"&gt;"&amp;A1026,$H$5:$H$1204,"&lt;&gt;Falta",$H$5:$H$1204,"&lt;&gt;Cancelado",$H$5:$H$1204,"&lt;&gt;Remarcado")&gt;0,"Sim","Não"))</f>
        <v/>
      </c>
      <c r="S1026" s="32">
        <f>IF(R1026&lt;&gt;"Não","",IF(Q1026+Config!$B$9&lt;=Config!$B$8,Config!$B$8-Q1026,""))</f>
        <v/>
      </c>
      <c r="T1026" s="26">
        <f>IF(S1026="","","Sim")</f>
        <v/>
      </c>
      <c r="U1026" s="41">
        <f>IF(T1026="Sim",S1026+ROW()/100000,0)</f>
        <v>0</v>
      </c>
      <c r="V1026" s="41">
        <f>IF(AND(H1026="Falta",L1026=Config!$B$7,M1026=Config!$B$5,COUNTIFS($E$5:E1026,E1026,$H$5:H1026,"Falta",$L$5:L1026,Config!$B$7,$M$5:M1026,Config!$B$5)=1),COUNTIFS($E$5:$E$1204,E1026,$H$5:$H$1204,"Falta",$L$5:$L$1204,Config!$B$7,$M$5:$M$1204,Config!$B$5)*1000-ROW()/100000,0)</f>
        <v>0</v>
      </c>
    </row>
    <row r="1027">
      <c r="A1027" s="39" t="n"/>
      <c r="B1027" s="40" t="n"/>
      <c r="C1027" s="35" t="n"/>
      <c r="D1027" s="35" t="n"/>
      <c r="E1027" s="34" t="n"/>
      <c r="F1027" s="35" t="n"/>
      <c r="G1027" s="35" t="n"/>
      <c r="H1027" s="35" t="n"/>
      <c r="I1027" s="35" t="n"/>
      <c r="J1027" s="35" t="n"/>
      <c r="K1027" s="34" t="n"/>
      <c r="L1027" s="26">
        <f>IF(A1027="","",MONTH(A1027))</f>
        <v/>
      </c>
      <c r="M1027" s="26">
        <f>IF(A1027="","",YEAR(A1027))</f>
        <v/>
      </c>
      <c r="N1027" s="26">
        <f>IF(A1027="","",CHOOSE(WEEKDAY(A1027,2),"Segunda","Terça","Quarta","Quinta","Sexta","Sábado","Domingo"))</f>
        <v/>
      </c>
      <c r="O1027" s="26">
        <f>IF(B1027="","",IF(B1027&lt;TIME(12,0,0),"Manhã",IF(B1027&lt;TIME(18,0,0),"Tarde","Noite")))</f>
        <v/>
      </c>
      <c r="P1027" s="32">
        <f>IF(G1027="","",IFERROR(INDEX(Config!$I$5:$I$16,MATCH(G1027,Config!$H$5:$H$16,0)),0))</f>
        <v/>
      </c>
      <c r="Q1027" s="30">
        <f>IF(OR(H1027&lt;&gt;"Realizado",P1027="",P1027=0),"",A1027+P1027)</f>
        <v/>
      </c>
      <c r="R1027" s="26">
        <f>IF(Q1027="","",IF(COUNTIFS($E$5:$E$1204,E1027,$A$5:$A$1204,"&gt;"&amp;A1027,$H$5:$H$1204,"&lt;&gt;Falta",$H$5:$H$1204,"&lt;&gt;Cancelado",$H$5:$H$1204,"&lt;&gt;Remarcado")&gt;0,"Sim","Não"))</f>
        <v/>
      </c>
      <c r="S1027" s="32">
        <f>IF(R1027&lt;&gt;"Não","",IF(Q1027+Config!$B$9&lt;=Config!$B$8,Config!$B$8-Q1027,""))</f>
        <v/>
      </c>
      <c r="T1027" s="26">
        <f>IF(S1027="","","Sim")</f>
        <v/>
      </c>
      <c r="U1027" s="41">
        <f>IF(T1027="Sim",S1027+ROW()/100000,0)</f>
        <v>0</v>
      </c>
      <c r="V1027" s="41">
        <f>IF(AND(H1027="Falta",L1027=Config!$B$7,M1027=Config!$B$5,COUNTIFS($E$5:E1027,E1027,$H$5:H1027,"Falta",$L$5:L1027,Config!$B$7,$M$5:M1027,Config!$B$5)=1),COUNTIFS($E$5:$E$1204,E1027,$H$5:$H$1204,"Falta",$L$5:$L$1204,Config!$B$7,$M$5:$M$1204,Config!$B$5)*1000-ROW()/100000,0)</f>
        <v>0</v>
      </c>
    </row>
    <row r="1028">
      <c r="A1028" s="39" t="n"/>
      <c r="B1028" s="40" t="n"/>
      <c r="C1028" s="35" t="n"/>
      <c r="D1028" s="35" t="n"/>
      <c r="E1028" s="34" t="n"/>
      <c r="F1028" s="35" t="n"/>
      <c r="G1028" s="35" t="n"/>
      <c r="H1028" s="35" t="n"/>
      <c r="I1028" s="35" t="n"/>
      <c r="J1028" s="35" t="n"/>
      <c r="K1028" s="34" t="n"/>
      <c r="L1028" s="26">
        <f>IF(A1028="","",MONTH(A1028))</f>
        <v/>
      </c>
      <c r="M1028" s="26">
        <f>IF(A1028="","",YEAR(A1028))</f>
        <v/>
      </c>
      <c r="N1028" s="26">
        <f>IF(A1028="","",CHOOSE(WEEKDAY(A1028,2),"Segunda","Terça","Quarta","Quinta","Sexta","Sábado","Domingo"))</f>
        <v/>
      </c>
      <c r="O1028" s="26">
        <f>IF(B1028="","",IF(B1028&lt;TIME(12,0,0),"Manhã",IF(B1028&lt;TIME(18,0,0),"Tarde","Noite")))</f>
        <v/>
      </c>
      <c r="P1028" s="32">
        <f>IF(G1028="","",IFERROR(INDEX(Config!$I$5:$I$16,MATCH(G1028,Config!$H$5:$H$16,0)),0))</f>
        <v/>
      </c>
      <c r="Q1028" s="30">
        <f>IF(OR(H1028&lt;&gt;"Realizado",P1028="",P1028=0),"",A1028+P1028)</f>
        <v/>
      </c>
      <c r="R1028" s="26">
        <f>IF(Q1028="","",IF(COUNTIFS($E$5:$E$1204,E1028,$A$5:$A$1204,"&gt;"&amp;A1028,$H$5:$H$1204,"&lt;&gt;Falta",$H$5:$H$1204,"&lt;&gt;Cancelado",$H$5:$H$1204,"&lt;&gt;Remarcado")&gt;0,"Sim","Não"))</f>
        <v/>
      </c>
      <c r="S1028" s="32">
        <f>IF(R1028&lt;&gt;"Não","",IF(Q1028+Config!$B$9&lt;=Config!$B$8,Config!$B$8-Q1028,""))</f>
        <v/>
      </c>
      <c r="T1028" s="26">
        <f>IF(S1028="","","Sim")</f>
        <v/>
      </c>
      <c r="U1028" s="41">
        <f>IF(T1028="Sim",S1028+ROW()/100000,0)</f>
        <v>0</v>
      </c>
      <c r="V1028" s="41">
        <f>IF(AND(H1028="Falta",L1028=Config!$B$7,M1028=Config!$B$5,COUNTIFS($E$5:E1028,E1028,$H$5:H1028,"Falta",$L$5:L1028,Config!$B$7,$M$5:M1028,Config!$B$5)=1),COUNTIFS($E$5:$E$1204,E1028,$H$5:$H$1204,"Falta",$L$5:$L$1204,Config!$B$7,$M$5:$M$1204,Config!$B$5)*1000-ROW()/100000,0)</f>
        <v>0</v>
      </c>
    </row>
    <row r="1029">
      <c r="A1029" s="39" t="n"/>
      <c r="B1029" s="40" t="n"/>
      <c r="C1029" s="35" t="n"/>
      <c r="D1029" s="35" t="n"/>
      <c r="E1029" s="34" t="n"/>
      <c r="F1029" s="35" t="n"/>
      <c r="G1029" s="35" t="n"/>
      <c r="H1029" s="35" t="n"/>
      <c r="I1029" s="35" t="n"/>
      <c r="J1029" s="35" t="n"/>
      <c r="K1029" s="34" t="n"/>
      <c r="L1029" s="26">
        <f>IF(A1029="","",MONTH(A1029))</f>
        <v/>
      </c>
      <c r="M1029" s="26">
        <f>IF(A1029="","",YEAR(A1029))</f>
        <v/>
      </c>
      <c r="N1029" s="26">
        <f>IF(A1029="","",CHOOSE(WEEKDAY(A1029,2),"Segunda","Terça","Quarta","Quinta","Sexta","Sábado","Domingo"))</f>
        <v/>
      </c>
      <c r="O1029" s="26">
        <f>IF(B1029="","",IF(B1029&lt;TIME(12,0,0),"Manhã",IF(B1029&lt;TIME(18,0,0),"Tarde","Noite")))</f>
        <v/>
      </c>
      <c r="P1029" s="32">
        <f>IF(G1029="","",IFERROR(INDEX(Config!$I$5:$I$16,MATCH(G1029,Config!$H$5:$H$16,0)),0))</f>
        <v/>
      </c>
      <c r="Q1029" s="30">
        <f>IF(OR(H1029&lt;&gt;"Realizado",P1029="",P1029=0),"",A1029+P1029)</f>
        <v/>
      </c>
      <c r="R1029" s="26">
        <f>IF(Q1029="","",IF(COUNTIFS($E$5:$E$1204,E1029,$A$5:$A$1204,"&gt;"&amp;A1029,$H$5:$H$1204,"&lt;&gt;Falta",$H$5:$H$1204,"&lt;&gt;Cancelado",$H$5:$H$1204,"&lt;&gt;Remarcado")&gt;0,"Sim","Não"))</f>
        <v/>
      </c>
      <c r="S1029" s="32">
        <f>IF(R1029&lt;&gt;"Não","",IF(Q1029+Config!$B$9&lt;=Config!$B$8,Config!$B$8-Q1029,""))</f>
        <v/>
      </c>
      <c r="T1029" s="26">
        <f>IF(S1029="","","Sim")</f>
        <v/>
      </c>
      <c r="U1029" s="41">
        <f>IF(T1029="Sim",S1029+ROW()/100000,0)</f>
        <v>0</v>
      </c>
      <c r="V1029" s="41">
        <f>IF(AND(H1029="Falta",L1029=Config!$B$7,M1029=Config!$B$5,COUNTIFS($E$5:E1029,E1029,$H$5:H1029,"Falta",$L$5:L1029,Config!$B$7,$M$5:M1029,Config!$B$5)=1),COUNTIFS($E$5:$E$1204,E1029,$H$5:$H$1204,"Falta",$L$5:$L$1204,Config!$B$7,$M$5:$M$1204,Config!$B$5)*1000-ROW()/100000,0)</f>
        <v>0</v>
      </c>
    </row>
    <row r="1030">
      <c r="A1030" s="39" t="n"/>
      <c r="B1030" s="40" t="n"/>
      <c r="C1030" s="35" t="n"/>
      <c r="D1030" s="35" t="n"/>
      <c r="E1030" s="34" t="n"/>
      <c r="F1030" s="35" t="n"/>
      <c r="G1030" s="35" t="n"/>
      <c r="H1030" s="35" t="n"/>
      <c r="I1030" s="35" t="n"/>
      <c r="J1030" s="35" t="n"/>
      <c r="K1030" s="34" t="n"/>
      <c r="L1030" s="26">
        <f>IF(A1030="","",MONTH(A1030))</f>
        <v/>
      </c>
      <c r="M1030" s="26">
        <f>IF(A1030="","",YEAR(A1030))</f>
        <v/>
      </c>
      <c r="N1030" s="26">
        <f>IF(A1030="","",CHOOSE(WEEKDAY(A1030,2),"Segunda","Terça","Quarta","Quinta","Sexta","Sábado","Domingo"))</f>
        <v/>
      </c>
      <c r="O1030" s="26">
        <f>IF(B1030="","",IF(B1030&lt;TIME(12,0,0),"Manhã",IF(B1030&lt;TIME(18,0,0),"Tarde","Noite")))</f>
        <v/>
      </c>
      <c r="P1030" s="32">
        <f>IF(G1030="","",IFERROR(INDEX(Config!$I$5:$I$16,MATCH(G1030,Config!$H$5:$H$16,0)),0))</f>
        <v/>
      </c>
      <c r="Q1030" s="30">
        <f>IF(OR(H1030&lt;&gt;"Realizado",P1030="",P1030=0),"",A1030+P1030)</f>
        <v/>
      </c>
      <c r="R1030" s="26">
        <f>IF(Q1030="","",IF(COUNTIFS($E$5:$E$1204,E1030,$A$5:$A$1204,"&gt;"&amp;A1030,$H$5:$H$1204,"&lt;&gt;Falta",$H$5:$H$1204,"&lt;&gt;Cancelado",$H$5:$H$1204,"&lt;&gt;Remarcado")&gt;0,"Sim","Não"))</f>
        <v/>
      </c>
      <c r="S1030" s="32">
        <f>IF(R1030&lt;&gt;"Não","",IF(Q1030+Config!$B$9&lt;=Config!$B$8,Config!$B$8-Q1030,""))</f>
        <v/>
      </c>
      <c r="T1030" s="26">
        <f>IF(S1030="","","Sim")</f>
        <v/>
      </c>
      <c r="U1030" s="41">
        <f>IF(T1030="Sim",S1030+ROW()/100000,0)</f>
        <v>0</v>
      </c>
      <c r="V1030" s="41">
        <f>IF(AND(H1030="Falta",L1030=Config!$B$7,M1030=Config!$B$5,COUNTIFS($E$5:E1030,E1030,$H$5:H1030,"Falta",$L$5:L1030,Config!$B$7,$M$5:M1030,Config!$B$5)=1),COUNTIFS($E$5:$E$1204,E1030,$H$5:$H$1204,"Falta",$L$5:$L$1204,Config!$B$7,$M$5:$M$1204,Config!$B$5)*1000-ROW()/100000,0)</f>
        <v>0</v>
      </c>
    </row>
    <row r="1031">
      <c r="A1031" s="39" t="n"/>
      <c r="B1031" s="40" t="n"/>
      <c r="C1031" s="35" t="n"/>
      <c r="D1031" s="35" t="n"/>
      <c r="E1031" s="34" t="n"/>
      <c r="F1031" s="35" t="n"/>
      <c r="G1031" s="35" t="n"/>
      <c r="H1031" s="35" t="n"/>
      <c r="I1031" s="35" t="n"/>
      <c r="J1031" s="35" t="n"/>
      <c r="K1031" s="34" t="n"/>
      <c r="L1031" s="26">
        <f>IF(A1031="","",MONTH(A1031))</f>
        <v/>
      </c>
      <c r="M1031" s="26">
        <f>IF(A1031="","",YEAR(A1031))</f>
        <v/>
      </c>
      <c r="N1031" s="26">
        <f>IF(A1031="","",CHOOSE(WEEKDAY(A1031,2),"Segunda","Terça","Quarta","Quinta","Sexta","Sábado","Domingo"))</f>
        <v/>
      </c>
      <c r="O1031" s="26">
        <f>IF(B1031="","",IF(B1031&lt;TIME(12,0,0),"Manhã",IF(B1031&lt;TIME(18,0,0),"Tarde","Noite")))</f>
        <v/>
      </c>
      <c r="P1031" s="32">
        <f>IF(G1031="","",IFERROR(INDEX(Config!$I$5:$I$16,MATCH(G1031,Config!$H$5:$H$16,0)),0))</f>
        <v/>
      </c>
      <c r="Q1031" s="30">
        <f>IF(OR(H1031&lt;&gt;"Realizado",P1031="",P1031=0),"",A1031+P1031)</f>
        <v/>
      </c>
      <c r="R1031" s="26">
        <f>IF(Q1031="","",IF(COUNTIFS($E$5:$E$1204,E1031,$A$5:$A$1204,"&gt;"&amp;A1031,$H$5:$H$1204,"&lt;&gt;Falta",$H$5:$H$1204,"&lt;&gt;Cancelado",$H$5:$H$1204,"&lt;&gt;Remarcado")&gt;0,"Sim","Não"))</f>
        <v/>
      </c>
      <c r="S1031" s="32">
        <f>IF(R1031&lt;&gt;"Não","",IF(Q1031+Config!$B$9&lt;=Config!$B$8,Config!$B$8-Q1031,""))</f>
        <v/>
      </c>
      <c r="T1031" s="26">
        <f>IF(S1031="","","Sim")</f>
        <v/>
      </c>
      <c r="U1031" s="41">
        <f>IF(T1031="Sim",S1031+ROW()/100000,0)</f>
        <v>0</v>
      </c>
      <c r="V1031" s="41">
        <f>IF(AND(H1031="Falta",L1031=Config!$B$7,M1031=Config!$B$5,COUNTIFS($E$5:E1031,E1031,$H$5:H1031,"Falta",$L$5:L1031,Config!$B$7,$M$5:M1031,Config!$B$5)=1),COUNTIFS($E$5:$E$1204,E1031,$H$5:$H$1204,"Falta",$L$5:$L$1204,Config!$B$7,$M$5:$M$1204,Config!$B$5)*1000-ROW()/100000,0)</f>
        <v>0</v>
      </c>
    </row>
    <row r="1032">
      <c r="A1032" s="39" t="n"/>
      <c r="B1032" s="40" t="n"/>
      <c r="C1032" s="35" t="n"/>
      <c r="D1032" s="35" t="n"/>
      <c r="E1032" s="34" t="n"/>
      <c r="F1032" s="35" t="n"/>
      <c r="G1032" s="35" t="n"/>
      <c r="H1032" s="35" t="n"/>
      <c r="I1032" s="35" t="n"/>
      <c r="J1032" s="35" t="n"/>
      <c r="K1032" s="34" t="n"/>
      <c r="L1032" s="26">
        <f>IF(A1032="","",MONTH(A1032))</f>
        <v/>
      </c>
      <c r="M1032" s="26">
        <f>IF(A1032="","",YEAR(A1032))</f>
        <v/>
      </c>
      <c r="N1032" s="26">
        <f>IF(A1032="","",CHOOSE(WEEKDAY(A1032,2),"Segunda","Terça","Quarta","Quinta","Sexta","Sábado","Domingo"))</f>
        <v/>
      </c>
      <c r="O1032" s="26">
        <f>IF(B1032="","",IF(B1032&lt;TIME(12,0,0),"Manhã",IF(B1032&lt;TIME(18,0,0),"Tarde","Noite")))</f>
        <v/>
      </c>
      <c r="P1032" s="32">
        <f>IF(G1032="","",IFERROR(INDEX(Config!$I$5:$I$16,MATCH(G1032,Config!$H$5:$H$16,0)),0))</f>
        <v/>
      </c>
      <c r="Q1032" s="30">
        <f>IF(OR(H1032&lt;&gt;"Realizado",P1032="",P1032=0),"",A1032+P1032)</f>
        <v/>
      </c>
      <c r="R1032" s="26">
        <f>IF(Q1032="","",IF(COUNTIFS($E$5:$E$1204,E1032,$A$5:$A$1204,"&gt;"&amp;A1032,$H$5:$H$1204,"&lt;&gt;Falta",$H$5:$H$1204,"&lt;&gt;Cancelado",$H$5:$H$1204,"&lt;&gt;Remarcado")&gt;0,"Sim","Não"))</f>
        <v/>
      </c>
      <c r="S1032" s="32">
        <f>IF(R1032&lt;&gt;"Não","",IF(Q1032+Config!$B$9&lt;=Config!$B$8,Config!$B$8-Q1032,""))</f>
        <v/>
      </c>
      <c r="T1032" s="26">
        <f>IF(S1032="","","Sim")</f>
        <v/>
      </c>
      <c r="U1032" s="41">
        <f>IF(T1032="Sim",S1032+ROW()/100000,0)</f>
        <v>0</v>
      </c>
      <c r="V1032" s="41">
        <f>IF(AND(H1032="Falta",L1032=Config!$B$7,M1032=Config!$B$5,COUNTIFS($E$5:E1032,E1032,$H$5:H1032,"Falta",$L$5:L1032,Config!$B$7,$M$5:M1032,Config!$B$5)=1),COUNTIFS($E$5:$E$1204,E1032,$H$5:$H$1204,"Falta",$L$5:$L$1204,Config!$B$7,$M$5:$M$1204,Config!$B$5)*1000-ROW()/100000,0)</f>
        <v>0</v>
      </c>
    </row>
    <row r="1033">
      <c r="A1033" s="39" t="n"/>
      <c r="B1033" s="40" t="n"/>
      <c r="C1033" s="35" t="n"/>
      <c r="D1033" s="35" t="n"/>
      <c r="E1033" s="34" t="n"/>
      <c r="F1033" s="35" t="n"/>
      <c r="G1033" s="35" t="n"/>
      <c r="H1033" s="35" t="n"/>
      <c r="I1033" s="35" t="n"/>
      <c r="J1033" s="35" t="n"/>
      <c r="K1033" s="34" t="n"/>
      <c r="L1033" s="26">
        <f>IF(A1033="","",MONTH(A1033))</f>
        <v/>
      </c>
      <c r="M1033" s="26">
        <f>IF(A1033="","",YEAR(A1033))</f>
        <v/>
      </c>
      <c r="N1033" s="26">
        <f>IF(A1033="","",CHOOSE(WEEKDAY(A1033,2),"Segunda","Terça","Quarta","Quinta","Sexta","Sábado","Domingo"))</f>
        <v/>
      </c>
      <c r="O1033" s="26">
        <f>IF(B1033="","",IF(B1033&lt;TIME(12,0,0),"Manhã",IF(B1033&lt;TIME(18,0,0),"Tarde","Noite")))</f>
        <v/>
      </c>
      <c r="P1033" s="32">
        <f>IF(G1033="","",IFERROR(INDEX(Config!$I$5:$I$16,MATCH(G1033,Config!$H$5:$H$16,0)),0))</f>
        <v/>
      </c>
      <c r="Q1033" s="30">
        <f>IF(OR(H1033&lt;&gt;"Realizado",P1033="",P1033=0),"",A1033+P1033)</f>
        <v/>
      </c>
      <c r="R1033" s="26">
        <f>IF(Q1033="","",IF(COUNTIFS($E$5:$E$1204,E1033,$A$5:$A$1204,"&gt;"&amp;A1033,$H$5:$H$1204,"&lt;&gt;Falta",$H$5:$H$1204,"&lt;&gt;Cancelado",$H$5:$H$1204,"&lt;&gt;Remarcado")&gt;0,"Sim","Não"))</f>
        <v/>
      </c>
      <c r="S1033" s="32">
        <f>IF(R1033&lt;&gt;"Não","",IF(Q1033+Config!$B$9&lt;=Config!$B$8,Config!$B$8-Q1033,""))</f>
        <v/>
      </c>
      <c r="T1033" s="26">
        <f>IF(S1033="","","Sim")</f>
        <v/>
      </c>
      <c r="U1033" s="41">
        <f>IF(T1033="Sim",S1033+ROW()/100000,0)</f>
        <v>0</v>
      </c>
      <c r="V1033" s="41">
        <f>IF(AND(H1033="Falta",L1033=Config!$B$7,M1033=Config!$B$5,COUNTIFS($E$5:E1033,E1033,$H$5:H1033,"Falta",$L$5:L1033,Config!$B$7,$M$5:M1033,Config!$B$5)=1),COUNTIFS($E$5:$E$1204,E1033,$H$5:$H$1204,"Falta",$L$5:$L$1204,Config!$B$7,$M$5:$M$1204,Config!$B$5)*1000-ROW()/100000,0)</f>
        <v>0</v>
      </c>
    </row>
    <row r="1034">
      <c r="A1034" s="39" t="n"/>
      <c r="B1034" s="40" t="n"/>
      <c r="C1034" s="35" t="n"/>
      <c r="D1034" s="35" t="n"/>
      <c r="E1034" s="34" t="n"/>
      <c r="F1034" s="35" t="n"/>
      <c r="G1034" s="35" t="n"/>
      <c r="H1034" s="35" t="n"/>
      <c r="I1034" s="35" t="n"/>
      <c r="J1034" s="35" t="n"/>
      <c r="K1034" s="34" t="n"/>
      <c r="L1034" s="26">
        <f>IF(A1034="","",MONTH(A1034))</f>
        <v/>
      </c>
      <c r="M1034" s="26">
        <f>IF(A1034="","",YEAR(A1034))</f>
        <v/>
      </c>
      <c r="N1034" s="26">
        <f>IF(A1034="","",CHOOSE(WEEKDAY(A1034,2),"Segunda","Terça","Quarta","Quinta","Sexta","Sábado","Domingo"))</f>
        <v/>
      </c>
      <c r="O1034" s="26">
        <f>IF(B1034="","",IF(B1034&lt;TIME(12,0,0),"Manhã",IF(B1034&lt;TIME(18,0,0),"Tarde","Noite")))</f>
        <v/>
      </c>
      <c r="P1034" s="32">
        <f>IF(G1034="","",IFERROR(INDEX(Config!$I$5:$I$16,MATCH(G1034,Config!$H$5:$H$16,0)),0))</f>
        <v/>
      </c>
      <c r="Q1034" s="30">
        <f>IF(OR(H1034&lt;&gt;"Realizado",P1034="",P1034=0),"",A1034+P1034)</f>
        <v/>
      </c>
      <c r="R1034" s="26">
        <f>IF(Q1034="","",IF(COUNTIFS($E$5:$E$1204,E1034,$A$5:$A$1204,"&gt;"&amp;A1034,$H$5:$H$1204,"&lt;&gt;Falta",$H$5:$H$1204,"&lt;&gt;Cancelado",$H$5:$H$1204,"&lt;&gt;Remarcado")&gt;0,"Sim","Não"))</f>
        <v/>
      </c>
      <c r="S1034" s="32">
        <f>IF(R1034&lt;&gt;"Não","",IF(Q1034+Config!$B$9&lt;=Config!$B$8,Config!$B$8-Q1034,""))</f>
        <v/>
      </c>
      <c r="T1034" s="26">
        <f>IF(S1034="","","Sim")</f>
        <v/>
      </c>
      <c r="U1034" s="41">
        <f>IF(T1034="Sim",S1034+ROW()/100000,0)</f>
        <v>0</v>
      </c>
      <c r="V1034" s="41">
        <f>IF(AND(H1034="Falta",L1034=Config!$B$7,M1034=Config!$B$5,COUNTIFS($E$5:E1034,E1034,$H$5:H1034,"Falta",$L$5:L1034,Config!$B$7,$M$5:M1034,Config!$B$5)=1),COUNTIFS($E$5:$E$1204,E1034,$H$5:$H$1204,"Falta",$L$5:$L$1204,Config!$B$7,$M$5:$M$1204,Config!$B$5)*1000-ROW()/100000,0)</f>
        <v>0</v>
      </c>
    </row>
    <row r="1035">
      <c r="A1035" s="39" t="n"/>
      <c r="B1035" s="40" t="n"/>
      <c r="C1035" s="35" t="n"/>
      <c r="D1035" s="35" t="n"/>
      <c r="E1035" s="34" t="n"/>
      <c r="F1035" s="35" t="n"/>
      <c r="G1035" s="35" t="n"/>
      <c r="H1035" s="35" t="n"/>
      <c r="I1035" s="35" t="n"/>
      <c r="J1035" s="35" t="n"/>
      <c r="K1035" s="34" t="n"/>
      <c r="L1035" s="26">
        <f>IF(A1035="","",MONTH(A1035))</f>
        <v/>
      </c>
      <c r="M1035" s="26">
        <f>IF(A1035="","",YEAR(A1035))</f>
        <v/>
      </c>
      <c r="N1035" s="26">
        <f>IF(A1035="","",CHOOSE(WEEKDAY(A1035,2),"Segunda","Terça","Quarta","Quinta","Sexta","Sábado","Domingo"))</f>
        <v/>
      </c>
      <c r="O1035" s="26">
        <f>IF(B1035="","",IF(B1035&lt;TIME(12,0,0),"Manhã",IF(B1035&lt;TIME(18,0,0),"Tarde","Noite")))</f>
        <v/>
      </c>
      <c r="P1035" s="32">
        <f>IF(G1035="","",IFERROR(INDEX(Config!$I$5:$I$16,MATCH(G1035,Config!$H$5:$H$16,0)),0))</f>
        <v/>
      </c>
      <c r="Q1035" s="30">
        <f>IF(OR(H1035&lt;&gt;"Realizado",P1035="",P1035=0),"",A1035+P1035)</f>
        <v/>
      </c>
      <c r="R1035" s="26">
        <f>IF(Q1035="","",IF(COUNTIFS($E$5:$E$1204,E1035,$A$5:$A$1204,"&gt;"&amp;A1035,$H$5:$H$1204,"&lt;&gt;Falta",$H$5:$H$1204,"&lt;&gt;Cancelado",$H$5:$H$1204,"&lt;&gt;Remarcado")&gt;0,"Sim","Não"))</f>
        <v/>
      </c>
      <c r="S1035" s="32">
        <f>IF(R1035&lt;&gt;"Não","",IF(Q1035+Config!$B$9&lt;=Config!$B$8,Config!$B$8-Q1035,""))</f>
        <v/>
      </c>
      <c r="T1035" s="26">
        <f>IF(S1035="","","Sim")</f>
        <v/>
      </c>
      <c r="U1035" s="41">
        <f>IF(T1035="Sim",S1035+ROW()/100000,0)</f>
        <v>0</v>
      </c>
      <c r="V1035" s="41">
        <f>IF(AND(H1035="Falta",L1035=Config!$B$7,M1035=Config!$B$5,COUNTIFS($E$5:E1035,E1035,$H$5:H1035,"Falta",$L$5:L1035,Config!$B$7,$M$5:M1035,Config!$B$5)=1),COUNTIFS($E$5:$E$1204,E1035,$H$5:$H$1204,"Falta",$L$5:$L$1204,Config!$B$7,$M$5:$M$1204,Config!$B$5)*1000-ROW()/100000,0)</f>
        <v>0</v>
      </c>
    </row>
    <row r="1036">
      <c r="A1036" s="39" t="n"/>
      <c r="B1036" s="40" t="n"/>
      <c r="C1036" s="35" t="n"/>
      <c r="D1036" s="35" t="n"/>
      <c r="E1036" s="34" t="n"/>
      <c r="F1036" s="35" t="n"/>
      <c r="G1036" s="35" t="n"/>
      <c r="H1036" s="35" t="n"/>
      <c r="I1036" s="35" t="n"/>
      <c r="J1036" s="35" t="n"/>
      <c r="K1036" s="34" t="n"/>
      <c r="L1036" s="26">
        <f>IF(A1036="","",MONTH(A1036))</f>
        <v/>
      </c>
      <c r="M1036" s="26">
        <f>IF(A1036="","",YEAR(A1036))</f>
        <v/>
      </c>
      <c r="N1036" s="26">
        <f>IF(A1036="","",CHOOSE(WEEKDAY(A1036,2),"Segunda","Terça","Quarta","Quinta","Sexta","Sábado","Domingo"))</f>
        <v/>
      </c>
      <c r="O1036" s="26">
        <f>IF(B1036="","",IF(B1036&lt;TIME(12,0,0),"Manhã",IF(B1036&lt;TIME(18,0,0),"Tarde","Noite")))</f>
        <v/>
      </c>
      <c r="P1036" s="32">
        <f>IF(G1036="","",IFERROR(INDEX(Config!$I$5:$I$16,MATCH(G1036,Config!$H$5:$H$16,0)),0))</f>
        <v/>
      </c>
      <c r="Q1036" s="30">
        <f>IF(OR(H1036&lt;&gt;"Realizado",P1036="",P1036=0),"",A1036+P1036)</f>
        <v/>
      </c>
      <c r="R1036" s="26">
        <f>IF(Q1036="","",IF(COUNTIFS($E$5:$E$1204,E1036,$A$5:$A$1204,"&gt;"&amp;A1036,$H$5:$H$1204,"&lt;&gt;Falta",$H$5:$H$1204,"&lt;&gt;Cancelado",$H$5:$H$1204,"&lt;&gt;Remarcado")&gt;0,"Sim","Não"))</f>
        <v/>
      </c>
      <c r="S1036" s="32">
        <f>IF(R1036&lt;&gt;"Não","",IF(Q1036+Config!$B$9&lt;=Config!$B$8,Config!$B$8-Q1036,""))</f>
        <v/>
      </c>
      <c r="T1036" s="26">
        <f>IF(S1036="","","Sim")</f>
        <v/>
      </c>
      <c r="U1036" s="41">
        <f>IF(T1036="Sim",S1036+ROW()/100000,0)</f>
        <v>0</v>
      </c>
      <c r="V1036" s="41">
        <f>IF(AND(H1036="Falta",L1036=Config!$B$7,M1036=Config!$B$5,COUNTIFS($E$5:E1036,E1036,$H$5:H1036,"Falta",$L$5:L1036,Config!$B$7,$M$5:M1036,Config!$B$5)=1),COUNTIFS($E$5:$E$1204,E1036,$H$5:$H$1204,"Falta",$L$5:$L$1204,Config!$B$7,$M$5:$M$1204,Config!$B$5)*1000-ROW()/100000,0)</f>
        <v>0</v>
      </c>
    </row>
    <row r="1037">
      <c r="A1037" s="39" t="n"/>
      <c r="B1037" s="40" t="n"/>
      <c r="C1037" s="35" t="n"/>
      <c r="D1037" s="35" t="n"/>
      <c r="E1037" s="34" t="n"/>
      <c r="F1037" s="35" t="n"/>
      <c r="G1037" s="35" t="n"/>
      <c r="H1037" s="35" t="n"/>
      <c r="I1037" s="35" t="n"/>
      <c r="J1037" s="35" t="n"/>
      <c r="K1037" s="34" t="n"/>
      <c r="L1037" s="26">
        <f>IF(A1037="","",MONTH(A1037))</f>
        <v/>
      </c>
      <c r="M1037" s="26">
        <f>IF(A1037="","",YEAR(A1037))</f>
        <v/>
      </c>
      <c r="N1037" s="26">
        <f>IF(A1037="","",CHOOSE(WEEKDAY(A1037,2),"Segunda","Terça","Quarta","Quinta","Sexta","Sábado","Domingo"))</f>
        <v/>
      </c>
      <c r="O1037" s="26">
        <f>IF(B1037="","",IF(B1037&lt;TIME(12,0,0),"Manhã",IF(B1037&lt;TIME(18,0,0),"Tarde","Noite")))</f>
        <v/>
      </c>
      <c r="P1037" s="32">
        <f>IF(G1037="","",IFERROR(INDEX(Config!$I$5:$I$16,MATCH(G1037,Config!$H$5:$H$16,0)),0))</f>
        <v/>
      </c>
      <c r="Q1037" s="30">
        <f>IF(OR(H1037&lt;&gt;"Realizado",P1037="",P1037=0),"",A1037+P1037)</f>
        <v/>
      </c>
      <c r="R1037" s="26">
        <f>IF(Q1037="","",IF(COUNTIFS($E$5:$E$1204,E1037,$A$5:$A$1204,"&gt;"&amp;A1037,$H$5:$H$1204,"&lt;&gt;Falta",$H$5:$H$1204,"&lt;&gt;Cancelado",$H$5:$H$1204,"&lt;&gt;Remarcado")&gt;0,"Sim","Não"))</f>
        <v/>
      </c>
      <c r="S1037" s="32">
        <f>IF(R1037&lt;&gt;"Não","",IF(Q1037+Config!$B$9&lt;=Config!$B$8,Config!$B$8-Q1037,""))</f>
        <v/>
      </c>
      <c r="T1037" s="26">
        <f>IF(S1037="","","Sim")</f>
        <v/>
      </c>
      <c r="U1037" s="41">
        <f>IF(T1037="Sim",S1037+ROW()/100000,0)</f>
        <v>0</v>
      </c>
      <c r="V1037" s="41">
        <f>IF(AND(H1037="Falta",L1037=Config!$B$7,M1037=Config!$B$5,COUNTIFS($E$5:E1037,E1037,$H$5:H1037,"Falta",$L$5:L1037,Config!$B$7,$M$5:M1037,Config!$B$5)=1),COUNTIFS($E$5:$E$1204,E1037,$H$5:$H$1204,"Falta",$L$5:$L$1204,Config!$B$7,$M$5:$M$1204,Config!$B$5)*1000-ROW()/100000,0)</f>
        <v>0</v>
      </c>
    </row>
    <row r="1038">
      <c r="A1038" s="39" t="n"/>
      <c r="B1038" s="40" t="n"/>
      <c r="C1038" s="35" t="n"/>
      <c r="D1038" s="35" t="n"/>
      <c r="E1038" s="34" t="n"/>
      <c r="F1038" s="35" t="n"/>
      <c r="G1038" s="35" t="n"/>
      <c r="H1038" s="35" t="n"/>
      <c r="I1038" s="35" t="n"/>
      <c r="J1038" s="35" t="n"/>
      <c r="K1038" s="34" t="n"/>
      <c r="L1038" s="26">
        <f>IF(A1038="","",MONTH(A1038))</f>
        <v/>
      </c>
      <c r="M1038" s="26">
        <f>IF(A1038="","",YEAR(A1038))</f>
        <v/>
      </c>
      <c r="N1038" s="26">
        <f>IF(A1038="","",CHOOSE(WEEKDAY(A1038,2),"Segunda","Terça","Quarta","Quinta","Sexta","Sábado","Domingo"))</f>
        <v/>
      </c>
      <c r="O1038" s="26">
        <f>IF(B1038="","",IF(B1038&lt;TIME(12,0,0),"Manhã",IF(B1038&lt;TIME(18,0,0),"Tarde","Noite")))</f>
        <v/>
      </c>
      <c r="P1038" s="32">
        <f>IF(G1038="","",IFERROR(INDEX(Config!$I$5:$I$16,MATCH(G1038,Config!$H$5:$H$16,0)),0))</f>
        <v/>
      </c>
      <c r="Q1038" s="30">
        <f>IF(OR(H1038&lt;&gt;"Realizado",P1038="",P1038=0),"",A1038+P1038)</f>
        <v/>
      </c>
      <c r="R1038" s="26">
        <f>IF(Q1038="","",IF(COUNTIFS($E$5:$E$1204,E1038,$A$5:$A$1204,"&gt;"&amp;A1038,$H$5:$H$1204,"&lt;&gt;Falta",$H$5:$H$1204,"&lt;&gt;Cancelado",$H$5:$H$1204,"&lt;&gt;Remarcado")&gt;0,"Sim","Não"))</f>
        <v/>
      </c>
      <c r="S1038" s="32">
        <f>IF(R1038&lt;&gt;"Não","",IF(Q1038+Config!$B$9&lt;=Config!$B$8,Config!$B$8-Q1038,""))</f>
        <v/>
      </c>
      <c r="T1038" s="26">
        <f>IF(S1038="","","Sim")</f>
        <v/>
      </c>
      <c r="U1038" s="41">
        <f>IF(T1038="Sim",S1038+ROW()/100000,0)</f>
        <v>0</v>
      </c>
      <c r="V1038" s="41">
        <f>IF(AND(H1038="Falta",L1038=Config!$B$7,M1038=Config!$B$5,COUNTIFS($E$5:E1038,E1038,$H$5:H1038,"Falta",$L$5:L1038,Config!$B$7,$M$5:M1038,Config!$B$5)=1),COUNTIFS($E$5:$E$1204,E1038,$H$5:$H$1204,"Falta",$L$5:$L$1204,Config!$B$7,$M$5:$M$1204,Config!$B$5)*1000-ROW()/100000,0)</f>
        <v>0</v>
      </c>
    </row>
    <row r="1039">
      <c r="A1039" s="39" t="n"/>
      <c r="B1039" s="40" t="n"/>
      <c r="C1039" s="35" t="n"/>
      <c r="D1039" s="35" t="n"/>
      <c r="E1039" s="34" t="n"/>
      <c r="F1039" s="35" t="n"/>
      <c r="G1039" s="35" t="n"/>
      <c r="H1039" s="35" t="n"/>
      <c r="I1039" s="35" t="n"/>
      <c r="J1039" s="35" t="n"/>
      <c r="K1039" s="34" t="n"/>
      <c r="L1039" s="26">
        <f>IF(A1039="","",MONTH(A1039))</f>
        <v/>
      </c>
      <c r="M1039" s="26">
        <f>IF(A1039="","",YEAR(A1039))</f>
        <v/>
      </c>
      <c r="N1039" s="26">
        <f>IF(A1039="","",CHOOSE(WEEKDAY(A1039,2),"Segunda","Terça","Quarta","Quinta","Sexta","Sábado","Domingo"))</f>
        <v/>
      </c>
      <c r="O1039" s="26">
        <f>IF(B1039="","",IF(B1039&lt;TIME(12,0,0),"Manhã",IF(B1039&lt;TIME(18,0,0),"Tarde","Noite")))</f>
        <v/>
      </c>
      <c r="P1039" s="32">
        <f>IF(G1039="","",IFERROR(INDEX(Config!$I$5:$I$16,MATCH(G1039,Config!$H$5:$H$16,0)),0))</f>
        <v/>
      </c>
      <c r="Q1039" s="30">
        <f>IF(OR(H1039&lt;&gt;"Realizado",P1039="",P1039=0),"",A1039+P1039)</f>
        <v/>
      </c>
      <c r="R1039" s="26">
        <f>IF(Q1039="","",IF(COUNTIFS($E$5:$E$1204,E1039,$A$5:$A$1204,"&gt;"&amp;A1039,$H$5:$H$1204,"&lt;&gt;Falta",$H$5:$H$1204,"&lt;&gt;Cancelado",$H$5:$H$1204,"&lt;&gt;Remarcado")&gt;0,"Sim","Não"))</f>
        <v/>
      </c>
      <c r="S1039" s="32">
        <f>IF(R1039&lt;&gt;"Não","",IF(Q1039+Config!$B$9&lt;=Config!$B$8,Config!$B$8-Q1039,""))</f>
        <v/>
      </c>
      <c r="T1039" s="26">
        <f>IF(S1039="","","Sim")</f>
        <v/>
      </c>
      <c r="U1039" s="41">
        <f>IF(T1039="Sim",S1039+ROW()/100000,0)</f>
        <v>0</v>
      </c>
      <c r="V1039" s="41">
        <f>IF(AND(H1039="Falta",L1039=Config!$B$7,M1039=Config!$B$5,COUNTIFS($E$5:E1039,E1039,$H$5:H1039,"Falta",$L$5:L1039,Config!$B$7,$M$5:M1039,Config!$B$5)=1),COUNTIFS($E$5:$E$1204,E1039,$H$5:$H$1204,"Falta",$L$5:$L$1204,Config!$B$7,$M$5:$M$1204,Config!$B$5)*1000-ROW()/100000,0)</f>
        <v>0</v>
      </c>
    </row>
    <row r="1040">
      <c r="A1040" s="39" t="n"/>
      <c r="B1040" s="40" t="n"/>
      <c r="C1040" s="35" t="n"/>
      <c r="D1040" s="35" t="n"/>
      <c r="E1040" s="34" t="n"/>
      <c r="F1040" s="35" t="n"/>
      <c r="G1040" s="35" t="n"/>
      <c r="H1040" s="35" t="n"/>
      <c r="I1040" s="35" t="n"/>
      <c r="J1040" s="35" t="n"/>
      <c r="K1040" s="34" t="n"/>
      <c r="L1040" s="26">
        <f>IF(A1040="","",MONTH(A1040))</f>
        <v/>
      </c>
      <c r="M1040" s="26">
        <f>IF(A1040="","",YEAR(A1040))</f>
        <v/>
      </c>
      <c r="N1040" s="26">
        <f>IF(A1040="","",CHOOSE(WEEKDAY(A1040,2),"Segunda","Terça","Quarta","Quinta","Sexta","Sábado","Domingo"))</f>
        <v/>
      </c>
      <c r="O1040" s="26">
        <f>IF(B1040="","",IF(B1040&lt;TIME(12,0,0),"Manhã",IF(B1040&lt;TIME(18,0,0),"Tarde","Noite")))</f>
        <v/>
      </c>
      <c r="P1040" s="32">
        <f>IF(G1040="","",IFERROR(INDEX(Config!$I$5:$I$16,MATCH(G1040,Config!$H$5:$H$16,0)),0))</f>
        <v/>
      </c>
      <c r="Q1040" s="30">
        <f>IF(OR(H1040&lt;&gt;"Realizado",P1040="",P1040=0),"",A1040+P1040)</f>
        <v/>
      </c>
      <c r="R1040" s="26">
        <f>IF(Q1040="","",IF(COUNTIFS($E$5:$E$1204,E1040,$A$5:$A$1204,"&gt;"&amp;A1040,$H$5:$H$1204,"&lt;&gt;Falta",$H$5:$H$1204,"&lt;&gt;Cancelado",$H$5:$H$1204,"&lt;&gt;Remarcado")&gt;0,"Sim","Não"))</f>
        <v/>
      </c>
      <c r="S1040" s="32">
        <f>IF(R1040&lt;&gt;"Não","",IF(Q1040+Config!$B$9&lt;=Config!$B$8,Config!$B$8-Q1040,""))</f>
        <v/>
      </c>
      <c r="T1040" s="26">
        <f>IF(S1040="","","Sim")</f>
        <v/>
      </c>
      <c r="U1040" s="41">
        <f>IF(T1040="Sim",S1040+ROW()/100000,0)</f>
        <v>0</v>
      </c>
      <c r="V1040" s="41">
        <f>IF(AND(H1040="Falta",L1040=Config!$B$7,M1040=Config!$B$5,COUNTIFS($E$5:E1040,E1040,$H$5:H1040,"Falta",$L$5:L1040,Config!$B$7,$M$5:M1040,Config!$B$5)=1),COUNTIFS($E$5:$E$1204,E1040,$H$5:$H$1204,"Falta",$L$5:$L$1204,Config!$B$7,$M$5:$M$1204,Config!$B$5)*1000-ROW()/100000,0)</f>
        <v>0</v>
      </c>
    </row>
    <row r="1041">
      <c r="A1041" s="39" t="n"/>
      <c r="B1041" s="40" t="n"/>
      <c r="C1041" s="35" t="n"/>
      <c r="D1041" s="35" t="n"/>
      <c r="E1041" s="34" t="n"/>
      <c r="F1041" s="35" t="n"/>
      <c r="G1041" s="35" t="n"/>
      <c r="H1041" s="35" t="n"/>
      <c r="I1041" s="35" t="n"/>
      <c r="J1041" s="35" t="n"/>
      <c r="K1041" s="34" t="n"/>
      <c r="L1041" s="26">
        <f>IF(A1041="","",MONTH(A1041))</f>
        <v/>
      </c>
      <c r="M1041" s="26">
        <f>IF(A1041="","",YEAR(A1041))</f>
        <v/>
      </c>
      <c r="N1041" s="26">
        <f>IF(A1041="","",CHOOSE(WEEKDAY(A1041,2),"Segunda","Terça","Quarta","Quinta","Sexta","Sábado","Domingo"))</f>
        <v/>
      </c>
      <c r="O1041" s="26">
        <f>IF(B1041="","",IF(B1041&lt;TIME(12,0,0),"Manhã",IF(B1041&lt;TIME(18,0,0),"Tarde","Noite")))</f>
        <v/>
      </c>
      <c r="P1041" s="32">
        <f>IF(G1041="","",IFERROR(INDEX(Config!$I$5:$I$16,MATCH(G1041,Config!$H$5:$H$16,0)),0))</f>
        <v/>
      </c>
      <c r="Q1041" s="30">
        <f>IF(OR(H1041&lt;&gt;"Realizado",P1041="",P1041=0),"",A1041+P1041)</f>
        <v/>
      </c>
      <c r="R1041" s="26">
        <f>IF(Q1041="","",IF(COUNTIFS($E$5:$E$1204,E1041,$A$5:$A$1204,"&gt;"&amp;A1041,$H$5:$H$1204,"&lt;&gt;Falta",$H$5:$H$1204,"&lt;&gt;Cancelado",$H$5:$H$1204,"&lt;&gt;Remarcado")&gt;0,"Sim","Não"))</f>
        <v/>
      </c>
      <c r="S1041" s="32">
        <f>IF(R1041&lt;&gt;"Não","",IF(Q1041+Config!$B$9&lt;=Config!$B$8,Config!$B$8-Q1041,""))</f>
        <v/>
      </c>
      <c r="T1041" s="26">
        <f>IF(S1041="","","Sim")</f>
        <v/>
      </c>
      <c r="U1041" s="41">
        <f>IF(T1041="Sim",S1041+ROW()/100000,0)</f>
        <v>0</v>
      </c>
      <c r="V1041" s="41">
        <f>IF(AND(H1041="Falta",L1041=Config!$B$7,M1041=Config!$B$5,COUNTIFS($E$5:E1041,E1041,$H$5:H1041,"Falta",$L$5:L1041,Config!$B$7,$M$5:M1041,Config!$B$5)=1),COUNTIFS($E$5:$E$1204,E1041,$H$5:$H$1204,"Falta",$L$5:$L$1204,Config!$B$7,$M$5:$M$1204,Config!$B$5)*1000-ROW()/100000,0)</f>
        <v>0</v>
      </c>
    </row>
    <row r="1042">
      <c r="A1042" s="39" t="n"/>
      <c r="B1042" s="40" t="n"/>
      <c r="C1042" s="35" t="n"/>
      <c r="D1042" s="35" t="n"/>
      <c r="E1042" s="34" t="n"/>
      <c r="F1042" s="35" t="n"/>
      <c r="G1042" s="35" t="n"/>
      <c r="H1042" s="35" t="n"/>
      <c r="I1042" s="35" t="n"/>
      <c r="J1042" s="35" t="n"/>
      <c r="K1042" s="34" t="n"/>
      <c r="L1042" s="26">
        <f>IF(A1042="","",MONTH(A1042))</f>
        <v/>
      </c>
      <c r="M1042" s="26">
        <f>IF(A1042="","",YEAR(A1042))</f>
        <v/>
      </c>
      <c r="N1042" s="26">
        <f>IF(A1042="","",CHOOSE(WEEKDAY(A1042,2),"Segunda","Terça","Quarta","Quinta","Sexta","Sábado","Domingo"))</f>
        <v/>
      </c>
      <c r="O1042" s="26">
        <f>IF(B1042="","",IF(B1042&lt;TIME(12,0,0),"Manhã",IF(B1042&lt;TIME(18,0,0),"Tarde","Noite")))</f>
        <v/>
      </c>
      <c r="P1042" s="32">
        <f>IF(G1042="","",IFERROR(INDEX(Config!$I$5:$I$16,MATCH(G1042,Config!$H$5:$H$16,0)),0))</f>
        <v/>
      </c>
      <c r="Q1042" s="30">
        <f>IF(OR(H1042&lt;&gt;"Realizado",P1042="",P1042=0),"",A1042+P1042)</f>
        <v/>
      </c>
      <c r="R1042" s="26">
        <f>IF(Q1042="","",IF(COUNTIFS($E$5:$E$1204,E1042,$A$5:$A$1204,"&gt;"&amp;A1042,$H$5:$H$1204,"&lt;&gt;Falta",$H$5:$H$1204,"&lt;&gt;Cancelado",$H$5:$H$1204,"&lt;&gt;Remarcado")&gt;0,"Sim","Não"))</f>
        <v/>
      </c>
      <c r="S1042" s="32">
        <f>IF(R1042&lt;&gt;"Não","",IF(Q1042+Config!$B$9&lt;=Config!$B$8,Config!$B$8-Q1042,""))</f>
        <v/>
      </c>
      <c r="T1042" s="26">
        <f>IF(S1042="","","Sim")</f>
        <v/>
      </c>
      <c r="U1042" s="41">
        <f>IF(T1042="Sim",S1042+ROW()/100000,0)</f>
        <v>0</v>
      </c>
      <c r="V1042" s="41">
        <f>IF(AND(H1042="Falta",L1042=Config!$B$7,M1042=Config!$B$5,COUNTIFS($E$5:E1042,E1042,$H$5:H1042,"Falta",$L$5:L1042,Config!$B$7,$M$5:M1042,Config!$B$5)=1),COUNTIFS($E$5:$E$1204,E1042,$H$5:$H$1204,"Falta",$L$5:$L$1204,Config!$B$7,$M$5:$M$1204,Config!$B$5)*1000-ROW()/100000,0)</f>
        <v>0</v>
      </c>
    </row>
    <row r="1043">
      <c r="A1043" s="39" t="n"/>
      <c r="B1043" s="40" t="n"/>
      <c r="C1043" s="35" t="n"/>
      <c r="D1043" s="35" t="n"/>
      <c r="E1043" s="34" t="n"/>
      <c r="F1043" s="35" t="n"/>
      <c r="G1043" s="35" t="n"/>
      <c r="H1043" s="35" t="n"/>
      <c r="I1043" s="35" t="n"/>
      <c r="J1043" s="35" t="n"/>
      <c r="K1043" s="34" t="n"/>
      <c r="L1043" s="26">
        <f>IF(A1043="","",MONTH(A1043))</f>
        <v/>
      </c>
      <c r="M1043" s="26">
        <f>IF(A1043="","",YEAR(A1043))</f>
        <v/>
      </c>
      <c r="N1043" s="26">
        <f>IF(A1043="","",CHOOSE(WEEKDAY(A1043,2),"Segunda","Terça","Quarta","Quinta","Sexta","Sábado","Domingo"))</f>
        <v/>
      </c>
      <c r="O1043" s="26">
        <f>IF(B1043="","",IF(B1043&lt;TIME(12,0,0),"Manhã",IF(B1043&lt;TIME(18,0,0),"Tarde","Noite")))</f>
        <v/>
      </c>
      <c r="P1043" s="32">
        <f>IF(G1043="","",IFERROR(INDEX(Config!$I$5:$I$16,MATCH(G1043,Config!$H$5:$H$16,0)),0))</f>
        <v/>
      </c>
      <c r="Q1043" s="30">
        <f>IF(OR(H1043&lt;&gt;"Realizado",P1043="",P1043=0),"",A1043+P1043)</f>
        <v/>
      </c>
      <c r="R1043" s="26">
        <f>IF(Q1043="","",IF(COUNTIFS($E$5:$E$1204,E1043,$A$5:$A$1204,"&gt;"&amp;A1043,$H$5:$H$1204,"&lt;&gt;Falta",$H$5:$H$1204,"&lt;&gt;Cancelado",$H$5:$H$1204,"&lt;&gt;Remarcado")&gt;0,"Sim","Não"))</f>
        <v/>
      </c>
      <c r="S1043" s="32">
        <f>IF(R1043&lt;&gt;"Não","",IF(Q1043+Config!$B$9&lt;=Config!$B$8,Config!$B$8-Q1043,""))</f>
        <v/>
      </c>
      <c r="T1043" s="26">
        <f>IF(S1043="","","Sim")</f>
        <v/>
      </c>
      <c r="U1043" s="41">
        <f>IF(T1043="Sim",S1043+ROW()/100000,0)</f>
        <v>0</v>
      </c>
      <c r="V1043" s="41">
        <f>IF(AND(H1043="Falta",L1043=Config!$B$7,M1043=Config!$B$5,COUNTIFS($E$5:E1043,E1043,$H$5:H1043,"Falta",$L$5:L1043,Config!$B$7,$M$5:M1043,Config!$B$5)=1),COUNTIFS($E$5:$E$1204,E1043,$H$5:$H$1204,"Falta",$L$5:$L$1204,Config!$B$7,$M$5:$M$1204,Config!$B$5)*1000-ROW()/100000,0)</f>
        <v>0</v>
      </c>
    </row>
    <row r="1044">
      <c r="A1044" s="39" t="n"/>
      <c r="B1044" s="40" t="n"/>
      <c r="C1044" s="35" t="n"/>
      <c r="D1044" s="35" t="n"/>
      <c r="E1044" s="34" t="n"/>
      <c r="F1044" s="35" t="n"/>
      <c r="G1044" s="35" t="n"/>
      <c r="H1044" s="35" t="n"/>
      <c r="I1044" s="35" t="n"/>
      <c r="J1044" s="35" t="n"/>
      <c r="K1044" s="34" t="n"/>
      <c r="L1044" s="26">
        <f>IF(A1044="","",MONTH(A1044))</f>
        <v/>
      </c>
      <c r="M1044" s="26">
        <f>IF(A1044="","",YEAR(A1044))</f>
        <v/>
      </c>
      <c r="N1044" s="26">
        <f>IF(A1044="","",CHOOSE(WEEKDAY(A1044,2),"Segunda","Terça","Quarta","Quinta","Sexta","Sábado","Domingo"))</f>
        <v/>
      </c>
      <c r="O1044" s="26">
        <f>IF(B1044="","",IF(B1044&lt;TIME(12,0,0),"Manhã",IF(B1044&lt;TIME(18,0,0),"Tarde","Noite")))</f>
        <v/>
      </c>
      <c r="P1044" s="32">
        <f>IF(G1044="","",IFERROR(INDEX(Config!$I$5:$I$16,MATCH(G1044,Config!$H$5:$H$16,0)),0))</f>
        <v/>
      </c>
      <c r="Q1044" s="30">
        <f>IF(OR(H1044&lt;&gt;"Realizado",P1044="",P1044=0),"",A1044+P1044)</f>
        <v/>
      </c>
      <c r="R1044" s="26">
        <f>IF(Q1044="","",IF(COUNTIFS($E$5:$E$1204,E1044,$A$5:$A$1204,"&gt;"&amp;A1044,$H$5:$H$1204,"&lt;&gt;Falta",$H$5:$H$1204,"&lt;&gt;Cancelado",$H$5:$H$1204,"&lt;&gt;Remarcado")&gt;0,"Sim","Não"))</f>
        <v/>
      </c>
      <c r="S1044" s="32">
        <f>IF(R1044&lt;&gt;"Não","",IF(Q1044+Config!$B$9&lt;=Config!$B$8,Config!$B$8-Q1044,""))</f>
        <v/>
      </c>
      <c r="T1044" s="26">
        <f>IF(S1044="","","Sim")</f>
        <v/>
      </c>
      <c r="U1044" s="41">
        <f>IF(T1044="Sim",S1044+ROW()/100000,0)</f>
        <v>0</v>
      </c>
      <c r="V1044" s="41">
        <f>IF(AND(H1044="Falta",L1044=Config!$B$7,M1044=Config!$B$5,COUNTIFS($E$5:E1044,E1044,$H$5:H1044,"Falta",$L$5:L1044,Config!$B$7,$M$5:M1044,Config!$B$5)=1),COUNTIFS($E$5:$E$1204,E1044,$H$5:$H$1204,"Falta",$L$5:$L$1204,Config!$B$7,$M$5:$M$1204,Config!$B$5)*1000-ROW()/100000,0)</f>
        <v>0</v>
      </c>
    </row>
    <row r="1045">
      <c r="A1045" s="39" t="n"/>
      <c r="B1045" s="40" t="n"/>
      <c r="C1045" s="35" t="n"/>
      <c r="D1045" s="35" t="n"/>
      <c r="E1045" s="34" t="n"/>
      <c r="F1045" s="35" t="n"/>
      <c r="G1045" s="35" t="n"/>
      <c r="H1045" s="35" t="n"/>
      <c r="I1045" s="35" t="n"/>
      <c r="J1045" s="35" t="n"/>
      <c r="K1045" s="34" t="n"/>
      <c r="L1045" s="26">
        <f>IF(A1045="","",MONTH(A1045))</f>
        <v/>
      </c>
      <c r="M1045" s="26">
        <f>IF(A1045="","",YEAR(A1045))</f>
        <v/>
      </c>
      <c r="N1045" s="26">
        <f>IF(A1045="","",CHOOSE(WEEKDAY(A1045,2),"Segunda","Terça","Quarta","Quinta","Sexta","Sábado","Domingo"))</f>
        <v/>
      </c>
      <c r="O1045" s="26">
        <f>IF(B1045="","",IF(B1045&lt;TIME(12,0,0),"Manhã",IF(B1045&lt;TIME(18,0,0),"Tarde","Noite")))</f>
        <v/>
      </c>
      <c r="P1045" s="32">
        <f>IF(G1045="","",IFERROR(INDEX(Config!$I$5:$I$16,MATCH(G1045,Config!$H$5:$H$16,0)),0))</f>
        <v/>
      </c>
      <c r="Q1045" s="30">
        <f>IF(OR(H1045&lt;&gt;"Realizado",P1045="",P1045=0),"",A1045+P1045)</f>
        <v/>
      </c>
      <c r="R1045" s="26">
        <f>IF(Q1045="","",IF(COUNTIFS($E$5:$E$1204,E1045,$A$5:$A$1204,"&gt;"&amp;A1045,$H$5:$H$1204,"&lt;&gt;Falta",$H$5:$H$1204,"&lt;&gt;Cancelado",$H$5:$H$1204,"&lt;&gt;Remarcado")&gt;0,"Sim","Não"))</f>
        <v/>
      </c>
      <c r="S1045" s="32">
        <f>IF(R1045&lt;&gt;"Não","",IF(Q1045+Config!$B$9&lt;=Config!$B$8,Config!$B$8-Q1045,""))</f>
        <v/>
      </c>
      <c r="T1045" s="26">
        <f>IF(S1045="","","Sim")</f>
        <v/>
      </c>
      <c r="U1045" s="41">
        <f>IF(T1045="Sim",S1045+ROW()/100000,0)</f>
        <v>0</v>
      </c>
      <c r="V1045" s="41">
        <f>IF(AND(H1045="Falta",L1045=Config!$B$7,M1045=Config!$B$5,COUNTIFS($E$5:E1045,E1045,$H$5:H1045,"Falta",$L$5:L1045,Config!$B$7,$M$5:M1045,Config!$B$5)=1),COUNTIFS($E$5:$E$1204,E1045,$H$5:$H$1204,"Falta",$L$5:$L$1204,Config!$B$7,$M$5:$M$1204,Config!$B$5)*1000-ROW()/100000,0)</f>
        <v>0</v>
      </c>
    </row>
    <row r="1046">
      <c r="A1046" s="39" t="n"/>
      <c r="B1046" s="40" t="n"/>
      <c r="C1046" s="35" t="n"/>
      <c r="D1046" s="35" t="n"/>
      <c r="E1046" s="34" t="n"/>
      <c r="F1046" s="35" t="n"/>
      <c r="G1046" s="35" t="n"/>
      <c r="H1046" s="35" t="n"/>
      <c r="I1046" s="35" t="n"/>
      <c r="J1046" s="35" t="n"/>
      <c r="K1046" s="34" t="n"/>
      <c r="L1046" s="26">
        <f>IF(A1046="","",MONTH(A1046))</f>
        <v/>
      </c>
      <c r="M1046" s="26">
        <f>IF(A1046="","",YEAR(A1046))</f>
        <v/>
      </c>
      <c r="N1046" s="26">
        <f>IF(A1046="","",CHOOSE(WEEKDAY(A1046,2),"Segunda","Terça","Quarta","Quinta","Sexta","Sábado","Domingo"))</f>
        <v/>
      </c>
      <c r="O1046" s="26">
        <f>IF(B1046="","",IF(B1046&lt;TIME(12,0,0),"Manhã",IF(B1046&lt;TIME(18,0,0),"Tarde","Noite")))</f>
        <v/>
      </c>
      <c r="P1046" s="32">
        <f>IF(G1046="","",IFERROR(INDEX(Config!$I$5:$I$16,MATCH(G1046,Config!$H$5:$H$16,0)),0))</f>
        <v/>
      </c>
      <c r="Q1046" s="30">
        <f>IF(OR(H1046&lt;&gt;"Realizado",P1046="",P1046=0),"",A1046+P1046)</f>
        <v/>
      </c>
      <c r="R1046" s="26">
        <f>IF(Q1046="","",IF(COUNTIFS($E$5:$E$1204,E1046,$A$5:$A$1204,"&gt;"&amp;A1046,$H$5:$H$1204,"&lt;&gt;Falta",$H$5:$H$1204,"&lt;&gt;Cancelado",$H$5:$H$1204,"&lt;&gt;Remarcado")&gt;0,"Sim","Não"))</f>
        <v/>
      </c>
      <c r="S1046" s="32">
        <f>IF(R1046&lt;&gt;"Não","",IF(Q1046+Config!$B$9&lt;=Config!$B$8,Config!$B$8-Q1046,""))</f>
        <v/>
      </c>
      <c r="T1046" s="26">
        <f>IF(S1046="","","Sim")</f>
        <v/>
      </c>
      <c r="U1046" s="41">
        <f>IF(T1046="Sim",S1046+ROW()/100000,0)</f>
        <v>0</v>
      </c>
      <c r="V1046" s="41">
        <f>IF(AND(H1046="Falta",L1046=Config!$B$7,M1046=Config!$B$5,COUNTIFS($E$5:E1046,E1046,$H$5:H1046,"Falta",$L$5:L1046,Config!$B$7,$M$5:M1046,Config!$B$5)=1),COUNTIFS($E$5:$E$1204,E1046,$H$5:$H$1204,"Falta",$L$5:$L$1204,Config!$B$7,$M$5:$M$1204,Config!$B$5)*1000-ROW()/100000,0)</f>
        <v>0</v>
      </c>
    </row>
    <row r="1047">
      <c r="A1047" s="39" t="n"/>
      <c r="B1047" s="40" t="n"/>
      <c r="C1047" s="35" t="n"/>
      <c r="D1047" s="35" t="n"/>
      <c r="E1047" s="34" t="n"/>
      <c r="F1047" s="35" t="n"/>
      <c r="G1047" s="35" t="n"/>
      <c r="H1047" s="35" t="n"/>
      <c r="I1047" s="35" t="n"/>
      <c r="J1047" s="35" t="n"/>
      <c r="K1047" s="34" t="n"/>
      <c r="L1047" s="26">
        <f>IF(A1047="","",MONTH(A1047))</f>
        <v/>
      </c>
      <c r="M1047" s="26">
        <f>IF(A1047="","",YEAR(A1047))</f>
        <v/>
      </c>
      <c r="N1047" s="26">
        <f>IF(A1047="","",CHOOSE(WEEKDAY(A1047,2),"Segunda","Terça","Quarta","Quinta","Sexta","Sábado","Domingo"))</f>
        <v/>
      </c>
      <c r="O1047" s="26">
        <f>IF(B1047="","",IF(B1047&lt;TIME(12,0,0),"Manhã",IF(B1047&lt;TIME(18,0,0),"Tarde","Noite")))</f>
        <v/>
      </c>
      <c r="P1047" s="32">
        <f>IF(G1047="","",IFERROR(INDEX(Config!$I$5:$I$16,MATCH(G1047,Config!$H$5:$H$16,0)),0))</f>
        <v/>
      </c>
      <c r="Q1047" s="30">
        <f>IF(OR(H1047&lt;&gt;"Realizado",P1047="",P1047=0),"",A1047+P1047)</f>
        <v/>
      </c>
      <c r="R1047" s="26">
        <f>IF(Q1047="","",IF(COUNTIFS($E$5:$E$1204,E1047,$A$5:$A$1204,"&gt;"&amp;A1047,$H$5:$H$1204,"&lt;&gt;Falta",$H$5:$H$1204,"&lt;&gt;Cancelado",$H$5:$H$1204,"&lt;&gt;Remarcado")&gt;0,"Sim","Não"))</f>
        <v/>
      </c>
      <c r="S1047" s="32">
        <f>IF(R1047&lt;&gt;"Não","",IF(Q1047+Config!$B$9&lt;=Config!$B$8,Config!$B$8-Q1047,""))</f>
        <v/>
      </c>
      <c r="T1047" s="26">
        <f>IF(S1047="","","Sim")</f>
        <v/>
      </c>
      <c r="U1047" s="41">
        <f>IF(T1047="Sim",S1047+ROW()/100000,0)</f>
        <v>0</v>
      </c>
      <c r="V1047" s="41">
        <f>IF(AND(H1047="Falta",L1047=Config!$B$7,M1047=Config!$B$5,COUNTIFS($E$5:E1047,E1047,$H$5:H1047,"Falta",$L$5:L1047,Config!$B$7,$M$5:M1047,Config!$B$5)=1),COUNTIFS($E$5:$E$1204,E1047,$H$5:$H$1204,"Falta",$L$5:$L$1204,Config!$B$7,$M$5:$M$1204,Config!$B$5)*1000-ROW()/100000,0)</f>
        <v>0</v>
      </c>
    </row>
    <row r="1048">
      <c r="A1048" s="39" t="n"/>
      <c r="B1048" s="40" t="n"/>
      <c r="C1048" s="35" t="n"/>
      <c r="D1048" s="35" t="n"/>
      <c r="E1048" s="34" t="n"/>
      <c r="F1048" s="35" t="n"/>
      <c r="G1048" s="35" t="n"/>
      <c r="H1048" s="35" t="n"/>
      <c r="I1048" s="35" t="n"/>
      <c r="J1048" s="35" t="n"/>
      <c r="K1048" s="34" t="n"/>
      <c r="L1048" s="26">
        <f>IF(A1048="","",MONTH(A1048))</f>
        <v/>
      </c>
      <c r="M1048" s="26">
        <f>IF(A1048="","",YEAR(A1048))</f>
        <v/>
      </c>
      <c r="N1048" s="26">
        <f>IF(A1048="","",CHOOSE(WEEKDAY(A1048,2),"Segunda","Terça","Quarta","Quinta","Sexta","Sábado","Domingo"))</f>
        <v/>
      </c>
      <c r="O1048" s="26">
        <f>IF(B1048="","",IF(B1048&lt;TIME(12,0,0),"Manhã",IF(B1048&lt;TIME(18,0,0),"Tarde","Noite")))</f>
        <v/>
      </c>
      <c r="P1048" s="32">
        <f>IF(G1048="","",IFERROR(INDEX(Config!$I$5:$I$16,MATCH(G1048,Config!$H$5:$H$16,0)),0))</f>
        <v/>
      </c>
      <c r="Q1048" s="30">
        <f>IF(OR(H1048&lt;&gt;"Realizado",P1048="",P1048=0),"",A1048+P1048)</f>
        <v/>
      </c>
      <c r="R1048" s="26">
        <f>IF(Q1048="","",IF(COUNTIFS($E$5:$E$1204,E1048,$A$5:$A$1204,"&gt;"&amp;A1048,$H$5:$H$1204,"&lt;&gt;Falta",$H$5:$H$1204,"&lt;&gt;Cancelado",$H$5:$H$1204,"&lt;&gt;Remarcado")&gt;0,"Sim","Não"))</f>
        <v/>
      </c>
      <c r="S1048" s="32">
        <f>IF(R1048&lt;&gt;"Não","",IF(Q1048+Config!$B$9&lt;=Config!$B$8,Config!$B$8-Q1048,""))</f>
        <v/>
      </c>
      <c r="T1048" s="26">
        <f>IF(S1048="","","Sim")</f>
        <v/>
      </c>
      <c r="U1048" s="41">
        <f>IF(T1048="Sim",S1048+ROW()/100000,0)</f>
        <v>0</v>
      </c>
      <c r="V1048" s="41">
        <f>IF(AND(H1048="Falta",L1048=Config!$B$7,M1048=Config!$B$5,COUNTIFS($E$5:E1048,E1048,$H$5:H1048,"Falta",$L$5:L1048,Config!$B$7,$M$5:M1048,Config!$B$5)=1),COUNTIFS($E$5:$E$1204,E1048,$H$5:$H$1204,"Falta",$L$5:$L$1204,Config!$B$7,$M$5:$M$1204,Config!$B$5)*1000-ROW()/100000,0)</f>
        <v>0</v>
      </c>
    </row>
    <row r="1049">
      <c r="A1049" s="39" t="n"/>
      <c r="B1049" s="40" t="n"/>
      <c r="C1049" s="35" t="n"/>
      <c r="D1049" s="35" t="n"/>
      <c r="E1049" s="34" t="n"/>
      <c r="F1049" s="35" t="n"/>
      <c r="G1049" s="35" t="n"/>
      <c r="H1049" s="35" t="n"/>
      <c r="I1049" s="35" t="n"/>
      <c r="J1049" s="35" t="n"/>
      <c r="K1049" s="34" t="n"/>
      <c r="L1049" s="26">
        <f>IF(A1049="","",MONTH(A1049))</f>
        <v/>
      </c>
      <c r="M1049" s="26">
        <f>IF(A1049="","",YEAR(A1049))</f>
        <v/>
      </c>
      <c r="N1049" s="26">
        <f>IF(A1049="","",CHOOSE(WEEKDAY(A1049,2),"Segunda","Terça","Quarta","Quinta","Sexta","Sábado","Domingo"))</f>
        <v/>
      </c>
      <c r="O1049" s="26">
        <f>IF(B1049="","",IF(B1049&lt;TIME(12,0,0),"Manhã",IF(B1049&lt;TIME(18,0,0),"Tarde","Noite")))</f>
        <v/>
      </c>
      <c r="P1049" s="32">
        <f>IF(G1049="","",IFERROR(INDEX(Config!$I$5:$I$16,MATCH(G1049,Config!$H$5:$H$16,0)),0))</f>
        <v/>
      </c>
      <c r="Q1049" s="30">
        <f>IF(OR(H1049&lt;&gt;"Realizado",P1049="",P1049=0),"",A1049+P1049)</f>
        <v/>
      </c>
      <c r="R1049" s="26">
        <f>IF(Q1049="","",IF(COUNTIFS($E$5:$E$1204,E1049,$A$5:$A$1204,"&gt;"&amp;A1049,$H$5:$H$1204,"&lt;&gt;Falta",$H$5:$H$1204,"&lt;&gt;Cancelado",$H$5:$H$1204,"&lt;&gt;Remarcado")&gt;0,"Sim","Não"))</f>
        <v/>
      </c>
      <c r="S1049" s="32">
        <f>IF(R1049&lt;&gt;"Não","",IF(Q1049+Config!$B$9&lt;=Config!$B$8,Config!$B$8-Q1049,""))</f>
        <v/>
      </c>
      <c r="T1049" s="26">
        <f>IF(S1049="","","Sim")</f>
        <v/>
      </c>
      <c r="U1049" s="41">
        <f>IF(T1049="Sim",S1049+ROW()/100000,0)</f>
        <v>0</v>
      </c>
      <c r="V1049" s="41">
        <f>IF(AND(H1049="Falta",L1049=Config!$B$7,M1049=Config!$B$5,COUNTIFS($E$5:E1049,E1049,$H$5:H1049,"Falta",$L$5:L1049,Config!$B$7,$M$5:M1049,Config!$B$5)=1),COUNTIFS($E$5:$E$1204,E1049,$H$5:$H$1204,"Falta",$L$5:$L$1204,Config!$B$7,$M$5:$M$1204,Config!$B$5)*1000-ROW()/100000,0)</f>
        <v>0</v>
      </c>
    </row>
    <row r="1050">
      <c r="A1050" s="39" t="n"/>
      <c r="B1050" s="40" t="n"/>
      <c r="C1050" s="35" t="n"/>
      <c r="D1050" s="35" t="n"/>
      <c r="E1050" s="34" t="n"/>
      <c r="F1050" s="35" t="n"/>
      <c r="G1050" s="35" t="n"/>
      <c r="H1050" s="35" t="n"/>
      <c r="I1050" s="35" t="n"/>
      <c r="J1050" s="35" t="n"/>
      <c r="K1050" s="34" t="n"/>
      <c r="L1050" s="26">
        <f>IF(A1050="","",MONTH(A1050))</f>
        <v/>
      </c>
      <c r="M1050" s="26">
        <f>IF(A1050="","",YEAR(A1050))</f>
        <v/>
      </c>
      <c r="N1050" s="26">
        <f>IF(A1050="","",CHOOSE(WEEKDAY(A1050,2),"Segunda","Terça","Quarta","Quinta","Sexta","Sábado","Domingo"))</f>
        <v/>
      </c>
      <c r="O1050" s="26">
        <f>IF(B1050="","",IF(B1050&lt;TIME(12,0,0),"Manhã",IF(B1050&lt;TIME(18,0,0),"Tarde","Noite")))</f>
        <v/>
      </c>
      <c r="P1050" s="32">
        <f>IF(G1050="","",IFERROR(INDEX(Config!$I$5:$I$16,MATCH(G1050,Config!$H$5:$H$16,0)),0))</f>
        <v/>
      </c>
      <c r="Q1050" s="30">
        <f>IF(OR(H1050&lt;&gt;"Realizado",P1050="",P1050=0),"",A1050+P1050)</f>
        <v/>
      </c>
      <c r="R1050" s="26">
        <f>IF(Q1050="","",IF(COUNTIFS($E$5:$E$1204,E1050,$A$5:$A$1204,"&gt;"&amp;A1050,$H$5:$H$1204,"&lt;&gt;Falta",$H$5:$H$1204,"&lt;&gt;Cancelado",$H$5:$H$1204,"&lt;&gt;Remarcado")&gt;0,"Sim","Não"))</f>
        <v/>
      </c>
      <c r="S1050" s="32">
        <f>IF(R1050&lt;&gt;"Não","",IF(Q1050+Config!$B$9&lt;=Config!$B$8,Config!$B$8-Q1050,""))</f>
        <v/>
      </c>
      <c r="T1050" s="26">
        <f>IF(S1050="","","Sim")</f>
        <v/>
      </c>
      <c r="U1050" s="41">
        <f>IF(T1050="Sim",S1050+ROW()/100000,0)</f>
        <v>0</v>
      </c>
      <c r="V1050" s="41">
        <f>IF(AND(H1050="Falta",L1050=Config!$B$7,M1050=Config!$B$5,COUNTIFS($E$5:E1050,E1050,$H$5:H1050,"Falta",$L$5:L1050,Config!$B$7,$M$5:M1050,Config!$B$5)=1),COUNTIFS($E$5:$E$1204,E1050,$H$5:$H$1204,"Falta",$L$5:$L$1204,Config!$B$7,$M$5:$M$1204,Config!$B$5)*1000-ROW()/100000,0)</f>
        <v>0</v>
      </c>
    </row>
    <row r="1051">
      <c r="A1051" s="39" t="n"/>
      <c r="B1051" s="40" t="n"/>
      <c r="C1051" s="35" t="n"/>
      <c r="D1051" s="35" t="n"/>
      <c r="E1051" s="34" t="n"/>
      <c r="F1051" s="35" t="n"/>
      <c r="G1051" s="35" t="n"/>
      <c r="H1051" s="35" t="n"/>
      <c r="I1051" s="35" t="n"/>
      <c r="J1051" s="35" t="n"/>
      <c r="K1051" s="34" t="n"/>
      <c r="L1051" s="26">
        <f>IF(A1051="","",MONTH(A1051))</f>
        <v/>
      </c>
      <c r="M1051" s="26">
        <f>IF(A1051="","",YEAR(A1051))</f>
        <v/>
      </c>
      <c r="N1051" s="26">
        <f>IF(A1051="","",CHOOSE(WEEKDAY(A1051,2),"Segunda","Terça","Quarta","Quinta","Sexta","Sábado","Domingo"))</f>
        <v/>
      </c>
      <c r="O1051" s="26">
        <f>IF(B1051="","",IF(B1051&lt;TIME(12,0,0),"Manhã",IF(B1051&lt;TIME(18,0,0),"Tarde","Noite")))</f>
        <v/>
      </c>
      <c r="P1051" s="32">
        <f>IF(G1051="","",IFERROR(INDEX(Config!$I$5:$I$16,MATCH(G1051,Config!$H$5:$H$16,0)),0))</f>
        <v/>
      </c>
      <c r="Q1051" s="30">
        <f>IF(OR(H1051&lt;&gt;"Realizado",P1051="",P1051=0),"",A1051+P1051)</f>
        <v/>
      </c>
      <c r="R1051" s="26">
        <f>IF(Q1051="","",IF(COUNTIFS($E$5:$E$1204,E1051,$A$5:$A$1204,"&gt;"&amp;A1051,$H$5:$H$1204,"&lt;&gt;Falta",$H$5:$H$1204,"&lt;&gt;Cancelado",$H$5:$H$1204,"&lt;&gt;Remarcado")&gt;0,"Sim","Não"))</f>
        <v/>
      </c>
      <c r="S1051" s="32">
        <f>IF(R1051&lt;&gt;"Não","",IF(Q1051+Config!$B$9&lt;=Config!$B$8,Config!$B$8-Q1051,""))</f>
        <v/>
      </c>
      <c r="T1051" s="26">
        <f>IF(S1051="","","Sim")</f>
        <v/>
      </c>
      <c r="U1051" s="41">
        <f>IF(T1051="Sim",S1051+ROW()/100000,0)</f>
        <v>0</v>
      </c>
      <c r="V1051" s="41">
        <f>IF(AND(H1051="Falta",L1051=Config!$B$7,M1051=Config!$B$5,COUNTIFS($E$5:E1051,E1051,$H$5:H1051,"Falta",$L$5:L1051,Config!$B$7,$M$5:M1051,Config!$B$5)=1),COUNTIFS($E$5:$E$1204,E1051,$H$5:$H$1204,"Falta",$L$5:$L$1204,Config!$B$7,$M$5:$M$1204,Config!$B$5)*1000-ROW()/100000,0)</f>
        <v>0</v>
      </c>
    </row>
    <row r="1052">
      <c r="A1052" s="39" t="n"/>
      <c r="B1052" s="40" t="n"/>
      <c r="C1052" s="35" t="n"/>
      <c r="D1052" s="35" t="n"/>
      <c r="E1052" s="34" t="n"/>
      <c r="F1052" s="35" t="n"/>
      <c r="G1052" s="35" t="n"/>
      <c r="H1052" s="35" t="n"/>
      <c r="I1052" s="35" t="n"/>
      <c r="J1052" s="35" t="n"/>
      <c r="K1052" s="34" t="n"/>
      <c r="L1052" s="26">
        <f>IF(A1052="","",MONTH(A1052))</f>
        <v/>
      </c>
      <c r="M1052" s="26">
        <f>IF(A1052="","",YEAR(A1052))</f>
        <v/>
      </c>
      <c r="N1052" s="26">
        <f>IF(A1052="","",CHOOSE(WEEKDAY(A1052,2),"Segunda","Terça","Quarta","Quinta","Sexta","Sábado","Domingo"))</f>
        <v/>
      </c>
      <c r="O1052" s="26">
        <f>IF(B1052="","",IF(B1052&lt;TIME(12,0,0),"Manhã",IF(B1052&lt;TIME(18,0,0),"Tarde","Noite")))</f>
        <v/>
      </c>
      <c r="P1052" s="32">
        <f>IF(G1052="","",IFERROR(INDEX(Config!$I$5:$I$16,MATCH(G1052,Config!$H$5:$H$16,0)),0))</f>
        <v/>
      </c>
      <c r="Q1052" s="30">
        <f>IF(OR(H1052&lt;&gt;"Realizado",P1052="",P1052=0),"",A1052+P1052)</f>
        <v/>
      </c>
      <c r="R1052" s="26">
        <f>IF(Q1052="","",IF(COUNTIFS($E$5:$E$1204,E1052,$A$5:$A$1204,"&gt;"&amp;A1052,$H$5:$H$1204,"&lt;&gt;Falta",$H$5:$H$1204,"&lt;&gt;Cancelado",$H$5:$H$1204,"&lt;&gt;Remarcado")&gt;0,"Sim","Não"))</f>
        <v/>
      </c>
      <c r="S1052" s="32">
        <f>IF(R1052&lt;&gt;"Não","",IF(Q1052+Config!$B$9&lt;=Config!$B$8,Config!$B$8-Q1052,""))</f>
        <v/>
      </c>
      <c r="T1052" s="26">
        <f>IF(S1052="","","Sim")</f>
        <v/>
      </c>
      <c r="U1052" s="41">
        <f>IF(T1052="Sim",S1052+ROW()/100000,0)</f>
        <v>0</v>
      </c>
      <c r="V1052" s="41">
        <f>IF(AND(H1052="Falta",L1052=Config!$B$7,M1052=Config!$B$5,COUNTIFS($E$5:E1052,E1052,$H$5:H1052,"Falta",$L$5:L1052,Config!$B$7,$M$5:M1052,Config!$B$5)=1),COUNTIFS($E$5:$E$1204,E1052,$H$5:$H$1204,"Falta",$L$5:$L$1204,Config!$B$7,$M$5:$M$1204,Config!$B$5)*1000-ROW()/100000,0)</f>
        <v>0</v>
      </c>
    </row>
    <row r="1053">
      <c r="A1053" s="39" t="n"/>
      <c r="B1053" s="40" t="n"/>
      <c r="C1053" s="35" t="n"/>
      <c r="D1053" s="35" t="n"/>
      <c r="E1053" s="34" t="n"/>
      <c r="F1053" s="35" t="n"/>
      <c r="G1053" s="35" t="n"/>
      <c r="H1053" s="35" t="n"/>
      <c r="I1053" s="35" t="n"/>
      <c r="J1053" s="35" t="n"/>
      <c r="K1053" s="34" t="n"/>
      <c r="L1053" s="26">
        <f>IF(A1053="","",MONTH(A1053))</f>
        <v/>
      </c>
      <c r="M1053" s="26">
        <f>IF(A1053="","",YEAR(A1053))</f>
        <v/>
      </c>
      <c r="N1053" s="26">
        <f>IF(A1053="","",CHOOSE(WEEKDAY(A1053,2),"Segunda","Terça","Quarta","Quinta","Sexta","Sábado","Domingo"))</f>
        <v/>
      </c>
      <c r="O1053" s="26">
        <f>IF(B1053="","",IF(B1053&lt;TIME(12,0,0),"Manhã",IF(B1053&lt;TIME(18,0,0),"Tarde","Noite")))</f>
        <v/>
      </c>
      <c r="P1053" s="32">
        <f>IF(G1053="","",IFERROR(INDEX(Config!$I$5:$I$16,MATCH(G1053,Config!$H$5:$H$16,0)),0))</f>
        <v/>
      </c>
      <c r="Q1053" s="30">
        <f>IF(OR(H1053&lt;&gt;"Realizado",P1053="",P1053=0),"",A1053+P1053)</f>
        <v/>
      </c>
      <c r="R1053" s="26">
        <f>IF(Q1053="","",IF(COUNTIFS($E$5:$E$1204,E1053,$A$5:$A$1204,"&gt;"&amp;A1053,$H$5:$H$1204,"&lt;&gt;Falta",$H$5:$H$1204,"&lt;&gt;Cancelado",$H$5:$H$1204,"&lt;&gt;Remarcado")&gt;0,"Sim","Não"))</f>
        <v/>
      </c>
      <c r="S1053" s="32">
        <f>IF(R1053&lt;&gt;"Não","",IF(Q1053+Config!$B$9&lt;=Config!$B$8,Config!$B$8-Q1053,""))</f>
        <v/>
      </c>
      <c r="T1053" s="26">
        <f>IF(S1053="","","Sim")</f>
        <v/>
      </c>
      <c r="U1053" s="41">
        <f>IF(T1053="Sim",S1053+ROW()/100000,0)</f>
        <v>0</v>
      </c>
      <c r="V1053" s="41">
        <f>IF(AND(H1053="Falta",L1053=Config!$B$7,M1053=Config!$B$5,COUNTIFS($E$5:E1053,E1053,$H$5:H1053,"Falta",$L$5:L1053,Config!$B$7,$M$5:M1053,Config!$B$5)=1),COUNTIFS($E$5:$E$1204,E1053,$H$5:$H$1204,"Falta",$L$5:$L$1204,Config!$B$7,$M$5:$M$1204,Config!$B$5)*1000-ROW()/100000,0)</f>
        <v>0</v>
      </c>
    </row>
    <row r="1054">
      <c r="A1054" s="39" t="n"/>
      <c r="B1054" s="40" t="n"/>
      <c r="C1054" s="35" t="n"/>
      <c r="D1054" s="35" t="n"/>
      <c r="E1054" s="34" t="n"/>
      <c r="F1054" s="35" t="n"/>
      <c r="G1054" s="35" t="n"/>
      <c r="H1054" s="35" t="n"/>
      <c r="I1054" s="35" t="n"/>
      <c r="J1054" s="35" t="n"/>
      <c r="K1054" s="34" t="n"/>
      <c r="L1054" s="26">
        <f>IF(A1054="","",MONTH(A1054))</f>
        <v/>
      </c>
      <c r="M1054" s="26">
        <f>IF(A1054="","",YEAR(A1054))</f>
        <v/>
      </c>
      <c r="N1054" s="26">
        <f>IF(A1054="","",CHOOSE(WEEKDAY(A1054,2),"Segunda","Terça","Quarta","Quinta","Sexta","Sábado","Domingo"))</f>
        <v/>
      </c>
      <c r="O1054" s="26">
        <f>IF(B1054="","",IF(B1054&lt;TIME(12,0,0),"Manhã",IF(B1054&lt;TIME(18,0,0),"Tarde","Noite")))</f>
        <v/>
      </c>
      <c r="P1054" s="32">
        <f>IF(G1054="","",IFERROR(INDEX(Config!$I$5:$I$16,MATCH(G1054,Config!$H$5:$H$16,0)),0))</f>
        <v/>
      </c>
      <c r="Q1054" s="30">
        <f>IF(OR(H1054&lt;&gt;"Realizado",P1054="",P1054=0),"",A1054+P1054)</f>
        <v/>
      </c>
      <c r="R1054" s="26">
        <f>IF(Q1054="","",IF(COUNTIFS($E$5:$E$1204,E1054,$A$5:$A$1204,"&gt;"&amp;A1054,$H$5:$H$1204,"&lt;&gt;Falta",$H$5:$H$1204,"&lt;&gt;Cancelado",$H$5:$H$1204,"&lt;&gt;Remarcado")&gt;0,"Sim","Não"))</f>
        <v/>
      </c>
      <c r="S1054" s="32">
        <f>IF(R1054&lt;&gt;"Não","",IF(Q1054+Config!$B$9&lt;=Config!$B$8,Config!$B$8-Q1054,""))</f>
        <v/>
      </c>
      <c r="T1054" s="26">
        <f>IF(S1054="","","Sim")</f>
        <v/>
      </c>
      <c r="U1054" s="41">
        <f>IF(T1054="Sim",S1054+ROW()/100000,0)</f>
        <v>0</v>
      </c>
      <c r="V1054" s="41">
        <f>IF(AND(H1054="Falta",L1054=Config!$B$7,M1054=Config!$B$5,COUNTIFS($E$5:E1054,E1054,$H$5:H1054,"Falta",$L$5:L1054,Config!$B$7,$M$5:M1054,Config!$B$5)=1),COUNTIFS($E$5:$E$1204,E1054,$H$5:$H$1204,"Falta",$L$5:$L$1204,Config!$B$7,$M$5:$M$1204,Config!$B$5)*1000-ROW()/100000,0)</f>
        <v>0</v>
      </c>
    </row>
    <row r="1055">
      <c r="A1055" s="39" t="n"/>
      <c r="B1055" s="40" t="n"/>
      <c r="C1055" s="35" t="n"/>
      <c r="D1055" s="35" t="n"/>
      <c r="E1055" s="34" t="n"/>
      <c r="F1055" s="35" t="n"/>
      <c r="G1055" s="35" t="n"/>
      <c r="H1055" s="35" t="n"/>
      <c r="I1055" s="35" t="n"/>
      <c r="J1055" s="35" t="n"/>
      <c r="K1055" s="34" t="n"/>
      <c r="L1055" s="26">
        <f>IF(A1055="","",MONTH(A1055))</f>
        <v/>
      </c>
      <c r="M1055" s="26">
        <f>IF(A1055="","",YEAR(A1055))</f>
        <v/>
      </c>
      <c r="N1055" s="26">
        <f>IF(A1055="","",CHOOSE(WEEKDAY(A1055,2),"Segunda","Terça","Quarta","Quinta","Sexta","Sábado","Domingo"))</f>
        <v/>
      </c>
      <c r="O1055" s="26">
        <f>IF(B1055="","",IF(B1055&lt;TIME(12,0,0),"Manhã",IF(B1055&lt;TIME(18,0,0),"Tarde","Noite")))</f>
        <v/>
      </c>
      <c r="P1055" s="32">
        <f>IF(G1055="","",IFERROR(INDEX(Config!$I$5:$I$16,MATCH(G1055,Config!$H$5:$H$16,0)),0))</f>
        <v/>
      </c>
      <c r="Q1055" s="30">
        <f>IF(OR(H1055&lt;&gt;"Realizado",P1055="",P1055=0),"",A1055+P1055)</f>
        <v/>
      </c>
      <c r="R1055" s="26">
        <f>IF(Q1055="","",IF(COUNTIFS($E$5:$E$1204,E1055,$A$5:$A$1204,"&gt;"&amp;A1055,$H$5:$H$1204,"&lt;&gt;Falta",$H$5:$H$1204,"&lt;&gt;Cancelado",$H$5:$H$1204,"&lt;&gt;Remarcado")&gt;0,"Sim","Não"))</f>
        <v/>
      </c>
      <c r="S1055" s="32">
        <f>IF(R1055&lt;&gt;"Não","",IF(Q1055+Config!$B$9&lt;=Config!$B$8,Config!$B$8-Q1055,""))</f>
        <v/>
      </c>
      <c r="T1055" s="26">
        <f>IF(S1055="","","Sim")</f>
        <v/>
      </c>
      <c r="U1055" s="41">
        <f>IF(T1055="Sim",S1055+ROW()/100000,0)</f>
        <v>0</v>
      </c>
      <c r="V1055" s="41">
        <f>IF(AND(H1055="Falta",L1055=Config!$B$7,M1055=Config!$B$5,COUNTIFS($E$5:E1055,E1055,$H$5:H1055,"Falta",$L$5:L1055,Config!$B$7,$M$5:M1055,Config!$B$5)=1),COUNTIFS($E$5:$E$1204,E1055,$H$5:$H$1204,"Falta",$L$5:$L$1204,Config!$B$7,$M$5:$M$1204,Config!$B$5)*1000-ROW()/100000,0)</f>
        <v>0</v>
      </c>
    </row>
    <row r="1056">
      <c r="A1056" s="39" t="n"/>
      <c r="B1056" s="40" t="n"/>
      <c r="C1056" s="35" t="n"/>
      <c r="D1056" s="35" t="n"/>
      <c r="E1056" s="34" t="n"/>
      <c r="F1056" s="35" t="n"/>
      <c r="G1056" s="35" t="n"/>
      <c r="H1056" s="35" t="n"/>
      <c r="I1056" s="35" t="n"/>
      <c r="J1056" s="35" t="n"/>
      <c r="K1056" s="34" t="n"/>
      <c r="L1056" s="26">
        <f>IF(A1056="","",MONTH(A1056))</f>
        <v/>
      </c>
      <c r="M1056" s="26">
        <f>IF(A1056="","",YEAR(A1056))</f>
        <v/>
      </c>
      <c r="N1056" s="26">
        <f>IF(A1056="","",CHOOSE(WEEKDAY(A1056,2),"Segunda","Terça","Quarta","Quinta","Sexta","Sábado","Domingo"))</f>
        <v/>
      </c>
      <c r="O1056" s="26">
        <f>IF(B1056="","",IF(B1056&lt;TIME(12,0,0),"Manhã",IF(B1056&lt;TIME(18,0,0),"Tarde","Noite")))</f>
        <v/>
      </c>
      <c r="P1056" s="32">
        <f>IF(G1056="","",IFERROR(INDEX(Config!$I$5:$I$16,MATCH(G1056,Config!$H$5:$H$16,0)),0))</f>
        <v/>
      </c>
      <c r="Q1056" s="30">
        <f>IF(OR(H1056&lt;&gt;"Realizado",P1056="",P1056=0),"",A1056+P1056)</f>
        <v/>
      </c>
      <c r="R1056" s="26">
        <f>IF(Q1056="","",IF(COUNTIFS($E$5:$E$1204,E1056,$A$5:$A$1204,"&gt;"&amp;A1056,$H$5:$H$1204,"&lt;&gt;Falta",$H$5:$H$1204,"&lt;&gt;Cancelado",$H$5:$H$1204,"&lt;&gt;Remarcado")&gt;0,"Sim","Não"))</f>
        <v/>
      </c>
      <c r="S1056" s="32">
        <f>IF(R1056&lt;&gt;"Não","",IF(Q1056+Config!$B$9&lt;=Config!$B$8,Config!$B$8-Q1056,""))</f>
        <v/>
      </c>
      <c r="T1056" s="26">
        <f>IF(S1056="","","Sim")</f>
        <v/>
      </c>
      <c r="U1056" s="41">
        <f>IF(T1056="Sim",S1056+ROW()/100000,0)</f>
        <v>0</v>
      </c>
      <c r="V1056" s="41">
        <f>IF(AND(H1056="Falta",L1056=Config!$B$7,M1056=Config!$B$5,COUNTIFS($E$5:E1056,E1056,$H$5:H1056,"Falta",$L$5:L1056,Config!$B$7,$M$5:M1056,Config!$B$5)=1),COUNTIFS($E$5:$E$1204,E1056,$H$5:$H$1204,"Falta",$L$5:$L$1204,Config!$B$7,$M$5:$M$1204,Config!$B$5)*1000-ROW()/100000,0)</f>
        <v>0</v>
      </c>
    </row>
    <row r="1057">
      <c r="A1057" s="39" t="n"/>
      <c r="B1057" s="40" t="n"/>
      <c r="C1057" s="35" t="n"/>
      <c r="D1057" s="35" t="n"/>
      <c r="E1057" s="34" t="n"/>
      <c r="F1057" s="35" t="n"/>
      <c r="G1057" s="35" t="n"/>
      <c r="H1057" s="35" t="n"/>
      <c r="I1057" s="35" t="n"/>
      <c r="J1057" s="35" t="n"/>
      <c r="K1057" s="34" t="n"/>
      <c r="L1057" s="26">
        <f>IF(A1057="","",MONTH(A1057))</f>
        <v/>
      </c>
      <c r="M1057" s="26">
        <f>IF(A1057="","",YEAR(A1057))</f>
        <v/>
      </c>
      <c r="N1057" s="26">
        <f>IF(A1057="","",CHOOSE(WEEKDAY(A1057,2),"Segunda","Terça","Quarta","Quinta","Sexta","Sábado","Domingo"))</f>
        <v/>
      </c>
      <c r="O1057" s="26">
        <f>IF(B1057="","",IF(B1057&lt;TIME(12,0,0),"Manhã",IF(B1057&lt;TIME(18,0,0),"Tarde","Noite")))</f>
        <v/>
      </c>
      <c r="P1057" s="32">
        <f>IF(G1057="","",IFERROR(INDEX(Config!$I$5:$I$16,MATCH(G1057,Config!$H$5:$H$16,0)),0))</f>
        <v/>
      </c>
      <c r="Q1057" s="30">
        <f>IF(OR(H1057&lt;&gt;"Realizado",P1057="",P1057=0),"",A1057+P1057)</f>
        <v/>
      </c>
      <c r="R1057" s="26">
        <f>IF(Q1057="","",IF(COUNTIFS($E$5:$E$1204,E1057,$A$5:$A$1204,"&gt;"&amp;A1057,$H$5:$H$1204,"&lt;&gt;Falta",$H$5:$H$1204,"&lt;&gt;Cancelado",$H$5:$H$1204,"&lt;&gt;Remarcado")&gt;0,"Sim","Não"))</f>
        <v/>
      </c>
      <c r="S1057" s="32">
        <f>IF(R1057&lt;&gt;"Não","",IF(Q1057+Config!$B$9&lt;=Config!$B$8,Config!$B$8-Q1057,""))</f>
        <v/>
      </c>
      <c r="T1057" s="26">
        <f>IF(S1057="","","Sim")</f>
        <v/>
      </c>
      <c r="U1057" s="41">
        <f>IF(T1057="Sim",S1057+ROW()/100000,0)</f>
        <v>0</v>
      </c>
      <c r="V1057" s="41">
        <f>IF(AND(H1057="Falta",L1057=Config!$B$7,M1057=Config!$B$5,COUNTIFS($E$5:E1057,E1057,$H$5:H1057,"Falta",$L$5:L1057,Config!$B$7,$M$5:M1057,Config!$B$5)=1),COUNTIFS($E$5:$E$1204,E1057,$H$5:$H$1204,"Falta",$L$5:$L$1204,Config!$B$7,$M$5:$M$1204,Config!$B$5)*1000-ROW()/100000,0)</f>
        <v>0</v>
      </c>
    </row>
    <row r="1058">
      <c r="A1058" s="39" t="n"/>
      <c r="B1058" s="40" t="n"/>
      <c r="C1058" s="35" t="n"/>
      <c r="D1058" s="35" t="n"/>
      <c r="E1058" s="34" t="n"/>
      <c r="F1058" s="35" t="n"/>
      <c r="G1058" s="35" t="n"/>
      <c r="H1058" s="35" t="n"/>
      <c r="I1058" s="35" t="n"/>
      <c r="J1058" s="35" t="n"/>
      <c r="K1058" s="34" t="n"/>
      <c r="L1058" s="26">
        <f>IF(A1058="","",MONTH(A1058))</f>
        <v/>
      </c>
      <c r="M1058" s="26">
        <f>IF(A1058="","",YEAR(A1058))</f>
        <v/>
      </c>
      <c r="N1058" s="26">
        <f>IF(A1058="","",CHOOSE(WEEKDAY(A1058,2),"Segunda","Terça","Quarta","Quinta","Sexta","Sábado","Domingo"))</f>
        <v/>
      </c>
      <c r="O1058" s="26">
        <f>IF(B1058="","",IF(B1058&lt;TIME(12,0,0),"Manhã",IF(B1058&lt;TIME(18,0,0),"Tarde","Noite")))</f>
        <v/>
      </c>
      <c r="P1058" s="32">
        <f>IF(G1058="","",IFERROR(INDEX(Config!$I$5:$I$16,MATCH(G1058,Config!$H$5:$H$16,0)),0))</f>
        <v/>
      </c>
      <c r="Q1058" s="30">
        <f>IF(OR(H1058&lt;&gt;"Realizado",P1058="",P1058=0),"",A1058+P1058)</f>
        <v/>
      </c>
      <c r="R1058" s="26">
        <f>IF(Q1058="","",IF(COUNTIFS($E$5:$E$1204,E1058,$A$5:$A$1204,"&gt;"&amp;A1058,$H$5:$H$1204,"&lt;&gt;Falta",$H$5:$H$1204,"&lt;&gt;Cancelado",$H$5:$H$1204,"&lt;&gt;Remarcado")&gt;0,"Sim","Não"))</f>
        <v/>
      </c>
      <c r="S1058" s="32">
        <f>IF(R1058&lt;&gt;"Não","",IF(Q1058+Config!$B$9&lt;=Config!$B$8,Config!$B$8-Q1058,""))</f>
        <v/>
      </c>
      <c r="T1058" s="26">
        <f>IF(S1058="","","Sim")</f>
        <v/>
      </c>
      <c r="U1058" s="41">
        <f>IF(T1058="Sim",S1058+ROW()/100000,0)</f>
        <v>0</v>
      </c>
      <c r="V1058" s="41">
        <f>IF(AND(H1058="Falta",L1058=Config!$B$7,M1058=Config!$B$5,COUNTIFS($E$5:E1058,E1058,$H$5:H1058,"Falta",$L$5:L1058,Config!$B$7,$M$5:M1058,Config!$B$5)=1),COUNTIFS($E$5:$E$1204,E1058,$H$5:$H$1204,"Falta",$L$5:$L$1204,Config!$B$7,$M$5:$M$1204,Config!$B$5)*1000-ROW()/100000,0)</f>
        <v>0</v>
      </c>
    </row>
    <row r="1059">
      <c r="A1059" s="39" t="n"/>
      <c r="B1059" s="40" t="n"/>
      <c r="C1059" s="35" t="n"/>
      <c r="D1059" s="35" t="n"/>
      <c r="E1059" s="34" t="n"/>
      <c r="F1059" s="35" t="n"/>
      <c r="G1059" s="35" t="n"/>
      <c r="H1059" s="35" t="n"/>
      <c r="I1059" s="35" t="n"/>
      <c r="J1059" s="35" t="n"/>
      <c r="K1059" s="34" t="n"/>
      <c r="L1059" s="26">
        <f>IF(A1059="","",MONTH(A1059))</f>
        <v/>
      </c>
      <c r="M1059" s="26">
        <f>IF(A1059="","",YEAR(A1059))</f>
        <v/>
      </c>
      <c r="N1059" s="26">
        <f>IF(A1059="","",CHOOSE(WEEKDAY(A1059,2),"Segunda","Terça","Quarta","Quinta","Sexta","Sábado","Domingo"))</f>
        <v/>
      </c>
      <c r="O1059" s="26">
        <f>IF(B1059="","",IF(B1059&lt;TIME(12,0,0),"Manhã",IF(B1059&lt;TIME(18,0,0),"Tarde","Noite")))</f>
        <v/>
      </c>
      <c r="P1059" s="32">
        <f>IF(G1059="","",IFERROR(INDEX(Config!$I$5:$I$16,MATCH(G1059,Config!$H$5:$H$16,0)),0))</f>
        <v/>
      </c>
      <c r="Q1059" s="30">
        <f>IF(OR(H1059&lt;&gt;"Realizado",P1059="",P1059=0),"",A1059+P1059)</f>
        <v/>
      </c>
      <c r="R1059" s="26">
        <f>IF(Q1059="","",IF(COUNTIFS($E$5:$E$1204,E1059,$A$5:$A$1204,"&gt;"&amp;A1059,$H$5:$H$1204,"&lt;&gt;Falta",$H$5:$H$1204,"&lt;&gt;Cancelado",$H$5:$H$1204,"&lt;&gt;Remarcado")&gt;0,"Sim","Não"))</f>
        <v/>
      </c>
      <c r="S1059" s="32">
        <f>IF(R1059&lt;&gt;"Não","",IF(Q1059+Config!$B$9&lt;=Config!$B$8,Config!$B$8-Q1059,""))</f>
        <v/>
      </c>
      <c r="T1059" s="26">
        <f>IF(S1059="","","Sim")</f>
        <v/>
      </c>
      <c r="U1059" s="41">
        <f>IF(T1059="Sim",S1059+ROW()/100000,0)</f>
        <v>0</v>
      </c>
      <c r="V1059" s="41">
        <f>IF(AND(H1059="Falta",L1059=Config!$B$7,M1059=Config!$B$5,COUNTIFS($E$5:E1059,E1059,$H$5:H1059,"Falta",$L$5:L1059,Config!$B$7,$M$5:M1059,Config!$B$5)=1),COUNTIFS($E$5:$E$1204,E1059,$H$5:$H$1204,"Falta",$L$5:$L$1204,Config!$B$7,$M$5:$M$1204,Config!$B$5)*1000-ROW()/100000,0)</f>
        <v>0</v>
      </c>
    </row>
    <row r="1060">
      <c r="A1060" s="39" t="n"/>
      <c r="B1060" s="40" t="n"/>
      <c r="C1060" s="35" t="n"/>
      <c r="D1060" s="35" t="n"/>
      <c r="E1060" s="34" t="n"/>
      <c r="F1060" s="35" t="n"/>
      <c r="G1060" s="35" t="n"/>
      <c r="H1060" s="35" t="n"/>
      <c r="I1060" s="35" t="n"/>
      <c r="J1060" s="35" t="n"/>
      <c r="K1060" s="34" t="n"/>
      <c r="L1060" s="26">
        <f>IF(A1060="","",MONTH(A1060))</f>
        <v/>
      </c>
      <c r="M1060" s="26">
        <f>IF(A1060="","",YEAR(A1060))</f>
        <v/>
      </c>
      <c r="N1060" s="26">
        <f>IF(A1060="","",CHOOSE(WEEKDAY(A1060,2),"Segunda","Terça","Quarta","Quinta","Sexta","Sábado","Domingo"))</f>
        <v/>
      </c>
      <c r="O1060" s="26">
        <f>IF(B1060="","",IF(B1060&lt;TIME(12,0,0),"Manhã",IF(B1060&lt;TIME(18,0,0),"Tarde","Noite")))</f>
        <v/>
      </c>
      <c r="P1060" s="32">
        <f>IF(G1060="","",IFERROR(INDEX(Config!$I$5:$I$16,MATCH(G1060,Config!$H$5:$H$16,0)),0))</f>
        <v/>
      </c>
      <c r="Q1060" s="30">
        <f>IF(OR(H1060&lt;&gt;"Realizado",P1060="",P1060=0),"",A1060+P1060)</f>
        <v/>
      </c>
      <c r="R1060" s="26">
        <f>IF(Q1060="","",IF(COUNTIFS($E$5:$E$1204,E1060,$A$5:$A$1204,"&gt;"&amp;A1060,$H$5:$H$1204,"&lt;&gt;Falta",$H$5:$H$1204,"&lt;&gt;Cancelado",$H$5:$H$1204,"&lt;&gt;Remarcado")&gt;0,"Sim","Não"))</f>
        <v/>
      </c>
      <c r="S1060" s="32">
        <f>IF(R1060&lt;&gt;"Não","",IF(Q1060+Config!$B$9&lt;=Config!$B$8,Config!$B$8-Q1060,""))</f>
        <v/>
      </c>
      <c r="T1060" s="26">
        <f>IF(S1060="","","Sim")</f>
        <v/>
      </c>
      <c r="U1060" s="41">
        <f>IF(T1060="Sim",S1060+ROW()/100000,0)</f>
        <v>0</v>
      </c>
      <c r="V1060" s="41">
        <f>IF(AND(H1060="Falta",L1060=Config!$B$7,M1060=Config!$B$5,COUNTIFS($E$5:E1060,E1060,$H$5:H1060,"Falta",$L$5:L1060,Config!$B$7,$M$5:M1060,Config!$B$5)=1),COUNTIFS($E$5:$E$1204,E1060,$H$5:$H$1204,"Falta",$L$5:$L$1204,Config!$B$7,$M$5:$M$1204,Config!$B$5)*1000-ROW()/100000,0)</f>
        <v>0</v>
      </c>
    </row>
    <row r="1061">
      <c r="A1061" s="39" t="n"/>
      <c r="B1061" s="40" t="n"/>
      <c r="C1061" s="35" t="n"/>
      <c r="D1061" s="35" t="n"/>
      <c r="E1061" s="34" t="n"/>
      <c r="F1061" s="35" t="n"/>
      <c r="G1061" s="35" t="n"/>
      <c r="H1061" s="35" t="n"/>
      <c r="I1061" s="35" t="n"/>
      <c r="J1061" s="35" t="n"/>
      <c r="K1061" s="34" t="n"/>
      <c r="L1061" s="26">
        <f>IF(A1061="","",MONTH(A1061))</f>
        <v/>
      </c>
      <c r="M1061" s="26">
        <f>IF(A1061="","",YEAR(A1061))</f>
        <v/>
      </c>
      <c r="N1061" s="26">
        <f>IF(A1061="","",CHOOSE(WEEKDAY(A1061,2),"Segunda","Terça","Quarta","Quinta","Sexta","Sábado","Domingo"))</f>
        <v/>
      </c>
      <c r="O1061" s="26">
        <f>IF(B1061="","",IF(B1061&lt;TIME(12,0,0),"Manhã",IF(B1061&lt;TIME(18,0,0),"Tarde","Noite")))</f>
        <v/>
      </c>
      <c r="P1061" s="32">
        <f>IF(G1061="","",IFERROR(INDEX(Config!$I$5:$I$16,MATCH(G1061,Config!$H$5:$H$16,0)),0))</f>
        <v/>
      </c>
      <c r="Q1061" s="30">
        <f>IF(OR(H1061&lt;&gt;"Realizado",P1061="",P1061=0),"",A1061+P1061)</f>
        <v/>
      </c>
      <c r="R1061" s="26">
        <f>IF(Q1061="","",IF(COUNTIFS($E$5:$E$1204,E1061,$A$5:$A$1204,"&gt;"&amp;A1061,$H$5:$H$1204,"&lt;&gt;Falta",$H$5:$H$1204,"&lt;&gt;Cancelado",$H$5:$H$1204,"&lt;&gt;Remarcado")&gt;0,"Sim","Não"))</f>
        <v/>
      </c>
      <c r="S1061" s="32">
        <f>IF(R1061&lt;&gt;"Não","",IF(Q1061+Config!$B$9&lt;=Config!$B$8,Config!$B$8-Q1061,""))</f>
        <v/>
      </c>
      <c r="T1061" s="26">
        <f>IF(S1061="","","Sim")</f>
        <v/>
      </c>
      <c r="U1061" s="41">
        <f>IF(T1061="Sim",S1061+ROW()/100000,0)</f>
        <v>0</v>
      </c>
      <c r="V1061" s="41">
        <f>IF(AND(H1061="Falta",L1061=Config!$B$7,M1061=Config!$B$5,COUNTIFS($E$5:E1061,E1061,$H$5:H1061,"Falta",$L$5:L1061,Config!$B$7,$M$5:M1061,Config!$B$5)=1),COUNTIFS($E$5:$E$1204,E1061,$H$5:$H$1204,"Falta",$L$5:$L$1204,Config!$B$7,$M$5:$M$1204,Config!$B$5)*1000-ROW()/100000,0)</f>
        <v>0</v>
      </c>
    </row>
    <row r="1062">
      <c r="A1062" s="39" t="n"/>
      <c r="B1062" s="40" t="n"/>
      <c r="C1062" s="35" t="n"/>
      <c r="D1062" s="35" t="n"/>
      <c r="E1062" s="34" t="n"/>
      <c r="F1062" s="35" t="n"/>
      <c r="G1062" s="35" t="n"/>
      <c r="H1062" s="35" t="n"/>
      <c r="I1062" s="35" t="n"/>
      <c r="J1062" s="35" t="n"/>
      <c r="K1062" s="34" t="n"/>
      <c r="L1062" s="26">
        <f>IF(A1062="","",MONTH(A1062))</f>
        <v/>
      </c>
      <c r="M1062" s="26">
        <f>IF(A1062="","",YEAR(A1062))</f>
        <v/>
      </c>
      <c r="N1062" s="26">
        <f>IF(A1062="","",CHOOSE(WEEKDAY(A1062,2),"Segunda","Terça","Quarta","Quinta","Sexta","Sábado","Domingo"))</f>
        <v/>
      </c>
      <c r="O1062" s="26">
        <f>IF(B1062="","",IF(B1062&lt;TIME(12,0,0),"Manhã",IF(B1062&lt;TIME(18,0,0),"Tarde","Noite")))</f>
        <v/>
      </c>
      <c r="P1062" s="32">
        <f>IF(G1062="","",IFERROR(INDEX(Config!$I$5:$I$16,MATCH(G1062,Config!$H$5:$H$16,0)),0))</f>
        <v/>
      </c>
      <c r="Q1062" s="30">
        <f>IF(OR(H1062&lt;&gt;"Realizado",P1062="",P1062=0),"",A1062+P1062)</f>
        <v/>
      </c>
      <c r="R1062" s="26">
        <f>IF(Q1062="","",IF(COUNTIFS($E$5:$E$1204,E1062,$A$5:$A$1204,"&gt;"&amp;A1062,$H$5:$H$1204,"&lt;&gt;Falta",$H$5:$H$1204,"&lt;&gt;Cancelado",$H$5:$H$1204,"&lt;&gt;Remarcado")&gt;0,"Sim","Não"))</f>
        <v/>
      </c>
      <c r="S1062" s="32">
        <f>IF(R1062&lt;&gt;"Não","",IF(Q1062+Config!$B$9&lt;=Config!$B$8,Config!$B$8-Q1062,""))</f>
        <v/>
      </c>
      <c r="T1062" s="26">
        <f>IF(S1062="","","Sim")</f>
        <v/>
      </c>
      <c r="U1062" s="41">
        <f>IF(T1062="Sim",S1062+ROW()/100000,0)</f>
        <v>0</v>
      </c>
      <c r="V1062" s="41">
        <f>IF(AND(H1062="Falta",L1062=Config!$B$7,M1062=Config!$B$5,COUNTIFS($E$5:E1062,E1062,$H$5:H1062,"Falta",$L$5:L1062,Config!$B$7,$M$5:M1062,Config!$B$5)=1),COUNTIFS($E$5:$E$1204,E1062,$H$5:$H$1204,"Falta",$L$5:$L$1204,Config!$B$7,$M$5:$M$1204,Config!$B$5)*1000-ROW()/100000,0)</f>
        <v>0</v>
      </c>
    </row>
    <row r="1063">
      <c r="A1063" s="39" t="n"/>
      <c r="B1063" s="40" t="n"/>
      <c r="C1063" s="35" t="n"/>
      <c r="D1063" s="35" t="n"/>
      <c r="E1063" s="34" t="n"/>
      <c r="F1063" s="35" t="n"/>
      <c r="G1063" s="35" t="n"/>
      <c r="H1063" s="35" t="n"/>
      <c r="I1063" s="35" t="n"/>
      <c r="J1063" s="35" t="n"/>
      <c r="K1063" s="34" t="n"/>
      <c r="L1063" s="26">
        <f>IF(A1063="","",MONTH(A1063))</f>
        <v/>
      </c>
      <c r="M1063" s="26">
        <f>IF(A1063="","",YEAR(A1063))</f>
        <v/>
      </c>
      <c r="N1063" s="26">
        <f>IF(A1063="","",CHOOSE(WEEKDAY(A1063,2),"Segunda","Terça","Quarta","Quinta","Sexta","Sábado","Domingo"))</f>
        <v/>
      </c>
      <c r="O1063" s="26">
        <f>IF(B1063="","",IF(B1063&lt;TIME(12,0,0),"Manhã",IF(B1063&lt;TIME(18,0,0),"Tarde","Noite")))</f>
        <v/>
      </c>
      <c r="P1063" s="32">
        <f>IF(G1063="","",IFERROR(INDEX(Config!$I$5:$I$16,MATCH(G1063,Config!$H$5:$H$16,0)),0))</f>
        <v/>
      </c>
      <c r="Q1063" s="30">
        <f>IF(OR(H1063&lt;&gt;"Realizado",P1063="",P1063=0),"",A1063+P1063)</f>
        <v/>
      </c>
      <c r="R1063" s="26">
        <f>IF(Q1063="","",IF(COUNTIFS($E$5:$E$1204,E1063,$A$5:$A$1204,"&gt;"&amp;A1063,$H$5:$H$1204,"&lt;&gt;Falta",$H$5:$H$1204,"&lt;&gt;Cancelado",$H$5:$H$1204,"&lt;&gt;Remarcado")&gt;0,"Sim","Não"))</f>
        <v/>
      </c>
      <c r="S1063" s="32">
        <f>IF(R1063&lt;&gt;"Não","",IF(Q1063+Config!$B$9&lt;=Config!$B$8,Config!$B$8-Q1063,""))</f>
        <v/>
      </c>
      <c r="T1063" s="26">
        <f>IF(S1063="","","Sim")</f>
        <v/>
      </c>
      <c r="U1063" s="41">
        <f>IF(T1063="Sim",S1063+ROW()/100000,0)</f>
        <v>0</v>
      </c>
      <c r="V1063" s="41">
        <f>IF(AND(H1063="Falta",L1063=Config!$B$7,M1063=Config!$B$5,COUNTIFS($E$5:E1063,E1063,$H$5:H1063,"Falta",$L$5:L1063,Config!$B$7,$M$5:M1063,Config!$B$5)=1),COUNTIFS($E$5:$E$1204,E1063,$H$5:$H$1204,"Falta",$L$5:$L$1204,Config!$B$7,$M$5:$M$1204,Config!$B$5)*1000-ROW()/100000,0)</f>
        <v>0</v>
      </c>
    </row>
    <row r="1064">
      <c r="A1064" s="39" t="n"/>
      <c r="B1064" s="40" t="n"/>
      <c r="C1064" s="35" t="n"/>
      <c r="D1064" s="35" t="n"/>
      <c r="E1064" s="34" t="n"/>
      <c r="F1064" s="35" t="n"/>
      <c r="G1064" s="35" t="n"/>
      <c r="H1064" s="35" t="n"/>
      <c r="I1064" s="35" t="n"/>
      <c r="J1064" s="35" t="n"/>
      <c r="K1064" s="34" t="n"/>
      <c r="L1064" s="26">
        <f>IF(A1064="","",MONTH(A1064))</f>
        <v/>
      </c>
      <c r="M1064" s="26">
        <f>IF(A1064="","",YEAR(A1064))</f>
        <v/>
      </c>
      <c r="N1064" s="26">
        <f>IF(A1064="","",CHOOSE(WEEKDAY(A1064,2),"Segunda","Terça","Quarta","Quinta","Sexta","Sábado","Domingo"))</f>
        <v/>
      </c>
      <c r="O1064" s="26">
        <f>IF(B1064="","",IF(B1064&lt;TIME(12,0,0),"Manhã",IF(B1064&lt;TIME(18,0,0),"Tarde","Noite")))</f>
        <v/>
      </c>
      <c r="P1064" s="32">
        <f>IF(G1064="","",IFERROR(INDEX(Config!$I$5:$I$16,MATCH(G1064,Config!$H$5:$H$16,0)),0))</f>
        <v/>
      </c>
      <c r="Q1064" s="30">
        <f>IF(OR(H1064&lt;&gt;"Realizado",P1064="",P1064=0),"",A1064+P1064)</f>
        <v/>
      </c>
      <c r="R1064" s="26">
        <f>IF(Q1064="","",IF(COUNTIFS($E$5:$E$1204,E1064,$A$5:$A$1204,"&gt;"&amp;A1064,$H$5:$H$1204,"&lt;&gt;Falta",$H$5:$H$1204,"&lt;&gt;Cancelado",$H$5:$H$1204,"&lt;&gt;Remarcado")&gt;0,"Sim","Não"))</f>
        <v/>
      </c>
      <c r="S1064" s="32">
        <f>IF(R1064&lt;&gt;"Não","",IF(Q1064+Config!$B$9&lt;=Config!$B$8,Config!$B$8-Q1064,""))</f>
        <v/>
      </c>
      <c r="T1064" s="26">
        <f>IF(S1064="","","Sim")</f>
        <v/>
      </c>
      <c r="U1064" s="41">
        <f>IF(T1064="Sim",S1064+ROW()/100000,0)</f>
        <v>0</v>
      </c>
      <c r="V1064" s="41">
        <f>IF(AND(H1064="Falta",L1064=Config!$B$7,M1064=Config!$B$5,COUNTIFS($E$5:E1064,E1064,$H$5:H1064,"Falta",$L$5:L1064,Config!$B$7,$M$5:M1064,Config!$B$5)=1),COUNTIFS($E$5:$E$1204,E1064,$H$5:$H$1204,"Falta",$L$5:$L$1204,Config!$B$7,$M$5:$M$1204,Config!$B$5)*1000-ROW()/100000,0)</f>
        <v>0</v>
      </c>
    </row>
    <row r="1065">
      <c r="A1065" s="39" t="n"/>
      <c r="B1065" s="40" t="n"/>
      <c r="C1065" s="35" t="n"/>
      <c r="D1065" s="35" t="n"/>
      <c r="E1065" s="34" t="n"/>
      <c r="F1065" s="35" t="n"/>
      <c r="G1065" s="35" t="n"/>
      <c r="H1065" s="35" t="n"/>
      <c r="I1065" s="35" t="n"/>
      <c r="J1065" s="35" t="n"/>
      <c r="K1065" s="34" t="n"/>
      <c r="L1065" s="26">
        <f>IF(A1065="","",MONTH(A1065))</f>
        <v/>
      </c>
      <c r="M1065" s="26">
        <f>IF(A1065="","",YEAR(A1065))</f>
        <v/>
      </c>
      <c r="N1065" s="26">
        <f>IF(A1065="","",CHOOSE(WEEKDAY(A1065,2),"Segunda","Terça","Quarta","Quinta","Sexta","Sábado","Domingo"))</f>
        <v/>
      </c>
      <c r="O1065" s="26">
        <f>IF(B1065="","",IF(B1065&lt;TIME(12,0,0),"Manhã",IF(B1065&lt;TIME(18,0,0),"Tarde","Noite")))</f>
        <v/>
      </c>
      <c r="P1065" s="32">
        <f>IF(G1065="","",IFERROR(INDEX(Config!$I$5:$I$16,MATCH(G1065,Config!$H$5:$H$16,0)),0))</f>
        <v/>
      </c>
      <c r="Q1065" s="30">
        <f>IF(OR(H1065&lt;&gt;"Realizado",P1065="",P1065=0),"",A1065+P1065)</f>
        <v/>
      </c>
      <c r="R1065" s="26">
        <f>IF(Q1065="","",IF(COUNTIFS($E$5:$E$1204,E1065,$A$5:$A$1204,"&gt;"&amp;A1065,$H$5:$H$1204,"&lt;&gt;Falta",$H$5:$H$1204,"&lt;&gt;Cancelado",$H$5:$H$1204,"&lt;&gt;Remarcado")&gt;0,"Sim","Não"))</f>
        <v/>
      </c>
      <c r="S1065" s="32">
        <f>IF(R1065&lt;&gt;"Não","",IF(Q1065+Config!$B$9&lt;=Config!$B$8,Config!$B$8-Q1065,""))</f>
        <v/>
      </c>
      <c r="T1065" s="26">
        <f>IF(S1065="","","Sim")</f>
        <v/>
      </c>
      <c r="U1065" s="41">
        <f>IF(T1065="Sim",S1065+ROW()/100000,0)</f>
        <v>0</v>
      </c>
      <c r="V1065" s="41">
        <f>IF(AND(H1065="Falta",L1065=Config!$B$7,M1065=Config!$B$5,COUNTIFS($E$5:E1065,E1065,$H$5:H1065,"Falta",$L$5:L1065,Config!$B$7,$M$5:M1065,Config!$B$5)=1),COUNTIFS($E$5:$E$1204,E1065,$H$5:$H$1204,"Falta",$L$5:$L$1204,Config!$B$7,$M$5:$M$1204,Config!$B$5)*1000-ROW()/100000,0)</f>
        <v>0</v>
      </c>
    </row>
    <row r="1066">
      <c r="A1066" s="39" t="n"/>
      <c r="B1066" s="40" t="n"/>
      <c r="C1066" s="35" t="n"/>
      <c r="D1066" s="35" t="n"/>
      <c r="E1066" s="34" t="n"/>
      <c r="F1066" s="35" t="n"/>
      <c r="G1066" s="35" t="n"/>
      <c r="H1066" s="35" t="n"/>
      <c r="I1066" s="35" t="n"/>
      <c r="J1066" s="35" t="n"/>
      <c r="K1066" s="34" t="n"/>
      <c r="L1066" s="26">
        <f>IF(A1066="","",MONTH(A1066))</f>
        <v/>
      </c>
      <c r="M1066" s="26">
        <f>IF(A1066="","",YEAR(A1066))</f>
        <v/>
      </c>
      <c r="N1066" s="26">
        <f>IF(A1066="","",CHOOSE(WEEKDAY(A1066,2),"Segunda","Terça","Quarta","Quinta","Sexta","Sábado","Domingo"))</f>
        <v/>
      </c>
      <c r="O1066" s="26">
        <f>IF(B1066="","",IF(B1066&lt;TIME(12,0,0),"Manhã",IF(B1066&lt;TIME(18,0,0),"Tarde","Noite")))</f>
        <v/>
      </c>
      <c r="P1066" s="32">
        <f>IF(G1066="","",IFERROR(INDEX(Config!$I$5:$I$16,MATCH(G1066,Config!$H$5:$H$16,0)),0))</f>
        <v/>
      </c>
      <c r="Q1066" s="30">
        <f>IF(OR(H1066&lt;&gt;"Realizado",P1066="",P1066=0),"",A1066+P1066)</f>
        <v/>
      </c>
      <c r="R1066" s="26">
        <f>IF(Q1066="","",IF(COUNTIFS($E$5:$E$1204,E1066,$A$5:$A$1204,"&gt;"&amp;A1066,$H$5:$H$1204,"&lt;&gt;Falta",$H$5:$H$1204,"&lt;&gt;Cancelado",$H$5:$H$1204,"&lt;&gt;Remarcado")&gt;0,"Sim","Não"))</f>
        <v/>
      </c>
      <c r="S1066" s="32">
        <f>IF(R1066&lt;&gt;"Não","",IF(Q1066+Config!$B$9&lt;=Config!$B$8,Config!$B$8-Q1066,""))</f>
        <v/>
      </c>
      <c r="T1066" s="26">
        <f>IF(S1066="","","Sim")</f>
        <v/>
      </c>
      <c r="U1066" s="41">
        <f>IF(T1066="Sim",S1066+ROW()/100000,0)</f>
        <v>0</v>
      </c>
      <c r="V1066" s="41">
        <f>IF(AND(H1066="Falta",L1066=Config!$B$7,M1066=Config!$B$5,COUNTIFS($E$5:E1066,E1066,$H$5:H1066,"Falta",$L$5:L1066,Config!$B$7,$M$5:M1066,Config!$B$5)=1),COUNTIFS($E$5:$E$1204,E1066,$H$5:$H$1204,"Falta",$L$5:$L$1204,Config!$B$7,$M$5:$M$1204,Config!$B$5)*1000-ROW()/100000,0)</f>
        <v>0</v>
      </c>
    </row>
    <row r="1067">
      <c r="A1067" s="39" t="n"/>
      <c r="B1067" s="40" t="n"/>
      <c r="C1067" s="35" t="n"/>
      <c r="D1067" s="35" t="n"/>
      <c r="E1067" s="34" t="n"/>
      <c r="F1067" s="35" t="n"/>
      <c r="G1067" s="35" t="n"/>
      <c r="H1067" s="35" t="n"/>
      <c r="I1067" s="35" t="n"/>
      <c r="J1067" s="35" t="n"/>
      <c r="K1067" s="34" t="n"/>
      <c r="L1067" s="26">
        <f>IF(A1067="","",MONTH(A1067))</f>
        <v/>
      </c>
      <c r="M1067" s="26">
        <f>IF(A1067="","",YEAR(A1067))</f>
        <v/>
      </c>
      <c r="N1067" s="26">
        <f>IF(A1067="","",CHOOSE(WEEKDAY(A1067,2),"Segunda","Terça","Quarta","Quinta","Sexta","Sábado","Domingo"))</f>
        <v/>
      </c>
      <c r="O1067" s="26">
        <f>IF(B1067="","",IF(B1067&lt;TIME(12,0,0),"Manhã",IF(B1067&lt;TIME(18,0,0),"Tarde","Noite")))</f>
        <v/>
      </c>
      <c r="P1067" s="32">
        <f>IF(G1067="","",IFERROR(INDEX(Config!$I$5:$I$16,MATCH(G1067,Config!$H$5:$H$16,0)),0))</f>
        <v/>
      </c>
      <c r="Q1067" s="30">
        <f>IF(OR(H1067&lt;&gt;"Realizado",P1067="",P1067=0),"",A1067+P1067)</f>
        <v/>
      </c>
      <c r="R1067" s="26">
        <f>IF(Q1067="","",IF(COUNTIFS($E$5:$E$1204,E1067,$A$5:$A$1204,"&gt;"&amp;A1067,$H$5:$H$1204,"&lt;&gt;Falta",$H$5:$H$1204,"&lt;&gt;Cancelado",$H$5:$H$1204,"&lt;&gt;Remarcado")&gt;0,"Sim","Não"))</f>
        <v/>
      </c>
      <c r="S1067" s="32">
        <f>IF(R1067&lt;&gt;"Não","",IF(Q1067+Config!$B$9&lt;=Config!$B$8,Config!$B$8-Q1067,""))</f>
        <v/>
      </c>
      <c r="T1067" s="26">
        <f>IF(S1067="","","Sim")</f>
        <v/>
      </c>
      <c r="U1067" s="41">
        <f>IF(T1067="Sim",S1067+ROW()/100000,0)</f>
        <v>0</v>
      </c>
      <c r="V1067" s="41">
        <f>IF(AND(H1067="Falta",L1067=Config!$B$7,M1067=Config!$B$5,COUNTIFS($E$5:E1067,E1067,$H$5:H1067,"Falta",$L$5:L1067,Config!$B$7,$M$5:M1067,Config!$B$5)=1),COUNTIFS($E$5:$E$1204,E1067,$H$5:$H$1204,"Falta",$L$5:$L$1204,Config!$B$7,$M$5:$M$1204,Config!$B$5)*1000-ROW()/100000,0)</f>
        <v>0</v>
      </c>
    </row>
    <row r="1068">
      <c r="A1068" s="39" t="n"/>
      <c r="B1068" s="40" t="n"/>
      <c r="C1068" s="35" t="n"/>
      <c r="D1068" s="35" t="n"/>
      <c r="E1068" s="34" t="n"/>
      <c r="F1068" s="35" t="n"/>
      <c r="G1068" s="35" t="n"/>
      <c r="H1068" s="35" t="n"/>
      <c r="I1068" s="35" t="n"/>
      <c r="J1068" s="35" t="n"/>
      <c r="K1068" s="34" t="n"/>
      <c r="L1068" s="26">
        <f>IF(A1068="","",MONTH(A1068))</f>
        <v/>
      </c>
      <c r="M1068" s="26">
        <f>IF(A1068="","",YEAR(A1068))</f>
        <v/>
      </c>
      <c r="N1068" s="26">
        <f>IF(A1068="","",CHOOSE(WEEKDAY(A1068,2),"Segunda","Terça","Quarta","Quinta","Sexta","Sábado","Domingo"))</f>
        <v/>
      </c>
      <c r="O1068" s="26">
        <f>IF(B1068="","",IF(B1068&lt;TIME(12,0,0),"Manhã",IF(B1068&lt;TIME(18,0,0),"Tarde","Noite")))</f>
        <v/>
      </c>
      <c r="P1068" s="32">
        <f>IF(G1068="","",IFERROR(INDEX(Config!$I$5:$I$16,MATCH(G1068,Config!$H$5:$H$16,0)),0))</f>
        <v/>
      </c>
      <c r="Q1068" s="30">
        <f>IF(OR(H1068&lt;&gt;"Realizado",P1068="",P1068=0),"",A1068+P1068)</f>
        <v/>
      </c>
      <c r="R1068" s="26">
        <f>IF(Q1068="","",IF(COUNTIFS($E$5:$E$1204,E1068,$A$5:$A$1204,"&gt;"&amp;A1068,$H$5:$H$1204,"&lt;&gt;Falta",$H$5:$H$1204,"&lt;&gt;Cancelado",$H$5:$H$1204,"&lt;&gt;Remarcado")&gt;0,"Sim","Não"))</f>
        <v/>
      </c>
      <c r="S1068" s="32">
        <f>IF(R1068&lt;&gt;"Não","",IF(Q1068+Config!$B$9&lt;=Config!$B$8,Config!$B$8-Q1068,""))</f>
        <v/>
      </c>
      <c r="T1068" s="26">
        <f>IF(S1068="","","Sim")</f>
        <v/>
      </c>
      <c r="U1068" s="41">
        <f>IF(T1068="Sim",S1068+ROW()/100000,0)</f>
        <v>0</v>
      </c>
      <c r="V1068" s="41">
        <f>IF(AND(H1068="Falta",L1068=Config!$B$7,M1068=Config!$B$5,COUNTIFS($E$5:E1068,E1068,$H$5:H1068,"Falta",$L$5:L1068,Config!$B$7,$M$5:M1068,Config!$B$5)=1),COUNTIFS($E$5:$E$1204,E1068,$H$5:$H$1204,"Falta",$L$5:$L$1204,Config!$B$7,$M$5:$M$1204,Config!$B$5)*1000-ROW()/100000,0)</f>
        <v>0</v>
      </c>
    </row>
    <row r="1069">
      <c r="A1069" s="39" t="n"/>
      <c r="B1069" s="40" t="n"/>
      <c r="C1069" s="35" t="n"/>
      <c r="D1069" s="35" t="n"/>
      <c r="E1069" s="34" t="n"/>
      <c r="F1069" s="35" t="n"/>
      <c r="G1069" s="35" t="n"/>
      <c r="H1069" s="35" t="n"/>
      <c r="I1069" s="35" t="n"/>
      <c r="J1069" s="35" t="n"/>
      <c r="K1069" s="34" t="n"/>
      <c r="L1069" s="26">
        <f>IF(A1069="","",MONTH(A1069))</f>
        <v/>
      </c>
      <c r="M1069" s="26">
        <f>IF(A1069="","",YEAR(A1069))</f>
        <v/>
      </c>
      <c r="N1069" s="26">
        <f>IF(A1069="","",CHOOSE(WEEKDAY(A1069,2),"Segunda","Terça","Quarta","Quinta","Sexta","Sábado","Domingo"))</f>
        <v/>
      </c>
      <c r="O1069" s="26">
        <f>IF(B1069="","",IF(B1069&lt;TIME(12,0,0),"Manhã",IF(B1069&lt;TIME(18,0,0),"Tarde","Noite")))</f>
        <v/>
      </c>
      <c r="P1069" s="32">
        <f>IF(G1069="","",IFERROR(INDEX(Config!$I$5:$I$16,MATCH(G1069,Config!$H$5:$H$16,0)),0))</f>
        <v/>
      </c>
      <c r="Q1069" s="30">
        <f>IF(OR(H1069&lt;&gt;"Realizado",P1069="",P1069=0),"",A1069+P1069)</f>
        <v/>
      </c>
      <c r="R1069" s="26">
        <f>IF(Q1069="","",IF(COUNTIFS($E$5:$E$1204,E1069,$A$5:$A$1204,"&gt;"&amp;A1069,$H$5:$H$1204,"&lt;&gt;Falta",$H$5:$H$1204,"&lt;&gt;Cancelado",$H$5:$H$1204,"&lt;&gt;Remarcado")&gt;0,"Sim","Não"))</f>
        <v/>
      </c>
      <c r="S1069" s="32">
        <f>IF(R1069&lt;&gt;"Não","",IF(Q1069+Config!$B$9&lt;=Config!$B$8,Config!$B$8-Q1069,""))</f>
        <v/>
      </c>
      <c r="T1069" s="26">
        <f>IF(S1069="","","Sim")</f>
        <v/>
      </c>
      <c r="U1069" s="41">
        <f>IF(T1069="Sim",S1069+ROW()/100000,0)</f>
        <v>0</v>
      </c>
      <c r="V1069" s="41">
        <f>IF(AND(H1069="Falta",L1069=Config!$B$7,M1069=Config!$B$5,COUNTIFS($E$5:E1069,E1069,$H$5:H1069,"Falta",$L$5:L1069,Config!$B$7,$M$5:M1069,Config!$B$5)=1),COUNTIFS($E$5:$E$1204,E1069,$H$5:$H$1204,"Falta",$L$5:$L$1204,Config!$B$7,$M$5:$M$1204,Config!$B$5)*1000-ROW()/100000,0)</f>
        <v>0</v>
      </c>
    </row>
    <row r="1070">
      <c r="A1070" s="39" t="n"/>
      <c r="B1070" s="40" t="n"/>
      <c r="C1070" s="35" t="n"/>
      <c r="D1070" s="35" t="n"/>
      <c r="E1070" s="34" t="n"/>
      <c r="F1070" s="35" t="n"/>
      <c r="G1070" s="35" t="n"/>
      <c r="H1070" s="35" t="n"/>
      <c r="I1070" s="35" t="n"/>
      <c r="J1070" s="35" t="n"/>
      <c r="K1070" s="34" t="n"/>
      <c r="L1070" s="26">
        <f>IF(A1070="","",MONTH(A1070))</f>
        <v/>
      </c>
      <c r="M1070" s="26">
        <f>IF(A1070="","",YEAR(A1070))</f>
        <v/>
      </c>
      <c r="N1070" s="26">
        <f>IF(A1070="","",CHOOSE(WEEKDAY(A1070,2),"Segunda","Terça","Quarta","Quinta","Sexta","Sábado","Domingo"))</f>
        <v/>
      </c>
      <c r="O1070" s="26">
        <f>IF(B1070="","",IF(B1070&lt;TIME(12,0,0),"Manhã",IF(B1070&lt;TIME(18,0,0),"Tarde","Noite")))</f>
        <v/>
      </c>
      <c r="P1070" s="32">
        <f>IF(G1070="","",IFERROR(INDEX(Config!$I$5:$I$16,MATCH(G1070,Config!$H$5:$H$16,0)),0))</f>
        <v/>
      </c>
      <c r="Q1070" s="30">
        <f>IF(OR(H1070&lt;&gt;"Realizado",P1070="",P1070=0),"",A1070+P1070)</f>
        <v/>
      </c>
      <c r="R1070" s="26">
        <f>IF(Q1070="","",IF(COUNTIFS($E$5:$E$1204,E1070,$A$5:$A$1204,"&gt;"&amp;A1070,$H$5:$H$1204,"&lt;&gt;Falta",$H$5:$H$1204,"&lt;&gt;Cancelado",$H$5:$H$1204,"&lt;&gt;Remarcado")&gt;0,"Sim","Não"))</f>
        <v/>
      </c>
      <c r="S1070" s="32">
        <f>IF(R1070&lt;&gt;"Não","",IF(Q1070+Config!$B$9&lt;=Config!$B$8,Config!$B$8-Q1070,""))</f>
        <v/>
      </c>
      <c r="T1070" s="26">
        <f>IF(S1070="","","Sim")</f>
        <v/>
      </c>
      <c r="U1070" s="41">
        <f>IF(T1070="Sim",S1070+ROW()/100000,0)</f>
        <v>0</v>
      </c>
      <c r="V1070" s="41">
        <f>IF(AND(H1070="Falta",L1070=Config!$B$7,M1070=Config!$B$5,COUNTIFS($E$5:E1070,E1070,$H$5:H1070,"Falta",$L$5:L1070,Config!$B$7,$M$5:M1070,Config!$B$5)=1),COUNTIFS($E$5:$E$1204,E1070,$H$5:$H$1204,"Falta",$L$5:$L$1204,Config!$B$7,$M$5:$M$1204,Config!$B$5)*1000-ROW()/100000,0)</f>
        <v>0</v>
      </c>
    </row>
    <row r="1071">
      <c r="A1071" s="39" t="n"/>
      <c r="B1071" s="40" t="n"/>
      <c r="C1071" s="35" t="n"/>
      <c r="D1071" s="35" t="n"/>
      <c r="E1071" s="34" t="n"/>
      <c r="F1071" s="35" t="n"/>
      <c r="G1071" s="35" t="n"/>
      <c r="H1071" s="35" t="n"/>
      <c r="I1071" s="35" t="n"/>
      <c r="J1071" s="35" t="n"/>
      <c r="K1071" s="34" t="n"/>
      <c r="L1071" s="26">
        <f>IF(A1071="","",MONTH(A1071))</f>
        <v/>
      </c>
      <c r="M1071" s="26">
        <f>IF(A1071="","",YEAR(A1071))</f>
        <v/>
      </c>
      <c r="N1071" s="26">
        <f>IF(A1071="","",CHOOSE(WEEKDAY(A1071,2),"Segunda","Terça","Quarta","Quinta","Sexta","Sábado","Domingo"))</f>
        <v/>
      </c>
      <c r="O1071" s="26">
        <f>IF(B1071="","",IF(B1071&lt;TIME(12,0,0),"Manhã",IF(B1071&lt;TIME(18,0,0),"Tarde","Noite")))</f>
        <v/>
      </c>
      <c r="P1071" s="32">
        <f>IF(G1071="","",IFERROR(INDEX(Config!$I$5:$I$16,MATCH(G1071,Config!$H$5:$H$16,0)),0))</f>
        <v/>
      </c>
      <c r="Q1071" s="30">
        <f>IF(OR(H1071&lt;&gt;"Realizado",P1071="",P1071=0),"",A1071+P1071)</f>
        <v/>
      </c>
      <c r="R1071" s="26">
        <f>IF(Q1071="","",IF(COUNTIFS($E$5:$E$1204,E1071,$A$5:$A$1204,"&gt;"&amp;A1071,$H$5:$H$1204,"&lt;&gt;Falta",$H$5:$H$1204,"&lt;&gt;Cancelado",$H$5:$H$1204,"&lt;&gt;Remarcado")&gt;0,"Sim","Não"))</f>
        <v/>
      </c>
      <c r="S1071" s="32">
        <f>IF(R1071&lt;&gt;"Não","",IF(Q1071+Config!$B$9&lt;=Config!$B$8,Config!$B$8-Q1071,""))</f>
        <v/>
      </c>
      <c r="T1071" s="26">
        <f>IF(S1071="","","Sim")</f>
        <v/>
      </c>
      <c r="U1071" s="41">
        <f>IF(T1071="Sim",S1071+ROW()/100000,0)</f>
        <v>0</v>
      </c>
      <c r="V1071" s="41">
        <f>IF(AND(H1071="Falta",L1071=Config!$B$7,M1071=Config!$B$5,COUNTIFS($E$5:E1071,E1071,$H$5:H1071,"Falta",$L$5:L1071,Config!$B$7,$M$5:M1071,Config!$B$5)=1),COUNTIFS($E$5:$E$1204,E1071,$H$5:$H$1204,"Falta",$L$5:$L$1204,Config!$B$7,$M$5:$M$1204,Config!$B$5)*1000-ROW()/100000,0)</f>
        <v>0</v>
      </c>
    </row>
    <row r="1072">
      <c r="A1072" s="39" t="n"/>
      <c r="B1072" s="40" t="n"/>
      <c r="C1072" s="35" t="n"/>
      <c r="D1072" s="35" t="n"/>
      <c r="E1072" s="34" t="n"/>
      <c r="F1072" s="35" t="n"/>
      <c r="G1072" s="35" t="n"/>
      <c r="H1072" s="35" t="n"/>
      <c r="I1072" s="35" t="n"/>
      <c r="J1072" s="35" t="n"/>
      <c r="K1072" s="34" t="n"/>
      <c r="L1072" s="26">
        <f>IF(A1072="","",MONTH(A1072))</f>
        <v/>
      </c>
      <c r="M1072" s="26">
        <f>IF(A1072="","",YEAR(A1072))</f>
        <v/>
      </c>
      <c r="N1072" s="26">
        <f>IF(A1072="","",CHOOSE(WEEKDAY(A1072,2),"Segunda","Terça","Quarta","Quinta","Sexta","Sábado","Domingo"))</f>
        <v/>
      </c>
      <c r="O1072" s="26">
        <f>IF(B1072="","",IF(B1072&lt;TIME(12,0,0),"Manhã",IF(B1072&lt;TIME(18,0,0),"Tarde","Noite")))</f>
        <v/>
      </c>
      <c r="P1072" s="32">
        <f>IF(G1072="","",IFERROR(INDEX(Config!$I$5:$I$16,MATCH(G1072,Config!$H$5:$H$16,0)),0))</f>
        <v/>
      </c>
      <c r="Q1072" s="30">
        <f>IF(OR(H1072&lt;&gt;"Realizado",P1072="",P1072=0),"",A1072+P1072)</f>
        <v/>
      </c>
      <c r="R1072" s="26">
        <f>IF(Q1072="","",IF(COUNTIFS($E$5:$E$1204,E1072,$A$5:$A$1204,"&gt;"&amp;A1072,$H$5:$H$1204,"&lt;&gt;Falta",$H$5:$H$1204,"&lt;&gt;Cancelado",$H$5:$H$1204,"&lt;&gt;Remarcado")&gt;0,"Sim","Não"))</f>
        <v/>
      </c>
      <c r="S1072" s="32">
        <f>IF(R1072&lt;&gt;"Não","",IF(Q1072+Config!$B$9&lt;=Config!$B$8,Config!$B$8-Q1072,""))</f>
        <v/>
      </c>
      <c r="T1072" s="26">
        <f>IF(S1072="","","Sim")</f>
        <v/>
      </c>
      <c r="U1072" s="41">
        <f>IF(T1072="Sim",S1072+ROW()/100000,0)</f>
        <v>0</v>
      </c>
      <c r="V1072" s="41">
        <f>IF(AND(H1072="Falta",L1072=Config!$B$7,M1072=Config!$B$5,COUNTIFS($E$5:E1072,E1072,$H$5:H1072,"Falta",$L$5:L1072,Config!$B$7,$M$5:M1072,Config!$B$5)=1),COUNTIFS($E$5:$E$1204,E1072,$H$5:$H$1204,"Falta",$L$5:$L$1204,Config!$B$7,$M$5:$M$1204,Config!$B$5)*1000-ROW()/100000,0)</f>
        <v>0</v>
      </c>
    </row>
    <row r="1073">
      <c r="A1073" s="39" t="n"/>
      <c r="B1073" s="40" t="n"/>
      <c r="C1073" s="35" t="n"/>
      <c r="D1073" s="35" t="n"/>
      <c r="E1073" s="34" t="n"/>
      <c r="F1073" s="35" t="n"/>
      <c r="G1073" s="35" t="n"/>
      <c r="H1073" s="35" t="n"/>
      <c r="I1073" s="35" t="n"/>
      <c r="J1073" s="35" t="n"/>
      <c r="K1073" s="34" t="n"/>
      <c r="L1073" s="26">
        <f>IF(A1073="","",MONTH(A1073))</f>
        <v/>
      </c>
      <c r="M1073" s="26">
        <f>IF(A1073="","",YEAR(A1073))</f>
        <v/>
      </c>
      <c r="N1073" s="26">
        <f>IF(A1073="","",CHOOSE(WEEKDAY(A1073,2),"Segunda","Terça","Quarta","Quinta","Sexta","Sábado","Domingo"))</f>
        <v/>
      </c>
      <c r="O1073" s="26">
        <f>IF(B1073="","",IF(B1073&lt;TIME(12,0,0),"Manhã",IF(B1073&lt;TIME(18,0,0),"Tarde","Noite")))</f>
        <v/>
      </c>
      <c r="P1073" s="32">
        <f>IF(G1073="","",IFERROR(INDEX(Config!$I$5:$I$16,MATCH(G1073,Config!$H$5:$H$16,0)),0))</f>
        <v/>
      </c>
      <c r="Q1073" s="30">
        <f>IF(OR(H1073&lt;&gt;"Realizado",P1073="",P1073=0),"",A1073+P1073)</f>
        <v/>
      </c>
      <c r="R1073" s="26">
        <f>IF(Q1073="","",IF(COUNTIFS($E$5:$E$1204,E1073,$A$5:$A$1204,"&gt;"&amp;A1073,$H$5:$H$1204,"&lt;&gt;Falta",$H$5:$H$1204,"&lt;&gt;Cancelado",$H$5:$H$1204,"&lt;&gt;Remarcado")&gt;0,"Sim","Não"))</f>
        <v/>
      </c>
      <c r="S1073" s="32">
        <f>IF(R1073&lt;&gt;"Não","",IF(Q1073+Config!$B$9&lt;=Config!$B$8,Config!$B$8-Q1073,""))</f>
        <v/>
      </c>
      <c r="T1073" s="26">
        <f>IF(S1073="","","Sim")</f>
        <v/>
      </c>
      <c r="U1073" s="41">
        <f>IF(T1073="Sim",S1073+ROW()/100000,0)</f>
        <v>0</v>
      </c>
      <c r="V1073" s="41">
        <f>IF(AND(H1073="Falta",L1073=Config!$B$7,M1073=Config!$B$5,COUNTIFS($E$5:E1073,E1073,$H$5:H1073,"Falta",$L$5:L1073,Config!$B$7,$M$5:M1073,Config!$B$5)=1),COUNTIFS($E$5:$E$1204,E1073,$H$5:$H$1204,"Falta",$L$5:$L$1204,Config!$B$7,$M$5:$M$1204,Config!$B$5)*1000-ROW()/100000,0)</f>
        <v>0</v>
      </c>
    </row>
    <row r="1074">
      <c r="A1074" s="39" t="n"/>
      <c r="B1074" s="40" t="n"/>
      <c r="C1074" s="35" t="n"/>
      <c r="D1074" s="35" t="n"/>
      <c r="E1074" s="34" t="n"/>
      <c r="F1074" s="35" t="n"/>
      <c r="G1074" s="35" t="n"/>
      <c r="H1074" s="35" t="n"/>
      <c r="I1074" s="35" t="n"/>
      <c r="J1074" s="35" t="n"/>
      <c r="K1074" s="34" t="n"/>
      <c r="L1074" s="26">
        <f>IF(A1074="","",MONTH(A1074))</f>
        <v/>
      </c>
      <c r="M1074" s="26">
        <f>IF(A1074="","",YEAR(A1074))</f>
        <v/>
      </c>
      <c r="N1074" s="26">
        <f>IF(A1074="","",CHOOSE(WEEKDAY(A1074,2),"Segunda","Terça","Quarta","Quinta","Sexta","Sábado","Domingo"))</f>
        <v/>
      </c>
      <c r="O1074" s="26">
        <f>IF(B1074="","",IF(B1074&lt;TIME(12,0,0),"Manhã",IF(B1074&lt;TIME(18,0,0),"Tarde","Noite")))</f>
        <v/>
      </c>
      <c r="P1074" s="32">
        <f>IF(G1074="","",IFERROR(INDEX(Config!$I$5:$I$16,MATCH(G1074,Config!$H$5:$H$16,0)),0))</f>
        <v/>
      </c>
      <c r="Q1074" s="30">
        <f>IF(OR(H1074&lt;&gt;"Realizado",P1074="",P1074=0),"",A1074+P1074)</f>
        <v/>
      </c>
      <c r="R1074" s="26">
        <f>IF(Q1074="","",IF(COUNTIFS($E$5:$E$1204,E1074,$A$5:$A$1204,"&gt;"&amp;A1074,$H$5:$H$1204,"&lt;&gt;Falta",$H$5:$H$1204,"&lt;&gt;Cancelado",$H$5:$H$1204,"&lt;&gt;Remarcado")&gt;0,"Sim","Não"))</f>
        <v/>
      </c>
      <c r="S1074" s="32">
        <f>IF(R1074&lt;&gt;"Não","",IF(Q1074+Config!$B$9&lt;=Config!$B$8,Config!$B$8-Q1074,""))</f>
        <v/>
      </c>
      <c r="T1074" s="26">
        <f>IF(S1074="","","Sim")</f>
        <v/>
      </c>
      <c r="U1074" s="41">
        <f>IF(T1074="Sim",S1074+ROW()/100000,0)</f>
        <v>0</v>
      </c>
      <c r="V1074" s="41">
        <f>IF(AND(H1074="Falta",L1074=Config!$B$7,M1074=Config!$B$5,COUNTIFS($E$5:E1074,E1074,$H$5:H1074,"Falta",$L$5:L1074,Config!$B$7,$M$5:M1074,Config!$B$5)=1),COUNTIFS($E$5:$E$1204,E1074,$H$5:$H$1204,"Falta",$L$5:$L$1204,Config!$B$7,$M$5:$M$1204,Config!$B$5)*1000-ROW()/100000,0)</f>
        <v>0</v>
      </c>
    </row>
    <row r="1075">
      <c r="A1075" s="39" t="n"/>
      <c r="B1075" s="40" t="n"/>
      <c r="C1075" s="35" t="n"/>
      <c r="D1075" s="35" t="n"/>
      <c r="E1075" s="34" t="n"/>
      <c r="F1075" s="35" t="n"/>
      <c r="G1075" s="35" t="n"/>
      <c r="H1075" s="35" t="n"/>
      <c r="I1075" s="35" t="n"/>
      <c r="J1075" s="35" t="n"/>
      <c r="K1075" s="34" t="n"/>
      <c r="L1075" s="26">
        <f>IF(A1075="","",MONTH(A1075))</f>
        <v/>
      </c>
      <c r="M1075" s="26">
        <f>IF(A1075="","",YEAR(A1075))</f>
        <v/>
      </c>
      <c r="N1075" s="26">
        <f>IF(A1075="","",CHOOSE(WEEKDAY(A1075,2),"Segunda","Terça","Quarta","Quinta","Sexta","Sábado","Domingo"))</f>
        <v/>
      </c>
      <c r="O1075" s="26">
        <f>IF(B1075="","",IF(B1075&lt;TIME(12,0,0),"Manhã",IF(B1075&lt;TIME(18,0,0),"Tarde","Noite")))</f>
        <v/>
      </c>
      <c r="P1075" s="32">
        <f>IF(G1075="","",IFERROR(INDEX(Config!$I$5:$I$16,MATCH(G1075,Config!$H$5:$H$16,0)),0))</f>
        <v/>
      </c>
      <c r="Q1075" s="30">
        <f>IF(OR(H1075&lt;&gt;"Realizado",P1075="",P1075=0),"",A1075+P1075)</f>
        <v/>
      </c>
      <c r="R1075" s="26">
        <f>IF(Q1075="","",IF(COUNTIFS($E$5:$E$1204,E1075,$A$5:$A$1204,"&gt;"&amp;A1075,$H$5:$H$1204,"&lt;&gt;Falta",$H$5:$H$1204,"&lt;&gt;Cancelado",$H$5:$H$1204,"&lt;&gt;Remarcado")&gt;0,"Sim","Não"))</f>
        <v/>
      </c>
      <c r="S1075" s="32">
        <f>IF(R1075&lt;&gt;"Não","",IF(Q1075+Config!$B$9&lt;=Config!$B$8,Config!$B$8-Q1075,""))</f>
        <v/>
      </c>
      <c r="T1075" s="26">
        <f>IF(S1075="","","Sim")</f>
        <v/>
      </c>
      <c r="U1075" s="41">
        <f>IF(T1075="Sim",S1075+ROW()/100000,0)</f>
        <v>0</v>
      </c>
      <c r="V1075" s="41">
        <f>IF(AND(H1075="Falta",L1075=Config!$B$7,M1075=Config!$B$5,COUNTIFS($E$5:E1075,E1075,$H$5:H1075,"Falta",$L$5:L1075,Config!$B$7,$M$5:M1075,Config!$B$5)=1),COUNTIFS($E$5:$E$1204,E1075,$H$5:$H$1204,"Falta",$L$5:$L$1204,Config!$B$7,$M$5:$M$1204,Config!$B$5)*1000-ROW()/100000,0)</f>
        <v>0</v>
      </c>
    </row>
    <row r="1076">
      <c r="A1076" s="39" t="n"/>
      <c r="B1076" s="40" t="n"/>
      <c r="C1076" s="35" t="n"/>
      <c r="D1076" s="35" t="n"/>
      <c r="E1076" s="34" t="n"/>
      <c r="F1076" s="35" t="n"/>
      <c r="G1076" s="35" t="n"/>
      <c r="H1076" s="35" t="n"/>
      <c r="I1076" s="35" t="n"/>
      <c r="J1076" s="35" t="n"/>
      <c r="K1076" s="34" t="n"/>
      <c r="L1076" s="26">
        <f>IF(A1076="","",MONTH(A1076))</f>
        <v/>
      </c>
      <c r="M1076" s="26">
        <f>IF(A1076="","",YEAR(A1076))</f>
        <v/>
      </c>
      <c r="N1076" s="26">
        <f>IF(A1076="","",CHOOSE(WEEKDAY(A1076,2),"Segunda","Terça","Quarta","Quinta","Sexta","Sábado","Domingo"))</f>
        <v/>
      </c>
      <c r="O1076" s="26">
        <f>IF(B1076="","",IF(B1076&lt;TIME(12,0,0),"Manhã",IF(B1076&lt;TIME(18,0,0),"Tarde","Noite")))</f>
        <v/>
      </c>
      <c r="P1076" s="32">
        <f>IF(G1076="","",IFERROR(INDEX(Config!$I$5:$I$16,MATCH(G1076,Config!$H$5:$H$16,0)),0))</f>
        <v/>
      </c>
      <c r="Q1076" s="30">
        <f>IF(OR(H1076&lt;&gt;"Realizado",P1076="",P1076=0),"",A1076+P1076)</f>
        <v/>
      </c>
      <c r="R1076" s="26">
        <f>IF(Q1076="","",IF(COUNTIFS($E$5:$E$1204,E1076,$A$5:$A$1204,"&gt;"&amp;A1076,$H$5:$H$1204,"&lt;&gt;Falta",$H$5:$H$1204,"&lt;&gt;Cancelado",$H$5:$H$1204,"&lt;&gt;Remarcado")&gt;0,"Sim","Não"))</f>
        <v/>
      </c>
      <c r="S1076" s="32">
        <f>IF(R1076&lt;&gt;"Não","",IF(Q1076+Config!$B$9&lt;=Config!$B$8,Config!$B$8-Q1076,""))</f>
        <v/>
      </c>
      <c r="T1076" s="26">
        <f>IF(S1076="","","Sim")</f>
        <v/>
      </c>
      <c r="U1076" s="41">
        <f>IF(T1076="Sim",S1076+ROW()/100000,0)</f>
        <v>0</v>
      </c>
      <c r="V1076" s="41">
        <f>IF(AND(H1076="Falta",L1076=Config!$B$7,M1076=Config!$B$5,COUNTIFS($E$5:E1076,E1076,$H$5:H1076,"Falta",$L$5:L1076,Config!$B$7,$M$5:M1076,Config!$B$5)=1),COUNTIFS($E$5:$E$1204,E1076,$H$5:$H$1204,"Falta",$L$5:$L$1204,Config!$B$7,$M$5:$M$1204,Config!$B$5)*1000-ROW()/100000,0)</f>
        <v>0</v>
      </c>
    </row>
    <row r="1077">
      <c r="A1077" s="39" t="n"/>
      <c r="B1077" s="40" t="n"/>
      <c r="C1077" s="35" t="n"/>
      <c r="D1077" s="35" t="n"/>
      <c r="E1077" s="34" t="n"/>
      <c r="F1077" s="35" t="n"/>
      <c r="G1077" s="35" t="n"/>
      <c r="H1077" s="35" t="n"/>
      <c r="I1077" s="35" t="n"/>
      <c r="J1077" s="35" t="n"/>
      <c r="K1077" s="34" t="n"/>
      <c r="L1077" s="26">
        <f>IF(A1077="","",MONTH(A1077))</f>
        <v/>
      </c>
      <c r="M1077" s="26">
        <f>IF(A1077="","",YEAR(A1077))</f>
        <v/>
      </c>
      <c r="N1077" s="26">
        <f>IF(A1077="","",CHOOSE(WEEKDAY(A1077,2),"Segunda","Terça","Quarta","Quinta","Sexta","Sábado","Domingo"))</f>
        <v/>
      </c>
      <c r="O1077" s="26">
        <f>IF(B1077="","",IF(B1077&lt;TIME(12,0,0),"Manhã",IF(B1077&lt;TIME(18,0,0),"Tarde","Noite")))</f>
        <v/>
      </c>
      <c r="P1077" s="32">
        <f>IF(G1077="","",IFERROR(INDEX(Config!$I$5:$I$16,MATCH(G1077,Config!$H$5:$H$16,0)),0))</f>
        <v/>
      </c>
      <c r="Q1077" s="30">
        <f>IF(OR(H1077&lt;&gt;"Realizado",P1077="",P1077=0),"",A1077+P1077)</f>
        <v/>
      </c>
      <c r="R1077" s="26">
        <f>IF(Q1077="","",IF(COUNTIFS($E$5:$E$1204,E1077,$A$5:$A$1204,"&gt;"&amp;A1077,$H$5:$H$1204,"&lt;&gt;Falta",$H$5:$H$1204,"&lt;&gt;Cancelado",$H$5:$H$1204,"&lt;&gt;Remarcado")&gt;0,"Sim","Não"))</f>
        <v/>
      </c>
      <c r="S1077" s="32">
        <f>IF(R1077&lt;&gt;"Não","",IF(Q1077+Config!$B$9&lt;=Config!$B$8,Config!$B$8-Q1077,""))</f>
        <v/>
      </c>
      <c r="T1077" s="26">
        <f>IF(S1077="","","Sim")</f>
        <v/>
      </c>
      <c r="U1077" s="41">
        <f>IF(T1077="Sim",S1077+ROW()/100000,0)</f>
        <v>0</v>
      </c>
      <c r="V1077" s="41">
        <f>IF(AND(H1077="Falta",L1077=Config!$B$7,M1077=Config!$B$5,COUNTIFS($E$5:E1077,E1077,$H$5:H1077,"Falta",$L$5:L1077,Config!$B$7,$M$5:M1077,Config!$B$5)=1),COUNTIFS($E$5:$E$1204,E1077,$H$5:$H$1204,"Falta",$L$5:$L$1204,Config!$B$7,$M$5:$M$1204,Config!$B$5)*1000-ROW()/100000,0)</f>
        <v>0</v>
      </c>
    </row>
    <row r="1078">
      <c r="A1078" s="39" t="n"/>
      <c r="B1078" s="40" t="n"/>
      <c r="C1078" s="35" t="n"/>
      <c r="D1078" s="35" t="n"/>
      <c r="E1078" s="34" t="n"/>
      <c r="F1078" s="35" t="n"/>
      <c r="G1078" s="35" t="n"/>
      <c r="H1078" s="35" t="n"/>
      <c r="I1078" s="35" t="n"/>
      <c r="J1078" s="35" t="n"/>
      <c r="K1078" s="34" t="n"/>
      <c r="L1078" s="26">
        <f>IF(A1078="","",MONTH(A1078))</f>
        <v/>
      </c>
      <c r="M1078" s="26">
        <f>IF(A1078="","",YEAR(A1078))</f>
        <v/>
      </c>
      <c r="N1078" s="26">
        <f>IF(A1078="","",CHOOSE(WEEKDAY(A1078,2),"Segunda","Terça","Quarta","Quinta","Sexta","Sábado","Domingo"))</f>
        <v/>
      </c>
      <c r="O1078" s="26">
        <f>IF(B1078="","",IF(B1078&lt;TIME(12,0,0),"Manhã",IF(B1078&lt;TIME(18,0,0),"Tarde","Noite")))</f>
        <v/>
      </c>
      <c r="P1078" s="32">
        <f>IF(G1078="","",IFERROR(INDEX(Config!$I$5:$I$16,MATCH(G1078,Config!$H$5:$H$16,0)),0))</f>
        <v/>
      </c>
      <c r="Q1078" s="30">
        <f>IF(OR(H1078&lt;&gt;"Realizado",P1078="",P1078=0),"",A1078+P1078)</f>
        <v/>
      </c>
      <c r="R1078" s="26">
        <f>IF(Q1078="","",IF(COUNTIFS($E$5:$E$1204,E1078,$A$5:$A$1204,"&gt;"&amp;A1078,$H$5:$H$1204,"&lt;&gt;Falta",$H$5:$H$1204,"&lt;&gt;Cancelado",$H$5:$H$1204,"&lt;&gt;Remarcado")&gt;0,"Sim","Não"))</f>
        <v/>
      </c>
      <c r="S1078" s="32">
        <f>IF(R1078&lt;&gt;"Não","",IF(Q1078+Config!$B$9&lt;=Config!$B$8,Config!$B$8-Q1078,""))</f>
        <v/>
      </c>
      <c r="T1078" s="26">
        <f>IF(S1078="","","Sim")</f>
        <v/>
      </c>
      <c r="U1078" s="41">
        <f>IF(T1078="Sim",S1078+ROW()/100000,0)</f>
        <v>0</v>
      </c>
      <c r="V1078" s="41">
        <f>IF(AND(H1078="Falta",L1078=Config!$B$7,M1078=Config!$B$5,COUNTIFS($E$5:E1078,E1078,$H$5:H1078,"Falta",$L$5:L1078,Config!$B$7,$M$5:M1078,Config!$B$5)=1),COUNTIFS($E$5:$E$1204,E1078,$H$5:$H$1204,"Falta",$L$5:$L$1204,Config!$B$7,$M$5:$M$1204,Config!$B$5)*1000-ROW()/100000,0)</f>
        <v>0</v>
      </c>
    </row>
    <row r="1079">
      <c r="A1079" s="39" t="n"/>
      <c r="B1079" s="40" t="n"/>
      <c r="C1079" s="35" t="n"/>
      <c r="D1079" s="35" t="n"/>
      <c r="E1079" s="34" t="n"/>
      <c r="F1079" s="35" t="n"/>
      <c r="G1079" s="35" t="n"/>
      <c r="H1079" s="35" t="n"/>
      <c r="I1079" s="35" t="n"/>
      <c r="J1079" s="35" t="n"/>
      <c r="K1079" s="34" t="n"/>
      <c r="L1079" s="26">
        <f>IF(A1079="","",MONTH(A1079))</f>
        <v/>
      </c>
      <c r="M1079" s="26">
        <f>IF(A1079="","",YEAR(A1079))</f>
        <v/>
      </c>
      <c r="N1079" s="26">
        <f>IF(A1079="","",CHOOSE(WEEKDAY(A1079,2),"Segunda","Terça","Quarta","Quinta","Sexta","Sábado","Domingo"))</f>
        <v/>
      </c>
      <c r="O1079" s="26">
        <f>IF(B1079="","",IF(B1079&lt;TIME(12,0,0),"Manhã",IF(B1079&lt;TIME(18,0,0),"Tarde","Noite")))</f>
        <v/>
      </c>
      <c r="P1079" s="32">
        <f>IF(G1079="","",IFERROR(INDEX(Config!$I$5:$I$16,MATCH(G1079,Config!$H$5:$H$16,0)),0))</f>
        <v/>
      </c>
      <c r="Q1079" s="30">
        <f>IF(OR(H1079&lt;&gt;"Realizado",P1079="",P1079=0),"",A1079+P1079)</f>
        <v/>
      </c>
      <c r="R1079" s="26">
        <f>IF(Q1079="","",IF(COUNTIFS($E$5:$E$1204,E1079,$A$5:$A$1204,"&gt;"&amp;A1079,$H$5:$H$1204,"&lt;&gt;Falta",$H$5:$H$1204,"&lt;&gt;Cancelado",$H$5:$H$1204,"&lt;&gt;Remarcado")&gt;0,"Sim","Não"))</f>
        <v/>
      </c>
      <c r="S1079" s="32">
        <f>IF(R1079&lt;&gt;"Não","",IF(Q1079+Config!$B$9&lt;=Config!$B$8,Config!$B$8-Q1079,""))</f>
        <v/>
      </c>
      <c r="T1079" s="26">
        <f>IF(S1079="","","Sim")</f>
        <v/>
      </c>
      <c r="U1079" s="41">
        <f>IF(T1079="Sim",S1079+ROW()/100000,0)</f>
        <v>0</v>
      </c>
      <c r="V1079" s="41">
        <f>IF(AND(H1079="Falta",L1079=Config!$B$7,M1079=Config!$B$5,COUNTIFS($E$5:E1079,E1079,$H$5:H1079,"Falta",$L$5:L1079,Config!$B$7,$M$5:M1079,Config!$B$5)=1),COUNTIFS($E$5:$E$1204,E1079,$H$5:$H$1204,"Falta",$L$5:$L$1204,Config!$B$7,$M$5:$M$1204,Config!$B$5)*1000-ROW()/100000,0)</f>
        <v>0</v>
      </c>
    </row>
    <row r="1080">
      <c r="A1080" s="39" t="n"/>
      <c r="B1080" s="40" t="n"/>
      <c r="C1080" s="35" t="n"/>
      <c r="D1080" s="35" t="n"/>
      <c r="E1080" s="34" t="n"/>
      <c r="F1080" s="35" t="n"/>
      <c r="G1080" s="35" t="n"/>
      <c r="H1080" s="35" t="n"/>
      <c r="I1080" s="35" t="n"/>
      <c r="J1080" s="35" t="n"/>
      <c r="K1080" s="34" t="n"/>
      <c r="L1080" s="26">
        <f>IF(A1080="","",MONTH(A1080))</f>
        <v/>
      </c>
      <c r="M1080" s="26">
        <f>IF(A1080="","",YEAR(A1080))</f>
        <v/>
      </c>
      <c r="N1080" s="26">
        <f>IF(A1080="","",CHOOSE(WEEKDAY(A1080,2),"Segunda","Terça","Quarta","Quinta","Sexta","Sábado","Domingo"))</f>
        <v/>
      </c>
      <c r="O1080" s="26">
        <f>IF(B1080="","",IF(B1080&lt;TIME(12,0,0),"Manhã",IF(B1080&lt;TIME(18,0,0),"Tarde","Noite")))</f>
        <v/>
      </c>
      <c r="P1080" s="32">
        <f>IF(G1080="","",IFERROR(INDEX(Config!$I$5:$I$16,MATCH(G1080,Config!$H$5:$H$16,0)),0))</f>
        <v/>
      </c>
      <c r="Q1080" s="30">
        <f>IF(OR(H1080&lt;&gt;"Realizado",P1080="",P1080=0),"",A1080+P1080)</f>
        <v/>
      </c>
      <c r="R1080" s="26">
        <f>IF(Q1080="","",IF(COUNTIFS($E$5:$E$1204,E1080,$A$5:$A$1204,"&gt;"&amp;A1080,$H$5:$H$1204,"&lt;&gt;Falta",$H$5:$H$1204,"&lt;&gt;Cancelado",$H$5:$H$1204,"&lt;&gt;Remarcado")&gt;0,"Sim","Não"))</f>
        <v/>
      </c>
      <c r="S1080" s="32">
        <f>IF(R1080&lt;&gt;"Não","",IF(Q1080+Config!$B$9&lt;=Config!$B$8,Config!$B$8-Q1080,""))</f>
        <v/>
      </c>
      <c r="T1080" s="26">
        <f>IF(S1080="","","Sim")</f>
        <v/>
      </c>
      <c r="U1080" s="41">
        <f>IF(T1080="Sim",S1080+ROW()/100000,0)</f>
        <v>0</v>
      </c>
      <c r="V1080" s="41">
        <f>IF(AND(H1080="Falta",L1080=Config!$B$7,M1080=Config!$B$5,COUNTIFS($E$5:E1080,E1080,$H$5:H1080,"Falta",$L$5:L1080,Config!$B$7,$M$5:M1080,Config!$B$5)=1),COUNTIFS($E$5:$E$1204,E1080,$H$5:$H$1204,"Falta",$L$5:$L$1204,Config!$B$7,$M$5:$M$1204,Config!$B$5)*1000-ROW()/100000,0)</f>
        <v>0</v>
      </c>
    </row>
    <row r="1081">
      <c r="A1081" s="39" t="n"/>
      <c r="B1081" s="40" t="n"/>
      <c r="C1081" s="35" t="n"/>
      <c r="D1081" s="35" t="n"/>
      <c r="E1081" s="34" t="n"/>
      <c r="F1081" s="35" t="n"/>
      <c r="G1081" s="35" t="n"/>
      <c r="H1081" s="35" t="n"/>
      <c r="I1081" s="35" t="n"/>
      <c r="J1081" s="35" t="n"/>
      <c r="K1081" s="34" t="n"/>
      <c r="L1081" s="26">
        <f>IF(A1081="","",MONTH(A1081))</f>
        <v/>
      </c>
      <c r="M1081" s="26">
        <f>IF(A1081="","",YEAR(A1081))</f>
        <v/>
      </c>
      <c r="N1081" s="26">
        <f>IF(A1081="","",CHOOSE(WEEKDAY(A1081,2),"Segunda","Terça","Quarta","Quinta","Sexta","Sábado","Domingo"))</f>
        <v/>
      </c>
      <c r="O1081" s="26">
        <f>IF(B1081="","",IF(B1081&lt;TIME(12,0,0),"Manhã",IF(B1081&lt;TIME(18,0,0),"Tarde","Noite")))</f>
        <v/>
      </c>
      <c r="P1081" s="32">
        <f>IF(G1081="","",IFERROR(INDEX(Config!$I$5:$I$16,MATCH(G1081,Config!$H$5:$H$16,0)),0))</f>
        <v/>
      </c>
      <c r="Q1081" s="30">
        <f>IF(OR(H1081&lt;&gt;"Realizado",P1081="",P1081=0),"",A1081+P1081)</f>
        <v/>
      </c>
      <c r="R1081" s="26">
        <f>IF(Q1081="","",IF(COUNTIFS($E$5:$E$1204,E1081,$A$5:$A$1204,"&gt;"&amp;A1081,$H$5:$H$1204,"&lt;&gt;Falta",$H$5:$H$1204,"&lt;&gt;Cancelado",$H$5:$H$1204,"&lt;&gt;Remarcado")&gt;0,"Sim","Não"))</f>
        <v/>
      </c>
      <c r="S1081" s="32">
        <f>IF(R1081&lt;&gt;"Não","",IF(Q1081+Config!$B$9&lt;=Config!$B$8,Config!$B$8-Q1081,""))</f>
        <v/>
      </c>
      <c r="T1081" s="26">
        <f>IF(S1081="","","Sim")</f>
        <v/>
      </c>
      <c r="U1081" s="41">
        <f>IF(T1081="Sim",S1081+ROW()/100000,0)</f>
        <v>0</v>
      </c>
      <c r="V1081" s="41">
        <f>IF(AND(H1081="Falta",L1081=Config!$B$7,M1081=Config!$B$5,COUNTIFS($E$5:E1081,E1081,$H$5:H1081,"Falta",$L$5:L1081,Config!$B$7,$M$5:M1081,Config!$B$5)=1),COUNTIFS($E$5:$E$1204,E1081,$H$5:$H$1204,"Falta",$L$5:$L$1204,Config!$B$7,$M$5:$M$1204,Config!$B$5)*1000-ROW()/100000,0)</f>
        <v>0</v>
      </c>
    </row>
    <row r="1082">
      <c r="A1082" s="39" t="n"/>
      <c r="B1082" s="40" t="n"/>
      <c r="C1082" s="35" t="n"/>
      <c r="D1082" s="35" t="n"/>
      <c r="E1082" s="34" t="n"/>
      <c r="F1082" s="35" t="n"/>
      <c r="G1082" s="35" t="n"/>
      <c r="H1082" s="35" t="n"/>
      <c r="I1082" s="35" t="n"/>
      <c r="J1082" s="35" t="n"/>
      <c r="K1082" s="34" t="n"/>
      <c r="L1082" s="26">
        <f>IF(A1082="","",MONTH(A1082))</f>
        <v/>
      </c>
      <c r="M1082" s="26">
        <f>IF(A1082="","",YEAR(A1082))</f>
        <v/>
      </c>
      <c r="N1082" s="26">
        <f>IF(A1082="","",CHOOSE(WEEKDAY(A1082,2),"Segunda","Terça","Quarta","Quinta","Sexta","Sábado","Domingo"))</f>
        <v/>
      </c>
      <c r="O1082" s="26">
        <f>IF(B1082="","",IF(B1082&lt;TIME(12,0,0),"Manhã",IF(B1082&lt;TIME(18,0,0),"Tarde","Noite")))</f>
        <v/>
      </c>
      <c r="P1082" s="32">
        <f>IF(G1082="","",IFERROR(INDEX(Config!$I$5:$I$16,MATCH(G1082,Config!$H$5:$H$16,0)),0))</f>
        <v/>
      </c>
      <c r="Q1082" s="30">
        <f>IF(OR(H1082&lt;&gt;"Realizado",P1082="",P1082=0),"",A1082+P1082)</f>
        <v/>
      </c>
      <c r="R1082" s="26">
        <f>IF(Q1082="","",IF(COUNTIFS($E$5:$E$1204,E1082,$A$5:$A$1204,"&gt;"&amp;A1082,$H$5:$H$1204,"&lt;&gt;Falta",$H$5:$H$1204,"&lt;&gt;Cancelado",$H$5:$H$1204,"&lt;&gt;Remarcado")&gt;0,"Sim","Não"))</f>
        <v/>
      </c>
      <c r="S1082" s="32">
        <f>IF(R1082&lt;&gt;"Não","",IF(Q1082+Config!$B$9&lt;=Config!$B$8,Config!$B$8-Q1082,""))</f>
        <v/>
      </c>
      <c r="T1082" s="26">
        <f>IF(S1082="","","Sim")</f>
        <v/>
      </c>
      <c r="U1082" s="41">
        <f>IF(T1082="Sim",S1082+ROW()/100000,0)</f>
        <v>0</v>
      </c>
      <c r="V1082" s="41">
        <f>IF(AND(H1082="Falta",L1082=Config!$B$7,M1082=Config!$B$5,COUNTIFS($E$5:E1082,E1082,$H$5:H1082,"Falta",$L$5:L1082,Config!$B$7,$M$5:M1082,Config!$B$5)=1),COUNTIFS($E$5:$E$1204,E1082,$H$5:$H$1204,"Falta",$L$5:$L$1204,Config!$B$7,$M$5:$M$1204,Config!$B$5)*1000-ROW()/100000,0)</f>
        <v>0</v>
      </c>
    </row>
    <row r="1083">
      <c r="A1083" s="39" t="n"/>
      <c r="B1083" s="40" t="n"/>
      <c r="C1083" s="35" t="n"/>
      <c r="D1083" s="35" t="n"/>
      <c r="E1083" s="34" t="n"/>
      <c r="F1083" s="35" t="n"/>
      <c r="G1083" s="35" t="n"/>
      <c r="H1083" s="35" t="n"/>
      <c r="I1083" s="35" t="n"/>
      <c r="J1083" s="35" t="n"/>
      <c r="K1083" s="34" t="n"/>
      <c r="L1083" s="26">
        <f>IF(A1083="","",MONTH(A1083))</f>
        <v/>
      </c>
      <c r="M1083" s="26">
        <f>IF(A1083="","",YEAR(A1083))</f>
        <v/>
      </c>
      <c r="N1083" s="26">
        <f>IF(A1083="","",CHOOSE(WEEKDAY(A1083,2),"Segunda","Terça","Quarta","Quinta","Sexta","Sábado","Domingo"))</f>
        <v/>
      </c>
      <c r="O1083" s="26">
        <f>IF(B1083="","",IF(B1083&lt;TIME(12,0,0),"Manhã",IF(B1083&lt;TIME(18,0,0),"Tarde","Noite")))</f>
        <v/>
      </c>
      <c r="P1083" s="32">
        <f>IF(G1083="","",IFERROR(INDEX(Config!$I$5:$I$16,MATCH(G1083,Config!$H$5:$H$16,0)),0))</f>
        <v/>
      </c>
      <c r="Q1083" s="30">
        <f>IF(OR(H1083&lt;&gt;"Realizado",P1083="",P1083=0),"",A1083+P1083)</f>
        <v/>
      </c>
      <c r="R1083" s="26">
        <f>IF(Q1083="","",IF(COUNTIFS($E$5:$E$1204,E1083,$A$5:$A$1204,"&gt;"&amp;A1083,$H$5:$H$1204,"&lt;&gt;Falta",$H$5:$H$1204,"&lt;&gt;Cancelado",$H$5:$H$1204,"&lt;&gt;Remarcado")&gt;0,"Sim","Não"))</f>
        <v/>
      </c>
      <c r="S1083" s="32">
        <f>IF(R1083&lt;&gt;"Não","",IF(Q1083+Config!$B$9&lt;=Config!$B$8,Config!$B$8-Q1083,""))</f>
        <v/>
      </c>
      <c r="T1083" s="26">
        <f>IF(S1083="","","Sim")</f>
        <v/>
      </c>
      <c r="U1083" s="41">
        <f>IF(T1083="Sim",S1083+ROW()/100000,0)</f>
        <v>0</v>
      </c>
      <c r="V1083" s="41">
        <f>IF(AND(H1083="Falta",L1083=Config!$B$7,M1083=Config!$B$5,COUNTIFS($E$5:E1083,E1083,$H$5:H1083,"Falta",$L$5:L1083,Config!$B$7,$M$5:M1083,Config!$B$5)=1),COUNTIFS($E$5:$E$1204,E1083,$H$5:$H$1204,"Falta",$L$5:$L$1204,Config!$B$7,$M$5:$M$1204,Config!$B$5)*1000-ROW()/100000,0)</f>
        <v>0</v>
      </c>
    </row>
    <row r="1084">
      <c r="A1084" s="39" t="n"/>
      <c r="B1084" s="40" t="n"/>
      <c r="C1084" s="35" t="n"/>
      <c r="D1084" s="35" t="n"/>
      <c r="E1084" s="34" t="n"/>
      <c r="F1084" s="35" t="n"/>
      <c r="G1084" s="35" t="n"/>
      <c r="H1084" s="35" t="n"/>
      <c r="I1084" s="35" t="n"/>
      <c r="J1084" s="35" t="n"/>
      <c r="K1084" s="34" t="n"/>
      <c r="L1084" s="26">
        <f>IF(A1084="","",MONTH(A1084))</f>
        <v/>
      </c>
      <c r="M1084" s="26">
        <f>IF(A1084="","",YEAR(A1084))</f>
        <v/>
      </c>
      <c r="N1084" s="26">
        <f>IF(A1084="","",CHOOSE(WEEKDAY(A1084,2),"Segunda","Terça","Quarta","Quinta","Sexta","Sábado","Domingo"))</f>
        <v/>
      </c>
      <c r="O1084" s="26">
        <f>IF(B1084="","",IF(B1084&lt;TIME(12,0,0),"Manhã",IF(B1084&lt;TIME(18,0,0),"Tarde","Noite")))</f>
        <v/>
      </c>
      <c r="P1084" s="32">
        <f>IF(G1084="","",IFERROR(INDEX(Config!$I$5:$I$16,MATCH(G1084,Config!$H$5:$H$16,0)),0))</f>
        <v/>
      </c>
      <c r="Q1084" s="30">
        <f>IF(OR(H1084&lt;&gt;"Realizado",P1084="",P1084=0),"",A1084+P1084)</f>
        <v/>
      </c>
      <c r="R1084" s="26">
        <f>IF(Q1084="","",IF(COUNTIFS($E$5:$E$1204,E1084,$A$5:$A$1204,"&gt;"&amp;A1084,$H$5:$H$1204,"&lt;&gt;Falta",$H$5:$H$1204,"&lt;&gt;Cancelado",$H$5:$H$1204,"&lt;&gt;Remarcado")&gt;0,"Sim","Não"))</f>
        <v/>
      </c>
      <c r="S1084" s="32">
        <f>IF(R1084&lt;&gt;"Não","",IF(Q1084+Config!$B$9&lt;=Config!$B$8,Config!$B$8-Q1084,""))</f>
        <v/>
      </c>
      <c r="T1084" s="26">
        <f>IF(S1084="","","Sim")</f>
        <v/>
      </c>
      <c r="U1084" s="41">
        <f>IF(T1084="Sim",S1084+ROW()/100000,0)</f>
        <v>0</v>
      </c>
      <c r="V1084" s="41">
        <f>IF(AND(H1084="Falta",L1084=Config!$B$7,M1084=Config!$B$5,COUNTIFS($E$5:E1084,E1084,$H$5:H1084,"Falta",$L$5:L1084,Config!$B$7,$M$5:M1084,Config!$B$5)=1),COUNTIFS($E$5:$E$1204,E1084,$H$5:$H$1204,"Falta",$L$5:$L$1204,Config!$B$7,$M$5:$M$1204,Config!$B$5)*1000-ROW()/100000,0)</f>
        <v>0</v>
      </c>
    </row>
    <row r="1085">
      <c r="A1085" s="39" t="n"/>
      <c r="B1085" s="40" t="n"/>
      <c r="C1085" s="35" t="n"/>
      <c r="D1085" s="35" t="n"/>
      <c r="E1085" s="34" t="n"/>
      <c r="F1085" s="35" t="n"/>
      <c r="G1085" s="35" t="n"/>
      <c r="H1085" s="35" t="n"/>
      <c r="I1085" s="35" t="n"/>
      <c r="J1085" s="35" t="n"/>
      <c r="K1085" s="34" t="n"/>
      <c r="L1085" s="26">
        <f>IF(A1085="","",MONTH(A1085))</f>
        <v/>
      </c>
      <c r="M1085" s="26">
        <f>IF(A1085="","",YEAR(A1085))</f>
        <v/>
      </c>
      <c r="N1085" s="26">
        <f>IF(A1085="","",CHOOSE(WEEKDAY(A1085,2),"Segunda","Terça","Quarta","Quinta","Sexta","Sábado","Domingo"))</f>
        <v/>
      </c>
      <c r="O1085" s="26">
        <f>IF(B1085="","",IF(B1085&lt;TIME(12,0,0),"Manhã",IF(B1085&lt;TIME(18,0,0),"Tarde","Noite")))</f>
        <v/>
      </c>
      <c r="P1085" s="32">
        <f>IF(G1085="","",IFERROR(INDEX(Config!$I$5:$I$16,MATCH(G1085,Config!$H$5:$H$16,0)),0))</f>
        <v/>
      </c>
      <c r="Q1085" s="30">
        <f>IF(OR(H1085&lt;&gt;"Realizado",P1085="",P1085=0),"",A1085+P1085)</f>
        <v/>
      </c>
      <c r="R1085" s="26">
        <f>IF(Q1085="","",IF(COUNTIFS($E$5:$E$1204,E1085,$A$5:$A$1204,"&gt;"&amp;A1085,$H$5:$H$1204,"&lt;&gt;Falta",$H$5:$H$1204,"&lt;&gt;Cancelado",$H$5:$H$1204,"&lt;&gt;Remarcado")&gt;0,"Sim","Não"))</f>
        <v/>
      </c>
      <c r="S1085" s="32">
        <f>IF(R1085&lt;&gt;"Não","",IF(Q1085+Config!$B$9&lt;=Config!$B$8,Config!$B$8-Q1085,""))</f>
        <v/>
      </c>
      <c r="T1085" s="26">
        <f>IF(S1085="","","Sim")</f>
        <v/>
      </c>
      <c r="U1085" s="41">
        <f>IF(T1085="Sim",S1085+ROW()/100000,0)</f>
        <v>0</v>
      </c>
      <c r="V1085" s="41">
        <f>IF(AND(H1085="Falta",L1085=Config!$B$7,M1085=Config!$B$5,COUNTIFS($E$5:E1085,E1085,$H$5:H1085,"Falta",$L$5:L1085,Config!$B$7,$M$5:M1085,Config!$B$5)=1),COUNTIFS($E$5:$E$1204,E1085,$H$5:$H$1204,"Falta",$L$5:$L$1204,Config!$B$7,$M$5:$M$1204,Config!$B$5)*1000-ROW()/100000,0)</f>
        <v>0</v>
      </c>
    </row>
    <row r="1086">
      <c r="A1086" s="39" t="n"/>
      <c r="B1086" s="40" t="n"/>
      <c r="C1086" s="35" t="n"/>
      <c r="D1086" s="35" t="n"/>
      <c r="E1086" s="34" t="n"/>
      <c r="F1086" s="35" t="n"/>
      <c r="G1086" s="35" t="n"/>
      <c r="H1086" s="35" t="n"/>
      <c r="I1086" s="35" t="n"/>
      <c r="J1086" s="35" t="n"/>
      <c r="K1086" s="34" t="n"/>
      <c r="L1086" s="26">
        <f>IF(A1086="","",MONTH(A1086))</f>
        <v/>
      </c>
      <c r="M1086" s="26">
        <f>IF(A1086="","",YEAR(A1086))</f>
        <v/>
      </c>
      <c r="N1086" s="26">
        <f>IF(A1086="","",CHOOSE(WEEKDAY(A1086,2),"Segunda","Terça","Quarta","Quinta","Sexta","Sábado","Domingo"))</f>
        <v/>
      </c>
      <c r="O1086" s="26">
        <f>IF(B1086="","",IF(B1086&lt;TIME(12,0,0),"Manhã",IF(B1086&lt;TIME(18,0,0),"Tarde","Noite")))</f>
        <v/>
      </c>
      <c r="P1086" s="32">
        <f>IF(G1086="","",IFERROR(INDEX(Config!$I$5:$I$16,MATCH(G1086,Config!$H$5:$H$16,0)),0))</f>
        <v/>
      </c>
      <c r="Q1086" s="30">
        <f>IF(OR(H1086&lt;&gt;"Realizado",P1086="",P1086=0),"",A1086+P1086)</f>
        <v/>
      </c>
      <c r="R1086" s="26">
        <f>IF(Q1086="","",IF(COUNTIFS($E$5:$E$1204,E1086,$A$5:$A$1204,"&gt;"&amp;A1086,$H$5:$H$1204,"&lt;&gt;Falta",$H$5:$H$1204,"&lt;&gt;Cancelado",$H$5:$H$1204,"&lt;&gt;Remarcado")&gt;0,"Sim","Não"))</f>
        <v/>
      </c>
      <c r="S1086" s="32">
        <f>IF(R1086&lt;&gt;"Não","",IF(Q1086+Config!$B$9&lt;=Config!$B$8,Config!$B$8-Q1086,""))</f>
        <v/>
      </c>
      <c r="T1086" s="26">
        <f>IF(S1086="","","Sim")</f>
        <v/>
      </c>
      <c r="U1086" s="41">
        <f>IF(T1086="Sim",S1086+ROW()/100000,0)</f>
        <v>0</v>
      </c>
      <c r="V1086" s="41">
        <f>IF(AND(H1086="Falta",L1086=Config!$B$7,M1086=Config!$B$5,COUNTIFS($E$5:E1086,E1086,$H$5:H1086,"Falta",$L$5:L1086,Config!$B$7,$M$5:M1086,Config!$B$5)=1),COUNTIFS($E$5:$E$1204,E1086,$H$5:$H$1204,"Falta",$L$5:$L$1204,Config!$B$7,$M$5:$M$1204,Config!$B$5)*1000-ROW()/100000,0)</f>
        <v>0</v>
      </c>
    </row>
    <row r="1087">
      <c r="A1087" s="39" t="n"/>
      <c r="B1087" s="40" t="n"/>
      <c r="C1087" s="35" t="n"/>
      <c r="D1087" s="35" t="n"/>
      <c r="E1087" s="34" t="n"/>
      <c r="F1087" s="35" t="n"/>
      <c r="G1087" s="35" t="n"/>
      <c r="H1087" s="35" t="n"/>
      <c r="I1087" s="35" t="n"/>
      <c r="J1087" s="35" t="n"/>
      <c r="K1087" s="34" t="n"/>
      <c r="L1087" s="26">
        <f>IF(A1087="","",MONTH(A1087))</f>
        <v/>
      </c>
      <c r="M1087" s="26">
        <f>IF(A1087="","",YEAR(A1087))</f>
        <v/>
      </c>
      <c r="N1087" s="26">
        <f>IF(A1087="","",CHOOSE(WEEKDAY(A1087,2),"Segunda","Terça","Quarta","Quinta","Sexta","Sábado","Domingo"))</f>
        <v/>
      </c>
      <c r="O1087" s="26">
        <f>IF(B1087="","",IF(B1087&lt;TIME(12,0,0),"Manhã",IF(B1087&lt;TIME(18,0,0),"Tarde","Noite")))</f>
        <v/>
      </c>
      <c r="P1087" s="32">
        <f>IF(G1087="","",IFERROR(INDEX(Config!$I$5:$I$16,MATCH(G1087,Config!$H$5:$H$16,0)),0))</f>
        <v/>
      </c>
      <c r="Q1087" s="30">
        <f>IF(OR(H1087&lt;&gt;"Realizado",P1087="",P1087=0),"",A1087+P1087)</f>
        <v/>
      </c>
      <c r="R1087" s="26">
        <f>IF(Q1087="","",IF(COUNTIFS($E$5:$E$1204,E1087,$A$5:$A$1204,"&gt;"&amp;A1087,$H$5:$H$1204,"&lt;&gt;Falta",$H$5:$H$1204,"&lt;&gt;Cancelado",$H$5:$H$1204,"&lt;&gt;Remarcado")&gt;0,"Sim","Não"))</f>
        <v/>
      </c>
      <c r="S1087" s="32">
        <f>IF(R1087&lt;&gt;"Não","",IF(Q1087+Config!$B$9&lt;=Config!$B$8,Config!$B$8-Q1087,""))</f>
        <v/>
      </c>
      <c r="T1087" s="26">
        <f>IF(S1087="","","Sim")</f>
        <v/>
      </c>
      <c r="U1087" s="41">
        <f>IF(T1087="Sim",S1087+ROW()/100000,0)</f>
        <v>0</v>
      </c>
      <c r="V1087" s="41">
        <f>IF(AND(H1087="Falta",L1087=Config!$B$7,M1087=Config!$B$5,COUNTIFS($E$5:E1087,E1087,$H$5:H1087,"Falta",$L$5:L1087,Config!$B$7,$M$5:M1087,Config!$B$5)=1),COUNTIFS($E$5:$E$1204,E1087,$H$5:$H$1204,"Falta",$L$5:$L$1204,Config!$B$7,$M$5:$M$1204,Config!$B$5)*1000-ROW()/100000,0)</f>
        <v>0</v>
      </c>
    </row>
    <row r="1088">
      <c r="A1088" s="39" t="n"/>
      <c r="B1088" s="40" t="n"/>
      <c r="C1088" s="35" t="n"/>
      <c r="D1088" s="35" t="n"/>
      <c r="E1088" s="34" t="n"/>
      <c r="F1088" s="35" t="n"/>
      <c r="G1088" s="35" t="n"/>
      <c r="H1088" s="35" t="n"/>
      <c r="I1088" s="35" t="n"/>
      <c r="J1088" s="35" t="n"/>
      <c r="K1088" s="34" t="n"/>
      <c r="L1088" s="26">
        <f>IF(A1088="","",MONTH(A1088))</f>
        <v/>
      </c>
      <c r="M1088" s="26">
        <f>IF(A1088="","",YEAR(A1088))</f>
        <v/>
      </c>
      <c r="N1088" s="26">
        <f>IF(A1088="","",CHOOSE(WEEKDAY(A1088,2),"Segunda","Terça","Quarta","Quinta","Sexta","Sábado","Domingo"))</f>
        <v/>
      </c>
      <c r="O1088" s="26">
        <f>IF(B1088="","",IF(B1088&lt;TIME(12,0,0),"Manhã",IF(B1088&lt;TIME(18,0,0),"Tarde","Noite")))</f>
        <v/>
      </c>
      <c r="P1088" s="32">
        <f>IF(G1088="","",IFERROR(INDEX(Config!$I$5:$I$16,MATCH(G1088,Config!$H$5:$H$16,0)),0))</f>
        <v/>
      </c>
      <c r="Q1088" s="30">
        <f>IF(OR(H1088&lt;&gt;"Realizado",P1088="",P1088=0),"",A1088+P1088)</f>
        <v/>
      </c>
      <c r="R1088" s="26">
        <f>IF(Q1088="","",IF(COUNTIFS($E$5:$E$1204,E1088,$A$5:$A$1204,"&gt;"&amp;A1088,$H$5:$H$1204,"&lt;&gt;Falta",$H$5:$H$1204,"&lt;&gt;Cancelado",$H$5:$H$1204,"&lt;&gt;Remarcado")&gt;0,"Sim","Não"))</f>
        <v/>
      </c>
      <c r="S1088" s="32">
        <f>IF(R1088&lt;&gt;"Não","",IF(Q1088+Config!$B$9&lt;=Config!$B$8,Config!$B$8-Q1088,""))</f>
        <v/>
      </c>
      <c r="T1088" s="26">
        <f>IF(S1088="","","Sim")</f>
        <v/>
      </c>
      <c r="U1088" s="41">
        <f>IF(T1088="Sim",S1088+ROW()/100000,0)</f>
        <v>0</v>
      </c>
      <c r="V1088" s="41">
        <f>IF(AND(H1088="Falta",L1088=Config!$B$7,M1088=Config!$B$5,COUNTIFS($E$5:E1088,E1088,$H$5:H1088,"Falta",$L$5:L1088,Config!$B$7,$M$5:M1088,Config!$B$5)=1),COUNTIFS($E$5:$E$1204,E1088,$H$5:$H$1204,"Falta",$L$5:$L$1204,Config!$B$7,$M$5:$M$1204,Config!$B$5)*1000-ROW()/100000,0)</f>
        <v>0</v>
      </c>
    </row>
    <row r="1089">
      <c r="A1089" s="39" t="n"/>
      <c r="B1089" s="40" t="n"/>
      <c r="C1089" s="35" t="n"/>
      <c r="D1089" s="35" t="n"/>
      <c r="E1089" s="34" t="n"/>
      <c r="F1089" s="35" t="n"/>
      <c r="G1089" s="35" t="n"/>
      <c r="H1089" s="35" t="n"/>
      <c r="I1089" s="35" t="n"/>
      <c r="J1089" s="35" t="n"/>
      <c r="K1089" s="34" t="n"/>
      <c r="L1089" s="26">
        <f>IF(A1089="","",MONTH(A1089))</f>
        <v/>
      </c>
      <c r="M1089" s="26">
        <f>IF(A1089="","",YEAR(A1089))</f>
        <v/>
      </c>
      <c r="N1089" s="26">
        <f>IF(A1089="","",CHOOSE(WEEKDAY(A1089,2),"Segunda","Terça","Quarta","Quinta","Sexta","Sábado","Domingo"))</f>
        <v/>
      </c>
      <c r="O1089" s="26">
        <f>IF(B1089="","",IF(B1089&lt;TIME(12,0,0),"Manhã",IF(B1089&lt;TIME(18,0,0),"Tarde","Noite")))</f>
        <v/>
      </c>
      <c r="P1089" s="32">
        <f>IF(G1089="","",IFERROR(INDEX(Config!$I$5:$I$16,MATCH(G1089,Config!$H$5:$H$16,0)),0))</f>
        <v/>
      </c>
      <c r="Q1089" s="30">
        <f>IF(OR(H1089&lt;&gt;"Realizado",P1089="",P1089=0),"",A1089+P1089)</f>
        <v/>
      </c>
      <c r="R1089" s="26">
        <f>IF(Q1089="","",IF(COUNTIFS($E$5:$E$1204,E1089,$A$5:$A$1204,"&gt;"&amp;A1089,$H$5:$H$1204,"&lt;&gt;Falta",$H$5:$H$1204,"&lt;&gt;Cancelado",$H$5:$H$1204,"&lt;&gt;Remarcado")&gt;0,"Sim","Não"))</f>
        <v/>
      </c>
      <c r="S1089" s="32">
        <f>IF(R1089&lt;&gt;"Não","",IF(Q1089+Config!$B$9&lt;=Config!$B$8,Config!$B$8-Q1089,""))</f>
        <v/>
      </c>
      <c r="T1089" s="26">
        <f>IF(S1089="","","Sim")</f>
        <v/>
      </c>
      <c r="U1089" s="41">
        <f>IF(T1089="Sim",S1089+ROW()/100000,0)</f>
        <v>0</v>
      </c>
      <c r="V1089" s="41">
        <f>IF(AND(H1089="Falta",L1089=Config!$B$7,M1089=Config!$B$5,COUNTIFS($E$5:E1089,E1089,$H$5:H1089,"Falta",$L$5:L1089,Config!$B$7,$M$5:M1089,Config!$B$5)=1),COUNTIFS($E$5:$E$1204,E1089,$H$5:$H$1204,"Falta",$L$5:$L$1204,Config!$B$7,$M$5:$M$1204,Config!$B$5)*1000-ROW()/100000,0)</f>
        <v>0</v>
      </c>
    </row>
    <row r="1090">
      <c r="A1090" s="39" t="n"/>
      <c r="B1090" s="40" t="n"/>
      <c r="C1090" s="35" t="n"/>
      <c r="D1090" s="35" t="n"/>
      <c r="E1090" s="34" t="n"/>
      <c r="F1090" s="35" t="n"/>
      <c r="G1090" s="35" t="n"/>
      <c r="H1090" s="35" t="n"/>
      <c r="I1090" s="35" t="n"/>
      <c r="J1090" s="35" t="n"/>
      <c r="K1090" s="34" t="n"/>
      <c r="L1090" s="26">
        <f>IF(A1090="","",MONTH(A1090))</f>
        <v/>
      </c>
      <c r="M1090" s="26">
        <f>IF(A1090="","",YEAR(A1090))</f>
        <v/>
      </c>
      <c r="N1090" s="26">
        <f>IF(A1090="","",CHOOSE(WEEKDAY(A1090,2),"Segunda","Terça","Quarta","Quinta","Sexta","Sábado","Domingo"))</f>
        <v/>
      </c>
      <c r="O1090" s="26">
        <f>IF(B1090="","",IF(B1090&lt;TIME(12,0,0),"Manhã",IF(B1090&lt;TIME(18,0,0),"Tarde","Noite")))</f>
        <v/>
      </c>
      <c r="P1090" s="32">
        <f>IF(G1090="","",IFERROR(INDEX(Config!$I$5:$I$16,MATCH(G1090,Config!$H$5:$H$16,0)),0))</f>
        <v/>
      </c>
      <c r="Q1090" s="30">
        <f>IF(OR(H1090&lt;&gt;"Realizado",P1090="",P1090=0),"",A1090+P1090)</f>
        <v/>
      </c>
      <c r="R1090" s="26">
        <f>IF(Q1090="","",IF(COUNTIFS($E$5:$E$1204,E1090,$A$5:$A$1204,"&gt;"&amp;A1090,$H$5:$H$1204,"&lt;&gt;Falta",$H$5:$H$1204,"&lt;&gt;Cancelado",$H$5:$H$1204,"&lt;&gt;Remarcado")&gt;0,"Sim","Não"))</f>
        <v/>
      </c>
      <c r="S1090" s="32">
        <f>IF(R1090&lt;&gt;"Não","",IF(Q1090+Config!$B$9&lt;=Config!$B$8,Config!$B$8-Q1090,""))</f>
        <v/>
      </c>
      <c r="T1090" s="26">
        <f>IF(S1090="","","Sim")</f>
        <v/>
      </c>
      <c r="U1090" s="41">
        <f>IF(T1090="Sim",S1090+ROW()/100000,0)</f>
        <v>0</v>
      </c>
      <c r="V1090" s="41">
        <f>IF(AND(H1090="Falta",L1090=Config!$B$7,M1090=Config!$B$5,COUNTIFS($E$5:E1090,E1090,$H$5:H1090,"Falta",$L$5:L1090,Config!$B$7,$M$5:M1090,Config!$B$5)=1),COUNTIFS($E$5:$E$1204,E1090,$H$5:$H$1204,"Falta",$L$5:$L$1204,Config!$B$7,$M$5:$M$1204,Config!$B$5)*1000-ROW()/100000,0)</f>
        <v>0</v>
      </c>
    </row>
    <row r="1091">
      <c r="A1091" s="39" t="n"/>
      <c r="B1091" s="40" t="n"/>
      <c r="C1091" s="35" t="n"/>
      <c r="D1091" s="35" t="n"/>
      <c r="E1091" s="34" t="n"/>
      <c r="F1091" s="35" t="n"/>
      <c r="G1091" s="35" t="n"/>
      <c r="H1091" s="35" t="n"/>
      <c r="I1091" s="35" t="n"/>
      <c r="J1091" s="35" t="n"/>
      <c r="K1091" s="34" t="n"/>
      <c r="L1091" s="26">
        <f>IF(A1091="","",MONTH(A1091))</f>
        <v/>
      </c>
      <c r="M1091" s="26">
        <f>IF(A1091="","",YEAR(A1091))</f>
        <v/>
      </c>
      <c r="N1091" s="26">
        <f>IF(A1091="","",CHOOSE(WEEKDAY(A1091,2),"Segunda","Terça","Quarta","Quinta","Sexta","Sábado","Domingo"))</f>
        <v/>
      </c>
      <c r="O1091" s="26">
        <f>IF(B1091="","",IF(B1091&lt;TIME(12,0,0),"Manhã",IF(B1091&lt;TIME(18,0,0),"Tarde","Noite")))</f>
        <v/>
      </c>
      <c r="P1091" s="32">
        <f>IF(G1091="","",IFERROR(INDEX(Config!$I$5:$I$16,MATCH(G1091,Config!$H$5:$H$16,0)),0))</f>
        <v/>
      </c>
      <c r="Q1091" s="30">
        <f>IF(OR(H1091&lt;&gt;"Realizado",P1091="",P1091=0),"",A1091+P1091)</f>
        <v/>
      </c>
      <c r="R1091" s="26">
        <f>IF(Q1091="","",IF(COUNTIFS($E$5:$E$1204,E1091,$A$5:$A$1204,"&gt;"&amp;A1091,$H$5:$H$1204,"&lt;&gt;Falta",$H$5:$H$1204,"&lt;&gt;Cancelado",$H$5:$H$1204,"&lt;&gt;Remarcado")&gt;0,"Sim","Não"))</f>
        <v/>
      </c>
      <c r="S1091" s="32">
        <f>IF(R1091&lt;&gt;"Não","",IF(Q1091+Config!$B$9&lt;=Config!$B$8,Config!$B$8-Q1091,""))</f>
        <v/>
      </c>
      <c r="T1091" s="26">
        <f>IF(S1091="","","Sim")</f>
        <v/>
      </c>
      <c r="U1091" s="41">
        <f>IF(T1091="Sim",S1091+ROW()/100000,0)</f>
        <v>0</v>
      </c>
      <c r="V1091" s="41">
        <f>IF(AND(H1091="Falta",L1091=Config!$B$7,M1091=Config!$B$5,COUNTIFS($E$5:E1091,E1091,$H$5:H1091,"Falta",$L$5:L1091,Config!$B$7,$M$5:M1091,Config!$B$5)=1),COUNTIFS($E$5:$E$1204,E1091,$H$5:$H$1204,"Falta",$L$5:$L$1204,Config!$B$7,$M$5:$M$1204,Config!$B$5)*1000-ROW()/100000,0)</f>
        <v>0</v>
      </c>
    </row>
    <row r="1092">
      <c r="A1092" s="39" t="n"/>
      <c r="B1092" s="40" t="n"/>
      <c r="C1092" s="35" t="n"/>
      <c r="D1092" s="35" t="n"/>
      <c r="E1092" s="34" t="n"/>
      <c r="F1092" s="35" t="n"/>
      <c r="G1092" s="35" t="n"/>
      <c r="H1092" s="35" t="n"/>
      <c r="I1092" s="35" t="n"/>
      <c r="J1092" s="35" t="n"/>
      <c r="K1092" s="34" t="n"/>
      <c r="L1092" s="26">
        <f>IF(A1092="","",MONTH(A1092))</f>
        <v/>
      </c>
      <c r="M1092" s="26">
        <f>IF(A1092="","",YEAR(A1092))</f>
        <v/>
      </c>
      <c r="N1092" s="26">
        <f>IF(A1092="","",CHOOSE(WEEKDAY(A1092,2),"Segunda","Terça","Quarta","Quinta","Sexta","Sábado","Domingo"))</f>
        <v/>
      </c>
      <c r="O1092" s="26">
        <f>IF(B1092="","",IF(B1092&lt;TIME(12,0,0),"Manhã",IF(B1092&lt;TIME(18,0,0),"Tarde","Noite")))</f>
        <v/>
      </c>
      <c r="P1092" s="32">
        <f>IF(G1092="","",IFERROR(INDEX(Config!$I$5:$I$16,MATCH(G1092,Config!$H$5:$H$16,0)),0))</f>
        <v/>
      </c>
      <c r="Q1092" s="30">
        <f>IF(OR(H1092&lt;&gt;"Realizado",P1092="",P1092=0),"",A1092+P1092)</f>
        <v/>
      </c>
      <c r="R1092" s="26">
        <f>IF(Q1092="","",IF(COUNTIFS($E$5:$E$1204,E1092,$A$5:$A$1204,"&gt;"&amp;A1092,$H$5:$H$1204,"&lt;&gt;Falta",$H$5:$H$1204,"&lt;&gt;Cancelado",$H$5:$H$1204,"&lt;&gt;Remarcado")&gt;0,"Sim","Não"))</f>
        <v/>
      </c>
      <c r="S1092" s="32">
        <f>IF(R1092&lt;&gt;"Não","",IF(Q1092+Config!$B$9&lt;=Config!$B$8,Config!$B$8-Q1092,""))</f>
        <v/>
      </c>
      <c r="T1092" s="26">
        <f>IF(S1092="","","Sim")</f>
        <v/>
      </c>
      <c r="U1092" s="41">
        <f>IF(T1092="Sim",S1092+ROW()/100000,0)</f>
        <v>0</v>
      </c>
      <c r="V1092" s="41">
        <f>IF(AND(H1092="Falta",L1092=Config!$B$7,M1092=Config!$B$5,COUNTIFS($E$5:E1092,E1092,$H$5:H1092,"Falta",$L$5:L1092,Config!$B$7,$M$5:M1092,Config!$B$5)=1),COUNTIFS($E$5:$E$1204,E1092,$H$5:$H$1204,"Falta",$L$5:$L$1204,Config!$B$7,$M$5:$M$1204,Config!$B$5)*1000-ROW()/100000,0)</f>
        <v>0</v>
      </c>
    </row>
    <row r="1093">
      <c r="A1093" s="39" t="n"/>
      <c r="B1093" s="40" t="n"/>
      <c r="C1093" s="35" t="n"/>
      <c r="D1093" s="35" t="n"/>
      <c r="E1093" s="34" t="n"/>
      <c r="F1093" s="35" t="n"/>
      <c r="G1093" s="35" t="n"/>
      <c r="H1093" s="35" t="n"/>
      <c r="I1093" s="35" t="n"/>
      <c r="J1093" s="35" t="n"/>
      <c r="K1093" s="34" t="n"/>
      <c r="L1093" s="26">
        <f>IF(A1093="","",MONTH(A1093))</f>
        <v/>
      </c>
      <c r="M1093" s="26">
        <f>IF(A1093="","",YEAR(A1093))</f>
        <v/>
      </c>
      <c r="N1093" s="26">
        <f>IF(A1093="","",CHOOSE(WEEKDAY(A1093,2),"Segunda","Terça","Quarta","Quinta","Sexta","Sábado","Domingo"))</f>
        <v/>
      </c>
      <c r="O1093" s="26">
        <f>IF(B1093="","",IF(B1093&lt;TIME(12,0,0),"Manhã",IF(B1093&lt;TIME(18,0,0),"Tarde","Noite")))</f>
        <v/>
      </c>
      <c r="P1093" s="32">
        <f>IF(G1093="","",IFERROR(INDEX(Config!$I$5:$I$16,MATCH(G1093,Config!$H$5:$H$16,0)),0))</f>
        <v/>
      </c>
      <c r="Q1093" s="30">
        <f>IF(OR(H1093&lt;&gt;"Realizado",P1093="",P1093=0),"",A1093+P1093)</f>
        <v/>
      </c>
      <c r="R1093" s="26">
        <f>IF(Q1093="","",IF(COUNTIFS($E$5:$E$1204,E1093,$A$5:$A$1204,"&gt;"&amp;A1093,$H$5:$H$1204,"&lt;&gt;Falta",$H$5:$H$1204,"&lt;&gt;Cancelado",$H$5:$H$1204,"&lt;&gt;Remarcado")&gt;0,"Sim","Não"))</f>
        <v/>
      </c>
      <c r="S1093" s="32">
        <f>IF(R1093&lt;&gt;"Não","",IF(Q1093+Config!$B$9&lt;=Config!$B$8,Config!$B$8-Q1093,""))</f>
        <v/>
      </c>
      <c r="T1093" s="26">
        <f>IF(S1093="","","Sim")</f>
        <v/>
      </c>
      <c r="U1093" s="41">
        <f>IF(T1093="Sim",S1093+ROW()/100000,0)</f>
        <v>0</v>
      </c>
      <c r="V1093" s="41">
        <f>IF(AND(H1093="Falta",L1093=Config!$B$7,M1093=Config!$B$5,COUNTIFS($E$5:E1093,E1093,$H$5:H1093,"Falta",$L$5:L1093,Config!$B$7,$M$5:M1093,Config!$B$5)=1),COUNTIFS($E$5:$E$1204,E1093,$H$5:$H$1204,"Falta",$L$5:$L$1204,Config!$B$7,$M$5:$M$1204,Config!$B$5)*1000-ROW()/100000,0)</f>
        <v>0</v>
      </c>
    </row>
    <row r="1094">
      <c r="A1094" s="39" t="n"/>
      <c r="B1094" s="40" t="n"/>
      <c r="C1094" s="35" t="n"/>
      <c r="D1094" s="35" t="n"/>
      <c r="E1094" s="34" t="n"/>
      <c r="F1094" s="35" t="n"/>
      <c r="G1094" s="35" t="n"/>
      <c r="H1094" s="35" t="n"/>
      <c r="I1094" s="35" t="n"/>
      <c r="J1094" s="35" t="n"/>
      <c r="K1094" s="34" t="n"/>
      <c r="L1094" s="26">
        <f>IF(A1094="","",MONTH(A1094))</f>
        <v/>
      </c>
      <c r="M1094" s="26">
        <f>IF(A1094="","",YEAR(A1094))</f>
        <v/>
      </c>
      <c r="N1094" s="26">
        <f>IF(A1094="","",CHOOSE(WEEKDAY(A1094,2),"Segunda","Terça","Quarta","Quinta","Sexta","Sábado","Domingo"))</f>
        <v/>
      </c>
      <c r="O1094" s="26">
        <f>IF(B1094="","",IF(B1094&lt;TIME(12,0,0),"Manhã",IF(B1094&lt;TIME(18,0,0),"Tarde","Noite")))</f>
        <v/>
      </c>
      <c r="P1094" s="32">
        <f>IF(G1094="","",IFERROR(INDEX(Config!$I$5:$I$16,MATCH(G1094,Config!$H$5:$H$16,0)),0))</f>
        <v/>
      </c>
      <c r="Q1094" s="30">
        <f>IF(OR(H1094&lt;&gt;"Realizado",P1094="",P1094=0),"",A1094+P1094)</f>
        <v/>
      </c>
      <c r="R1094" s="26">
        <f>IF(Q1094="","",IF(COUNTIFS($E$5:$E$1204,E1094,$A$5:$A$1204,"&gt;"&amp;A1094,$H$5:$H$1204,"&lt;&gt;Falta",$H$5:$H$1204,"&lt;&gt;Cancelado",$H$5:$H$1204,"&lt;&gt;Remarcado")&gt;0,"Sim","Não"))</f>
        <v/>
      </c>
      <c r="S1094" s="32">
        <f>IF(R1094&lt;&gt;"Não","",IF(Q1094+Config!$B$9&lt;=Config!$B$8,Config!$B$8-Q1094,""))</f>
        <v/>
      </c>
      <c r="T1094" s="26">
        <f>IF(S1094="","","Sim")</f>
        <v/>
      </c>
      <c r="U1094" s="41">
        <f>IF(T1094="Sim",S1094+ROW()/100000,0)</f>
        <v>0</v>
      </c>
      <c r="V1094" s="41">
        <f>IF(AND(H1094="Falta",L1094=Config!$B$7,M1094=Config!$B$5,COUNTIFS($E$5:E1094,E1094,$H$5:H1094,"Falta",$L$5:L1094,Config!$B$7,$M$5:M1094,Config!$B$5)=1),COUNTIFS($E$5:$E$1204,E1094,$H$5:$H$1204,"Falta",$L$5:$L$1204,Config!$B$7,$M$5:$M$1204,Config!$B$5)*1000-ROW()/100000,0)</f>
        <v>0</v>
      </c>
    </row>
    <row r="1095">
      <c r="A1095" s="39" t="n"/>
      <c r="B1095" s="40" t="n"/>
      <c r="C1095" s="35" t="n"/>
      <c r="D1095" s="35" t="n"/>
      <c r="E1095" s="34" t="n"/>
      <c r="F1095" s="35" t="n"/>
      <c r="G1095" s="35" t="n"/>
      <c r="H1095" s="35" t="n"/>
      <c r="I1095" s="35" t="n"/>
      <c r="J1095" s="35" t="n"/>
      <c r="K1095" s="34" t="n"/>
      <c r="L1095" s="26">
        <f>IF(A1095="","",MONTH(A1095))</f>
        <v/>
      </c>
      <c r="M1095" s="26">
        <f>IF(A1095="","",YEAR(A1095))</f>
        <v/>
      </c>
      <c r="N1095" s="26">
        <f>IF(A1095="","",CHOOSE(WEEKDAY(A1095,2),"Segunda","Terça","Quarta","Quinta","Sexta","Sábado","Domingo"))</f>
        <v/>
      </c>
      <c r="O1095" s="26">
        <f>IF(B1095="","",IF(B1095&lt;TIME(12,0,0),"Manhã",IF(B1095&lt;TIME(18,0,0),"Tarde","Noite")))</f>
        <v/>
      </c>
      <c r="P1095" s="32">
        <f>IF(G1095="","",IFERROR(INDEX(Config!$I$5:$I$16,MATCH(G1095,Config!$H$5:$H$16,0)),0))</f>
        <v/>
      </c>
      <c r="Q1095" s="30">
        <f>IF(OR(H1095&lt;&gt;"Realizado",P1095="",P1095=0),"",A1095+P1095)</f>
        <v/>
      </c>
      <c r="R1095" s="26">
        <f>IF(Q1095="","",IF(COUNTIFS($E$5:$E$1204,E1095,$A$5:$A$1204,"&gt;"&amp;A1095,$H$5:$H$1204,"&lt;&gt;Falta",$H$5:$H$1204,"&lt;&gt;Cancelado",$H$5:$H$1204,"&lt;&gt;Remarcado")&gt;0,"Sim","Não"))</f>
        <v/>
      </c>
      <c r="S1095" s="32">
        <f>IF(R1095&lt;&gt;"Não","",IF(Q1095+Config!$B$9&lt;=Config!$B$8,Config!$B$8-Q1095,""))</f>
        <v/>
      </c>
      <c r="T1095" s="26">
        <f>IF(S1095="","","Sim")</f>
        <v/>
      </c>
      <c r="U1095" s="41">
        <f>IF(T1095="Sim",S1095+ROW()/100000,0)</f>
        <v>0</v>
      </c>
      <c r="V1095" s="41">
        <f>IF(AND(H1095="Falta",L1095=Config!$B$7,M1095=Config!$B$5,COUNTIFS($E$5:E1095,E1095,$H$5:H1095,"Falta",$L$5:L1095,Config!$B$7,$M$5:M1095,Config!$B$5)=1),COUNTIFS($E$5:$E$1204,E1095,$H$5:$H$1204,"Falta",$L$5:$L$1204,Config!$B$7,$M$5:$M$1204,Config!$B$5)*1000-ROW()/100000,0)</f>
        <v>0</v>
      </c>
    </row>
    <row r="1096">
      <c r="A1096" s="39" t="n"/>
      <c r="B1096" s="40" t="n"/>
      <c r="C1096" s="35" t="n"/>
      <c r="D1096" s="35" t="n"/>
      <c r="E1096" s="34" t="n"/>
      <c r="F1096" s="35" t="n"/>
      <c r="G1096" s="35" t="n"/>
      <c r="H1096" s="35" t="n"/>
      <c r="I1096" s="35" t="n"/>
      <c r="J1096" s="35" t="n"/>
      <c r="K1096" s="34" t="n"/>
      <c r="L1096" s="26">
        <f>IF(A1096="","",MONTH(A1096))</f>
        <v/>
      </c>
      <c r="M1096" s="26">
        <f>IF(A1096="","",YEAR(A1096))</f>
        <v/>
      </c>
      <c r="N1096" s="26">
        <f>IF(A1096="","",CHOOSE(WEEKDAY(A1096,2),"Segunda","Terça","Quarta","Quinta","Sexta","Sábado","Domingo"))</f>
        <v/>
      </c>
      <c r="O1096" s="26">
        <f>IF(B1096="","",IF(B1096&lt;TIME(12,0,0),"Manhã",IF(B1096&lt;TIME(18,0,0),"Tarde","Noite")))</f>
        <v/>
      </c>
      <c r="P1096" s="32">
        <f>IF(G1096="","",IFERROR(INDEX(Config!$I$5:$I$16,MATCH(G1096,Config!$H$5:$H$16,0)),0))</f>
        <v/>
      </c>
      <c r="Q1096" s="30">
        <f>IF(OR(H1096&lt;&gt;"Realizado",P1096="",P1096=0),"",A1096+P1096)</f>
        <v/>
      </c>
      <c r="R1096" s="26">
        <f>IF(Q1096="","",IF(COUNTIFS($E$5:$E$1204,E1096,$A$5:$A$1204,"&gt;"&amp;A1096,$H$5:$H$1204,"&lt;&gt;Falta",$H$5:$H$1204,"&lt;&gt;Cancelado",$H$5:$H$1204,"&lt;&gt;Remarcado")&gt;0,"Sim","Não"))</f>
        <v/>
      </c>
      <c r="S1096" s="32">
        <f>IF(R1096&lt;&gt;"Não","",IF(Q1096+Config!$B$9&lt;=Config!$B$8,Config!$B$8-Q1096,""))</f>
        <v/>
      </c>
      <c r="T1096" s="26">
        <f>IF(S1096="","","Sim")</f>
        <v/>
      </c>
      <c r="U1096" s="41">
        <f>IF(T1096="Sim",S1096+ROW()/100000,0)</f>
        <v>0</v>
      </c>
      <c r="V1096" s="41">
        <f>IF(AND(H1096="Falta",L1096=Config!$B$7,M1096=Config!$B$5,COUNTIFS($E$5:E1096,E1096,$H$5:H1096,"Falta",$L$5:L1096,Config!$B$7,$M$5:M1096,Config!$B$5)=1),COUNTIFS($E$5:$E$1204,E1096,$H$5:$H$1204,"Falta",$L$5:$L$1204,Config!$B$7,$M$5:$M$1204,Config!$B$5)*1000-ROW()/100000,0)</f>
        <v>0</v>
      </c>
    </row>
    <row r="1097">
      <c r="A1097" s="39" t="n"/>
      <c r="B1097" s="40" t="n"/>
      <c r="C1097" s="35" t="n"/>
      <c r="D1097" s="35" t="n"/>
      <c r="E1097" s="34" t="n"/>
      <c r="F1097" s="35" t="n"/>
      <c r="G1097" s="35" t="n"/>
      <c r="H1097" s="35" t="n"/>
      <c r="I1097" s="35" t="n"/>
      <c r="J1097" s="35" t="n"/>
      <c r="K1097" s="34" t="n"/>
      <c r="L1097" s="26">
        <f>IF(A1097="","",MONTH(A1097))</f>
        <v/>
      </c>
      <c r="M1097" s="26">
        <f>IF(A1097="","",YEAR(A1097))</f>
        <v/>
      </c>
      <c r="N1097" s="26">
        <f>IF(A1097="","",CHOOSE(WEEKDAY(A1097,2),"Segunda","Terça","Quarta","Quinta","Sexta","Sábado","Domingo"))</f>
        <v/>
      </c>
      <c r="O1097" s="26">
        <f>IF(B1097="","",IF(B1097&lt;TIME(12,0,0),"Manhã",IF(B1097&lt;TIME(18,0,0),"Tarde","Noite")))</f>
        <v/>
      </c>
      <c r="P1097" s="32">
        <f>IF(G1097="","",IFERROR(INDEX(Config!$I$5:$I$16,MATCH(G1097,Config!$H$5:$H$16,0)),0))</f>
        <v/>
      </c>
      <c r="Q1097" s="30">
        <f>IF(OR(H1097&lt;&gt;"Realizado",P1097="",P1097=0),"",A1097+P1097)</f>
        <v/>
      </c>
      <c r="R1097" s="26">
        <f>IF(Q1097="","",IF(COUNTIFS($E$5:$E$1204,E1097,$A$5:$A$1204,"&gt;"&amp;A1097,$H$5:$H$1204,"&lt;&gt;Falta",$H$5:$H$1204,"&lt;&gt;Cancelado",$H$5:$H$1204,"&lt;&gt;Remarcado")&gt;0,"Sim","Não"))</f>
        <v/>
      </c>
      <c r="S1097" s="32">
        <f>IF(R1097&lt;&gt;"Não","",IF(Q1097+Config!$B$9&lt;=Config!$B$8,Config!$B$8-Q1097,""))</f>
        <v/>
      </c>
      <c r="T1097" s="26">
        <f>IF(S1097="","","Sim")</f>
        <v/>
      </c>
      <c r="U1097" s="41">
        <f>IF(T1097="Sim",S1097+ROW()/100000,0)</f>
        <v>0</v>
      </c>
      <c r="V1097" s="41">
        <f>IF(AND(H1097="Falta",L1097=Config!$B$7,M1097=Config!$B$5,COUNTIFS($E$5:E1097,E1097,$H$5:H1097,"Falta",$L$5:L1097,Config!$B$7,$M$5:M1097,Config!$B$5)=1),COUNTIFS($E$5:$E$1204,E1097,$H$5:$H$1204,"Falta",$L$5:$L$1204,Config!$B$7,$M$5:$M$1204,Config!$B$5)*1000-ROW()/100000,0)</f>
        <v>0</v>
      </c>
    </row>
    <row r="1098">
      <c r="A1098" s="39" t="n"/>
      <c r="B1098" s="40" t="n"/>
      <c r="C1098" s="35" t="n"/>
      <c r="D1098" s="35" t="n"/>
      <c r="E1098" s="34" t="n"/>
      <c r="F1098" s="35" t="n"/>
      <c r="G1098" s="35" t="n"/>
      <c r="H1098" s="35" t="n"/>
      <c r="I1098" s="35" t="n"/>
      <c r="J1098" s="35" t="n"/>
      <c r="K1098" s="34" t="n"/>
      <c r="L1098" s="26">
        <f>IF(A1098="","",MONTH(A1098))</f>
        <v/>
      </c>
      <c r="M1098" s="26">
        <f>IF(A1098="","",YEAR(A1098))</f>
        <v/>
      </c>
      <c r="N1098" s="26">
        <f>IF(A1098="","",CHOOSE(WEEKDAY(A1098,2),"Segunda","Terça","Quarta","Quinta","Sexta","Sábado","Domingo"))</f>
        <v/>
      </c>
      <c r="O1098" s="26">
        <f>IF(B1098="","",IF(B1098&lt;TIME(12,0,0),"Manhã",IF(B1098&lt;TIME(18,0,0),"Tarde","Noite")))</f>
        <v/>
      </c>
      <c r="P1098" s="32">
        <f>IF(G1098="","",IFERROR(INDEX(Config!$I$5:$I$16,MATCH(G1098,Config!$H$5:$H$16,0)),0))</f>
        <v/>
      </c>
      <c r="Q1098" s="30">
        <f>IF(OR(H1098&lt;&gt;"Realizado",P1098="",P1098=0),"",A1098+P1098)</f>
        <v/>
      </c>
      <c r="R1098" s="26">
        <f>IF(Q1098="","",IF(COUNTIFS($E$5:$E$1204,E1098,$A$5:$A$1204,"&gt;"&amp;A1098,$H$5:$H$1204,"&lt;&gt;Falta",$H$5:$H$1204,"&lt;&gt;Cancelado",$H$5:$H$1204,"&lt;&gt;Remarcado")&gt;0,"Sim","Não"))</f>
        <v/>
      </c>
      <c r="S1098" s="32">
        <f>IF(R1098&lt;&gt;"Não","",IF(Q1098+Config!$B$9&lt;=Config!$B$8,Config!$B$8-Q1098,""))</f>
        <v/>
      </c>
      <c r="T1098" s="26">
        <f>IF(S1098="","","Sim")</f>
        <v/>
      </c>
      <c r="U1098" s="41">
        <f>IF(T1098="Sim",S1098+ROW()/100000,0)</f>
        <v>0</v>
      </c>
      <c r="V1098" s="41">
        <f>IF(AND(H1098="Falta",L1098=Config!$B$7,M1098=Config!$B$5,COUNTIFS($E$5:E1098,E1098,$H$5:H1098,"Falta",$L$5:L1098,Config!$B$7,$M$5:M1098,Config!$B$5)=1),COUNTIFS($E$5:$E$1204,E1098,$H$5:$H$1204,"Falta",$L$5:$L$1204,Config!$B$7,$M$5:$M$1204,Config!$B$5)*1000-ROW()/100000,0)</f>
        <v>0</v>
      </c>
    </row>
    <row r="1099">
      <c r="A1099" s="39" t="n"/>
      <c r="B1099" s="40" t="n"/>
      <c r="C1099" s="35" t="n"/>
      <c r="D1099" s="35" t="n"/>
      <c r="E1099" s="34" t="n"/>
      <c r="F1099" s="35" t="n"/>
      <c r="G1099" s="35" t="n"/>
      <c r="H1099" s="35" t="n"/>
      <c r="I1099" s="35" t="n"/>
      <c r="J1099" s="35" t="n"/>
      <c r="K1099" s="34" t="n"/>
      <c r="L1099" s="26">
        <f>IF(A1099="","",MONTH(A1099))</f>
        <v/>
      </c>
      <c r="M1099" s="26">
        <f>IF(A1099="","",YEAR(A1099))</f>
        <v/>
      </c>
      <c r="N1099" s="26">
        <f>IF(A1099="","",CHOOSE(WEEKDAY(A1099,2),"Segunda","Terça","Quarta","Quinta","Sexta","Sábado","Domingo"))</f>
        <v/>
      </c>
      <c r="O1099" s="26">
        <f>IF(B1099="","",IF(B1099&lt;TIME(12,0,0),"Manhã",IF(B1099&lt;TIME(18,0,0),"Tarde","Noite")))</f>
        <v/>
      </c>
      <c r="P1099" s="32">
        <f>IF(G1099="","",IFERROR(INDEX(Config!$I$5:$I$16,MATCH(G1099,Config!$H$5:$H$16,0)),0))</f>
        <v/>
      </c>
      <c r="Q1099" s="30">
        <f>IF(OR(H1099&lt;&gt;"Realizado",P1099="",P1099=0),"",A1099+P1099)</f>
        <v/>
      </c>
      <c r="R1099" s="26">
        <f>IF(Q1099="","",IF(COUNTIFS($E$5:$E$1204,E1099,$A$5:$A$1204,"&gt;"&amp;A1099,$H$5:$H$1204,"&lt;&gt;Falta",$H$5:$H$1204,"&lt;&gt;Cancelado",$H$5:$H$1204,"&lt;&gt;Remarcado")&gt;0,"Sim","Não"))</f>
        <v/>
      </c>
      <c r="S1099" s="32">
        <f>IF(R1099&lt;&gt;"Não","",IF(Q1099+Config!$B$9&lt;=Config!$B$8,Config!$B$8-Q1099,""))</f>
        <v/>
      </c>
      <c r="T1099" s="26">
        <f>IF(S1099="","","Sim")</f>
        <v/>
      </c>
      <c r="U1099" s="41">
        <f>IF(T1099="Sim",S1099+ROW()/100000,0)</f>
        <v>0</v>
      </c>
      <c r="V1099" s="41">
        <f>IF(AND(H1099="Falta",L1099=Config!$B$7,M1099=Config!$B$5,COUNTIFS($E$5:E1099,E1099,$H$5:H1099,"Falta",$L$5:L1099,Config!$B$7,$M$5:M1099,Config!$B$5)=1),COUNTIFS($E$5:$E$1204,E1099,$H$5:$H$1204,"Falta",$L$5:$L$1204,Config!$B$7,$M$5:$M$1204,Config!$B$5)*1000-ROW()/100000,0)</f>
        <v>0</v>
      </c>
    </row>
    <row r="1100">
      <c r="A1100" s="39" t="n"/>
      <c r="B1100" s="40" t="n"/>
      <c r="C1100" s="35" t="n"/>
      <c r="D1100" s="35" t="n"/>
      <c r="E1100" s="34" t="n"/>
      <c r="F1100" s="35" t="n"/>
      <c r="G1100" s="35" t="n"/>
      <c r="H1100" s="35" t="n"/>
      <c r="I1100" s="35" t="n"/>
      <c r="J1100" s="35" t="n"/>
      <c r="K1100" s="34" t="n"/>
      <c r="L1100" s="26">
        <f>IF(A1100="","",MONTH(A1100))</f>
        <v/>
      </c>
      <c r="M1100" s="26">
        <f>IF(A1100="","",YEAR(A1100))</f>
        <v/>
      </c>
      <c r="N1100" s="26">
        <f>IF(A1100="","",CHOOSE(WEEKDAY(A1100,2),"Segunda","Terça","Quarta","Quinta","Sexta","Sábado","Domingo"))</f>
        <v/>
      </c>
      <c r="O1100" s="26">
        <f>IF(B1100="","",IF(B1100&lt;TIME(12,0,0),"Manhã",IF(B1100&lt;TIME(18,0,0),"Tarde","Noite")))</f>
        <v/>
      </c>
      <c r="P1100" s="32">
        <f>IF(G1100="","",IFERROR(INDEX(Config!$I$5:$I$16,MATCH(G1100,Config!$H$5:$H$16,0)),0))</f>
        <v/>
      </c>
      <c r="Q1100" s="30">
        <f>IF(OR(H1100&lt;&gt;"Realizado",P1100="",P1100=0),"",A1100+P1100)</f>
        <v/>
      </c>
      <c r="R1100" s="26">
        <f>IF(Q1100="","",IF(COUNTIFS($E$5:$E$1204,E1100,$A$5:$A$1204,"&gt;"&amp;A1100,$H$5:$H$1204,"&lt;&gt;Falta",$H$5:$H$1204,"&lt;&gt;Cancelado",$H$5:$H$1204,"&lt;&gt;Remarcado")&gt;0,"Sim","Não"))</f>
        <v/>
      </c>
      <c r="S1100" s="32">
        <f>IF(R1100&lt;&gt;"Não","",IF(Q1100+Config!$B$9&lt;=Config!$B$8,Config!$B$8-Q1100,""))</f>
        <v/>
      </c>
      <c r="T1100" s="26">
        <f>IF(S1100="","","Sim")</f>
        <v/>
      </c>
      <c r="U1100" s="41">
        <f>IF(T1100="Sim",S1100+ROW()/100000,0)</f>
        <v>0</v>
      </c>
      <c r="V1100" s="41">
        <f>IF(AND(H1100="Falta",L1100=Config!$B$7,M1100=Config!$B$5,COUNTIFS($E$5:E1100,E1100,$H$5:H1100,"Falta",$L$5:L1100,Config!$B$7,$M$5:M1100,Config!$B$5)=1),COUNTIFS($E$5:$E$1204,E1100,$H$5:$H$1204,"Falta",$L$5:$L$1204,Config!$B$7,$M$5:$M$1204,Config!$B$5)*1000-ROW()/100000,0)</f>
        <v>0</v>
      </c>
    </row>
    <row r="1101">
      <c r="A1101" s="39" t="n"/>
      <c r="B1101" s="40" t="n"/>
      <c r="C1101" s="35" t="n"/>
      <c r="D1101" s="35" t="n"/>
      <c r="E1101" s="34" t="n"/>
      <c r="F1101" s="35" t="n"/>
      <c r="G1101" s="35" t="n"/>
      <c r="H1101" s="35" t="n"/>
      <c r="I1101" s="35" t="n"/>
      <c r="J1101" s="35" t="n"/>
      <c r="K1101" s="34" t="n"/>
      <c r="L1101" s="26">
        <f>IF(A1101="","",MONTH(A1101))</f>
        <v/>
      </c>
      <c r="M1101" s="26">
        <f>IF(A1101="","",YEAR(A1101))</f>
        <v/>
      </c>
      <c r="N1101" s="26">
        <f>IF(A1101="","",CHOOSE(WEEKDAY(A1101,2),"Segunda","Terça","Quarta","Quinta","Sexta","Sábado","Domingo"))</f>
        <v/>
      </c>
      <c r="O1101" s="26">
        <f>IF(B1101="","",IF(B1101&lt;TIME(12,0,0),"Manhã",IF(B1101&lt;TIME(18,0,0),"Tarde","Noite")))</f>
        <v/>
      </c>
      <c r="P1101" s="32">
        <f>IF(G1101="","",IFERROR(INDEX(Config!$I$5:$I$16,MATCH(G1101,Config!$H$5:$H$16,0)),0))</f>
        <v/>
      </c>
      <c r="Q1101" s="30">
        <f>IF(OR(H1101&lt;&gt;"Realizado",P1101="",P1101=0),"",A1101+P1101)</f>
        <v/>
      </c>
      <c r="R1101" s="26">
        <f>IF(Q1101="","",IF(COUNTIFS($E$5:$E$1204,E1101,$A$5:$A$1204,"&gt;"&amp;A1101,$H$5:$H$1204,"&lt;&gt;Falta",$H$5:$H$1204,"&lt;&gt;Cancelado",$H$5:$H$1204,"&lt;&gt;Remarcado")&gt;0,"Sim","Não"))</f>
        <v/>
      </c>
      <c r="S1101" s="32">
        <f>IF(R1101&lt;&gt;"Não","",IF(Q1101+Config!$B$9&lt;=Config!$B$8,Config!$B$8-Q1101,""))</f>
        <v/>
      </c>
      <c r="T1101" s="26">
        <f>IF(S1101="","","Sim")</f>
        <v/>
      </c>
      <c r="U1101" s="41">
        <f>IF(T1101="Sim",S1101+ROW()/100000,0)</f>
        <v>0</v>
      </c>
      <c r="V1101" s="41">
        <f>IF(AND(H1101="Falta",L1101=Config!$B$7,M1101=Config!$B$5,COUNTIFS($E$5:E1101,E1101,$H$5:H1101,"Falta",$L$5:L1101,Config!$B$7,$M$5:M1101,Config!$B$5)=1),COUNTIFS($E$5:$E$1204,E1101,$H$5:$H$1204,"Falta",$L$5:$L$1204,Config!$B$7,$M$5:$M$1204,Config!$B$5)*1000-ROW()/100000,0)</f>
        <v>0</v>
      </c>
    </row>
    <row r="1102">
      <c r="A1102" s="39" t="n"/>
      <c r="B1102" s="40" t="n"/>
      <c r="C1102" s="35" t="n"/>
      <c r="D1102" s="35" t="n"/>
      <c r="E1102" s="34" t="n"/>
      <c r="F1102" s="35" t="n"/>
      <c r="G1102" s="35" t="n"/>
      <c r="H1102" s="35" t="n"/>
      <c r="I1102" s="35" t="n"/>
      <c r="J1102" s="35" t="n"/>
      <c r="K1102" s="34" t="n"/>
      <c r="L1102" s="26">
        <f>IF(A1102="","",MONTH(A1102))</f>
        <v/>
      </c>
      <c r="M1102" s="26">
        <f>IF(A1102="","",YEAR(A1102))</f>
        <v/>
      </c>
      <c r="N1102" s="26">
        <f>IF(A1102="","",CHOOSE(WEEKDAY(A1102,2),"Segunda","Terça","Quarta","Quinta","Sexta","Sábado","Domingo"))</f>
        <v/>
      </c>
      <c r="O1102" s="26">
        <f>IF(B1102="","",IF(B1102&lt;TIME(12,0,0),"Manhã",IF(B1102&lt;TIME(18,0,0),"Tarde","Noite")))</f>
        <v/>
      </c>
      <c r="P1102" s="32">
        <f>IF(G1102="","",IFERROR(INDEX(Config!$I$5:$I$16,MATCH(G1102,Config!$H$5:$H$16,0)),0))</f>
        <v/>
      </c>
      <c r="Q1102" s="30">
        <f>IF(OR(H1102&lt;&gt;"Realizado",P1102="",P1102=0),"",A1102+P1102)</f>
        <v/>
      </c>
      <c r="R1102" s="26">
        <f>IF(Q1102="","",IF(COUNTIFS($E$5:$E$1204,E1102,$A$5:$A$1204,"&gt;"&amp;A1102,$H$5:$H$1204,"&lt;&gt;Falta",$H$5:$H$1204,"&lt;&gt;Cancelado",$H$5:$H$1204,"&lt;&gt;Remarcado")&gt;0,"Sim","Não"))</f>
        <v/>
      </c>
      <c r="S1102" s="32">
        <f>IF(R1102&lt;&gt;"Não","",IF(Q1102+Config!$B$9&lt;=Config!$B$8,Config!$B$8-Q1102,""))</f>
        <v/>
      </c>
      <c r="T1102" s="26">
        <f>IF(S1102="","","Sim")</f>
        <v/>
      </c>
      <c r="U1102" s="41">
        <f>IF(T1102="Sim",S1102+ROW()/100000,0)</f>
        <v>0</v>
      </c>
      <c r="V1102" s="41">
        <f>IF(AND(H1102="Falta",L1102=Config!$B$7,M1102=Config!$B$5,COUNTIFS($E$5:E1102,E1102,$H$5:H1102,"Falta",$L$5:L1102,Config!$B$7,$M$5:M1102,Config!$B$5)=1),COUNTIFS($E$5:$E$1204,E1102,$H$5:$H$1204,"Falta",$L$5:$L$1204,Config!$B$7,$M$5:$M$1204,Config!$B$5)*1000-ROW()/100000,0)</f>
        <v>0</v>
      </c>
    </row>
    <row r="1103">
      <c r="A1103" s="39" t="n"/>
      <c r="B1103" s="40" t="n"/>
      <c r="C1103" s="35" t="n"/>
      <c r="D1103" s="35" t="n"/>
      <c r="E1103" s="34" t="n"/>
      <c r="F1103" s="35" t="n"/>
      <c r="G1103" s="35" t="n"/>
      <c r="H1103" s="35" t="n"/>
      <c r="I1103" s="35" t="n"/>
      <c r="J1103" s="35" t="n"/>
      <c r="K1103" s="34" t="n"/>
      <c r="L1103" s="26">
        <f>IF(A1103="","",MONTH(A1103))</f>
        <v/>
      </c>
      <c r="M1103" s="26">
        <f>IF(A1103="","",YEAR(A1103))</f>
        <v/>
      </c>
      <c r="N1103" s="26">
        <f>IF(A1103="","",CHOOSE(WEEKDAY(A1103,2),"Segunda","Terça","Quarta","Quinta","Sexta","Sábado","Domingo"))</f>
        <v/>
      </c>
      <c r="O1103" s="26">
        <f>IF(B1103="","",IF(B1103&lt;TIME(12,0,0),"Manhã",IF(B1103&lt;TIME(18,0,0),"Tarde","Noite")))</f>
        <v/>
      </c>
      <c r="P1103" s="32">
        <f>IF(G1103="","",IFERROR(INDEX(Config!$I$5:$I$16,MATCH(G1103,Config!$H$5:$H$16,0)),0))</f>
        <v/>
      </c>
      <c r="Q1103" s="30">
        <f>IF(OR(H1103&lt;&gt;"Realizado",P1103="",P1103=0),"",A1103+P1103)</f>
        <v/>
      </c>
      <c r="R1103" s="26">
        <f>IF(Q1103="","",IF(COUNTIFS($E$5:$E$1204,E1103,$A$5:$A$1204,"&gt;"&amp;A1103,$H$5:$H$1204,"&lt;&gt;Falta",$H$5:$H$1204,"&lt;&gt;Cancelado",$H$5:$H$1204,"&lt;&gt;Remarcado")&gt;0,"Sim","Não"))</f>
        <v/>
      </c>
      <c r="S1103" s="32">
        <f>IF(R1103&lt;&gt;"Não","",IF(Q1103+Config!$B$9&lt;=Config!$B$8,Config!$B$8-Q1103,""))</f>
        <v/>
      </c>
      <c r="T1103" s="26">
        <f>IF(S1103="","","Sim")</f>
        <v/>
      </c>
      <c r="U1103" s="41">
        <f>IF(T1103="Sim",S1103+ROW()/100000,0)</f>
        <v>0</v>
      </c>
      <c r="V1103" s="41">
        <f>IF(AND(H1103="Falta",L1103=Config!$B$7,M1103=Config!$B$5,COUNTIFS($E$5:E1103,E1103,$H$5:H1103,"Falta",$L$5:L1103,Config!$B$7,$M$5:M1103,Config!$B$5)=1),COUNTIFS($E$5:$E$1204,E1103,$H$5:$H$1204,"Falta",$L$5:$L$1204,Config!$B$7,$M$5:$M$1204,Config!$B$5)*1000-ROW()/100000,0)</f>
        <v>0</v>
      </c>
    </row>
    <row r="1104">
      <c r="A1104" s="39" t="n"/>
      <c r="B1104" s="40" t="n"/>
      <c r="C1104" s="35" t="n"/>
      <c r="D1104" s="35" t="n"/>
      <c r="E1104" s="34" t="n"/>
      <c r="F1104" s="35" t="n"/>
      <c r="G1104" s="35" t="n"/>
      <c r="H1104" s="35" t="n"/>
      <c r="I1104" s="35" t="n"/>
      <c r="J1104" s="35" t="n"/>
      <c r="K1104" s="34" t="n"/>
      <c r="L1104" s="26">
        <f>IF(A1104="","",MONTH(A1104))</f>
        <v/>
      </c>
      <c r="M1104" s="26">
        <f>IF(A1104="","",YEAR(A1104))</f>
        <v/>
      </c>
      <c r="N1104" s="26">
        <f>IF(A1104="","",CHOOSE(WEEKDAY(A1104,2),"Segunda","Terça","Quarta","Quinta","Sexta","Sábado","Domingo"))</f>
        <v/>
      </c>
      <c r="O1104" s="26">
        <f>IF(B1104="","",IF(B1104&lt;TIME(12,0,0),"Manhã",IF(B1104&lt;TIME(18,0,0),"Tarde","Noite")))</f>
        <v/>
      </c>
      <c r="P1104" s="32">
        <f>IF(G1104="","",IFERROR(INDEX(Config!$I$5:$I$16,MATCH(G1104,Config!$H$5:$H$16,0)),0))</f>
        <v/>
      </c>
      <c r="Q1104" s="30">
        <f>IF(OR(H1104&lt;&gt;"Realizado",P1104="",P1104=0),"",A1104+P1104)</f>
        <v/>
      </c>
      <c r="R1104" s="26">
        <f>IF(Q1104="","",IF(COUNTIFS($E$5:$E$1204,E1104,$A$5:$A$1204,"&gt;"&amp;A1104,$H$5:$H$1204,"&lt;&gt;Falta",$H$5:$H$1204,"&lt;&gt;Cancelado",$H$5:$H$1204,"&lt;&gt;Remarcado")&gt;0,"Sim","Não"))</f>
        <v/>
      </c>
      <c r="S1104" s="32">
        <f>IF(R1104&lt;&gt;"Não","",IF(Q1104+Config!$B$9&lt;=Config!$B$8,Config!$B$8-Q1104,""))</f>
        <v/>
      </c>
      <c r="T1104" s="26">
        <f>IF(S1104="","","Sim")</f>
        <v/>
      </c>
      <c r="U1104" s="41">
        <f>IF(T1104="Sim",S1104+ROW()/100000,0)</f>
        <v>0</v>
      </c>
      <c r="V1104" s="41">
        <f>IF(AND(H1104="Falta",L1104=Config!$B$7,M1104=Config!$B$5,COUNTIFS($E$5:E1104,E1104,$H$5:H1104,"Falta",$L$5:L1104,Config!$B$7,$M$5:M1104,Config!$B$5)=1),COUNTIFS($E$5:$E$1204,E1104,$H$5:$H$1204,"Falta",$L$5:$L$1204,Config!$B$7,$M$5:$M$1204,Config!$B$5)*1000-ROW()/100000,0)</f>
        <v>0</v>
      </c>
    </row>
    <row r="1105">
      <c r="A1105" s="39" t="n"/>
      <c r="B1105" s="40" t="n"/>
      <c r="C1105" s="35" t="n"/>
      <c r="D1105" s="35" t="n"/>
      <c r="E1105" s="34" t="n"/>
      <c r="F1105" s="35" t="n"/>
      <c r="G1105" s="35" t="n"/>
      <c r="H1105" s="35" t="n"/>
      <c r="I1105" s="35" t="n"/>
      <c r="J1105" s="35" t="n"/>
      <c r="K1105" s="34" t="n"/>
      <c r="L1105" s="26">
        <f>IF(A1105="","",MONTH(A1105))</f>
        <v/>
      </c>
      <c r="M1105" s="26">
        <f>IF(A1105="","",YEAR(A1105))</f>
        <v/>
      </c>
      <c r="N1105" s="26">
        <f>IF(A1105="","",CHOOSE(WEEKDAY(A1105,2),"Segunda","Terça","Quarta","Quinta","Sexta","Sábado","Domingo"))</f>
        <v/>
      </c>
      <c r="O1105" s="26">
        <f>IF(B1105="","",IF(B1105&lt;TIME(12,0,0),"Manhã",IF(B1105&lt;TIME(18,0,0),"Tarde","Noite")))</f>
        <v/>
      </c>
      <c r="P1105" s="32">
        <f>IF(G1105="","",IFERROR(INDEX(Config!$I$5:$I$16,MATCH(G1105,Config!$H$5:$H$16,0)),0))</f>
        <v/>
      </c>
      <c r="Q1105" s="30">
        <f>IF(OR(H1105&lt;&gt;"Realizado",P1105="",P1105=0),"",A1105+P1105)</f>
        <v/>
      </c>
      <c r="R1105" s="26">
        <f>IF(Q1105="","",IF(COUNTIFS($E$5:$E$1204,E1105,$A$5:$A$1204,"&gt;"&amp;A1105,$H$5:$H$1204,"&lt;&gt;Falta",$H$5:$H$1204,"&lt;&gt;Cancelado",$H$5:$H$1204,"&lt;&gt;Remarcado")&gt;0,"Sim","Não"))</f>
        <v/>
      </c>
      <c r="S1105" s="32">
        <f>IF(R1105&lt;&gt;"Não","",IF(Q1105+Config!$B$9&lt;=Config!$B$8,Config!$B$8-Q1105,""))</f>
        <v/>
      </c>
      <c r="T1105" s="26">
        <f>IF(S1105="","","Sim")</f>
        <v/>
      </c>
      <c r="U1105" s="41">
        <f>IF(T1105="Sim",S1105+ROW()/100000,0)</f>
        <v>0</v>
      </c>
      <c r="V1105" s="41">
        <f>IF(AND(H1105="Falta",L1105=Config!$B$7,M1105=Config!$B$5,COUNTIFS($E$5:E1105,E1105,$H$5:H1105,"Falta",$L$5:L1105,Config!$B$7,$M$5:M1105,Config!$B$5)=1),COUNTIFS($E$5:$E$1204,E1105,$H$5:$H$1204,"Falta",$L$5:$L$1204,Config!$B$7,$M$5:$M$1204,Config!$B$5)*1000-ROW()/100000,0)</f>
        <v>0</v>
      </c>
    </row>
    <row r="1106">
      <c r="A1106" s="39" t="n"/>
      <c r="B1106" s="40" t="n"/>
      <c r="C1106" s="35" t="n"/>
      <c r="D1106" s="35" t="n"/>
      <c r="E1106" s="34" t="n"/>
      <c r="F1106" s="35" t="n"/>
      <c r="G1106" s="35" t="n"/>
      <c r="H1106" s="35" t="n"/>
      <c r="I1106" s="35" t="n"/>
      <c r="J1106" s="35" t="n"/>
      <c r="K1106" s="34" t="n"/>
      <c r="L1106" s="26">
        <f>IF(A1106="","",MONTH(A1106))</f>
        <v/>
      </c>
      <c r="M1106" s="26">
        <f>IF(A1106="","",YEAR(A1106))</f>
        <v/>
      </c>
      <c r="N1106" s="26">
        <f>IF(A1106="","",CHOOSE(WEEKDAY(A1106,2),"Segunda","Terça","Quarta","Quinta","Sexta","Sábado","Domingo"))</f>
        <v/>
      </c>
      <c r="O1106" s="26">
        <f>IF(B1106="","",IF(B1106&lt;TIME(12,0,0),"Manhã",IF(B1106&lt;TIME(18,0,0),"Tarde","Noite")))</f>
        <v/>
      </c>
      <c r="P1106" s="32">
        <f>IF(G1106="","",IFERROR(INDEX(Config!$I$5:$I$16,MATCH(G1106,Config!$H$5:$H$16,0)),0))</f>
        <v/>
      </c>
      <c r="Q1106" s="30">
        <f>IF(OR(H1106&lt;&gt;"Realizado",P1106="",P1106=0),"",A1106+P1106)</f>
        <v/>
      </c>
      <c r="R1106" s="26">
        <f>IF(Q1106="","",IF(COUNTIFS($E$5:$E$1204,E1106,$A$5:$A$1204,"&gt;"&amp;A1106,$H$5:$H$1204,"&lt;&gt;Falta",$H$5:$H$1204,"&lt;&gt;Cancelado",$H$5:$H$1204,"&lt;&gt;Remarcado")&gt;0,"Sim","Não"))</f>
        <v/>
      </c>
      <c r="S1106" s="32">
        <f>IF(R1106&lt;&gt;"Não","",IF(Q1106+Config!$B$9&lt;=Config!$B$8,Config!$B$8-Q1106,""))</f>
        <v/>
      </c>
      <c r="T1106" s="26">
        <f>IF(S1106="","","Sim")</f>
        <v/>
      </c>
      <c r="U1106" s="41">
        <f>IF(T1106="Sim",S1106+ROW()/100000,0)</f>
        <v>0</v>
      </c>
      <c r="V1106" s="41">
        <f>IF(AND(H1106="Falta",L1106=Config!$B$7,M1106=Config!$B$5,COUNTIFS($E$5:E1106,E1106,$H$5:H1106,"Falta",$L$5:L1106,Config!$B$7,$M$5:M1106,Config!$B$5)=1),COUNTIFS($E$5:$E$1204,E1106,$H$5:$H$1204,"Falta",$L$5:$L$1204,Config!$B$7,$M$5:$M$1204,Config!$B$5)*1000-ROW()/100000,0)</f>
        <v>0</v>
      </c>
    </row>
    <row r="1107">
      <c r="A1107" s="39" t="n"/>
      <c r="B1107" s="40" t="n"/>
      <c r="C1107" s="35" t="n"/>
      <c r="D1107" s="35" t="n"/>
      <c r="E1107" s="34" t="n"/>
      <c r="F1107" s="35" t="n"/>
      <c r="G1107" s="35" t="n"/>
      <c r="H1107" s="35" t="n"/>
      <c r="I1107" s="35" t="n"/>
      <c r="J1107" s="35" t="n"/>
      <c r="K1107" s="34" t="n"/>
      <c r="L1107" s="26">
        <f>IF(A1107="","",MONTH(A1107))</f>
        <v/>
      </c>
      <c r="M1107" s="26">
        <f>IF(A1107="","",YEAR(A1107))</f>
        <v/>
      </c>
      <c r="N1107" s="26">
        <f>IF(A1107="","",CHOOSE(WEEKDAY(A1107,2),"Segunda","Terça","Quarta","Quinta","Sexta","Sábado","Domingo"))</f>
        <v/>
      </c>
      <c r="O1107" s="26">
        <f>IF(B1107="","",IF(B1107&lt;TIME(12,0,0),"Manhã",IF(B1107&lt;TIME(18,0,0),"Tarde","Noite")))</f>
        <v/>
      </c>
      <c r="P1107" s="32">
        <f>IF(G1107="","",IFERROR(INDEX(Config!$I$5:$I$16,MATCH(G1107,Config!$H$5:$H$16,0)),0))</f>
        <v/>
      </c>
      <c r="Q1107" s="30">
        <f>IF(OR(H1107&lt;&gt;"Realizado",P1107="",P1107=0),"",A1107+P1107)</f>
        <v/>
      </c>
      <c r="R1107" s="26">
        <f>IF(Q1107="","",IF(COUNTIFS($E$5:$E$1204,E1107,$A$5:$A$1204,"&gt;"&amp;A1107,$H$5:$H$1204,"&lt;&gt;Falta",$H$5:$H$1204,"&lt;&gt;Cancelado",$H$5:$H$1204,"&lt;&gt;Remarcado")&gt;0,"Sim","Não"))</f>
        <v/>
      </c>
      <c r="S1107" s="32">
        <f>IF(R1107&lt;&gt;"Não","",IF(Q1107+Config!$B$9&lt;=Config!$B$8,Config!$B$8-Q1107,""))</f>
        <v/>
      </c>
      <c r="T1107" s="26">
        <f>IF(S1107="","","Sim")</f>
        <v/>
      </c>
      <c r="U1107" s="41">
        <f>IF(T1107="Sim",S1107+ROW()/100000,0)</f>
        <v>0</v>
      </c>
      <c r="V1107" s="41">
        <f>IF(AND(H1107="Falta",L1107=Config!$B$7,M1107=Config!$B$5,COUNTIFS($E$5:E1107,E1107,$H$5:H1107,"Falta",$L$5:L1107,Config!$B$7,$M$5:M1107,Config!$B$5)=1),COUNTIFS($E$5:$E$1204,E1107,$H$5:$H$1204,"Falta",$L$5:$L$1204,Config!$B$7,$M$5:$M$1204,Config!$B$5)*1000-ROW()/100000,0)</f>
        <v>0</v>
      </c>
    </row>
    <row r="1108">
      <c r="A1108" s="39" t="n"/>
      <c r="B1108" s="40" t="n"/>
      <c r="C1108" s="35" t="n"/>
      <c r="D1108" s="35" t="n"/>
      <c r="E1108" s="34" t="n"/>
      <c r="F1108" s="35" t="n"/>
      <c r="G1108" s="35" t="n"/>
      <c r="H1108" s="35" t="n"/>
      <c r="I1108" s="35" t="n"/>
      <c r="J1108" s="35" t="n"/>
      <c r="K1108" s="34" t="n"/>
      <c r="L1108" s="26">
        <f>IF(A1108="","",MONTH(A1108))</f>
        <v/>
      </c>
      <c r="M1108" s="26">
        <f>IF(A1108="","",YEAR(A1108))</f>
        <v/>
      </c>
      <c r="N1108" s="26">
        <f>IF(A1108="","",CHOOSE(WEEKDAY(A1108,2),"Segunda","Terça","Quarta","Quinta","Sexta","Sábado","Domingo"))</f>
        <v/>
      </c>
      <c r="O1108" s="26">
        <f>IF(B1108="","",IF(B1108&lt;TIME(12,0,0),"Manhã",IF(B1108&lt;TIME(18,0,0),"Tarde","Noite")))</f>
        <v/>
      </c>
      <c r="P1108" s="32">
        <f>IF(G1108="","",IFERROR(INDEX(Config!$I$5:$I$16,MATCH(G1108,Config!$H$5:$H$16,0)),0))</f>
        <v/>
      </c>
      <c r="Q1108" s="30">
        <f>IF(OR(H1108&lt;&gt;"Realizado",P1108="",P1108=0),"",A1108+P1108)</f>
        <v/>
      </c>
      <c r="R1108" s="26">
        <f>IF(Q1108="","",IF(COUNTIFS($E$5:$E$1204,E1108,$A$5:$A$1204,"&gt;"&amp;A1108,$H$5:$H$1204,"&lt;&gt;Falta",$H$5:$H$1204,"&lt;&gt;Cancelado",$H$5:$H$1204,"&lt;&gt;Remarcado")&gt;0,"Sim","Não"))</f>
        <v/>
      </c>
      <c r="S1108" s="32">
        <f>IF(R1108&lt;&gt;"Não","",IF(Q1108+Config!$B$9&lt;=Config!$B$8,Config!$B$8-Q1108,""))</f>
        <v/>
      </c>
      <c r="T1108" s="26">
        <f>IF(S1108="","","Sim")</f>
        <v/>
      </c>
      <c r="U1108" s="41">
        <f>IF(T1108="Sim",S1108+ROW()/100000,0)</f>
        <v>0</v>
      </c>
      <c r="V1108" s="41">
        <f>IF(AND(H1108="Falta",L1108=Config!$B$7,M1108=Config!$B$5,COUNTIFS($E$5:E1108,E1108,$H$5:H1108,"Falta",$L$5:L1108,Config!$B$7,$M$5:M1108,Config!$B$5)=1),COUNTIFS($E$5:$E$1204,E1108,$H$5:$H$1204,"Falta",$L$5:$L$1204,Config!$B$7,$M$5:$M$1204,Config!$B$5)*1000-ROW()/100000,0)</f>
        <v>0</v>
      </c>
    </row>
    <row r="1109">
      <c r="A1109" s="39" t="n"/>
      <c r="B1109" s="40" t="n"/>
      <c r="C1109" s="35" t="n"/>
      <c r="D1109" s="35" t="n"/>
      <c r="E1109" s="34" t="n"/>
      <c r="F1109" s="35" t="n"/>
      <c r="G1109" s="35" t="n"/>
      <c r="H1109" s="35" t="n"/>
      <c r="I1109" s="35" t="n"/>
      <c r="J1109" s="35" t="n"/>
      <c r="K1109" s="34" t="n"/>
      <c r="L1109" s="26">
        <f>IF(A1109="","",MONTH(A1109))</f>
        <v/>
      </c>
      <c r="M1109" s="26">
        <f>IF(A1109="","",YEAR(A1109))</f>
        <v/>
      </c>
      <c r="N1109" s="26">
        <f>IF(A1109="","",CHOOSE(WEEKDAY(A1109,2),"Segunda","Terça","Quarta","Quinta","Sexta","Sábado","Domingo"))</f>
        <v/>
      </c>
      <c r="O1109" s="26">
        <f>IF(B1109="","",IF(B1109&lt;TIME(12,0,0),"Manhã",IF(B1109&lt;TIME(18,0,0),"Tarde","Noite")))</f>
        <v/>
      </c>
      <c r="P1109" s="32">
        <f>IF(G1109="","",IFERROR(INDEX(Config!$I$5:$I$16,MATCH(G1109,Config!$H$5:$H$16,0)),0))</f>
        <v/>
      </c>
      <c r="Q1109" s="30">
        <f>IF(OR(H1109&lt;&gt;"Realizado",P1109="",P1109=0),"",A1109+P1109)</f>
        <v/>
      </c>
      <c r="R1109" s="26">
        <f>IF(Q1109="","",IF(COUNTIFS($E$5:$E$1204,E1109,$A$5:$A$1204,"&gt;"&amp;A1109,$H$5:$H$1204,"&lt;&gt;Falta",$H$5:$H$1204,"&lt;&gt;Cancelado",$H$5:$H$1204,"&lt;&gt;Remarcado")&gt;0,"Sim","Não"))</f>
        <v/>
      </c>
      <c r="S1109" s="32">
        <f>IF(R1109&lt;&gt;"Não","",IF(Q1109+Config!$B$9&lt;=Config!$B$8,Config!$B$8-Q1109,""))</f>
        <v/>
      </c>
      <c r="T1109" s="26">
        <f>IF(S1109="","","Sim")</f>
        <v/>
      </c>
      <c r="U1109" s="41">
        <f>IF(T1109="Sim",S1109+ROW()/100000,0)</f>
        <v>0</v>
      </c>
      <c r="V1109" s="41">
        <f>IF(AND(H1109="Falta",L1109=Config!$B$7,M1109=Config!$B$5,COUNTIFS($E$5:E1109,E1109,$H$5:H1109,"Falta",$L$5:L1109,Config!$B$7,$M$5:M1109,Config!$B$5)=1),COUNTIFS($E$5:$E$1204,E1109,$H$5:$H$1204,"Falta",$L$5:$L$1204,Config!$B$7,$M$5:$M$1204,Config!$B$5)*1000-ROW()/100000,0)</f>
        <v>0</v>
      </c>
    </row>
    <row r="1110">
      <c r="A1110" s="39" t="n"/>
      <c r="B1110" s="40" t="n"/>
      <c r="C1110" s="35" t="n"/>
      <c r="D1110" s="35" t="n"/>
      <c r="E1110" s="34" t="n"/>
      <c r="F1110" s="35" t="n"/>
      <c r="G1110" s="35" t="n"/>
      <c r="H1110" s="35" t="n"/>
      <c r="I1110" s="35" t="n"/>
      <c r="J1110" s="35" t="n"/>
      <c r="K1110" s="34" t="n"/>
      <c r="L1110" s="26">
        <f>IF(A1110="","",MONTH(A1110))</f>
        <v/>
      </c>
      <c r="M1110" s="26">
        <f>IF(A1110="","",YEAR(A1110))</f>
        <v/>
      </c>
      <c r="N1110" s="26">
        <f>IF(A1110="","",CHOOSE(WEEKDAY(A1110,2),"Segunda","Terça","Quarta","Quinta","Sexta","Sábado","Domingo"))</f>
        <v/>
      </c>
      <c r="O1110" s="26">
        <f>IF(B1110="","",IF(B1110&lt;TIME(12,0,0),"Manhã",IF(B1110&lt;TIME(18,0,0),"Tarde","Noite")))</f>
        <v/>
      </c>
      <c r="P1110" s="32">
        <f>IF(G1110="","",IFERROR(INDEX(Config!$I$5:$I$16,MATCH(G1110,Config!$H$5:$H$16,0)),0))</f>
        <v/>
      </c>
      <c r="Q1110" s="30">
        <f>IF(OR(H1110&lt;&gt;"Realizado",P1110="",P1110=0),"",A1110+P1110)</f>
        <v/>
      </c>
      <c r="R1110" s="26">
        <f>IF(Q1110="","",IF(COUNTIFS($E$5:$E$1204,E1110,$A$5:$A$1204,"&gt;"&amp;A1110,$H$5:$H$1204,"&lt;&gt;Falta",$H$5:$H$1204,"&lt;&gt;Cancelado",$H$5:$H$1204,"&lt;&gt;Remarcado")&gt;0,"Sim","Não"))</f>
        <v/>
      </c>
      <c r="S1110" s="32">
        <f>IF(R1110&lt;&gt;"Não","",IF(Q1110+Config!$B$9&lt;=Config!$B$8,Config!$B$8-Q1110,""))</f>
        <v/>
      </c>
      <c r="T1110" s="26">
        <f>IF(S1110="","","Sim")</f>
        <v/>
      </c>
      <c r="U1110" s="41">
        <f>IF(T1110="Sim",S1110+ROW()/100000,0)</f>
        <v>0</v>
      </c>
      <c r="V1110" s="41">
        <f>IF(AND(H1110="Falta",L1110=Config!$B$7,M1110=Config!$B$5,COUNTIFS($E$5:E1110,E1110,$H$5:H1110,"Falta",$L$5:L1110,Config!$B$7,$M$5:M1110,Config!$B$5)=1),COUNTIFS($E$5:$E$1204,E1110,$H$5:$H$1204,"Falta",$L$5:$L$1204,Config!$B$7,$M$5:$M$1204,Config!$B$5)*1000-ROW()/100000,0)</f>
        <v>0</v>
      </c>
    </row>
    <row r="1111">
      <c r="A1111" s="39" t="n"/>
      <c r="B1111" s="40" t="n"/>
      <c r="C1111" s="35" t="n"/>
      <c r="D1111" s="35" t="n"/>
      <c r="E1111" s="34" t="n"/>
      <c r="F1111" s="35" t="n"/>
      <c r="G1111" s="35" t="n"/>
      <c r="H1111" s="35" t="n"/>
      <c r="I1111" s="35" t="n"/>
      <c r="J1111" s="35" t="n"/>
      <c r="K1111" s="34" t="n"/>
      <c r="L1111" s="26">
        <f>IF(A1111="","",MONTH(A1111))</f>
        <v/>
      </c>
      <c r="M1111" s="26">
        <f>IF(A1111="","",YEAR(A1111))</f>
        <v/>
      </c>
      <c r="N1111" s="26">
        <f>IF(A1111="","",CHOOSE(WEEKDAY(A1111,2),"Segunda","Terça","Quarta","Quinta","Sexta","Sábado","Domingo"))</f>
        <v/>
      </c>
      <c r="O1111" s="26">
        <f>IF(B1111="","",IF(B1111&lt;TIME(12,0,0),"Manhã",IF(B1111&lt;TIME(18,0,0),"Tarde","Noite")))</f>
        <v/>
      </c>
      <c r="P1111" s="32">
        <f>IF(G1111="","",IFERROR(INDEX(Config!$I$5:$I$16,MATCH(G1111,Config!$H$5:$H$16,0)),0))</f>
        <v/>
      </c>
      <c r="Q1111" s="30">
        <f>IF(OR(H1111&lt;&gt;"Realizado",P1111="",P1111=0),"",A1111+P1111)</f>
        <v/>
      </c>
      <c r="R1111" s="26">
        <f>IF(Q1111="","",IF(COUNTIFS($E$5:$E$1204,E1111,$A$5:$A$1204,"&gt;"&amp;A1111,$H$5:$H$1204,"&lt;&gt;Falta",$H$5:$H$1204,"&lt;&gt;Cancelado",$H$5:$H$1204,"&lt;&gt;Remarcado")&gt;0,"Sim","Não"))</f>
        <v/>
      </c>
      <c r="S1111" s="32">
        <f>IF(R1111&lt;&gt;"Não","",IF(Q1111+Config!$B$9&lt;=Config!$B$8,Config!$B$8-Q1111,""))</f>
        <v/>
      </c>
      <c r="T1111" s="26">
        <f>IF(S1111="","","Sim")</f>
        <v/>
      </c>
      <c r="U1111" s="41">
        <f>IF(T1111="Sim",S1111+ROW()/100000,0)</f>
        <v>0</v>
      </c>
      <c r="V1111" s="41">
        <f>IF(AND(H1111="Falta",L1111=Config!$B$7,M1111=Config!$B$5,COUNTIFS($E$5:E1111,E1111,$H$5:H1111,"Falta",$L$5:L1111,Config!$B$7,$M$5:M1111,Config!$B$5)=1),COUNTIFS($E$5:$E$1204,E1111,$H$5:$H$1204,"Falta",$L$5:$L$1204,Config!$B$7,$M$5:$M$1204,Config!$B$5)*1000-ROW()/100000,0)</f>
        <v>0</v>
      </c>
    </row>
    <row r="1112">
      <c r="A1112" s="39" t="n"/>
      <c r="B1112" s="40" t="n"/>
      <c r="C1112" s="35" t="n"/>
      <c r="D1112" s="35" t="n"/>
      <c r="E1112" s="34" t="n"/>
      <c r="F1112" s="35" t="n"/>
      <c r="G1112" s="35" t="n"/>
      <c r="H1112" s="35" t="n"/>
      <c r="I1112" s="35" t="n"/>
      <c r="J1112" s="35" t="n"/>
      <c r="K1112" s="34" t="n"/>
      <c r="L1112" s="26">
        <f>IF(A1112="","",MONTH(A1112))</f>
        <v/>
      </c>
      <c r="M1112" s="26">
        <f>IF(A1112="","",YEAR(A1112))</f>
        <v/>
      </c>
      <c r="N1112" s="26">
        <f>IF(A1112="","",CHOOSE(WEEKDAY(A1112,2),"Segunda","Terça","Quarta","Quinta","Sexta","Sábado","Domingo"))</f>
        <v/>
      </c>
      <c r="O1112" s="26">
        <f>IF(B1112="","",IF(B1112&lt;TIME(12,0,0),"Manhã",IF(B1112&lt;TIME(18,0,0),"Tarde","Noite")))</f>
        <v/>
      </c>
      <c r="P1112" s="32">
        <f>IF(G1112="","",IFERROR(INDEX(Config!$I$5:$I$16,MATCH(G1112,Config!$H$5:$H$16,0)),0))</f>
        <v/>
      </c>
      <c r="Q1112" s="30">
        <f>IF(OR(H1112&lt;&gt;"Realizado",P1112="",P1112=0),"",A1112+P1112)</f>
        <v/>
      </c>
      <c r="R1112" s="26">
        <f>IF(Q1112="","",IF(COUNTIFS($E$5:$E$1204,E1112,$A$5:$A$1204,"&gt;"&amp;A1112,$H$5:$H$1204,"&lt;&gt;Falta",$H$5:$H$1204,"&lt;&gt;Cancelado",$H$5:$H$1204,"&lt;&gt;Remarcado")&gt;0,"Sim","Não"))</f>
        <v/>
      </c>
      <c r="S1112" s="32">
        <f>IF(R1112&lt;&gt;"Não","",IF(Q1112+Config!$B$9&lt;=Config!$B$8,Config!$B$8-Q1112,""))</f>
        <v/>
      </c>
      <c r="T1112" s="26">
        <f>IF(S1112="","","Sim")</f>
        <v/>
      </c>
      <c r="U1112" s="41">
        <f>IF(T1112="Sim",S1112+ROW()/100000,0)</f>
        <v>0</v>
      </c>
      <c r="V1112" s="41">
        <f>IF(AND(H1112="Falta",L1112=Config!$B$7,M1112=Config!$B$5,COUNTIFS($E$5:E1112,E1112,$H$5:H1112,"Falta",$L$5:L1112,Config!$B$7,$M$5:M1112,Config!$B$5)=1),COUNTIFS($E$5:$E$1204,E1112,$H$5:$H$1204,"Falta",$L$5:$L$1204,Config!$B$7,$M$5:$M$1204,Config!$B$5)*1000-ROW()/100000,0)</f>
        <v>0</v>
      </c>
    </row>
    <row r="1113">
      <c r="A1113" s="39" t="n"/>
      <c r="B1113" s="40" t="n"/>
      <c r="C1113" s="35" t="n"/>
      <c r="D1113" s="35" t="n"/>
      <c r="E1113" s="34" t="n"/>
      <c r="F1113" s="35" t="n"/>
      <c r="G1113" s="35" t="n"/>
      <c r="H1113" s="35" t="n"/>
      <c r="I1113" s="35" t="n"/>
      <c r="J1113" s="35" t="n"/>
      <c r="K1113" s="34" t="n"/>
      <c r="L1113" s="26">
        <f>IF(A1113="","",MONTH(A1113))</f>
        <v/>
      </c>
      <c r="M1113" s="26">
        <f>IF(A1113="","",YEAR(A1113))</f>
        <v/>
      </c>
      <c r="N1113" s="26">
        <f>IF(A1113="","",CHOOSE(WEEKDAY(A1113,2),"Segunda","Terça","Quarta","Quinta","Sexta","Sábado","Domingo"))</f>
        <v/>
      </c>
      <c r="O1113" s="26">
        <f>IF(B1113="","",IF(B1113&lt;TIME(12,0,0),"Manhã",IF(B1113&lt;TIME(18,0,0),"Tarde","Noite")))</f>
        <v/>
      </c>
      <c r="P1113" s="32">
        <f>IF(G1113="","",IFERROR(INDEX(Config!$I$5:$I$16,MATCH(G1113,Config!$H$5:$H$16,0)),0))</f>
        <v/>
      </c>
      <c r="Q1113" s="30">
        <f>IF(OR(H1113&lt;&gt;"Realizado",P1113="",P1113=0),"",A1113+P1113)</f>
        <v/>
      </c>
      <c r="R1113" s="26">
        <f>IF(Q1113="","",IF(COUNTIFS($E$5:$E$1204,E1113,$A$5:$A$1204,"&gt;"&amp;A1113,$H$5:$H$1204,"&lt;&gt;Falta",$H$5:$H$1204,"&lt;&gt;Cancelado",$H$5:$H$1204,"&lt;&gt;Remarcado")&gt;0,"Sim","Não"))</f>
        <v/>
      </c>
      <c r="S1113" s="32">
        <f>IF(R1113&lt;&gt;"Não","",IF(Q1113+Config!$B$9&lt;=Config!$B$8,Config!$B$8-Q1113,""))</f>
        <v/>
      </c>
      <c r="T1113" s="26">
        <f>IF(S1113="","","Sim")</f>
        <v/>
      </c>
      <c r="U1113" s="41">
        <f>IF(T1113="Sim",S1113+ROW()/100000,0)</f>
        <v>0</v>
      </c>
      <c r="V1113" s="41">
        <f>IF(AND(H1113="Falta",L1113=Config!$B$7,M1113=Config!$B$5,COUNTIFS($E$5:E1113,E1113,$H$5:H1113,"Falta",$L$5:L1113,Config!$B$7,$M$5:M1113,Config!$B$5)=1),COUNTIFS($E$5:$E$1204,E1113,$H$5:$H$1204,"Falta",$L$5:$L$1204,Config!$B$7,$M$5:$M$1204,Config!$B$5)*1000-ROW()/100000,0)</f>
        <v>0</v>
      </c>
    </row>
    <row r="1114">
      <c r="A1114" s="39" t="n"/>
      <c r="B1114" s="40" t="n"/>
      <c r="C1114" s="35" t="n"/>
      <c r="D1114" s="35" t="n"/>
      <c r="E1114" s="34" t="n"/>
      <c r="F1114" s="35" t="n"/>
      <c r="G1114" s="35" t="n"/>
      <c r="H1114" s="35" t="n"/>
      <c r="I1114" s="35" t="n"/>
      <c r="J1114" s="35" t="n"/>
      <c r="K1114" s="34" t="n"/>
      <c r="L1114" s="26">
        <f>IF(A1114="","",MONTH(A1114))</f>
        <v/>
      </c>
      <c r="M1114" s="26">
        <f>IF(A1114="","",YEAR(A1114))</f>
        <v/>
      </c>
      <c r="N1114" s="26">
        <f>IF(A1114="","",CHOOSE(WEEKDAY(A1114,2),"Segunda","Terça","Quarta","Quinta","Sexta","Sábado","Domingo"))</f>
        <v/>
      </c>
      <c r="O1114" s="26">
        <f>IF(B1114="","",IF(B1114&lt;TIME(12,0,0),"Manhã",IF(B1114&lt;TIME(18,0,0),"Tarde","Noite")))</f>
        <v/>
      </c>
      <c r="P1114" s="32">
        <f>IF(G1114="","",IFERROR(INDEX(Config!$I$5:$I$16,MATCH(G1114,Config!$H$5:$H$16,0)),0))</f>
        <v/>
      </c>
      <c r="Q1114" s="30">
        <f>IF(OR(H1114&lt;&gt;"Realizado",P1114="",P1114=0),"",A1114+P1114)</f>
        <v/>
      </c>
      <c r="R1114" s="26">
        <f>IF(Q1114="","",IF(COUNTIFS($E$5:$E$1204,E1114,$A$5:$A$1204,"&gt;"&amp;A1114,$H$5:$H$1204,"&lt;&gt;Falta",$H$5:$H$1204,"&lt;&gt;Cancelado",$H$5:$H$1204,"&lt;&gt;Remarcado")&gt;0,"Sim","Não"))</f>
        <v/>
      </c>
      <c r="S1114" s="32">
        <f>IF(R1114&lt;&gt;"Não","",IF(Q1114+Config!$B$9&lt;=Config!$B$8,Config!$B$8-Q1114,""))</f>
        <v/>
      </c>
      <c r="T1114" s="26">
        <f>IF(S1114="","","Sim")</f>
        <v/>
      </c>
      <c r="U1114" s="41">
        <f>IF(T1114="Sim",S1114+ROW()/100000,0)</f>
        <v>0</v>
      </c>
      <c r="V1114" s="41">
        <f>IF(AND(H1114="Falta",L1114=Config!$B$7,M1114=Config!$B$5,COUNTIFS($E$5:E1114,E1114,$H$5:H1114,"Falta",$L$5:L1114,Config!$B$7,$M$5:M1114,Config!$B$5)=1),COUNTIFS($E$5:$E$1204,E1114,$H$5:$H$1204,"Falta",$L$5:$L$1204,Config!$B$7,$M$5:$M$1204,Config!$B$5)*1000-ROW()/100000,0)</f>
        <v>0</v>
      </c>
    </row>
    <row r="1115">
      <c r="A1115" s="39" t="n"/>
      <c r="B1115" s="40" t="n"/>
      <c r="C1115" s="35" t="n"/>
      <c r="D1115" s="35" t="n"/>
      <c r="E1115" s="34" t="n"/>
      <c r="F1115" s="35" t="n"/>
      <c r="G1115" s="35" t="n"/>
      <c r="H1115" s="35" t="n"/>
      <c r="I1115" s="35" t="n"/>
      <c r="J1115" s="35" t="n"/>
      <c r="K1115" s="34" t="n"/>
      <c r="L1115" s="26">
        <f>IF(A1115="","",MONTH(A1115))</f>
        <v/>
      </c>
      <c r="M1115" s="26">
        <f>IF(A1115="","",YEAR(A1115))</f>
        <v/>
      </c>
      <c r="N1115" s="26">
        <f>IF(A1115="","",CHOOSE(WEEKDAY(A1115,2),"Segunda","Terça","Quarta","Quinta","Sexta","Sábado","Domingo"))</f>
        <v/>
      </c>
      <c r="O1115" s="26">
        <f>IF(B1115="","",IF(B1115&lt;TIME(12,0,0),"Manhã",IF(B1115&lt;TIME(18,0,0),"Tarde","Noite")))</f>
        <v/>
      </c>
      <c r="P1115" s="32">
        <f>IF(G1115="","",IFERROR(INDEX(Config!$I$5:$I$16,MATCH(G1115,Config!$H$5:$H$16,0)),0))</f>
        <v/>
      </c>
      <c r="Q1115" s="30">
        <f>IF(OR(H1115&lt;&gt;"Realizado",P1115="",P1115=0),"",A1115+P1115)</f>
        <v/>
      </c>
      <c r="R1115" s="26">
        <f>IF(Q1115="","",IF(COUNTIFS($E$5:$E$1204,E1115,$A$5:$A$1204,"&gt;"&amp;A1115,$H$5:$H$1204,"&lt;&gt;Falta",$H$5:$H$1204,"&lt;&gt;Cancelado",$H$5:$H$1204,"&lt;&gt;Remarcado")&gt;0,"Sim","Não"))</f>
        <v/>
      </c>
      <c r="S1115" s="32">
        <f>IF(R1115&lt;&gt;"Não","",IF(Q1115+Config!$B$9&lt;=Config!$B$8,Config!$B$8-Q1115,""))</f>
        <v/>
      </c>
      <c r="T1115" s="26">
        <f>IF(S1115="","","Sim")</f>
        <v/>
      </c>
      <c r="U1115" s="41">
        <f>IF(T1115="Sim",S1115+ROW()/100000,0)</f>
        <v>0</v>
      </c>
      <c r="V1115" s="41">
        <f>IF(AND(H1115="Falta",L1115=Config!$B$7,M1115=Config!$B$5,COUNTIFS($E$5:E1115,E1115,$H$5:H1115,"Falta",$L$5:L1115,Config!$B$7,$M$5:M1115,Config!$B$5)=1),COUNTIFS($E$5:$E$1204,E1115,$H$5:$H$1204,"Falta",$L$5:$L$1204,Config!$B$7,$M$5:$M$1204,Config!$B$5)*1000-ROW()/100000,0)</f>
        <v>0</v>
      </c>
    </row>
    <row r="1116">
      <c r="A1116" s="39" t="n"/>
      <c r="B1116" s="40" t="n"/>
      <c r="C1116" s="35" t="n"/>
      <c r="D1116" s="35" t="n"/>
      <c r="E1116" s="34" t="n"/>
      <c r="F1116" s="35" t="n"/>
      <c r="G1116" s="35" t="n"/>
      <c r="H1116" s="35" t="n"/>
      <c r="I1116" s="35" t="n"/>
      <c r="J1116" s="35" t="n"/>
      <c r="K1116" s="34" t="n"/>
      <c r="L1116" s="26">
        <f>IF(A1116="","",MONTH(A1116))</f>
        <v/>
      </c>
      <c r="M1116" s="26">
        <f>IF(A1116="","",YEAR(A1116))</f>
        <v/>
      </c>
      <c r="N1116" s="26">
        <f>IF(A1116="","",CHOOSE(WEEKDAY(A1116,2),"Segunda","Terça","Quarta","Quinta","Sexta","Sábado","Domingo"))</f>
        <v/>
      </c>
      <c r="O1116" s="26">
        <f>IF(B1116="","",IF(B1116&lt;TIME(12,0,0),"Manhã",IF(B1116&lt;TIME(18,0,0),"Tarde","Noite")))</f>
        <v/>
      </c>
      <c r="P1116" s="32">
        <f>IF(G1116="","",IFERROR(INDEX(Config!$I$5:$I$16,MATCH(G1116,Config!$H$5:$H$16,0)),0))</f>
        <v/>
      </c>
      <c r="Q1116" s="30">
        <f>IF(OR(H1116&lt;&gt;"Realizado",P1116="",P1116=0),"",A1116+P1116)</f>
        <v/>
      </c>
      <c r="R1116" s="26">
        <f>IF(Q1116="","",IF(COUNTIFS($E$5:$E$1204,E1116,$A$5:$A$1204,"&gt;"&amp;A1116,$H$5:$H$1204,"&lt;&gt;Falta",$H$5:$H$1204,"&lt;&gt;Cancelado",$H$5:$H$1204,"&lt;&gt;Remarcado")&gt;0,"Sim","Não"))</f>
        <v/>
      </c>
      <c r="S1116" s="32">
        <f>IF(R1116&lt;&gt;"Não","",IF(Q1116+Config!$B$9&lt;=Config!$B$8,Config!$B$8-Q1116,""))</f>
        <v/>
      </c>
      <c r="T1116" s="26">
        <f>IF(S1116="","","Sim")</f>
        <v/>
      </c>
      <c r="U1116" s="41">
        <f>IF(T1116="Sim",S1116+ROW()/100000,0)</f>
        <v>0</v>
      </c>
      <c r="V1116" s="41">
        <f>IF(AND(H1116="Falta",L1116=Config!$B$7,M1116=Config!$B$5,COUNTIFS($E$5:E1116,E1116,$H$5:H1116,"Falta",$L$5:L1116,Config!$B$7,$M$5:M1116,Config!$B$5)=1),COUNTIFS($E$5:$E$1204,E1116,$H$5:$H$1204,"Falta",$L$5:$L$1204,Config!$B$7,$M$5:$M$1204,Config!$B$5)*1000-ROW()/100000,0)</f>
        <v>0</v>
      </c>
    </row>
    <row r="1117">
      <c r="A1117" s="39" t="n"/>
      <c r="B1117" s="40" t="n"/>
      <c r="C1117" s="35" t="n"/>
      <c r="D1117" s="35" t="n"/>
      <c r="E1117" s="34" t="n"/>
      <c r="F1117" s="35" t="n"/>
      <c r="G1117" s="35" t="n"/>
      <c r="H1117" s="35" t="n"/>
      <c r="I1117" s="35" t="n"/>
      <c r="J1117" s="35" t="n"/>
      <c r="K1117" s="34" t="n"/>
      <c r="L1117" s="26">
        <f>IF(A1117="","",MONTH(A1117))</f>
        <v/>
      </c>
      <c r="M1117" s="26">
        <f>IF(A1117="","",YEAR(A1117))</f>
        <v/>
      </c>
      <c r="N1117" s="26">
        <f>IF(A1117="","",CHOOSE(WEEKDAY(A1117,2),"Segunda","Terça","Quarta","Quinta","Sexta","Sábado","Domingo"))</f>
        <v/>
      </c>
      <c r="O1117" s="26">
        <f>IF(B1117="","",IF(B1117&lt;TIME(12,0,0),"Manhã",IF(B1117&lt;TIME(18,0,0),"Tarde","Noite")))</f>
        <v/>
      </c>
      <c r="P1117" s="32">
        <f>IF(G1117="","",IFERROR(INDEX(Config!$I$5:$I$16,MATCH(G1117,Config!$H$5:$H$16,0)),0))</f>
        <v/>
      </c>
      <c r="Q1117" s="30">
        <f>IF(OR(H1117&lt;&gt;"Realizado",P1117="",P1117=0),"",A1117+P1117)</f>
        <v/>
      </c>
      <c r="R1117" s="26">
        <f>IF(Q1117="","",IF(COUNTIFS($E$5:$E$1204,E1117,$A$5:$A$1204,"&gt;"&amp;A1117,$H$5:$H$1204,"&lt;&gt;Falta",$H$5:$H$1204,"&lt;&gt;Cancelado",$H$5:$H$1204,"&lt;&gt;Remarcado")&gt;0,"Sim","Não"))</f>
        <v/>
      </c>
      <c r="S1117" s="32">
        <f>IF(R1117&lt;&gt;"Não","",IF(Q1117+Config!$B$9&lt;=Config!$B$8,Config!$B$8-Q1117,""))</f>
        <v/>
      </c>
      <c r="T1117" s="26">
        <f>IF(S1117="","","Sim")</f>
        <v/>
      </c>
      <c r="U1117" s="41">
        <f>IF(T1117="Sim",S1117+ROW()/100000,0)</f>
        <v>0</v>
      </c>
      <c r="V1117" s="41">
        <f>IF(AND(H1117="Falta",L1117=Config!$B$7,M1117=Config!$B$5,COUNTIFS($E$5:E1117,E1117,$H$5:H1117,"Falta",$L$5:L1117,Config!$B$7,$M$5:M1117,Config!$B$5)=1),COUNTIFS($E$5:$E$1204,E1117,$H$5:$H$1204,"Falta",$L$5:$L$1204,Config!$B$7,$M$5:$M$1204,Config!$B$5)*1000-ROW()/100000,0)</f>
        <v>0</v>
      </c>
    </row>
    <row r="1118">
      <c r="A1118" s="39" t="n"/>
      <c r="B1118" s="40" t="n"/>
      <c r="C1118" s="35" t="n"/>
      <c r="D1118" s="35" t="n"/>
      <c r="E1118" s="34" t="n"/>
      <c r="F1118" s="35" t="n"/>
      <c r="G1118" s="35" t="n"/>
      <c r="H1118" s="35" t="n"/>
      <c r="I1118" s="35" t="n"/>
      <c r="J1118" s="35" t="n"/>
      <c r="K1118" s="34" t="n"/>
      <c r="L1118" s="26">
        <f>IF(A1118="","",MONTH(A1118))</f>
        <v/>
      </c>
      <c r="M1118" s="26">
        <f>IF(A1118="","",YEAR(A1118))</f>
        <v/>
      </c>
      <c r="N1118" s="26">
        <f>IF(A1118="","",CHOOSE(WEEKDAY(A1118,2),"Segunda","Terça","Quarta","Quinta","Sexta","Sábado","Domingo"))</f>
        <v/>
      </c>
      <c r="O1118" s="26">
        <f>IF(B1118="","",IF(B1118&lt;TIME(12,0,0),"Manhã",IF(B1118&lt;TIME(18,0,0),"Tarde","Noite")))</f>
        <v/>
      </c>
      <c r="P1118" s="32">
        <f>IF(G1118="","",IFERROR(INDEX(Config!$I$5:$I$16,MATCH(G1118,Config!$H$5:$H$16,0)),0))</f>
        <v/>
      </c>
      <c r="Q1118" s="30">
        <f>IF(OR(H1118&lt;&gt;"Realizado",P1118="",P1118=0),"",A1118+P1118)</f>
        <v/>
      </c>
      <c r="R1118" s="26">
        <f>IF(Q1118="","",IF(COUNTIFS($E$5:$E$1204,E1118,$A$5:$A$1204,"&gt;"&amp;A1118,$H$5:$H$1204,"&lt;&gt;Falta",$H$5:$H$1204,"&lt;&gt;Cancelado",$H$5:$H$1204,"&lt;&gt;Remarcado")&gt;0,"Sim","Não"))</f>
        <v/>
      </c>
      <c r="S1118" s="32">
        <f>IF(R1118&lt;&gt;"Não","",IF(Q1118+Config!$B$9&lt;=Config!$B$8,Config!$B$8-Q1118,""))</f>
        <v/>
      </c>
      <c r="T1118" s="26">
        <f>IF(S1118="","","Sim")</f>
        <v/>
      </c>
      <c r="U1118" s="41">
        <f>IF(T1118="Sim",S1118+ROW()/100000,0)</f>
        <v>0</v>
      </c>
      <c r="V1118" s="41">
        <f>IF(AND(H1118="Falta",L1118=Config!$B$7,M1118=Config!$B$5,COUNTIFS($E$5:E1118,E1118,$H$5:H1118,"Falta",$L$5:L1118,Config!$B$7,$M$5:M1118,Config!$B$5)=1),COUNTIFS($E$5:$E$1204,E1118,$H$5:$H$1204,"Falta",$L$5:$L$1204,Config!$B$7,$M$5:$M$1204,Config!$B$5)*1000-ROW()/100000,0)</f>
        <v>0</v>
      </c>
    </row>
    <row r="1119">
      <c r="A1119" s="39" t="n"/>
      <c r="B1119" s="40" t="n"/>
      <c r="C1119" s="35" t="n"/>
      <c r="D1119" s="35" t="n"/>
      <c r="E1119" s="34" t="n"/>
      <c r="F1119" s="35" t="n"/>
      <c r="G1119" s="35" t="n"/>
      <c r="H1119" s="35" t="n"/>
      <c r="I1119" s="35" t="n"/>
      <c r="J1119" s="35" t="n"/>
      <c r="K1119" s="34" t="n"/>
      <c r="L1119" s="26">
        <f>IF(A1119="","",MONTH(A1119))</f>
        <v/>
      </c>
      <c r="M1119" s="26">
        <f>IF(A1119="","",YEAR(A1119))</f>
        <v/>
      </c>
      <c r="N1119" s="26">
        <f>IF(A1119="","",CHOOSE(WEEKDAY(A1119,2),"Segunda","Terça","Quarta","Quinta","Sexta","Sábado","Domingo"))</f>
        <v/>
      </c>
      <c r="O1119" s="26">
        <f>IF(B1119="","",IF(B1119&lt;TIME(12,0,0),"Manhã",IF(B1119&lt;TIME(18,0,0),"Tarde","Noite")))</f>
        <v/>
      </c>
      <c r="P1119" s="32">
        <f>IF(G1119="","",IFERROR(INDEX(Config!$I$5:$I$16,MATCH(G1119,Config!$H$5:$H$16,0)),0))</f>
        <v/>
      </c>
      <c r="Q1119" s="30">
        <f>IF(OR(H1119&lt;&gt;"Realizado",P1119="",P1119=0),"",A1119+P1119)</f>
        <v/>
      </c>
      <c r="R1119" s="26">
        <f>IF(Q1119="","",IF(COUNTIFS($E$5:$E$1204,E1119,$A$5:$A$1204,"&gt;"&amp;A1119,$H$5:$H$1204,"&lt;&gt;Falta",$H$5:$H$1204,"&lt;&gt;Cancelado",$H$5:$H$1204,"&lt;&gt;Remarcado")&gt;0,"Sim","Não"))</f>
        <v/>
      </c>
      <c r="S1119" s="32">
        <f>IF(R1119&lt;&gt;"Não","",IF(Q1119+Config!$B$9&lt;=Config!$B$8,Config!$B$8-Q1119,""))</f>
        <v/>
      </c>
      <c r="T1119" s="26">
        <f>IF(S1119="","","Sim")</f>
        <v/>
      </c>
      <c r="U1119" s="41">
        <f>IF(T1119="Sim",S1119+ROW()/100000,0)</f>
        <v>0</v>
      </c>
      <c r="V1119" s="41">
        <f>IF(AND(H1119="Falta",L1119=Config!$B$7,M1119=Config!$B$5,COUNTIFS($E$5:E1119,E1119,$H$5:H1119,"Falta",$L$5:L1119,Config!$B$7,$M$5:M1119,Config!$B$5)=1),COUNTIFS($E$5:$E$1204,E1119,$H$5:$H$1204,"Falta",$L$5:$L$1204,Config!$B$7,$M$5:$M$1204,Config!$B$5)*1000-ROW()/100000,0)</f>
        <v>0</v>
      </c>
    </row>
    <row r="1120">
      <c r="A1120" s="39" t="n"/>
      <c r="B1120" s="40" t="n"/>
      <c r="C1120" s="35" t="n"/>
      <c r="D1120" s="35" t="n"/>
      <c r="E1120" s="34" t="n"/>
      <c r="F1120" s="35" t="n"/>
      <c r="G1120" s="35" t="n"/>
      <c r="H1120" s="35" t="n"/>
      <c r="I1120" s="35" t="n"/>
      <c r="J1120" s="35" t="n"/>
      <c r="K1120" s="34" t="n"/>
      <c r="L1120" s="26">
        <f>IF(A1120="","",MONTH(A1120))</f>
        <v/>
      </c>
      <c r="M1120" s="26">
        <f>IF(A1120="","",YEAR(A1120))</f>
        <v/>
      </c>
      <c r="N1120" s="26">
        <f>IF(A1120="","",CHOOSE(WEEKDAY(A1120,2),"Segunda","Terça","Quarta","Quinta","Sexta","Sábado","Domingo"))</f>
        <v/>
      </c>
      <c r="O1120" s="26">
        <f>IF(B1120="","",IF(B1120&lt;TIME(12,0,0),"Manhã",IF(B1120&lt;TIME(18,0,0),"Tarde","Noite")))</f>
        <v/>
      </c>
      <c r="P1120" s="32">
        <f>IF(G1120="","",IFERROR(INDEX(Config!$I$5:$I$16,MATCH(G1120,Config!$H$5:$H$16,0)),0))</f>
        <v/>
      </c>
      <c r="Q1120" s="30">
        <f>IF(OR(H1120&lt;&gt;"Realizado",P1120="",P1120=0),"",A1120+P1120)</f>
        <v/>
      </c>
      <c r="R1120" s="26">
        <f>IF(Q1120="","",IF(COUNTIFS($E$5:$E$1204,E1120,$A$5:$A$1204,"&gt;"&amp;A1120,$H$5:$H$1204,"&lt;&gt;Falta",$H$5:$H$1204,"&lt;&gt;Cancelado",$H$5:$H$1204,"&lt;&gt;Remarcado")&gt;0,"Sim","Não"))</f>
        <v/>
      </c>
      <c r="S1120" s="32">
        <f>IF(R1120&lt;&gt;"Não","",IF(Q1120+Config!$B$9&lt;=Config!$B$8,Config!$B$8-Q1120,""))</f>
        <v/>
      </c>
      <c r="T1120" s="26">
        <f>IF(S1120="","","Sim")</f>
        <v/>
      </c>
      <c r="U1120" s="41">
        <f>IF(T1120="Sim",S1120+ROW()/100000,0)</f>
        <v>0</v>
      </c>
      <c r="V1120" s="41">
        <f>IF(AND(H1120="Falta",L1120=Config!$B$7,M1120=Config!$B$5,COUNTIFS($E$5:E1120,E1120,$H$5:H1120,"Falta",$L$5:L1120,Config!$B$7,$M$5:M1120,Config!$B$5)=1),COUNTIFS($E$5:$E$1204,E1120,$H$5:$H$1204,"Falta",$L$5:$L$1204,Config!$B$7,$M$5:$M$1204,Config!$B$5)*1000-ROW()/100000,0)</f>
        <v>0</v>
      </c>
    </row>
    <row r="1121">
      <c r="A1121" s="39" t="n"/>
      <c r="B1121" s="40" t="n"/>
      <c r="C1121" s="35" t="n"/>
      <c r="D1121" s="35" t="n"/>
      <c r="E1121" s="34" t="n"/>
      <c r="F1121" s="35" t="n"/>
      <c r="G1121" s="35" t="n"/>
      <c r="H1121" s="35" t="n"/>
      <c r="I1121" s="35" t="n"/>
      <c r="J1121" s="35" t="n"/>
      <c r="K1121" s="34" t="n"/>
      <c r="L1121" s="26">
        <f>IF(A1121="","",MONTH(A1121))</f>
        <v/>
      </c>
      <c r="M1121" s="26">
        <f>IF(A1121="","",YEAR(A1121))</f>
        <v/>
      </c>
      <c r="N1121" s="26">
        <f>IF(A1121="","",CHOOSE(WEEKDAY(A1121,2),"Segunda","Terça","Quarta","Quinta","Sexta","Sábado","Domingo"))</f>
        <v/>
      </c>
      <c r="O1121" s="26">
        <f>IF(B1121="","",IF(B1121&lt;TIME(12,0,0),"Manhã",IF(B1121&lt;TIME(18,0,0),"Tarde","Noite")))</f>
        <v/>
      </c>
      <c r="P1121" s="32">
        <f>IF(G1121="","",IFERROR(INDEX(Config!$I$5:$I$16,MATCH(G1121,Config!$H$5:$H$16,0)),0))</f>
        <v/>
      </c>
      <c r="Q1121" s="30">
        <f>IF(OR(H1121&lt;&gt;"Realizado",P1121="",P1121=0),"",A1121+P1121)</f>
        <v/>
      </c>
      <c r="R1121" s="26">
        <f>IF(Q1121="","",IF(COUNTIFS($E$5:$E$1204,E1121,$A$5:$A$1204,"&gt;"&amp;A1121,$H$5:$H$1204,"&lt;&gt;Falta",$H$5:$H$1204,"&lt;&gt;Cancelado",$H$5:$H$1204,"&lt;&gt;Remarcado")&gt;0,"Sim","Não"))</f>
        <v/>
      </c>
      <c r="S1121" s="32">
        <f>IF(R1121&lt;&gt;"Não","",IF(Q1121+Config!$B$9&lt;=Config!$B$8,Config!$B$8-Q1121,""))</f>
        <v/>
      </c>
      <c r="T1121" s="26">
        <f>IF(S1121="","","Sim")</f>
        <v/>
      </c>
      <c r="U1121" s="41">
        <f>IF(T1121="Sim",S1121+ROW()/100000,0)</f>
        <v>0</v>
      </c>
      <c r="V1121" s="41">
        <f>IF(AND(H1121="Falta",L1121=Config!$B$7,M1121=Config!$B$5,COUNTIFS($E$5:E1121,E1121,$H$5:H1121,"Falta",$L$5:L1121,Config!$B$7,$M$5:M1121,Config!$B$5)=1),COUNTIFS($E$5:$E$1204,E1121,$H$5:$H$1204,"Falta",$L$5:$L$1204,Config!$B$7,$M$5:$M$1204,Config!$B$5)*1000-ROW()/100000,0)</f>
        <v>0</v>
      </c>
    </row>
    <row r="1122">
      <c r="A1122" s="39" t="n"/>
      <c r="B1122" s="40" t="n"/>
      <c r="C1122" s="35" t="n"/>
      <c r="D1122" s="35" t="n"/>
      <c r="E1122" s="34" t="n"/>
      <c r="F1122" s="35" t="n"/>
      <c r="G1122" s="35" t="n"/>
      <c r="H1122" s="35" t="n"/>
      <c r="I1122" s="35" t="n"/>
      <c r="J1122" s="35" t="n"/>
      <c r="K1122" s="34" t="n"/>
      <c r="L1122" s="26">
        <f>IF(A1122="","",MONTH(A1122))</f>
        <v/>
      </c>
      <c r="M1122" s="26">
        <f>IF(A1122="","",YEAR(A1122))</f>
        <v/>
      </c>
      <c r="N1122" s="26">
        <f>IF(A1122="","",CHOOSE(WEEKDAY(A1122,2),"Segunda","Terça","Quarta","Quinta","Sexta","Sábado","Domingo"))</f>
        <v/>
      </c>
      <c r="O1122" s="26">
        <f>IF(B1122="","",IF(B1122&lt;TIME(12,0,0),"Manhã",IF(B1122&lt;TIME(18,0,0),"Tarde","Noite")))</f>
        <v/>
      </c>
      <c r="P1122" s="32">
        <f>IF(G1122="","",IFERROR(INDEX(Config!$I$5:$I$16,MATCH(G1122,Config!$H$5:$H$16,0)),0))</f>
        <v/>
      </c>
      <c r="Q1122" s="30">
        <f>IF(OR(H1122&lt;&gt;"Realizado",P1122="",P1122=0),"",A1122+P1122)</f>
        <v/>
      </c>
      <c r="R1122" s="26">
        <f>IF(Q1122="","",IF(COUNTIFS($E$5:$E$1204,E1122,$A$5:$A$1204,"&gt;"&amp;A1122,$H$5:$H$1204,"&lt;&gt;Falta",$H$5:$H$1204,"&lt;&gt;Cancelado",$H$5:$H$1204,"&lt;&gt;Remarcado")&gt;0,"Sim","Não"))</f>
        <v/>
      </c>
      <c r="S1122" s="32">
        <f>IF(R1122&lt;&gt;"Não","",IF(Q1122+Config!$B$9&lt;=Config!$B$8,Config!$B$8-Q1122,""))</f>
        <v/>
      </c>
      <c r="T1122" s="26">
        <f>IF(S1122="","","Sim")</f>
        <v/>
      </c>
      <c r="U1122" s="41">
        <f>IF(T1122="Sim",S1122+ROW()/100000,0)</f>
        <v>0</v>
      </c>
      <c r="V1122" s="41">
        <f>IF(AND(H1122="Falta",L1122=Config!$B$7,M1122=Config!$B$5,COUNTIFS($E$5:E1122,E1122,$H$5:H1122,"Falta",$L$5:L1122,Config!$B$7,$M$5:M1122,Config!$B$5)=1),COUNTIFS($E$5:$E$1204,E1122,$H$5:$H$1204,"Falta",$L$5:$L$1204,Config!$B$7,$M$5:$M$1204,Config!$B$5)*1000-ROW()/100000,0)</f>
        <v>0</v>
      </c>
    </row>
    <row r="1123">
      <c r="A1123" s="39" t="n"/>
      <c r="B1123" s="40" t="n"/>
      <c r="C1123" s="35" t="n"/>
      <c r="D1123" s="35" t="n"/>
      <c r="E1123" s="34" t="n"/>
      <c r="F1123" s="35" t="n"/>
      <c r="G1123" s="35" t="n"/>
      <c r="H1123" s="35" t="n"/>
      <c r="I1123" s="35" t="n"/>
      <c r="J1123" s="35" t="n"/>
      <c r="K1123" s="34" t="n"/>
      <c r="L1123" s="26">
        <f>IF(A1123="","",MONTH(A1123))</f>
        <v/>
      </c>
      <c r="M1123" s="26">
        <f>IF(A1123="","",YEAR(A1123))</f>
        <v/>
      </c>
      <c r="N1123" s="26">
        <f>IF(A1123="","",CHOOSE(WEEKDAY(A1123,2),"Segunda","Terça","Quarta","Quinta","Sexta","Sábado","Domingo"))</f>
        <v/>
      </c>
      <c r="O1123" s="26">
        <f>IF(B1123="","",IF(B1123&lt;TIME(12,0,0),"Manhã",IF(B1123&lt;TIME(18,0,0),"Tarde","Noite")))</f>
        <v/>
      </c>
      <c r="P1123" s="32">
        <f>IF(G1123="","",IFERROR(INDEX(Config!$I$5:$I$16,MATCH(G1123,Config!$H$5:$H$16,0)),0))</f>
        <v/>
      </c>
      <c r="Q1123" s="30">
        <f>IF(OR(H1123&lt;&gt;"Realizado",P1123="",P1123=0),"",A1123+P1123)</f>
        <v/>
      </c>
      <c r="R1123" s="26">
        <f>IF(Q1123="","",IF(COUNTIFS($E$5:$E$1204,E1123,$A$5:$A$1204,"&gt;"&amp;A1123,$H$5:$H$1204,"&lt;&gt;Falta",$H$5:$H$1204,"&lt;&gt;Cancelado",$H$5:$H$1204,"&lt;&gt;Remarcado")&gt;0,"Sim","Não"))</f>
        <v/>
      </c>
      <c r="S1123" s="32">
        <f>IF(R1123&lt;&gt;"Não","",IF(Q1123+Config!$B$9&lt;=Config!$B$8,Config!$B$8-Q1123,""))</f>
        <v/>
      </c>
      <c r="T1123" s="26">
        <f>IF(S1123="","","Sim")</f>
        <v/>
      </c>
      <c r="U1123" s="41">
        <f>IF(T1123="Sim",S1123+ROW()/100000,0)</f>
        <v>0</v>
      </c>
      <c r="V1123" s="41">
        <f>IF(AND(H1123="Falta",L1123=Config!$B$7,M1123=Config!$B$5,COUNTIFS($E$5:E1123,E1123,$H$5:H1123,"Falta",$L$5:L1123,Config!$B$7,$M$5:M1123,Config!$B$5)=1),COUNTIFS($E$5:$E$1204,E1123,$H$5:$H$1204,"Falta",$L$5:$L$1204,Config!$B$7,$M$5:$M$1204,Config!$B$5)*1000-ROW()/100000,0)</f>
        <v>0</v>
      </c>
    </row>
    <row r="1124">
      <c r="A1124" s="39" t="n"/>
      <c r="B1124" s="40" t="n"/>
      <c r="C1124" s="35" t="n"/>
      <c r="D1124" s="35" t="n"/>
      <c r="E1124" s="34" t="n"/>
      <c r="F1124" s="35" t="n"/>
      <c r="G1124" s="35" t="n"/>
      <c r="H1124" s="35" t="n"/>
      <c r="I1124" s="35" t="n"/>
      <c r="J1124" s="35" t="n"/>
      <c r="K1124" s="34" t="n"/>
      <c r="L1124" s="26">
        <f>IF(A1124="","",MONTH(A1124))</f>
        <v/>
      </c>
      <c r="M1124" s="26">
        <f>IF(A1124="","",YEAR(A1124))</f>
        <v/>
      </c>
      <c r="N1124" s="26">
        <f>IF(A1124="","",CHOOSE(WEEKDAY(A1124,2),"Segunda","Terça","Quarta","Quinta","Sexta","Sábado","Domingo"))</f>
        <v/>
      </c>
      <c r="O1124" s="26">
        <f>IF(B1124="","",IF(B1124&lt;TIME(12,0,0),"Manhã",IF(B1124&lt;TIME(18,0,0),"Tarde","Noite")))</f>
        <v/>
      </c>
      <c r="P1124" s="32">
        <f>IF(G1124="","",IFERROR(INDEX(Config!$I$5:$I$16,MATCH(G1124,Config!$H$5:$H$16,0)),0))</f>
        <v/>
      </c>
      <c r="Q1124" s="30">
        <f>IF(OR(H1124&lt;&gt;"Realizado",P1124="",P1124=0),"",A1124+P1124)</f>
        <v/>
      </c>
      <c r="R1124" s="26">
        <f>IF(Q1124="","",IF(COUNTIFS($E$5:$E$1204,E1124,$A$5:$A$1204,"&gt;"&amp;A1124,$H$5:$H$1204,"&lt;&gt;Falta",$H$5:$H$1204,"&lt;&gt;Cancelado",$H$5:$H$1204,"&lt;&gt;Remarcado")&gt;0,"Sim","Não"))</f>
        <v/>
      </c>
      <c r="S1124" s="32">
        <f>IF(R1124&lt;&gt;"Não","",IF(Q1124+Config!$B$9&lt;=Config!$B$8,Config!$B$8-Q1124,""))</f>
        <v/>
      </c>
      <c r="T1124" s="26">
        <f>IF(S1124="","","Sim")</f>
        <v/>
      </c>
      <c r="U1124" s="41">
        <f>IF(T1124="Sim",S1124+ROW()/100000,0)</f>
        <v>0</v>
      </c>
      <c r="V1124" s="41">
        <f>IF(AND(H1124="Falta",L1124=Config!$B$7,M1124=Config!$B$5,COUNTIFS($E$5:E1124,E1124,$H$5:H1124,"Falta",$L$5:L1124,Config!$B$7,$M$5:M1124,Config!$B$5)=1),COUNTIFS($E$5:$E$1204,E1124,$H$5:$H$1204,"Falta",$L$5:$L$1204,Config!$B$7,$M$5:$M$1204,Config!$B$5)*1000-ROW()/100000,0)</f>
        <v>0</v>
      </c>
    </row>
    <row r="1125">
      <c r="A1125" s="39" t="n"/>
      <c r="B1125" s="40" t="n"/>
      <c r="C1125" s="35" t="n"/>
      <c r="D1125" s="35" t="n"/>
      <c r="E1125" s="34" t="n"/>
      <c r="F1125" s="35" t="n"/>
      <c r="G1125" s="35" t="n"/>
      <c r="H1125" s="35" t="n"/>
      <c r="I1125" s="35" t="n"/>
      <c r="J1125" s="35" t="n"/>
      <c r="K1125" s="34" t="n"/>
      <c r="L1125" s="26">
        <f>IF(A1125="","",MONTH(A1125))</f>
        <v/>
      </c>
      <c r="M1125" s="26">
        <f>IF(A1125="","",YEAR(A1125))</f>
        <v/>
      </c>
      <c r="N1125" s="26">
        <f>IF(A1125="","",CHOOSE(WEEKDAY(A1125,2),"Segunda","Terça","Quarta","Quinta","Sexta","Sábado","Domingo"))</f>
        <v/>
      </c>
      <c r="O1125" s="26">
        <f>IF(B1125="","",IF(B1125&lt;TIME(12,0,0),"Manhã",IF(B1125&lt;TIME(18,0,0),"Tarde","Noite")))</f>
        <v/>
      </c>
      <c r="P1125" s="32">
        <f>IF(G1125="","",IFERROR(INDEX(Config!$I$5:$I$16,MATCH(G1125,Config!$H$5:$H$16,0)),0))</f>
        <v/>
      </c>
      <c r="Q1125" s="30">
        <f>IF(OR(H1125&lt;&gt;"Realizado",P1125="",P1125=0),"",A1125+P1125)</f>
        <v/>
      </c>
      <c r="R1125" s="26">
        <f>IF(Q1125="","",IF(COUNTIFS($E$5:$E$1204,E1125,$A$5:$A$1204,"&gt;"&amp;A1125,$H$5:$H$1204,"&lt;&gt;Falta",$H$5:$H$1204,"&lt;&gt;Cancelado",$H$5:$H$1204,"&lt;&gt;Remarcado")&gt;0,"Sim","Não"))</f>
        <v/>
      </c>
      <c r="S1125" s="32">
        <f>IF(R1125&lt;&gt;"Não","",IF(Q1125+Config!$B$9&lt;=Config!$B$8,Config!$B$8-Q1125,""))</f>
        <v/>
      </c>
      <c r="T1125" s="26">
        <f>IF(S1125="","","Sim")</f>
        <v/>
      </c>
      <c r="U1125" s="41">
        <f>IF(T1125="Sim",S1125+ROW()/100000,0)</f>
        <v>0</v>
      </c>
      <c r="V1125" s="41">
        <f>IF(AND(H1125="Falta",L1125=Config!$B$7,M1125=Config!$B$5,COUNTIFS($E$5:E1125,E1125,$H$5:H1125,"Falta",$L$5:L1125,Config!$B$7,$M$5:M1125,Config!$B$5)=1),COUNTIFS($E$5:$E$1204,E1125,$H$5:$H$1204,"Falta",$L$5:$L$1204,Config!$B$7,$M$5:$M$1204,Config!$B$5)*1000-ROW()/100000,0)</f>
        <v>0</v>
      </c>
    </row>
    <row r="1126">
      <c r="A1126" s="39" t="n"/>
      <c r="B1126" s="40" t="n"/>
      <c r="C1126" s="35" t="n"/>
      <c r="D1126" s="35" t="n"/>
      <c r="E1126" s="34" t="n"/>
      <c r="F1126" s="35" t="n"/>
      <c r="G1126" s="35" t="n"/>
      <c r="H1126" s="35" t="n"/>
      <c r="I1126" s="35" t="n"/>
      <c r="J1126" s="35" t="n"/>
      <c r="K1126" s="34" t="n"/>
      <c r="L1126" s="26">
        <f>IF(A1126="","",MONTH(A1126))</f>
        <v/>
      </c>
      <c r="M1126" s="26">
        <f>IF(A1126="","",YEAR(A1126))</f>
        <v/>
      </c>
      <c r="N1126" s="26">
        <f>IF(A1126="","",CHOOSE(WEEKDAY(A1126,2),"Segunda","Terça","Quarta","Quinta","Sexta","Sábado","Domingo"))</f>
        <v/>
      </c>
      <c r="O1126" s="26">
        <f>IF(B1126="","",IF(B1126&lt;TIME(12,0,0),"Manhã",IF(B1126&lt;TIME(18,0,0),"Tarde","Noite")))</f>
        <v/>
      </c>
      <c r="P1126" s="32">
        <f>IF(G1126="","",IFERROR(INDEX(Config!$I$5:$I$16,MATCH(G1126,Config!$H$5:$H$16,0)),0))</f>
        <v/>
      </c>
      <c r="Q1126" s="30">
        <f>IF(OR(H1126&lt;&gt;"Realizado",P1126="",P1126=0),"",A1126+P1126)</f>
        <v/>
      </c>
      <c r="R1126" s="26">
        <f>IF(Q1126="","",IF(COUNTIFS($E$5:$E$1204,E1126,$A$5:$A$1204,"&gt;"&amp;A1126,$H$5:$H$1204,"&lt;&gt;Falta",$H$5:$H$1204,"&lt;&gt;Cancelado",$H$5:$H$1204,"&lt;&gt;Remarcado")&gt;0,"Sim","Não"))</f>
        <v/>
      </c>
      <c r="S1126" s="32">
        <f>IF(R1126&lt;&gt;"Não","",IF(Q1126+Config!$B$9&lt;=Config!$B$8,Config!$B$8-Q1126,""))</f>
        <v/>
      </c>
      <c r="T1126" s="26">
        <f>IF(S1126="","","Sim")</f>
        <v/>
      </c>
      <c r="U1126" s="41">
        <f>IF(T1126="Sim",S1126+ROW()/100000,0)</f>
        <v>0</v>
      </c>
      <c r="V1126" s="41">
        <f>IF(AND(H1126="Falta",L1126=Config!$B$7,M1126=Config!$B$5,COUNTIFS($E$5:E1126,E1126,$H$5:H1126,"Falta",$L$5:L1126,Config!$B$7,$M$5:M1126,Config!$B$5)=1),COUNTIFS($E$5:$E$1204,E1126,$H$5:$H$1204,"Falta",$L$5:$L$1204,Config!$B$7,$M$5:$M$1204,Config!$B$5)*1000-ROW()/100000,0)</f>
        <v>0</v>
      </c>
    </row>
    <row r="1127">
      <c r="A1127" s="39" t="n"/>
      <c r="B1127" s="40" t="n"/>
      <c r="C1127" s="35" t="n"/>
      <c r="D1127" s="35" t="n"/>
      <c r="E1127" s="34" t="n"/>
      <c r="F1127" s="35" t="n"/>
      <c r="G1127" s="35" t="n"/>
      <c r="H1127" s="35" t="n"/>
      <c r="I1127" s="35" t="n"/>
      <c r="J1127" s="35" t="n"/>
      <c r="K1127" s="34" t="n"/>
      <c r="L1127" s="26">
        <f>IF(A1127="","",MONTH(A1127))</f>
        <v/>
      </c>
      <c r="M1127" s="26">
        <f>IF(A1127="","",YEAR(A1127))</f>
        <v/>
      </c>
      <c r="N1127" s="26">
        <f>IF(A1127="","",CHOOSE(WEEKDAY(A1127,2),"Segunda","Terça","Quarta","Quinta","Sexta","Sábado","Domingo"))</f>
        <v/>
      </c>
      <c r="O1127" s="26">
        <f>IF(B1127="","",IF(B1127&lt;TIME(12,0,0),"Manhã",IF(B1127&lt;TIME(18,0,0),"Tarde","Noite")))</f>
        <v/>
      </c>
      <c r="P1127" s="32">
        <f>IF(G1127="","",IFERROR(INDEX(Config!$I$5:$I$16,MATCH(G1127,Config!$H$5:$H$16,0)),0))</f>
        <v/>
      </c>
      <c r="Q1127" s="30">
        <f>IF(OR(H1127&lt;&gt;"Realizado",P1127="",P1127=0),"",A1127+P1127)</f>
        <v/>
      </c>
      <c r="R1127" s="26">
        <f>IF(Q1127="","",IF(COUNTIFS($E$5:$E$1204,E1127,$A$5:$A$1204,"&gt;"&amp;A1127,$H$5:$H$1204,"&lt;&gt;Falta",$H$5:$H$1204,"&lt;&gt;Cancelado",$H$5:$H$1204,"&lt;&gt;Remarcado")&gt;0,"Sim","Não"))</f>
        <v/>
      </c>
      <c r="S1127" s="32">
        <f>IF(R1127&lt;&gt;"Não","",IF(Q1127+Config!$B$9&lt;=Config!$B$8,Config!$B$8-Q1127,""))</f>
        <v/>
      </c>
      <c r="T1127" s="26">
        <f>IF(S1127="","","Sim")</f>
        <v/>
      </c>
      <c r="U1127" s="41">
        <f>IF(T1127="Sim",S1127+ROW()/100000,0)</f>
        <v>0</v>
      </c>
      <c r="V1127" s="41">
        <f>IF(AND(H1127="Falta",L1127=Config!$B$7,M1127=Config!$B$5,COUNTIFS($E$5:E1127,E1127,$H$5:H1127,"Falta",$L$5:L1127,Config!$B$7,$M$5:M1127,Config!$B$5)=1),COUNTIFS($E$5:$E$1204,E1127,$H$5:$H$1204,"Falta",$L$5:$L$1204,Config!$B$7,$M$5:$M$1204,Config!$B$5)*1000-ROW()/100000,0)</f>
        <v>0</v>
      </c>
    </row>
    <row r="1128">
      <c r="A1128" s="39" t="n"/>
      <c r="B1128" s="40" t="n"/>
      <c r="C1128" s="35" t="n"/>
      <c r="D1128" s="35" t="n"/>
      <c r="E1128" s="34" t="n"/>
      <c r="F1128" s="35" t="n"/>
      <c r="G1128" s="35" t="n"/>
      <c r="H1128" s="35" t="n"/>
      <c r="I1128" s="35" t="n"/>
      <c r="J1128" s="35" t="n"/>
      <c r="K1128" s="34" t="n"/>
      <c r="L1128" s="26">
        <f>IF(A1128="","",MONTH(A1128))</f>
        <v/>
      </c>
      <c r="M1128" s="26">
        <f>IF(A1128="","",YEAR(A1128))</f>
        <v/>
      </c>
      <c r="N1128" s="26">
        <f>IF(A1128="","",CHOOSE(WEEKDAY(A1128,2),"Segunda","Terça","Quarta","Quinta","Sexta","Sábado","Domingo"))</f>
        <v/>
      </c>
      <c r="O1128" s="26">
        <f>IF(B1128="","",IF(B1128&lt;TIME(12,0,0),"Manhã",IF(B1128&lt;TIME(18,0,0),"Tarde","Noite")))</f>
        <v/>
      </c>
      <c r="P1128" s="32">
        <f>IF(G1128="","",IFERROR(INDEX(Config!$I$5:$I$16,MATCH(G1128,Config!$H$5:$H$16,0)),0))</f>
        <v/>
      </c>
      <c r="Q1128" s="30">
        <f>IF(OR(H1128&lt;&gt;"Realizado",P1128="",P1128=0),"",A1128+P1128)</f>
        <v/>
      </c>
      <c r="R1128" s="26">
        <f>IF(Q1128="","",IF(COUNTIFS($E$5:$E$1204,E1128,$A$5:$A$1204,"&gt;"&amp;A1128,$H$5:$H$1204,"&lt;&gt;Falta",$H$5:$H$1204,"&lt;&gt;Cancelado",$H$5:$H$1204,"&lt;&gt;Remarcado")&gt;0,"Sim","Não"))</f>
        <v/>
      </c>
      <c r="S1128" s="32">
        <f>IF(R1128&lt;&gt;"Não","",IF(Q1128+Config!$B$9&lt;=Config!$B$8,Config!$B$8-Q1128,""))</f>
        <v/>
      </c>
      <c r="T1128" s="26">
        <f>IF(S1128="","","Sim")</f>
        <v/>
      </c>
      <c r="U1128" s="41">
        <f>IF(T1128="Sim",S1128+ROW()/100000,0)</f>
        <v>0</v>
      </c>
      <c r="V1128" s="41">
        <f>IF(AND(H1128="Falta",L1128=Config!$B$7,M1128=Config!$B$5,COUNTIFS($E$5:E1128,E1128,$H$5:H1128,"Falta",$L$5:L1128,Config!$B$7,$M$5:M1128,Config!$B$5)=1),COUNTIFS($E$5:$E$1204,E1128,$H$5:$H$1204,"Falta",$L$5:$L$1204,Config!$B$7,$M$5:$M$1204,Config!$B$5)*1000-ROW()/100000,0)</f>
        <v>0</v>
      </c>
    </row>
    <row r="1129">
      <c r="A1129" s="39" t="n"/>
      <c r="B1129" s="40" t="n"/>
      <c r="C1129" s="35" t="n"/>
      <c r="D1129" s="35" t="n"/>
      <c r="E1129" s="34" t="n"/>
      <c r="F1129" s="35" t="n"/>
      <c r="G1129" s="35" t="n"/>
      <c r="H1129" s="35" t="n"/>
      <c r="I1129" s="35" t="n"/>
      <c r="J1129" s="35" t="n"/>
      <c r="K1129" s="34" t="n"/>
      <c r="L1129" s="26">
        <f>IF(A1129="","",MONTH(A1129))</f>
        <v/>
      </c>
      <c r="M1129" s="26">
        <f>IF(A1129="","",YEAR(A1129))</f>
        <v/>
      </c>
      <c r="N1129" s="26">
        <f>IF(A1129="","",CHOOSE(WEEKDAY(A1129,2),"Segunda","Terça","Quarta","Quinta","Sexta","Sábado","Domingo"))</f>
        <v/>
      </c>
      <c r="O1129" s="26">
        <f>IF(B1129="","",IF(B1129&lt;TIME(12,0,0),"Manhã",IF(B1129&lt;TIME(18,0,0),"Tarde","Noite")))</f>
        <v/>
      </c>
      <c r="P1129" s="32">
        <f>IF(G1129="","",IFERROR(INDEX(Config!$I$5:$I$16,MATCH(G1129,Config!$H$5:$H$16,0)),0))</f>
        <v/>
      </c>
      <c r="Q1129" s="30">
        <f>IF(OR(H1129&lt;&gt;"Realizado",P1129="",P1129=0),"",A1129+P1129)</f>
        <v/>
      </c>
      <c r="R1129" s="26">
        <f>IF(Q1129="","",IF(COUNTIFS($E$5:$E$1204,E1129,$A$5:$A$1204,"&gt;"&amp;A1129,$H$5:$H$1204,"&lt;&gt;Falta",$H$5:$H$1204,"&lt;&gt;Cancelado",$H$5:$H$1204,"&lt;&gt;Remarcado")&gt;0,"Sim","Não"))</f>
        <v/>
      </c>
      <c r="S1129" s="32">
        <f>IF(R1129&lt;&gt;"Não","",IF(Q1129+Config!$B$9&lt;=Config!$B$8,Config!$B$8-Q1129,""))</f>
        <v/>
      </c>
      <c r="T1129" s="26">
        <f>IF(S1129="","","Sim")</f>
        <v/>
      </c>
      <c r="U1129" s="41">
        <f>IF(T1129="Sim",S1129+ROW()/100000,0)</f>
        <v>0</v>
      </c>
      <c r="V1129" s="41">
        <f>IF(AND(H1129="Falta",L1129=Config!$B$7,M1129=Config!$B$5,COUNTIFS($E$5:E1129,E1129,$H$5:H1129,"Falta",$L$5:L1129,Config!$B$7,$M$5:M1129,Config!$B$5)=1),COUNTIFS($E$5:$E$1204,E1129,$H$5:$H$1204,"Falta",$L$5:$L$1204,Config!$B$7,$M$5:$M$1204,Config!$B$5)*1000-ROW()/100000,0)</f>
        <v>0</v>
      </c>
    </row>
    <row r="1130">
      <c r="A1130" s="39" t="n"/>
      <c r="B1130" s="40" t="n"/>
      <c r="C1130" s="35" t="n"/>
      <c r="D1130" s="35" t="n"/>
      <c r="E1130" s="34" t="n"/>
      <c r="F1130" s="35" t="n"/>
      <c r="G1130" s="35" t="n"/>
      <c r="H1130" s="35" t="n"/>
      <c r="I1130" s="35" t="n"/>
      <c r="J1130" s="35" t="n"/>
      <c r="K1130" s="34" t="n"/>
      <c r="L1130" s="26">
        <f>IF(A1130="","",MONTH(A1130))</f>
        <v/>
      </c>
      <c r="M1130" s="26">
        <f>IF(A1130="","",YEAR(A1130))</f>
        <v/>
      </c>
      <c r="N1130" s="26">
        <f>IF(A1130="","",CHOOSE(WEEKDAY(A1130,2),"Segunda","Terça","Quarta","Quinta","Sexta","Sábado","Domingo"))</f>
        <v/>
      </c>
      <c r="O1130" s="26">
        <f>IF(B1130="","",IF(B1130&lt;TIME(12,0,0),"Manhã",IF(B1130&lt;TIME(18,0,0),"Tarde","Noite")))</f>
        <v/>
      </c>
      <c r="P1130" s="32">
        <f>IF(G1130="","",IFERROR(INDEX(Config!$I$5:$I$16,MATCH(G1130,Config!$H$5:$H$16,0)),0))</f>
        <v/>
      </c>
      <c r="Q1130" s="30">
        <f>IF(OR(H1130&lt;&gt;"Realizado",P1130="",P1130=0),"",A1130+P1130)</f>
        <v/>
      </c>
      <c r="R1130" s="26">
        <f>IF(Q1130="","",IF(COUNTIFS($E$5:$E$1204,E1130,$A$5:$A$1204,"&gt;"&amp;A1130,$H$5:$H$1204,"&lt;&gt;Falta",$H$5:$H$1204,"&lt;&gt;Cancelado",$H$5:$H$1204,"&lt;&gt;Remarcado")&gt;0,"Sim","Não"))</f>
        <v/>
      </c>
      <c r="S1130" s="32">
        <f>IF(R1130&lt;&gt;"Não","",IF(Q1130+Config!$B$9&lt;=Config!$B$8,Config!$B$8-Q1130,""))</f>
        <v/>
      </c>
      <c r="T1130" s="26">
        <f>IF(S1130="","","Sim")</f>
        <v/>
      </c>
      <c r="U1130" s="41">
        <f>IF(T1130="Sim",S1130+ROW()/100000,0)</f>
        <v>0</v>
      </c>
      <c r="V1130" s="41">
        <f>IF(AND(H1130="Falta",L1130=Config!$B$7,M1130=Config!$B$5,COUNTIFS($E$5:E1130,E1130,$H$5:H1130,"Falta",$L$5:L1130,Config!$B$7,$M$5:M1130,Config!$B$5)=1),COUNTIFS($E$5:$E$1204,E1130,$H$5:$H$1204,"Falta",$L$5:$L$1204,Config!$B$7,$M$5:$M$1204,Config!$B$5)*1000-ROW()/100000,0)</f>
        <v>0</v>
      </c>
    </row>
    <row r="1131">
      <c r="A1131" s="39" t="n"/>
      <c r="B1131" s="40" t="n"/>
      <c r="C1131" s="35" t="n"/>
      <c r="D1131" s="35" t="n"/>
      <c r="E1131" s="34" t="n"/>
      <c r="F1131" s="35" t="n"/>
      <c r="G1131" s="35" t="n"/>
      <c r="H1131" s="35" t="n"/>
      <c r="I1131" s="35" t="n"/>
      <c r="J1131" s="35" t="n"/>
      <c r="K1131" s="34" t="n"/>
      <c r="L1131" s="26">
        <f>IF(A1131="","",MONTH(A1131))</f>
        <v/>
      </c>
      <c r="M1131" s="26">
        <f>IF(A1131="","",YEAR(A1131))</f>
        <v/>
      </c>
      <c r="N1131" s="26">
        <f>IF(A1131="","",CHOOSE(WEEKDAY(A1131,2),"Segunda","Terça","Quarta","Quinta","Sexta","Sábado","Domingo"))</f>
        <v/>
      </c>
      <c r="O1131" s="26">
        <f>IF(B1131="","",IF(B1131&lt;TIME(12,0,0),"Manhã",IF(B1131&lt;TIME(18,0,0),"Tarde","Noite")))</f>
        <v/>
      </c>
      <c r="P1131" s="32">
        <f>IF(G1131="","",IFERROR(INDEX(Config!$I$5:$I$16,MATCH(G1131,Config!$H$5:$H$16,0)),0))</f>
        <v/>
      </c>
      <c r="Q1131" s="30">
        <f>IF(OR(H1131&lt;&gt;"Realizado",P1131="",P1131=0),"",A1131+P1131)</f>
        <v/>
      </c>
      <c r="R1131" s="26">
        <f>IF(Q1131="","",IF(COUNTIFS($E$5:$E$1204,E1131,$A$5:$A$1204,"&gt;"&amp;A1131,$H$5:$H$1204,"&lt;&gt;Falta",$H$5:$H$1204,"&lt;&gt;Cancelado",$H$5:$H$1204,"&lt;&gt;Remarcado")&gt;0,"Sim","Não"))</f>
        <v/>
      </c>
      <c r="S1131" s="32">
        <f>IF(R1131&lt;&gt;"Não","",IF(Q1131+Config!$B$9&lt;=Config!$B$8,Config!$B$8-Q1131,""))</f>
        <v/>
      </c>
      <c r="T1131" s="26">
        <f>IF(S1131="","","Sim")</f>
        <v/>
      </c>
      <c r="U1131" s="41">
        <f>IF(T1131="Sim",S1131+ROW()/100000,0)</f>
        <v>0</v>
      </c>
      <c r="V1131" s="41">
        <f>IF(AND(H1131="Falta",L1131=Config!$B$7,M1131=Config!$B$5,COUNTIFS($E$5:E1131,E1131,$H$5:H1131,"Falta",$L$5:L1131,Config!$B$7,$M$5:M1131,Config!$B$5)=1),COUNTIFS($E$5:$E$1204,E1131,$H$5:$H$1204,"Falta",$L$5:$L$1204,Config!$B$7,$M$5:$M$1204,Config!$B$5)*1000-ROW()/100000,0)</f>
        <v>0</v>
      </c>
    </row>
    <row r="1132">
      <c r="A1132" s="39" t="n"/>
      <c r="B1132" s="40" t="n"/>
      <c r="C1132" s="35" t="n"/>
      <c r="D1132" s="35" t="n"/>
      <c r="E1132" s="34" t="n"/>
      <c r="F1132" s="35" t="n"/>
      <c r="G1132" s="35" t="n"/>
      <c r="H1132" s="35" t="n"/>
      <c r="I1132" s="35" t="n"/>
      <c r="J1132" s="35" t="n"/>
      <c r="K1132" s="34" t="n"/>
      <c r="L1132" s="26">
        <f>IF(A1132="","",MONTH(A1132))</f>
        <v/>
      </c>
      <c r="M1132" s="26">
        <f>IF(A1132="","",YEAR(A1132))</f>
        <v/>
      </c>
      <c r="N1132" s="26">
        <f>IF(A1132="","",CHOOSE(WEEKDAY(A1132,2),"Segunda","Terça","Quarta","Quinta","Sexta","Sábado","Domingo"))</f>
        <v/>
      </c>
      <c r="O1132" s="26">
        <f>IF(B1132="","",IF(B1132&lt;TIME(12,0,0),"Manhã",IF(B1132&lt;TIME(18,0,0),"Tarde","Noite")))</f>
        <v/>
      </c>
      <c r="P1132" s="32">
        <f>IF(G1132="","",IFERROR(INDEX(Config!$I$5:$I$16,MATCH(G1132,Config!$H$5:$H$16,0)),0))</f>
        <v/>
      </c>
      <c r="Q1132" s="30">
        <f>IF(OR(H1132&lt;&gt;"Realizado",P1132="",P1132=0),"",A1132+P1132)</f>
        <v/>
      </c>
      <c r="R1132" s="26">
        <f>IF(Q1132="","",IF(COUNTIFS($E$5:$E$1204,E1132,$A$5:$A$1204,"&gt;"&amp;A1132,$H$5:$H$1204,"&lt;&gt;Falta",$H$5:$H$1204,"&lt;&gt;Cancelado",$H$5:$H$1204,"&lt;&gt;Remarcado")&gt;0,"Sim","Não"))</f>
        <v/>
      </c>
      <c r="S1132" s="32">
        <f>IF(R1132&lt;&gt;"Não","",IF(Q1132+Config!$B$9&lt;=Config!$B$8,Config!$B$8-Q1132,""))</f>
        <v/>
      </c>
      <c r="T1132" s="26">
        <f>IF(S1132="","","Sim")</f>
        <v/>
      </c>
      <c r="U1132" s="41">
        <f>IF(T1132="Sim",S1132+ROW()/100000,0)</f>
        <v>0</v>
      </c>
      <c r="V1132" s="41">
        <f>IF(AND(H1132="Falta",L1132=Config!$B$7,M1132=Config!$B$5,COUNTIFS($E$5:E1132,E1132,$H$5:H1132,"Falta",$L$5:L1132,Config!$B$7,$M$5:M1132,Config!$B$5)=1),COUNTIFS($E$5:$E$1204,E1132,$H$5:$H$1204,"Falta",$L$5:$L$1204,Config!$B$7,$M$5:$M$1204,Config!$B$5)*1000-ROW()/100000,0)</f>
        <v>0</v>
      </c>
    </row>
    <row r="1133">
      <c r="A1133" s="39" t="n"/>
      <c r="B1133" s="40" t="n"/>
      <c r="C1133" s="35" t="n"/>
      <c r="D1133" s="35" t="n"/>
      <c r="E1133" s="34" t="n"/>
      <c r="F1133" s="35" t="n"/>
      <c r="G1133" s="35" t="n"/>
      <c r="H1133" s="35" t="n"/>
      <c r="I1133" s="35" t="n"/>
      <c r="J1133" s="35" t="n"/>
      <c r="K1133" s="34" t="n"/>
      <c r="L1133" s="26">
        <f>IF(A1133="","",MONTH(A1133))</f>
        <v/>
      </c>
      <c r="M1133" s="26">
        <f>IF(A1133="","",YEAR(A1133))</f>
        <v/>
      </c>
      <c r="N1133" s="26">
        <f>IF(A1133="","",CHOOSE(WEEKDAY(A1133,2),"Segunda","Terça","Quarta","Quinta","Sexta","Sábado","Domingo"))</f>
        <v/>
      </c>
      <c r="O1133" s="26">
        <f>IF(B1133="","",IF(B1133&lt;TIME(12,0,0),"Manhã",IF(B1133&lt;TIME(18,0,0),"Tarde","Noite")))</f>
        <v/>
      </c>
      <c r="P1133" s="32">
        <f>IF(G1133="","",IFERROR(INDEX(Config!$I$5:$I$16,MATCH(G1133,Config!$H$5:$H$16,0)),0))</f>
        <v/>
      </c>
      <c r="Q1133" s="30">
        <f>IF(OR(H1133&lt;&gt;"Realizado",P1133="",P1133=0),"",A1133+P1133)</f>
        <v/>
      </c>
      <c r="R1133" s="26">
        <f>IF(Q1133="","",IF(COUNTIFS($E$5:$E$1204,E1133,$A$5:$A$1204,"&gt;"&amp;A1133,$H$5:$H$1204,"&lt;&gt;Falta",$H$5:$H$1204,"&lt;&gt;Cancelado",$H$5:$H$1204,"&lt;&gt;Remarcado")&gt;0,"Sim","Não"))</f>
        <v/>
      </c>
      <c r="S1133" s="32">
        <f>IF(R1133&lt;&gt;"Não","",IF(Q1133+Config!$B$9&lt;=Config!$B$8,Config!$B$8-Q1133,""))</f>
        <v/>
      </c>
      <c r="T1133" s="26">
        <f>IF(S1133="","","Sim")</f>
        <v/>
      </c>
      <c r="U1133" s="41">
        <f>IF(T1133="Sim",S1133+ROW()/100000,0)</f>
        <v>0</v>
      </c>
      <c r="V1133" s="41">
        <f>IF(AND(H1133="Falta",L1133=Config!$B$7,M1133=Config!$B$5,COUNTIFS($E$5:E1133,E1133,$H$5:H1133,"Falta",$L$5:L1133,Config!$B$7,$M$5:M1133,Config!$B$5)=1),COUNTIFS($E$5:$E$1204,E1133,$H$5:$H$1204,"Falta",$L$5:$L$1204,Config!$B$7,$M$5:$M$1204,Config!$B$5)*1000-ROW()/100000,0)</f>
        <v>0</v>
      </c>
    </row>
    <row r="1134">
      <c r="A1134" s="39" t="n"/>
      <c r="B1134" s="40" t="n"/>
      <c r="C1134" s="35" t="n"/>
      <c r="D1134" s="35" t="n"/>
      <c r="E1134" s="34" t="n"/>
      <c r="F1134" s="35" t="n"/>
      <c r="G1134" s="35" t="n"/>
      <c r="H1134" s="35" t="n"/>
      <c r="I1134" s="35" t="n"/>
      <c r="J1134" s="35" t="n"/>
      <c r="K1134" s="34" t="n"/>
      <c r="L1134" s="26">
        <f>IF(A1134="","",MONTH(A1134))</f>
        <v/>
      </c>
      <c r="M1134" s="26">
        <f>IF(A1134="","",YEAR(A1134))</f>
        <v/>
      </c>
      <c r="N1134" s="26">
        <f>IF(A1134="","",CHOOSE(WEEKDAY(A1134,2),"Segunda","Terça","Quarta","Quinta","Sexta","Sábado","Domingo"))</f>
        <v/>
      </c>
      <c r="O1134" s="26">
        <f>IF(B1134="","",IF(B1134&lt;TIME(12,0,0),"Manhã",IF(B1134&lt;TIME(18,0,0),"Tarde","Noite")))</f>
        <v/>
      </c>
      <c r="P1134" s="32">
        <f>IF(G1134="","",IFERROR(INDEX(Config!$I$5:$I$16,MATCH(G1134,Config!$H$5:$H$16,0)),0))</f>
        <v/>
      </c>
      <c r="Q1134" s="30">
        <f>IF(OR(H1134&lt;&gt;"Realizado",P1134="",P1134=0),"",A1134+P1134)</f>
        <v/>
      </c>
      <c r="R1134" s="26">
        <f>IF(Q1134="","",IF(COUNTIFS($E$5:$E$1204,E1134,$A$5:$A$1204,"&gt;"&amp;A1134,$H$5:$H$1204,"&lt;&gt;Falta",$H$5:$H$1204,"&lt;&gt;Cancelado",$H$5:$H$1204,"&lt;&gt;Remarcado")&gt;0,"Sim","Não"))</f>
        <v/>
      </c>
      <c r="S1134" s="32">
        <f>IF(R1134&lt;&gt;"Não","",IF(Q1134+Config!$B$9&lt;=Config!$B$8,Config!$B$8-Q1134,""))</f>
        <v/>
      </c>
      <c r="T1134" s="26">
        <f>IF(S1134="","","Sim")</f>
        <v/>
      </c>
      <c r="U1134" s="41">
        <f>IF(T1134="Sim",S1134+ROW()/100000,0)</f>
        <v>0</v>
      </c>
      <c r="V1134" s="41">
        <f>IF(AND(H1134="Falta",L1134=Config!$B$7,M1134=Config!$B$5,COUNTIFS($E$5:E1134,E1134,$H$5:H1134,"Falta",$L$5:L1134,Config!$B$7,$M$5:M1134,Config!$B$5)=1),COUNTIFS($E$5:$E$1204,E1134,$H$5:$H$1204,"Falta",$L$5:$L$1204,Config!$B$7,$M$5:$M$1204,Config!$B$5)*1000-ROW()/100000,0)</f>
        <v>0</v>
      </c>
    </row>
    <row r="1135">
      <c r="A1135" s="39" t="n"/>
      <c r="B1135" s="40" t="n"/>
      <c r="C1135" s="35" t="n"/>
      <c r="D1135" s="35" t="n"/>
      <c r="E1135" s="34" t="n"/>
      <c r="F1135" s="35" t="n"/>
      <c r="G1135" s="35" t="n"/>
      <c r="H1135" s="35" t="n"/>
      <c r="I1135" s="35" t="n"/>
      <c r="J1135" s="35" t="n"/>
      <c r="K1135" s="34" t="n"/>
      <c r="L1135" s="26">
        <f>IF(A1135="","",MONTH(A1135))</f>
        <v/>
      </c>
      <c r="M1135" s="26">
        <f>IF(A1135="","",YEAR(A1135))</f>
        <v/>
      </c>
      <c r="N1135" s="26">
        <f>IF(A1135="","",CHOOSE(WEEKDAY(A1135,2),"Segunda","Terça","Quarta","Quinta","Sexta","Sábado","Domingo"))</f>
        <v/>
      </c>
      <c r="O1135" s="26">
        <f>IF(B1135="","",IF(B1135&lt;TIME(12,0,0),"Manhã",IF(B1135&lt;TIME(18,0,0),"Tarde","Noite")))</f>
        <v/>
      </c>
      <c r="P1135" s="32">
        <f>IF(G1135="","",IFERROR(INDEX(Config!$I$5:$I$16,MATCH(G1135,Config!$H$5:$H$16,0)),0))</f>
        <v/>
      </c>
      <c r="Q1135" s="30">
        <f>IF(OR(H1135&lt;&gt;"Realizado",P1135="",P1135=0),"",A1135+P1135)</f>
        <v/>
      </c>
      <c r="R1135" s="26">
        <f>IF(Q1135="","",IF(COUNTIFS($E$5:$E$1204,E1135,$A$5:$A$1204,"&gt;"&amp;A1135,$H$5:$H$1204,"&lt;&gt;Falta",$H$5:$H$1204,"&lt;&gt;Cancelado",$H$5:$H$1204,"&lt;&gt;Remarcado")&gt;0,"Sim","Não"))</f>
        <v/>
      </c>
      <c r="S1135" s="32">
        <f>IF(R1135&lt;&gt;"Não","",IF(Q1135+Config!$B$9&lt;=Config!$B$8,Config!$B$8-Q1135,""))</f>
        <v/>
      </c>
      <c r="T1135" s="26">
        <f>IF(S1135="","","Sim")</f>
        <v/>
      </c>
      <c r="U1135" s="41">
        <f>IF(T1135="Sim",S1135+ROW()/100000,0)</f>
        <v>0</v>
      </c>
      <c r="V1135" s="41">
        <f>IF(AND(H1135="Falta",L1135=Config!$B$7,M1135=Config!$B$5,COUNTIFS($E$5:E1135,E1135,$H$5:H1135,"Falta",$L$5:L1135,Config!$B$7,$M$5:M1135,Config!$B$5)=1),COUNTIFS($E$5:$E$1204,E1135,$H$5:$H$1204,"Falta",$L$5:$L$1204,Config!$B$7,$M$5:$M$1204,Config!$B$5)*1000-ROW()/100000,0)</f>
        <v>0</v>
      </c>
    </row>
    <row r="1136">
      <c r="A1136" s="39" t="n"/>
      <c r="B1136" s="40" t="n"/>
      <c r="C1136" s="35" t="n"/>
      <c r="D1136" s="35" t="n"/>
      <c r="E1136" s="34" t="n"/>
      <c r="F1136" s="35" t="n"/>
      <c r="G1136" s="35" t="n"/>
      <c r="H1136" s="35" t="n"/>
      <c r="I1136" s="35" t="n"/>
      <c r="J1136" s="35" t="n"/>
      <c r="K1136" s="34" t="n"/>
      <c r="L1136" s="26">
        <f>IF(A1136="","",MONTH(A1136))</f>
        <v/>
      </c>
      <c r="M1136" s="26">
        <f>IF(A1136="","",YEAR(A1136))</f>
        <v/>
      </c>
      <c r="N1136" s="26">
        <f>IF(A1136="","",CHOOSE(WEEKDAY(A1136,2),"Segunda","Terça","Quarta","Quinta","Sexta","Sábado","Domingo"))</f>
        <v/>
      </c>
      <c r="O1136" s="26">
        <f>IF(B1136="","",IF(B1136&lt;TIME(12,0,0),"Manhã",IF(B1136&lt;TIME(18,0,0),"Tarde","Noite")))</f>
        <v/>
      </c>
      <c r="P1136" s="32">
        <f>IF(G1136="","",IFERROR(INDEX(Config!$I$5:$I$16,MATCH(G1136,Config!$H$5:$H$16,0)),0))</f>
        <v/>
      </c>
      <c r="Q1136" s="30">
        <f>IF(OR(H1136&lt;&gt;"Realizado",P1136="",P1136=0),"",A1136+P1136)</f>
        <v/>
      </c>
      <c r="R1136" s="26">
        <f>IF(Q1136="","",IF(COUNTIFS($E$5:$E$1204,E1136,$A$5:$A$1204,"&gt;"&amp;A1136,$H$5:$H$1204,"&lt;&gt;Falta",$H$5:$H$1204,"&lt;&gt;Cancelado",$H$5:$H$1204,"&lt;&gt;Remarcado")&gt;0,"Sim","Não"))</f>
        <v/>
      </c>
      <c r="S1136" s="32">
        <f>IF(R1136&lt;&gt;"Não","",IF(Q1136+Config!$B$9&lt;=Config!$B$8,Config!$B$8-Q1136,""))</f>
        <v/>
      </c>
      <c r="T1136" s="26">
        <f>IF(S1136="","","Sim")</f>
        <v/>
      </c>
      <c r="U1136" s="41">
        <f>IF(T1136="Sim",S1136+ROW()/100000,0)</f>
        <v>0</v>
      </c>
      <c r="V1136" s="41">
        <f>IF(AND(H1136="Falta",L1136=Config!$B$7,M1136=Config!$B$5,COUNTIFS($E$5:E1136,E1136,$H$5:H1136,"Falta",$L$5:L1136,Config!$B$7,$M$5:M1136,Config!$B$5)=1),COUNTIFS($E$5:$E$1204,E1136,$H$5:$H$1204,"Falta",$L$5:$L$1204,Config!$B$7,$M$5:$M$1204,Config!$B$5)*1000-ROW()/100000,0)</f>
        <v>0</v>
      </c>
    </row>
    <row r="1137">
      <c r="A1137" s="39" t="n"/>
      <c r="B1137" s="40" t="n"/>
      <c r="C1137" s="35" t="n"/>
      <c r="D1137" s="35" t="n"/>
      <c r="E1137" s="34" t="n"/>
      <c r="F1137" s="35" t="n"/>
      <c r="G1137" s="35" t="n"/>
      <c r="H1137" s="35" t="n"/>
      <c r="I1137" s="35" t="n"/>
      <c r="J1137" s="35" t="n"/>
      <c r="K1137" s="34" t="n"/>
      <c r="L1137" s="26">
        <f>IF(A1137="","",MONTH(A1137))</f>
        <v/>
      </c>
      <c r="M1137" s="26">
        <f>IF(A1137="","",YEAR(A1137))</f>
        <v/>
      </c>
      <c r="N1137" s="26">
        <f>IF(A1137="","",CHOOSE(WEEKDAY(A1137,2),"Segunda","Terça","Quarta","Quinta","Sexta","Sábado","Domingo"))</f>
        <v/>
      </c>
      <c r="O1137" s="26">
        <f>IF(B1137="","",IF(B1137&lt;TIME(12,0,0),"Manhã",IF(B1137&lt;TIME(18,0,0),"Tarde","Noite")))</f>
        <v/>
      </c>
      <c r="P1137" s="32">
        <f>IF(G1137="","",IFERROR(INDEX(Config!$I$5:$I$16,MATCH(G1137,Config!$H$5:$H$16,0)),0))</f>
        <v/>
      </c>
      <c r="Q1137" s="30">
        <f>IF(OR(H1137&lt;&gt;"Realizado",P1137="",P1137=0),"",A1137+P1137)</f>
        <v/>
      </c>
      <c r="R1137" s="26">
        <f>IF(Q1137="","",IF(COUNTIFS($E$5:$E$1204,E1137,$A$5:$A$1204,"&gt;"&amp;A1137,$H$5:$H$1204,"&lt;&gt;Falta",$H$5:$H$1204,"&lt;&gt;Cancelado",$H$5:$H$1204,"&lt;&gt;Remarcado")&gt;0,"Sim","Não"))</f>
        <v/>
      </c>
      <c r="S1137" s="32">
        <f>IF(R1137&lt;&gt;"Não","",IF(Q1137+Config!$B$9&lt;=Config!$B$8,Config!$B$8-Q1137,""))</f>
        <v/>
      </c>
      <c r="T1137" s="26">
        <f>IF(S1137="","","Sim")</f>
        <v/>
      </c>
      <c r="U1137" s="41">
        <f>IF(T1137="Sim",S1137+ROW()/100000,0)</f>
        <v>0</v>
      </c>
      <c r="V1137" s="41">
        <f>IF(AND(H1137="Falta",L1137=Config!$B$7,M1137=Config!$B$5,COUNTIFS($E$5:E1137,E1137,$H$5:H1137,"Falta",$L$5:L1137,Config!$B$7,$M$5:M1137,Config!$B$5)=1),COUNTIFS($E$5:$E$1204,E1137,$H$5:$H$1204,"Falta",$L$5:$L$1204,Config!$B$7,$M$5:$M$1204,Config!$B$5)*1000-ROW()/100000,0)</f>
        <v>0</v>
      </c>
    </row>
    <row r="1138">
      <c r="A1138" s="39" t="n"/>
      <c r="B1138" s="40" t="n"/>
      <c r="C1138" s="35" t="n"/>
      <c r="D1138" s="35" t="n"/>
      <c r="E1138" s="34" t="n"/>
      <c r="F1138" s="35" t="n"/>
      <c r="G1138" s="35" t="n"/>
      <c r="H1138" s="35" t="n"/>
      <c r="I1138" s="35" t="n"/>
      <c r="J1138" s="35" t="n"/>
      <c r="K1138" s="34" t="n"/>
      <c r="L1138" s="26">
        <f>IF(A1138="","",MONTH(A1138))</f>
        <v/>
      </c>
      <c r="M1138" s="26">
        <f>IF(A1138="","",YEAR(A1138))</f>
        <v/>
      </c>
      <c r="N1138" s="26">
        <f>IF(A1138="","",CHOOSE(WEEKDAY(A1138,2),"Segunda","Terça","Quarta","Quinta","Sexta","Sábado","Domingo"))</f>
        <v/>
      </c>
      <c r="O1138" s="26">
        <f>IF(B1138="","",IF(B1138&lt;TIME(12,0,0),"Manhã",IF(B1138&lt;TIME(18,0,0),"Tarde","Noite")))</f>
        <v/>
      </c>
      <c r="P1138" s="32">
        <f>IF(G1138="","",IFERROR(INDEX(Config!$I$5:$I$16,MATCH(G1138,Config!$H$5:$H$16,0)),0))</f>
        <v/>
      </c>
      <c r="Q1138" s="30">
        <f>IF(OR(H1138&lt;&gt;"Realizado",P1138="",P1138=0),"",A1138+P1138)</f>
        <v/>
      </c>
      <c r="R1138" s="26">
        <f>IF(Q1138="","",IF(COUNTIFS($E$5:$E$1204,E1138,$A$5:$A$1204,"&gt;"&amp;A1138,$H$5:$H$1204,"&lt;&gt;Falta",$H$5:$H$1204,"&lt;&gt;Cancelado",$H$5:$H$1204,"&lt;&gt;Remarcado")&gt;0,"Sim","Não"))</f>
        <v/>
      </c>
      <c r="S1138" s="32">
        <f>IF(R1138&lt;&gt;"Não","",IF(Q1138+Config!$B$9&lt;=Config!$B$8,Config!$B$8-Q1138,""))</f>
        <v/>
      </c>
      <c r="T1138" s="26">
        <f>IF(S1138="","","Sim")</f>
        <v/>
      </c>
      <c r="U1138" s="41">
        <f>IF(T1138="Sim",S1138+ROW()/100000,0)</f>
        <v>0</v>
      </c>
      <c r="V1138" s="41">
        <f>IF(AND(H1138="Falta",L1138=Config!$B$7,M1138=Config!$B$5,COUNTIFS($E$5:E1138,E1138,$H$5:H1138,"Falta",$L$5:L1138,Config!$B$7,$M$5:M1138,Config!$B$5)=1),COUNTIFS($E$5:$E$1204,E1138,$H$5:$H$1204,"Falta",$L$5:$L$1204,Config!$B$7,$M$5:$M$1204,Config!$B$5)*1000-ROW()/100000,0)</f>
        <v>0</v>
      </c>
    </row>
    <row r="1139">
      <c r="A1139" s="39" t="n"/>
      <c r="B1139" s="40" t="n"/>
      <c r="C1139" s="35" t="n"/>
      <c r="D1139" s="35" t="n"/>
      <c r="E1139" s="34" t="n"/>
      <c r="F1139" s="35" t="n"/>
      <c r="G1139" s="35" t="n"/>
      <c r="H1139" s="35" t="n"/>
      <c r="I1139" s="35" t="n"/>
      <c r="J1139" s="35" t="n"/>
      <c r="K1139" s="34" t="n"/>
      <c r="L1139" s="26">
        <f>IF(A1139="","",MONTH(A1139))</f>
        <v/>
      </c>
      <c r="M1139" s="26">
        <f>IF(A1139="","",YEAR(A1139))</f>
        <v/>
      </c>
      <c r="N1139" s="26">
        <f>IF(A1139="","",CHOOSE(WEEKDAY(A1139,2),"Segunda","Terça","Quarta","Quinta","Sexta","Sábado","Domingo"))</f>
        <v/>
      </c>
      <c r="O1139" s="26">
        <f>IF(B1139="","",IF(B1139&lt;TIME(12,0,0),"Manhã",IF(B1139&lt;TIME(18,0,0),"Tarde","Noite")))</f>
        <v/>
      </c>
      <c r="P1139" s="32">
        <f>IF(G1139="","",IFERROR(INDEX(Config!$I$5:$I$16,MATCH(G1139,Config!$H$5:$H$16,0)),0))</f>
        <v/>
      </c>
      <c r="Q1139" s="30">
        <f>IF(OR(H1139&lt;&gt;"Realizado",P1139="",P1139=0),"",A1139+P1139)</f>
        <v/>
      </c>
      <c r="R1139" s="26">
        <f>IF(Q1139="","",IF(COUNTIFS($E$5:$E$1204,E1139,$A$5:$A$1204,"&gt;"&amp;A1139,$H$5:$H$1204,"&lt;&gt;Falta",$H$5:$H$1204,"&lt;&gt;Cancelado",$H$5:$H$1204,"&lt;&gt;Remarcado")&gt;0,"Sim","Não"))</f>
        <v/>
      </c>
      <c r="S1139" s="32">
        <f>IF(R1139&lt;&gt;"Não","",IF(Q1139+Config!$B$9&lt;=Config!$B$8,Config!$B$8-Q1139,""))</f>
        <v/>
      </c>
      <c r="T1139" s="26">
        <f>IF(S1139="","","Sim")</f>
        <v/>
      </c>
      <c r="U1139" s="41">
        <f>IF(T1139="Sim",S1139+ROW()/100000,0)</f>
        <v>0</v>
      </c>
      <c r="V1139" s="41">
        <f>IF(AND(H1139="Falta",L1139=Config!$B$7,M1139=Config!$B$5,COUNTIFS($E$5:E1139,E1139,$H$5:H1139,"Falta",$L$5:L1139,Config!$B$7,$M$5:M1139,Config!$B$5)=1),COUNTIFS($E$5:$E$1204,E1139,$H$5:$H$1204,"Falta",$L$5:$L$1204,Config!$B$7,$M$5:$M$1204,Config!$B$5)*1000-ROW()/100000,0)</f>
        <v>0</v>
      </c>
    </row>
    <row r="1140">
      <c r="A1140" s="39" t="n"/>
      <c r="B1140" s="40" t="n"/>
      <c r="C1140" s="35" t="n"/>
      <c r="D1140" s="35" t="n"/>
      <c r="E1140" s="34" t="n"/>
      <c r="F1140" s="35" t="n"/>
      <c r="G1140" s="35" t="n"/>
      <c r="H1140" s="35" t="n"/>
      <c r="I1140" s="35" t="n"/>
      <c r="J1140" s="35" t="n"/>
      <c r="K1140" s="34" t="n"/>
      <c r="L1140" s="26">
        <f>IF(A1140="","",MONTH(A1140))</f>
        <v/>
      </c>
      <c r="M1140" s="26">
        <f>IF(A1140="","",YEAR(A1140))</f>
        <v/>
      </c>
      <c r="N1140" s="26">
        <f>IF(A1140="","",CHOOSE(WEEKDAY(A1140,2),"Segunda","Terça","Quarta","Quinta","Sexta","Sábado","Domingo"))</f>
        <v/>
      </c>
      <c r="O1140" s="26">
        <f>IF(B1140="","",IF(B1140&lt;TIME(12,0,0),"Manhã",IF(B1140&lt;TIME(18,0,0),"Tarde","Noite")))</f>
        <v/>
      </c>
      <c r="P1140" s="32">
        <f>IF(G1140="","",IFERROR(INDEX(Config!$I$5:$I$16,MATCH(G1140,Config!$H$5:$H$16,0)),0))</f>
        <v/>
      </c>
      <c r="Q1140" s="30">
        <f>IF(OR(H1140&lt;&gt;"Realizado",P1140="",P1140=0),"",A1140+P1140)</f>
        <v/>
      </c>
      <c r="R1140" s="26">
        <f>IF(Q1140="","",IF(COUNTIFS($E$5:$E$1204,E1140,$A$5:$A$1204,"&gt;"&amp;A1140,$H$5:$H$1204,"&lt;&gt;Falta",$H$5:$H$1204,"&lt;&gt;Cancelado",$H$5:$H$1204,"&lt;&gt;Remarcado")&gt;0,"Sim","Não"))</f>
        <v/>
      </c>
      <c r="S1140" s="32">
        <f>IF(R1140&lt;&gt;"Não","",IF(Q1140+Config!$B$9&lt;=Config!$B$8,Config!$B$8-Q1140,""))</f>
        <v/>
      </c>
      <c r="T1140" s="26">
        <f>IF(S1140="","","Sim")</f>
        <v/>
      </c>
      <c r="U1140" s="41">
        <f>IF(T1140="Sim",S1140+ROW()/100000,0)</f>
        <v>0</v>
      </c>
      <c r="V1140" s="41">
        <f>IF(AND(H1140="Falta",L1140=Config!$B$7,M1140=Config!$B$5,COUNTIFS($E$5:E1140,E1140,$H$5:H1140,"Falta",$L$5:L1140,Config!$B$7,$M$5:M1140,Config!$B$5)=1),COUNTIFS($E$5:$E$1204,E1140,$H$5:$H$1204,"Falta",$L$5:$L$1204,Config!$B$7,$M$5:$M$1204,Config!$B$5)*1000-ROW()/100000,0)</f>
        <v>0</v>
      </c>
    </row>
    <row r="1141">
      <c r="A1141" s="39" t="n"/>
      <c r="B1141" s="40" t="n"/>
      <c r="C1141" s="35" t="n"/>
      <c r="D1141" s="35" t="n"/>
      <c r="E1141" s="34" t="n"/>
      <c r="F1141" s="35" t="n"/>
      <c r="G1141" s="35" t="n"/>
      <c r="H1141" s="35" t="n"/>
      <c r="I1141" s="35" t="n"/>
      <c r="J1141" s="35" t="n"/>
      <c r="K1141" s="34" t="n"/>
      <c r="L1141" s="26">
        <f>IF(A1141="","",MONTH(A1141))</f>
        <v/>
      </c>
      <c r="M1141" s="26">
        <f>IF(A1141="","",YEAR(A1141))</f>
        <v/>
      </c>
      <c r="N1141" s="26">
        <f>IF(A1141="","",CHOOSE(WEEKDAY(A1141,2),"Segunda","Terça","Quarta","Quinta","Sexta","Sábado","Domingo"))</f>
        <v/>
      </c>
      <c r="O1141" s="26">
        <f>IF(B1141="","",IF(B1141&lt;TIME(12,0,0),"Manhã",IF(B1141&lt;TIME(18,0,0),"Tarde","Noite")))</f>
        <v/>
      </c>
      <c r="P1141" s="32">
        <f>IF(G1141="","",IFERROR(INDEX(Config!$I$5:$I$16,MATCH(G1141,Config!$H$5:$H$16,0)),0))</f>
        <v/>
      </c>
      <c r="Q1141" s="30">
        <f>IF(OR(H1141&lt;&gt;"Realizado",P1141="",P1141=0),"",A1141+P1141)</f>
        <v/>
      </c>
      <c r="R1141" s="26">
        <f>IF(Q1141="","",IF(COUNTIFS($E$5:$E$1204,E1141,$A$5:$A$1204,"&gt;"&amp;A1141,$H$5:$H$1204,"&lt;&gt;Falta",$H$5:$H$1204,"&lt;&gt;Cancelado",$H$5:$H$1204,"&lt;&gt;Remarcado")&gt;0,"Sim","Não"))</f>
        <v/>
      </c>
      <c r="S1141" s="32">
        <f>IF(R1141&lt;&gt;"Não","",IF(Q1141+Config!$B$9&lt;=Config!$B$8,Config!$B$8-Q1141,""))</f>
        <v/>
      </c>
      <c r="T1141" s="26">
        <f>IF(S1141="","","Sim")</f>
        <v/>
      </c>
      <c r="U1141" s="41">
        <f>IF(T1141="Sim",S1141+ROW()/100000,0)</f>
        <v>0</v>
      </c>
      <c r="V1141" s="41">
        <f>IF(AND(H1141="Falta",L1141=Config!$B$7,M1141=Config!$B$5,COUNTIFS($E$5:E1141,E1141,$H$5:H1141,"Falta",$L$5:L1141,Config!$B$7,$M$5:M1141,Config!$B$5)=1),COUNTIFS($E$5:$E$1204,E1141,$H$5:$H$1204,"Falta",$L$5:$L$1204,Config!$B$7,$M$5:$M$1204,Config!$B$5)*1000-ROW()/100000,0)</f>
        <v>0</v>
      </c>
    </row>
    <row r="1142">
      <c r="A1142" s="39" t="n"/>
      <c r="B1142" s="40" t="n"/>
      <c r="C1142" s="35" t="n"/>
      <c r="D1142" s="35" t="n"/>
      <c r="E1142" s="34" t="n"/>
      <c r="F1142" s="35" t="n"/>
      <c r="G1142" s="35" t="n"/>
      <c r="H1142" s="35" t="n"/>
      <c r="I1142" s="35" t="n"/>
      <c r="J1142" s="35" t="n"/>
      <c r="K1142" s="34" t="n"/>
      <c r="L1142" s="26">
        <f>IF(A1142="","",MONTH(A1142))</f>
        <v/>
      </c>
      <c r="M1142" s="26">
        <f>IF(A1142="","",YEAR(A1142))</f>
        <v/>
      </c>
      <c r="N1142" s="26">
        <f>IF(A1142="","",CHOOSE(WEEKDAY(A1142,2),"Segunda","Terça","Quarta","Quinta","Sexta","Sábado","Domingo"))</f>
        <v/>
      </c>
      <c r="O1142" s="26">
        <f>IF(B1142="","",IF(B1142&lt;TIME(12,0,0),"Manhã",IF(B1142&lt;TIME(18,0,0),"Tarde","Noite")))</f>
        <v/>
      </c>
      <c r="P1142" s="32">
        <f>IF(G1142="","",IFERROR(INDEX(Config!$I$5:$I$16,MATCH(G1142,Config!$H$5:$H$16,0)),0))</f>
        <v/>
      </c>
      <c r="Q1142" s="30">
        <f>IF(OR(H1142&lt;&gt;"Realizado",P1142="",P1142=0),"",A1142+P1142)</f>
        <v/>
      </c>
      <c r="R1142" s="26">
        <f>IF(Q1142="","",IF(COUNTIFS($E$5:$E$1204,E1142,$A$5:$A$1204,"&gt;"&amp;A1142,$H$5:$H$1204,"&lt;&gt;Falta",$H$5:$H$1204,"&lt;&gt;Cancelado",$H$5:$H$1204,"&lt;&gt;Remarcado")&gt;0,"Sim","Não"))</f>
        <v/>
      </c>
      <c r="S1142" s="32">
        <f>IF(R1142&lt;&gt;"Não","",IF(Q1142+Config!$B$9&lt;=Config!$B$8,Config!$B$8-Q1142,""))</f>
        <v/>
      </c>
      <c r="T1142" s="26">
        <f>IF(S1142="","","Sim")</f>
        <v/>
      </c>
      <c r="U1142" s="41">
        <f>IF(T1142="Sim",S1142+ROW()/100000,0)</f>
        <v>0</v>
      </c>
      <c r="V1142" s="41">
        <f>IF(AND(H1142="Falta",L1142=Config!$B$7,M1142=Config!$B$5,COUNTIFS($E$5:E1142,E1142,$H$5:H1142,"Falta",$L$5:L1142,Config!$B$7,$M$5:M1142,Config!$B$5)=1),COUNTIFS($E$5:$E$1204,E1142,$H$5:$H$1204,"Falta",$L$5:$L$1204,Config!$B$7,$M$5:$M$1204,Config!$B$5)*1000-ROW()/100000,0)</f>
        <v>0</v>
      </c>
    </row>
    <row r="1143">
      <c r="A1143" s="39" t="n"/>
      <c r="B1143" s="40" t="n"/>
      <c r="C1143" s="35" t="n"/>
      <c r="D1143" s="35" t="n"/>
      <c r="E1143" s="34" t="n"/>
      <c r="F1143" s="35" t="n"/>
      <c r="G1143" s="35" t="n"/>
      <c r="H1143" s="35" t="n"/>
      <c r="I1143" s="35" t="n"/>
      <c r="J1143" s="35" t="n"/>
      <c r="K1143" s="34" t="n"/>
      <c r="L1143" s="26">
        <f>IF(A1143="","",MONTH(A1143))</f>
        <v/>
      </c>
      <c r="M1143" s="26">
        <f>IF(A1143="","",YEAR(A1143))</f>
        <v/>
      </c>
      <c r="N1143" s="26">
        <f>IF(A1143="","",CHOOSE(WEEKDAY(A1143,2),"Segunda","Terça","Quarta","Quinta","Sexta","Sábado","Domingo"))</f>
        <v/>
      </c>
      <c r="O1143" s="26">
        <f>IF(B1143="","",IF(B1143&lt;TIME(12,0,0),"Manhã",IF(B1143&lt;TIME(18,0,0),"Tarde","Noite")))</f>
        <v/>
      </c>
      <c r="P1143" s="32">
        <f>IF(G1143="","",IFERROR(INDEX(Config!$I$5:$I$16,MATCH(G1143,Config!$H$5:$H$16,0)),0))</f>
        <v/>
      </c>
      <c r="Q1143" s="30">
        <f>IF(OR(H1143&lt;&gt;"Realizado",P1143="",P1143=0),"",A1143+P1143)</f>
        <v/>
      </c>
      <c r="R1143" s="26">
        <f>IF(Q1143="","",IF(COUNTIFS($E$5:$E$1204,E1143,$A$5:$A$1204,"&gt;"&amp;A1143,$H$5:$H$1204,"&lt;&gt;Falta",$H$5:$H$1204,"&lt;&gt;Cancelado",$H$5:$H$1204,"&lt;&gt;Remarcado")&gt;0,"Sim","Não"))</f>
        <v/>
      </c>
      <c r="S1143" s="32">
        <f>IF(R1143&lt;&gt;"Não","",IF(Q1143+Config!$B$9&lt;=Config!$B$8,Config!$B$8-Q1143,""))</f>
        <v/>
      </c>
      <c r="T1143" s="26">
        <f>IF(S1143="","","Sim")</f>
        <v/>
      </c>
      <c r="U1143" s="41">
        <f>IF(T1143="Sim",S1143+ROW()/100000,0)</f>
        <v>0</v>
      </c>
      <c r="V1143" s="41">
        <f>IF(AND(H1143="Falta",L1143=Config!$B$7,M1143=Config!$B$5,COUNTIFS($E$5:E1143,E1143,$H$5:H1143,"Falta",$L$5:L1143,Config!$B$7,$M$5:M1143,Config!$B$5)=1),COUNTIFS($E$5:$E$1204,E1143,$H$5:$H$1204,"Falta",$L$5:$L$1204,Config!$B$7,$M$5:$M$1204,Config!$B$5)*1000-ROW()/100000,0)</f>
        <v>0</v>
      </c>
    </row>
    <row r="1144">
      <c r="A1144" s="39" t="n"/>
      <c r="B1144" s="40" t="n"/>
      <c r="C1144" s="35" t="n"/>
      <c r="D1144" s="35" t="n"/>
      <c r="E1144" s="34" t="n"/>
      <c r="F1144" s="35" t="n"/>
      <c r="G1144" s="35" t="n"/>
      <c r="H1144" s="35" t="n"/>
      <c r="I1144" s="35" t="n"/>
      <c r="J1144" s="35" t="n"/>
      <c r="K1144" s="34" t="n"/>
      <c r="L1144" s="26">
        <f>IF(A1144="","",MONTH(A1144))</f>
        <v/>
      </c>
      <c r="M1144" s="26">
        <f>IF(A1144="","",YEAR(A1144))</f>
        <v/>
      </c>
      <c r="N1144" s="26">
        <f>IF(A1144="","",CHOOSE(WEEKDAY(A1144,2),"Segunda","Terça","Quarta","Quinta","Sexta","Sábado","Domingo"))</f>
        <v/>
      </c>
      <c r="O1144" s="26">
        <f>IF(B1144="","",IF(B1144&lt;TIME(12,0,0),"Manhã",IF(B1144&lt;TIME(18,0,0),"Tarde","Noite")))</f>
        <v/>
      </c>
      <c r="P1144" s="32">
        <f>IF(G1144="","",IFERROR(INDEX(Config!$I$5:$I$16,MATCH(G1144,Config!$H$5:$H$16,0)),0))</f>
        <v/>
      </c>
      <c r="Q1144" s="30">
        <f>IF(OR(H1144&lt;&gt;"Realizado",P1144="",P1144=0),"",A1144+P1144)</f>
        <v/>
      </c>
      <c r="R1144" s="26">
        <f>IF(Q1144="","",IF(COUNTIFS($E$5:$E$1204,E1144,$A$5:$A$1204,"&gt;"&amp;A1144,$H$5:$H$1204,"&lt;&gt;Falta",$H$5:$H$1204,"&lt;&gt;Cancelado",$H$5:$H$1204,"&lt;&gt;Remarcado")&gt;0,"Sim","Não"))</f>
        <v/>
      </c>
      <c r="S1144" s="32">
        <f>IF(R1144&lt;&gt;"Não","",IF(Q1144+Config!$B$9&lt;=Config!$B$8,Config!$B$8-Q1144,""))</f>
        <v/>
      </c>
      <c r="T1144" s="26">
        <f>IF(S1144="","","Sim")</f>
        <v/>
      </c>
      <c r="U1144" s="41">
        <f>IF(T1144="Sim",S1144+ROW()/100000,0)</f>
        <v>0</v>
      </c>
      <c r="V1144" s="41">
        <f>IF(AND(H1144="Falta",L1144=Config!$B$7,M1144=Config!$B$5,COUNTIFS($E$5:E1144,E1144,$H$5:H1144,"Falta",$L$5:L1144,Config!$B$7,$M$5:M1144,Config!$B$5)=1),COUNTIFS($E$5:$E$1204,E1144,$H$5:$H$1204,"Falta",$L$5:$L$1204,Config!$B$7,$M$5:$M$1204,Config!$B$5)*1000-ROW()/100000,0)</f>
        <v>0</v>
      </c>
    </row>
    <row r="1145">
      <c r="A1145" s="39" t="n"/>
      <c r="B1145" s="40" t="n"/>
      <c r="C1145" s="35" t="n"/>
      <c r="D1145" s="35" t="n"/>
      <c r="E1145" s="34" t="n"/>
      <c r="F1145" s="35" t="n"/>
      <c r="G1145" s="35" t="n"/>
      <c r="H1145" s="35" t="n"/>
      <c r="I1145" s="35" t="n"/>
      <c r="J1145" s="35" t="n"/>
      <c r="K1145" s="34" t="n"/>
      <c r="L1145" s="26">
        <f>IF(A1145="","",MONTH(A1145))</f>
        <v/>
      </c>
      <c r="M1145" s="26">
        <f>IF(A1145="","",YEAR(A1145))</f>
        <v/>
      </c>
      <c r="N1145" s="26">
        <f>IF(A1145="","",CHOOSE(WEEKDAY(A1145,2),"Segunda","Terça","Quarta","Quinta","Sexta","Sábado","Domingo"))</f>
        <v/>
      </c>
      <c r="O1145" s="26">
        <f>IF(B1145="","",IF(B1145&lt;TIME(12,0,0),"Manhã",IF(B1145&lt;TIME(18,0,0),"Tarde","Noite")))</f>
        <v/>
      </c>
      <c r="P1145" s="32">
        <f>IF(G1145="","",IFERROR(INDEX(Config!$I$5:$I$16,MATCH(G1145,Config!$H$5:$H$16,0)),0))</f>
        <v/>
      </c>
      <c r="Q1145" s="30">
        <f>IF(OR(H1145&lt;&gt;"Realizado",P1145="",P1145=0),"",A1145+P1145)</f>
        <v/>
      </c>
      <c r="R1145" s="26">
        <f>IF(Q1145="","",IF(COUNTIFS($E$5:$E$1204,E1145,$A$5:$A$1204,"&gt;"&amp;A1145,$H$5:$H$1204,"&lt;&gt;Falta",$H$5:$H$1204,"&lt;&gt;Cancelado",$H$5:$H$1204,"&lt;&gt;Remarcado")&gt;0,"Sim","Não"))</f>
        <v/>
      </c>
      <c r="S1145" s="32">
        <f>IF(R1145&lt;&gt;"Não","",IF(Q1145+Config!$B$9&lt;=Config!$B$8,Config!$B$8-Q1145,""))</f>
        <v/>
      </c>
      <c r="T1145" s="26">
        <f>IF(S1145="","","Sim")</f>
        <v/>
      </c>
      <c r="U1145" s="41">
        <f>IF(T1145="Sim",S1145+ROW()/100000,0)</f>
        <v>0</v>
      </c>
      <c r="V1145" s="41">
        <f>IF(AND(H1145="Falta",L1145=Config!$B$7,M1145=Config!$B$5,COUNTIFS($E$5:E1145,E1145,$H$5:H1145,"Falta",$L$5:L1145,Config!$B$7,$M$5:M1145,Config!$B$5)=1),COUNTIFS($E$5:$E$1204,E1145,$H$5:$H$1204,"Falta",$L$5:$L$1204,Config!$B$7,$M$5:$M$1204,Config!$B$5)*1000-ROW()/100000,0)</f>
        <v>0</v>
      </c>
    </row>
    <row r="1146">
      <c r="A1146" s="39" t="n"/>
      <c r="B1146" s="40" t="n"/>
      <c r="C1146" s="35" t="n"/>
      <c r="D1146" s="35" t="n"/>
      <c r="E1146" s="34" t="n"/>
      <c r="F1146" s="35" t="n"/>
      <c r="G1146" s="35" t="n"/>
      <c r="H1146" s="35" t="n"/>
      <c r="I1146" s="35" t="n"/>
      <c r="J1146" s="35" t="n"/>
      <c r="K1146" s="34" t="n"/>
      <c r="L1146" s="26">
        <f>IF(A1146="","",MONTH(A1146))</f>
        <v/>
      </c>
      <c r="M1146" s="26">
        <f>IF(A1146="","",YEAR(A1146))</f>
        <v/>
      </c>
      <c r="N1146" s="26">
        <f>IF(A1146="","",CHOOSE(WEEKDAY(A1146,2),"Segunda","Terça","Quarta","Quinta","Sexta","Sábado","Domingo"))</f>
        <v/>
      </c>
      <c r="O1146" s="26">
        <f>IF(B1146="","",IF(B1146&lt;TIME(12,0,0),"Manhã",IF(B1146&lt;TIME(18,0,0),"Tarde","Noite")))</f>
        <v/>
      </c>
      <c r="P1146" s="32">
        <f>IF(G1146="","",IFERROR(INDEX(Config!$I$5:$I$16,MATCH(G1146,Config!$H$5:$H$16,0)),0))</f>
        <v/>
      </c>
      <c r="Q1146" s="30">
        <f>IF(OR(H1146&lt;&gt;"Realizado",P1146="",P1146=0),"",A1146+P1146)</f>
        <v/>
      </c>
      <c r="R1146" s="26">
        <f>IF(Q1146="","",IF(COUNTIFS($E$5:$E$1204,E1146,$A$5:$A$1204,"&gt;"&amp;A1146,$H$5:$H$1204,"&lt;&gt;Falta",$H$5:$H$1204,"&lt;&gt;Cancelado",$H$5:$H$1204,"&lt;&gt;Remarcado")&gt;0,"Sim","Não"))</f>
        <v/>
      </c>
      <c r="S1146" s="32">
        <f>IF(R1146&lt;&gt;"Não","",IF(Q1146+Config!$B$9&lt;=Config!$B$8,Config!$B$8-Q1146,""))</f>
        <v/>
      </c>
      <c r="T1146" s="26">
        <f>IF(S1146="","","Sim")</f>
        <v/>
      </c>
      <c r="U1146" s="41">
        <f>IF(T1146="Sim",S1146+ROW()/100000,0)</f>
        <v>0</v>
      </c>
      <c r="V1146" s="41">
        <f>IF(AND(H1146="Falta",L1146=Config!$B$7,M1146=Config!$B$5,COUNTIFS($E$5:E1146,E1146,$H$5:H1146,"Falta",$L$5:L1146,Config!$B$7,$M$5:M1146,Config!$B$5)=1),COUNTIFS($E$5:$E$1204,E1146,$H$5:$H$1204,"Falta",$L$5:$L$1204,Config!$B$7,$M$5:$M$1204,Config!$B$5)*1000-ROW()/100000,0)</f>
        <v>0</v>
      </c>
    </row>
    <row r="1147">
      <c r="A1147" s="39" t="n"/>
      <c r="B1147" s="40" t="n"/>
      <c r="C1147" s="35" t="n"/>
      <c r="D1147" s="35" t="n"/>
      <c r="E1147" s="34" t="n"/>
      <c r="F1147" s="35" t="n"/>
      <c r="G1147" s="35" t="n"/>
      <c r="H1147" s="35" t="n"/>
      <c r="I1147" s="35" t="n"/>
      <c r="J1147" s="35" t="n"/>
      <c r="K1147" s="34" t="n"/>
      <c r="L1147" s="26">
        <f>IF(A1147="","",MONTH(A1147))</f>
        <v/>
      </c>
      <c r="M1147" s="26">
        <f>IF(A1147="","",YEAR(A1147))</f>
        <v/>
      </c>
      <c r="N1147" s="26">
        <f>IF(A1147="","",CHOOSE(WEEKDAY(A1147,2),"Segunda","Terça","Quarta","Quinta","Sexta","Sábado","Domingo"))</f>
        <v/>
      </c>
      <c r="O1147" s="26">
        <f>IF(B1147="","",IF(B1147&lt;TIME(12,0,0),"Manhã",IF(B1147&lt;TIME(18,0,0),"Tarde","Noite")))</f>
        <v/>
      </c>
      <c r="P1147" s="32">
        <f>IF(G1147="","",IFERROR(INDEX(Config!$I$5:$I$16,MATCH(G1147,Config!$H$5:$H$16,0)),0))</f>
        <v/>
      </c>
      <c r="Q1147" s="30">
        <f>IF(OR(H1147&lt;&gt;"Realizado",P1147="",P1147=0),"",A1147+P1147)</f>
        <v/>
      </c>
      <c r="R1147" s="26">
        <f>IF(Q1147="","",IF(COUNTIFS($E$5:$E$1204,E1147,$A$5:$A$1204,"&gt;"&amp;A1147,$H$5:$H$1204,"&lt;&gt;Falta",$H$5:$H$1204,"&lt;&gt;Cancelado",$H$5:$H$1204,"&lt;&gt;Remarcado")&gt;0,"Sim","Não"))</f>
        <v/>
      </c>
      <c r="S1147" s="32">
        <f>IF(R1147&lt;&gt;"Não","",IF(Q1147+Config!$B$9&lt;=Config!$B$8,Config!$B$8-Q1147,""))</f>
        <v/>
      </c>
      <c r="T1147" s="26">
        <f>IF(S1147="","","Sim")</f>
        <v/>
      </c>
      <c r="U1147" s="41">
        <f>IF(T1147="Sim",S1147+ROW()/100000,0)</f>
        <v>0</v>
      </c>
      <c r="V1147" s="41">
        <f>IF(AND(H1147="Falta",L1147=Config!$B$7,M1147=Config!$B$5,COUNTIFS($E$5:E1147,E1147,$H$5:H1147,"Falta",$L$5:L1147,Config!$B$7,$M$5:M1147,Config!$B$5)=1),COUNTIFS($E$5:$E$1204,E1147,$H$5:$H$1204,"Falta",$L$5:$L$1204,Config!$B$7,$M$5:$M$1204,Config!$B$5)*1000-ROW()/100000,0)</f>
        <v>0</v>
      </c>
    </row>
    <row r="1148">
      <c r="A1148" s="39" t="n"/>
      <c r="B1148" s="40" t="n"/>
      <c r="C1148" s="35" t="n"/>
      <c r="D1148" s="35" t="n"/>
      <c r="E1148" s="34" t="n"/>
      <c r="F1148" s="35" t="n"/>
      <c r="G1148" s="35" t="n"/>
      <c r="H1148" s="35" t="n"/>
      <c r="I1148" s="35" t="n"/>
      <c r="J1148" s="35" t="n"/>
      <c r="K1148" s="34" t="n"/>
      <c r="L1148" s="26">
        <f>IF(A1148="","",MONTH(A1148))</f>
        <v/>
      </c>
      <c r="M1148" s="26">
        <f>IF(A1148="","",YEAR(A1148))</f>
        <v/>
      </c>
      <c r="N1148" s="26">
        <f>IF(A1148="","",CHOOSE(WEEKDAY(A1148,2),"Segunda","Terça","Quarta","Quinta","Sexta","Sábado","Domingo"))</f>
        <v/>
      </c>
      <c r="O1148" s="26">
        <f>IF(B1148="","",IF(B1148&lt;TIME(12,0,0),"Manhã",IF(B1148&lt;TIME(18,0,0),"Tarde","Noite")))</f>
        <v/>
      </c>
      <c r="P1148" s="32">
        <f>IF(G1148="","",IFERROR(INDEX(Config!$I$5:$I$16,MATCH(G1148,Config!$H$5:$H$16,0)),0))</f>
        <v/>
      </c>
      <c r="Q1148" s="30">
        <f>IF(OR(H1148&lt;&gt;"Realizado",P1148="",P1148=0),"",A1148+P1148)</f>
        <v/>
      </c>
      <c r="R1148" s="26">
        <f>IF(Q1148="","",IF(COUNTIFS($E$5:$E$1204,E1148,$A$5:$A$1204,"&gt;"&amp;A1148,$H$5:$H$1204,"&lt;&gt;Falta",$H$5:$H$1204,"&lt;&gt;Cancelado",$H$5:$H$1204,"&lt;&gt;Remarcado")&gt;0,"Sim","Não"))</f>
        <v/>
      </c>
      <c r="S1148" s="32">
        <f>IF(R1148&lt;&gt;"Não","",IF(Q1148+Config!$B$9&lt;=Config!$B$8,Config!$B$8-Q1148,""))</f>
        <v/>
      </c>
      <c r="T1148" s="26">
        <f>IF(S1148="","","Sim")</f>
        <v/>
      </c>
      <c r="U1148" s="41">
        <f>IF(T1148="Sim",S1148+ROW()/100000,0)</f>
        <v>0</v>
      </c>
      <c r="V1148" s="41">
        <f>IF(AND(H1148="Falta",L1148=Config!$B$7,M1148=Config!$B$5,COUNTIFS($E$5:E1148,E1148,$H$5:H1148,"Falta",$L$5:L1148,Config!$B$7,$M$5:M1148,Config!$B$5)=1),COUNTIFS($E$5:$E$1204,E1148,$H$5:$H$1204,"Falta",$L$5:$L$1204,Config!$B$7,$M$5:$M$1204,Config!$B$5)*1000-ROW()/100000,0)</f>
        <v>0</v>
      </c>
    </row>
    <row r="1149">
      <c r="A1149" s="39" t="n"/>
      <c r="B1149" s="40" t="n"/>
      <c r="C1149" s="35" t="n"/>
      <c r="D1149" s="35" t="n"/>
      <c r="E1149" s="34" t="n"/>
      <c r="F1149" s="35" t="n"/>
      <c r="G1149" s="35" t="n"/>
      <c r="H1149" s="35" t="n"/>
      <c r="I1149" s="35" t="n"/>
      <c r="J1149" s="35" t="n"/>
      <c r="K1149" s="34" t="n"/>
      <c r="L1149" s="26">
        <f>IF(A1149="","",MONTH(A1149))</f>
        <v/>
      </c>
      <c r="M1149" s="26">
        <f>IF(A1149="","",YEAR(A1149))</f>
        <v/>
      </c>
      <c r="N1149" s="26">
        <f>IF(A1149="","",CHOOSE(WEEKDAY(A1149,2),"Segunda","Terça","Quarta","Quinta","Sexta","Sábado","Domingo"))</f>
        <v/>
      </c>
      <c r="O1149" s="26">
        <f>IF(B1149="","",IF(B1149&lt;TIME(12,0,0),"Manhã",IF(B1149&lt;TIME(18,0,0),"Tarde","Noite")))</f>
        <v/>
      </c>
      <c r="P1149" s="32">
        <f>IF(G1149="","",IFERROR(INDEX(Config!$I$5:$I$16,MATCH(G1149,Config!$H$5:$H$16,0)),0))</f>
        <v/>
      </c>
      <c r="Q1149" s="30">
        <f>IF(OR(H1149&lt;&gt;"Realizado",P1149="",P1149=0),"",A1149+P1149)</f>
        <v/>
      </c>
      <c r="R1149" s="26">
        <f>IF(Q1149="","",IF(COUNTIFS($E$5:$E$1204,E1149,$A$5:$A$1204,"&gt;"&amp;A1149,$H$5:$H$1204,"&lt;&gt;Falta",$H$5:$H$1204,"&lt;&gt;Cancelado",$H$5:$H$1204,"&lt;&gt;Remarcado")&gt;0,"Sim","Não"))</f>
        <v/>
      </c>
      <c r="S1149" s="32">
        <f>IF(R1149&lt;&gt;"Não","",IF(Q1149+Config!$B$9&lt;=Config!$B$8,Config!$B$8-Q1149,""))</f>
        <v/>
      </c>
      <c r="T1149" s="26">
        <f>IF(S1149="","","Sim")</f>
        <v/>
      </c>
      <c r="U1149" s="41">
        <f>IF(T1149="Sim",S1149+ROW()/100000,0)</f>
        <v>0</v>
      </c>
      <c r="V1149" s="41">
        <f>IF(AND(H1149="Falta",L1149=Config!$B$7,M1149=Config!$B$5,COUNTIFS($E$5:E1149,E1149,$H$5:H1149,"Falta",$L$5:L1149,Config!$B$7,$M$5:M1149,Config!$B$5)=1),COUNTIFS($E$5:$E$1204,E1149,$H$5:$H$1204,"Falta",$L$5:$L$1204,Config!$B$7,$M$5:$M$1204,Config!$B$5)*1000-ROW()/100000,0)</f>
        <v>0</v>
      </c>
    </row>
    <row r="1150">
      <c r="A1150" s="39" t="n"/>
      <c r="B1150" s="40" t="n"/>
      <c r="C1150" s="35" t="n"/>
      <c r="D1150" s="35" t="n"/>
      <c r="E1150" s="34" t="n"/>
      <c r="F1150" s="35" t="n"/>
      <c r="G1150" s="35" t="n"/>
      <c r="H1150" s="35" t="n"/>
      <c r="I1150" s="35" t="n"/>
      <c r="J1150" s="35" t="n"/>
      <c r="K1150" s="34" t="n"/>
      <c r="L1150" s="26">
        <f>IF(A1150="","",MONTH(A1150))</f>
        <v/>
      </c>
      <c r="M1150" s="26">
        <f>IF(A1150="","",YEAR(A1150))</f>
        <v/>
      </c>
      <c r="N1150" s="26">
        <f>IF(A1150="","",CHOOSE(WEEKDAY(A1150,2),"Segunda","Terça","Quarta","Quinta","Sexta","Sábado","Domingo"))</f>
        <v/>
      </c>
      <c r="O1150" s="26">
        <f>IF(B1150="","",IF(B1150&lt;TIME(12,0,0),"Manhã",IF(B1150&lt;TIME(18,0,0),"Tarde","Noite")))</f>
        <v/>
      </c>
      <c r="P1150" s="32">
        <f>IF(G1150="","",IFERROR(INDEX(Config!$I$5:$I$16,MATCH(G1150,Config!$H$5:$H$16,0)),0))</f>
        <v/>
      </c>
      <c r="Q1150" s="30">
        <f>IF(OR(H1150&lt;&gt;"Realizado",P1150="",P1150=0),"",A1150+P1150)</f>
        <v/>
      </c>
      <c r="R1150" s="26">
        <f>IF(Q1150="","",IF(COUNTIFS($E$5:$E$1204,E1150,$A$5:$A$1204,"&gt;"&amp;A1150,$H$5:$H$1204,"&lt;&gt;Falta",$H$5:$H$1204,"&lt;&gt;Cancelado",$H$5:$H$1204,"&lt;&gt;Remarcado")&gt;0,"Sim","Não"))</f>
        <v/>
      </c>
      <c r="S1150" s="32">
        <f>IF(R1150&lt;&gt;"Não","",IF(Q1150+Config!$B$9&lt;=Config!$B$8,Config!$B$8-Q1150,""))</f>
        <v/>
      </c>
      <c r="T1150" s="26">
        <f>IF(S1150="","","Sim")</f>
        <v/>
      </c>
      <c r="U1150" s="41">
        <f>IF(T1150="Sim",S1150+ROW()/100000,0)</f>
        <v>0</v>
      </c>
      <c r="V1150" s="41">
        <f>IF(AND(H1150="Falta",L1150=Config!$B$7,M1150=Config!$B$5,COUNTIFS($E$5:E1150,E1150,$H$5:H1150,"Falta",$L$5:L1150,Config!$B$7,$M$5:M1150,Config!$B$5)=1),COUNTIFS($E$5:$E$1204,E1150,$H$5:$H$1204,"Falta",$L$5:$L$1204,Config!$B$7,$M$5:$M$1204,Config!$B$5)*1000-ROW()/100000,0)</f>
        <v>0</v>
      </c>
    </row>
    <row r="1151">
      <c r="A1151" s="39" t="n"/>
      <c r="B1151" s="40" t="n"/>
      <c r="C1151" s="35" t="n"/>
      <c r="D1151" s="35" t="n"/>
      <c r="E1151" s="34" t="n"/>
      <c r="F1151" s="35" t="n"/>
      <c r="G1151" s="35" t="n"/>
      <c r="H1151" s="35" t="n"/>
      <c r="I1151" s="35" t="n"/>
      <c r="J1151" s="35" t="n"/>
      <c r="K1151" s="34" t="n"/>
      <c r="L1151" s="26">
        <f>IF(A1151="","",MONTH(A1151))</f>
        <v/>
      </c>
      <c r="M1151" s="26">
        <f>IF(A1151="","",YEAR(A1151))</f>
        <v/>
      </c>
      <c r="N1151" s="26">
        <f>IF(A1151="","",CHOOSE(WEEKDAY(A1151,2),"Segunda","Terça","Quarta","Quinta","Sexta","Sábado","Domingo"))</f>
        <v/>
      </c>
      <c r="O1151" s="26">
        <f>IF(B1151="","",IF(B1151&lt;TIME(12,0,0),"Manhã",IF(B1151&lt;TIME(18,0,0),"Tarde","Noite")))</f>
        <v/>
      </c>
      <c r="P1151" s="32">
        <f>IF(G1151="","",IFERROR(INDEX(Config!$I$5:$I$16,MATCH(G1151,Config!$H$5:$H$16,0)),0))</f>
        <v/>
      </c>
      <c r="Q1151" s="30">
        <f>IF(OR(H1151&lt;&gt;"Realizado",P1151="",P1151=0),"",A1151+P1151)</f>
        <v/>
      </c>
      <c r="R1151" s="26">
        <f>IF(Q1151="","",IF(COUNTIFS($E$5:$E$1204,E1151,$A$5:$A$1204,"&gt;"&amp;A1151,$H$5:$H$1204,"&lt;&gt;Falta",$H$5:$H$1204,"&lt;&gt;Cancelado",$H$5:$H$1204,"&lt;&gt;Remarcado")&gt;0,"Sim","Não"))</f>
        <v/>
      </c>
      <c r="S1151" s="32">
        <f>IF(R1151&lt;&gt;"Não","",IF(Q1151+Config!$B$9&lt;=Config!$B$8,Config!$B$8-Q1151,""))</f>
        <v/>
      </c>
      <c r="T1151" s="26">
        <f>IF(S1151="","","Sim")</f>
        <v/>
      </c>
      <c r="U1151" s="41">
        <f>IF(T1151="Sim",S1151+ROW()/100000,0)</f>
        <v>0</v>
      </c>
      <c r="V1151" s="41">
        <f>IF(AND(H1151="Falta",L1151=Config!$B$7,M1151=Config!$B$5,COUNTIFS($E$5:E1151,E1151,$H$5:H1151,"Falta",$L$5:L1151,Config!$B$7,$M$5:M1151,Config!$B$5)=1),COUNTIFS($E$5:$E$1204,E1151,$H$5:$H$1204,"Falta",$L$5:$L$1204,Config!$B$7,$M$5:$M$1204,Config!$B$5)*1000-ROW()/100000,0)</f>
        <v>0</v>
      </c>
    </row>
    <row r="1152">
      <c r="A1152" s="39" t="n"/>
      <c r="B1152" s="40" t="n"/>
      <c r="C1152" s="35" t="n"/>
      <c r="D1152" s="35" t="n"/>
      <c r="E1152" s="34" t="n"/>
      <c r="F1152" s="35" t="n"/>
      <c r="G1152" s="35" t="n"/>
      <c r="H1152" s="35" t="n"/>
      <c r="I1152" s="35" t="n"/>
      <c r="J1152" s="35" t="n"/>
      <c r="K1152" s="34" t="n"/>
      <c r="L1152" s="26">
        <f>IF(A1152="","",MONTH(A1152))</f>
        <v/>
      </c>
      <c r="M1152" s="26">
        <f>IF(A1152="","",YEAR(A1152))</f>
        <v/>
      </c>
      <c r="N1152" s="26">
        <f>IF(A1152="","",CHOOSE(WEEKDAY(A1152,2),"Segunda","Terça","Quarta","Quinta","Sexta","Sábado","Domingo"))</f>
        <v/>
      </c>
      <c r="O1152" s="26">
        <f>IF(B1152="","",IF(B1152&lt;TIME(12,0,0),"Manhã",IF(B1152&lt;TIME(18,0,0),"Tarde","Noite")))</f>
        <v/>
      </c>
      <c r="P1152" s="32">
        <f>IF(G1152="","",IFERROR(INDEX(Config!$I$5:$I$16,MATCH(G1152,Config!$H$5:$H$16,0)),0))</f>
        <v/>
      </c>
      <c r="Q1152" s="30">
        <f>IF(OR(H1152&lt;&gt;"Realizado",P1152="",P1152=0),"",A1152+P1152)</f>
        <v/>
      </c>
      <c r="R1152" s="26">
        <f>IF(Q1152="","",IF(COUNTIFS($E$5:$E$1204,E1152,$A$5:$A$1204,"&gt;"&amp;A1152,$H$5:$H$1204,"&lt;&gt;Falta",$H$5:$H$1204,"&lt;&gt;Cancelado",$H$5:$H$1204,"&lt;&gt;Remarcado")&gt;0,"Sim","Não"))</f>
        <v/>
      </c>
      <c r="S1152" s="32">
        <f>IF(R1152&lt;&gt;"Não","",IF(Q1152+Config!$B$9&lt;=Config!$B$8,Config!$B$8-Q1152,""))</f>
        <v/>
      </c>
      <c r="T1152" s="26">
        <f>IF(S1152="","","Sim")</f>
        <v/>
      </c>
      <c r="U1152" s="41">
        <f>IF(T1152="Sim",S1152+ROW()/100000,0)</f>
        <v>0</v>
      </c>
      <c r="V1152" s="41">
        <f>IF(AND(H1152="Falta",L1152=Config!$B$7,M1152=Config!$B$5,COUNTIFS($E$5:E1152,E1152,$H$5:H1152,"Falta",$L$5:L1152,Config!$B$7,$M$5:M1152,Config!$B$5)=1),COUNTIFS($E$5:$E$1204,E1152,$H$5:$H$1204,"Falta",$L$5:$L$1204,Config!$B$7,$M$5:$M$1204,Config!$B$5)*1000-ROW()/100000,0)</f>
        <v>0</v>
      </c>
    </row>
    <row r="1153">
      <c r="A1153" s="39" t="n"/>
      <c r="B1153" s="40" t="n"/>
      <c r="C1153" s="35" t="n"/>
      <c r="D1153" s="35" t="n"/>
      <c r="E1153" s="34" t="n"/>
      <c r="F1153" s="35" t="n"/>
      <c r="G1153" s="35" t="n"/>
      <c r="H1153" s="35" t="n"/>
      <c r="I1153" s="35" t="n"/>
      <c r="J1153" s="35" t="n"/>
      <c r="K1153" s="34" t="n"/>
      <c r="L1153" s="26">
        <f>IF(A1153="","",MONTH(A1153))</f>
        <v/>
      </c>
      <c r="M1153" s="26">
        <f>IF(A1153="","",YEAR(A1153))</f>
        <v/>
      </c>
      <c r="N1153" s="26">
        <f>IF(A1153="","",CHOOSE(WEEKDAY(A1153,2),"Segunda","Terça","Quarta","Quinta","Sexta","Sábado","Domingo"))</f>
        <v/>
      </c>
      <c r="O1153" s="26">
        <f>IF(B1153="","",IF(B1153&lt;TIME(12,0,0),"Manhã",IF(B1153&lt;TIME(18,0,0),"Tarde","Noite")))</f>
        <v/>
      </c>
      <c r="P1153" s="32">
        <f>IF(G1153="","",IFERROR(INDEX(Config!$I$5:$I$16,MATCH(G1153,Config!$H$5:$H$16,0)),0))</f>
        <v/>
      </c>
      <c r="Q1153" s="30">
        <f>IF(OR(H1153&lt;&gt;"Realizado",P1153="",P1153=0),"",A1153+P1153)</f>
        <v/>
      </c>
      <c r="R1153" s="26">
        <f>IF(Q1153="","",IF(COUNTIFS($E$5:$E$1204,E1153,$A$5:$A$1204,"&gt;"&amp;A1153,$H$5:$H$1204,"&lt;&gt;Falta",$H$5:$H$1204,"&lt;&gt;Cancelado",$H$5:$H$1204,"&lt;&gt;Remarcado")&gt;0,"Sim","Não"))</f>
        <v/>
      </c>
      <c r="S1153" s="32">
        <f>IF(R1153&lt;&gt;"Não","",IF(Q1153+Config!$B$9&lt;=Config!$B$8,Config!$B$8-Q1153,""))</f>
        <v/>
      </c>
      <c r="T1153" s="26">
        <f>IF(S1153="","","Sim")</f>
        <v/>
      </c>
      <c r="U1153" s="41">
        <f>IF(T1153="Sim",S1153+ROW()/100000,0)</f>
        <v>0</v>
      </c>
      <c r="V1153" s="41">
        <f>IF(AND(H1153="Falta",L1153=Config!$B$7,M1153=Config!$B$5,COUNTIFS($E$5:E1153,E1153,$H$5:H1153,"Falta",$L$5:L1153,Config!$B$7,$M$5:M1153,Config!$B$5)=1),COUNTIFS($E$5:$E$1204,E1153,$H$5:$H$1204,"Falta",$L$5:$L$1204,Config!$B$7,$M$5:$M$1204,Config!$B$5)*1000-ROW()/100000,0)</f>
        <v>0</v>
      </c>
    </row>
    <row r="1154">
      <c r="A1154" s="39" t="n"/>
      <c r="B1154" s="40" t="n"/>
      <c r="C1154" s="35" t="n"/>
      <c r="D1154" s="35" t="n"/>
      <c r="E1154" s="34" t="n"/>
      <c r="F1154" s="35" t="n"/>
      <c r="G1154" s="35" t="n"/>
      <c r="H1154" s="35" t="n"/>
      <c r="I1154" s="35" t="n"/>
      <c r="J1154" s="35" t="n"/>
      <c r="K1154" s="34" t="n"/>
      <c r="L1154" s="26">
        <f>IF(A1154="","",MONTH(A1154))</f>
        <v/>
      </c>
      <c r="M1154" s="26">
        <f>IF(A1154="","",YEAR(A1154))</f>
        <v/>
      </c>
      <c r="N1154" s="26">
        <f>IF(A1154="","",CHOOSE(WEEKDAY(A1154,2),"Segunda","Terça","Quarta","Quinta","Sexta","Sábado","Domingo"))</f>
        <v/>
      </c>
      <c r="O1154" s="26">
        <f>IF(B1154="","",IF(B1154&lt;TIME(12,0,0),"Manhã",IF(B1154&lt;TIME(18,0,0),"Tarde","Noite")))</f>
        <v/>
      </c>
      <c r="P1154" s="32">
        <f>IF(G1154="","",IFERROR(INDEX(Config!$I$5:$I$16,MATCH(G1154,Config!$H$5:$H$16,0)),0))</f>
        <v/>
      </c>
      <c r="Q1154" s="30">
        <f>IF(OR(H1154&lt;&gt;"Realizado",P1154="",P1154=0),"",A1154+P1154)</f>
        <v/>
      </c>
      <c r="R1154" s="26">
        <f>IF(Q1154="","",IF(COUNTIFS($E$5:$E$1204,E1154,$A$5:$A$1204,"&gt;"&amp;A1154,$H$5:$H$1204,"&lt;&gt;Falta",$H$5:$H$1204,"&lt;&gt;Cancelado",$H$5:$H$1204,"&lt;&gt;Remarcado")&gt;0,"Sim","Não"))</f>
        <v/>
      </c>
      <c r="S1154" s="32">
        <f>IF(R1154&lt;&gt;"Não","",IF(Q1154+Config!$B$9&lt;=Config!$B$8,Config!$B$8-Q1154,""))</f>
        <v/>
      </c>
      <c r="T1154" s="26">
        <f>IF(S1154="","","Sim")</f>
        <v/>
      </c>
      <c r="U1154" s="41">
        <f>IF(T1154="Sim",S1154+ROW()/100000,0)</f>
        <v>0</v>
      </c>
      <c r="V1154" s="41">
        <f>IF(AND(H1154="Falta",L1154=Config!$B$7,M1154=Config!$B$5,COUNTIFS($E$5:E1154,E1154,$H$5:H1154,"Falta",$L$5:L1154,Config!$B$7,$M$5:M1154,Config!$B$5)=1),COUNTIFS($E$5:$E$1204,E1154,$H$5:$H$1204,"Falta",$L$5:$L$1204,Config!$B$7,$M$5:$M$1204,Config!$B$5)*1000-ROW()/100000,0)</f>
        <v>0</v>
      </c>
    </row>
    <row r="1155">
      <c r="A1155" s="39" t="n"/>
      <c r="B1155" s="40" t="n"/>
      <c r="C1155" s="35" t="n"/>
      <c r="D1155" s="35" t="n"/>
      <c r="E1155" s="34" t="n"/>
      <c r="F1155" s="35" t="n"/>
      <c r="G1155" s="35" t="n"/>
      <c r="H1155" s="35" t="n"/>
      <c r="I1155" s="35" t="n"/>
      <c r="J1155" s="35" t="n"/>
      <c r="K1155" s="34" t="n"/>
      <c r="L1155" s="26">
        <f>IF(A1155="","",MONTH(A1155))</f>
        <v/>
      </c>
      <c r="M1155" s="26">
        <f>IF(A1155="","",YEAR(A1155))</f>
        <v/>
      </c>
      <c r="N1155" s="26">
        <f>IF(A1155="","",CHOOSE(WEEKDAY(A1155,2),"Segunda","Terça","Quarta","Quinta","Sexta","Sábado","Domingo"))</f>
        <v/>
      </c>
      <c r="O1155" s="26">
        <f>IF(B1155="","",IF(B1155&lt;TIME(12,0,0),"Manhã",IF(B1155&lt;TIME(18,0,0),"Tarde","Noite")))</f>
        <v/>
      </c>
      <c r="P1155" s="32">
        <f>IF(G1155="","",IFERROR(INDEX(Config!$I$5:$I$16,MATCH(G1155,Config!$H$5:$H$16,0)),0))</f>
        <v/>
      </c>
      <c r="Q1155" s="30">
        <f>IF(OR(H1155&lt;&gt;"Realizado",P1155="",P1155=0),"",A1155+P1155)</f>
        <v/>
      </c>
      <c r="R1155" s="26">
        <f>IF(Q1155="","",IF(COUNTIFS($E$5:$E$1204,E1155,$A$5:$A$1204,"&gt;"&amp;A1155,$H$5:$H$1204,"&lt;&gt;Falta",$H$5:$H$1204,"&lt;&gt;Cancelado",$H$5:$H$1204,"&lt;&gt;Remarcado")&gt;0,"Sim","Não"))</f>
        <v/>
      </c>
      <c r="S1155" s="32">
        <f>IF(R1155&lt;&gt;"Não","",IF(Q1155+Config!$B$9&lt;=Config!$B$8,Config!$B$8-Q1155,""))</f>
        <v/>
      </c>
      <c r="T1155" s="26">
        <f>IF(S1155="","","Sim")</f>
        <v/>
      </c>
      <c r="U1155" s="41">
        <f>IF(T1155="Sim",S1155+ROW()/100000,0)</f>
        <v>0</v>
      </c>
      <c r="V1155" s="41">
        <f>IF(AND(H1155="Falta",L1155=Config!$B$7,M1155=Config!$B$5,COUNTIFS($E$5:E1155,E1155,$H$5:H1155,"Falta",$L$5:L1155,Config!$B$7,$M$5:M1155,Config!$B$5)=1),COUNTIFS($E$5:$E$1204,E1155,$H$5:$H$1204,"Falta",$L$5:$L$1204,Config!$B$7,$M$5:$M$1204,Config!$B$5)*1000-ROW()/100000,0)</f>
        <v>0</v>
      </c>
    </row>
    <row r="1156">
      <c r="A1156" s="39" t="n"/>
      <c r="B1156" s="40" t="n"/>
      <c r="C1156" s="35" t="n"/>
      <c r="D1156" s="35" t="n"/>
      <c r="E1156" s="34" t="n"/>
      <c r="F1156" s="35" t="n"/>
      <c r="G1156" s="35" t="n"/>
      <c r="H1156" s="35" t="n"/>
      <c r="I1156" s="35" t="n"/>
      <c r="J1156" s="35" t="n"/>
      <c r="K1156" s="34" t="n"/>
      <c r="L1156" s="26">
        <f>IF(A1156="","",MONTH(A1156))</f>
        <v/>
      </c>
      <c r="M1156" s="26">
        <f>IF(A1156="","",YEAR(A1156))</f>
        <v/>
      </c>
      <c r="N1156" s="26">
        <f>IF(A1156="","",CHOOSE(WEEKDAY(A1156,2),"Segunda","Terça","Quarta","Quinta","Sexta","Sábado","Domingo"))</f>
        <v/>
      </c>
      <c r="O1156" s="26">
        <f>IF(B1156="","",IF(B1156&lt;TIME(12,0,0),"Manhã",IF(B1156&lt;TIME(18,0,0),"Tarde","Noite")))</f>
        <v/>
      </c>
      <c r="P1156" s="32">
        <f>IF(G1156="","",IFERROR(INDEX(Config!$I$5:$I$16,MATCH(G1156,Config!$H$5:$H$16,0)),0))</f>
        <v/>
      </c>
      <c r="Q1156" s="30">
        <f>IF(OR(H1156&lt;&gt;"Realizado",P1156="",P1156=0),"",A1156+P1156)</f>
        <v/>
      </c>
      <c r="R1156" s="26">
        <f>IF(Q1156="","",IF(COUNTIFS($E$5:$E$1204,E1156,$A$5:$A$1204,"&gt;"&amp;A1156,$H$5:$H$1204,"&lt;&gt;Falta",$H$5:$H$1204,"&lt;&gt;Cancelado",$H$5:$H$1204,"&lt;&gt;Remarcado")&gt;0,"Sim","Não"))</f>
        <v/>
      </c>
      <c r="S1156" s="32">
        <f>IF(R1156&lt;&gt;"Não","",IF(Q1156+Config!$B$9&lt;=Config!$B$8,Config!$B$8-Q1156,""))</f>
        <v/>
      </c>
      <c r="T1156" s="26">
        <f>IF(S1156="","","Sim")</f>
        <v/>
      </c>
      <c r="U1156" s="41">
        <f>IF(T1156="Sim",S1156+ROW()/100000,0)</f>
        <v>0</v>
      </c>
      <c r="V1156" s="41">
        <f>IF(AND(H1156="Falta",L1156=Config!$B$7,M1156=Config!$B$5,COUNTIFS($E$5:E1156,E1156,$H$5:H1156,"Falta",$L$5:L1156,Config!$B$7,$M$5:M1156,Config!$B$5)=1),COUNTIFS($E$5:$E$1204,E1156,$H$5:$H$1204,"Falta",$L$5:$L$1204,Config!$B$7,$M$5:$M$1204,Config!$B$5)*1000-ROW()/100000,0)</f>
        <v>0</v>
      </c>
    </row>
    <row r="1157">
      <c r="A1157" s="39" t="n"/>
      <c r="B1157" s="40" t="n"/>
      <c r="C1157" s="35" t="n"/>
      <c r="D1157" s="35" t="n"/>
      <c r="E1157" s="34" t="n"/>
      <c r="F1157" s="35" t="n"/>
      <c r="G1157" s="35" t="n"/>
      <c r="H1157" s="35" t="n"/>
      <c r="I1157" s="35" t="n"/>
      <c r="J1157" s="35" t="n"/>
      <c r="K1157" s="34" t="n"/>
      <c r="L1157" s="26">
        <f>IF(A1157="","",MONTH(A1157))</f>
        <v/>
      </c>
      <c r="M1157" s="26">
        <f>IF(A1157="","",YEAR(A1157))</f>
        <v/>
      </c>
      <c r="N1157" s="26">
        <f>IF(A1157="","",CHOOSE(WEEKDAY(A1157,2),"Segunda","Terça","Quarta","Quinta","Sexta","Sábado","Domingo"))</f>
        <v/>
      </c>
      <c r="O1157" s="26">
        <f>IF(B1157="","",IF(B1157&lt;TIME(12,0,0),"Manhã",IF(B1157&lt;TIME(18,0,0),"Tarde","Noite")))</f>
        <v/>
      </c>
      <c r="P1157" s="32">
        <f>IF(G1157="","",IFERROR(INDEX(Config!$I$5:$I$16,MATCH(G1157,Config!$H$5:$H$16,0)),0))</f>
        <v/>
      </c>
      <c r="Q1157" s="30">
        <f>IF(OR(H1157&lt;&gt;"Realizado",P1157="",P1157=0),"",A1157+P1157)</f>
        <v/>
      </c>
      <c r="R1157" s="26">
        <f>IF(Q1157="","",IF(COUNTIFS($E$5:$E$1204,E1157,$A$5:$A$1204,"&gt;"&amp;A1157,$H$5:$H$1204,"&lt;&gt;Falta",$H$5:$H$1204,"&lt;&gt;Cancelado",$H$5:$H$1204,"&lt;&gt;Remarcado")&gt;0,"Sim","Não"))</f>
        <v/>
      </c>
      <c r="S1157" s="32">
        <f>IF(R1157&lt;&gt;"Não","",IF(Q1157+Config!$B$9&lt;=Config!$B$8,Config!$B$8-Q1157,""))</f>
        <v/>
      </c>
      <c r="T1157" s="26">
        <f>IF(S1157="","","Sim")</f>
        <v/>
      </c>
      <c r="U1157" s="41">
        <f>IF(T1157="Sim",S1157+ROW()/100000,0)</f>
        <v>0</v>
      </c>
      <c r="V1157" s="41">
        <f>IF(AND(H1157="Falta",L1157=Config!$B$7,M1157=Config!$B$5,COUNTIFS($E$5:E1157,E1157,$H$5:H1157,"Falta",$L$5:L1157,Config!$B$7,$M$5:M1157,Config!$B$5)=1),COUNTIFS($E$5:$E$1204,E1157,$H$5:$H$1204,"Falta",$L$5:$L$1204,Config!$B$7,$M$5:$M$1204,Config!$B$5)*1000-ROW()/100000,0)</f>
        <v>0</v>
      </c>
    </row>
    <row r="1158">
      <c r="A1158" s="39" t="n"/>
      <c r="B1158" s="40" t="n"/>
      <c r="C1158" s="35" t="n"/>
      <c r="D1158" s="35" t="n"/>
      <c r="E1158" s="34" t="n"/>
      <c r="F1158" s="35" t="n"/>
      <c r="G1158" s="35" t="n"/>
      <c r="H1158" s="35" t="n"/>
      <c r="I1158" s="35" t="n"/>
      <c r="J1158" s="35" t="n"/>
      <c r="K1158" s="34" t="n"/>
      <c r="L1158" s="26">
        <f>IF(A1158="","",MONTH(A1158))</f>
        <v/>
      </c>
      <c r="M1158" s="26">
        <f>IF(A1158="","",YEAR(A1158))</f>
        <v/>
      </c>
      <c r="N1158" s="26">
        <f>IF(A1158="","",CHOOSE(WEEKDAY(A1158,2),"Segunda","Terça","Quarta","Quinta","Sexta","Sábado","Domingo"))</f>
        <v/>
      </c>
      <c r="O1158" s="26">
        <f>IF(B1158="","",IF(B1158&lt;TIME(12,0,0),"Manhã",IF(B1158&lt;TIME(18,0,0),"Tarde","Noite")))</f>
        <v/>
      </c>
      <c r="P1158" s="32">
        <f>IF(G1158="","",IFERROR(INDEX(Config!$I$5:$I$16,MATCH(G1158,Config!$H$5:$H$16,0)),0))</f>
        <v/>
      </c>
      <c r="Q1158" s="30">
        <f>IF(OR(H1158&lt;&gt;"Realizado",P1158="",P1158=0),"",A1158+P1158)</f>
        <v/>
      </c>
      <c r="R1158" s="26">
        <f>IF(Q1158="","",IF(COUNTIFS($E$5:$E$1204,E1158,$A$5:$A$1204,"&gt;"&amp;A1158,$H$5:$H$1204,"&lt;&gt;Falta",$H$5:$H$1204,"&lt;&gt;Cancelado",$H$5:$H$1204,"&lt;&gt;Remarcado")&gt;0,"Sim","Não"))</f>
        <v/>
      </c>
      <c r="S1158" s="32">
        <f>IF(R1158&lt;&gt;"Não","",IF(Q1158+Config!$B$9&lt;=Config!$B$8,Config!$B$8-Q1158,""))</f>
        <v/>
      </c>
      <c r="T1158" s="26">
        <f>IF(S1158="","","Sim")</f>
        <v/>
      </c>
      <c r="U1158" s="41">
        <f>IF(T1158="Sim",S1158+ROW()/100000,0)</f>
        <v>0</v>
      </c>
      <c r="V1158" s="41">
        <f>IF(AND(H1158="Falta",L1158=Config!$B$7,M1158=Config!$B$5,COUNTIFS($E$5:E1158,E1158,$H$5:H1158,"Falta",$L$5:L1158,Config!$B$7,$M$5:M1158,Config!$B$5)=1),COUNTIFS($E$5:$E$1204,E1158,$H$5:$H$1204,"Falta",$L$5:$L$1204,Config!$B$7,$M$5:$M$1204,Config!$B$5)*1000-ROW()/100000,0)</f>
        <v>0</v>
      </c>
    </row>
    <row r="1159">
      <c r="A1159" s="39" t="n"/>
      <c r="B1159" s="40" t="n"/>
      <c r="C1159" s="35" t="n"/>
      <c r="D1159" s="35" t="n"/>
      <c r="E1159" s="34" t="n"/>
      <c r="F1159" s="35" t="n"/>
      <c r="G1159" s="35" t="n"/>
      <c r="H1159" s="35" t="n"/>
      <c r="I1159" s="35" t="n"/>
      <c r="J1159" s="35" t="n"/>
      <c r="K1159" s="34" t="n"/>
      <c r="L1159" s="26">
        <f>IF(A1159="","",MONTH(A1159))</f>
        <v/>
      </c>
      <c r="M1159" s="26">
        <f>IF(A1159="","",YEAR(A1159))</f>
        <v/>
      </c>
      <c r="N1159" s="26">
        <f>IF(A1159="","",CHOOSE(WEEKDAY(A1159,2),"Segunda","Terça","Quarta","Quinta","Sexta","Sábado","Domingo"))</f>
        <v/>
      </c>
      <c r="O1159" s="26">
        <f>IF(B1159="","",IF(B1159&lt;TIME(12,0,0),"Manhã",IF(B1159&lt;TIME(18,0,0),"Tarde","Noite")))</f>
        <v/>
      </c>
      <c r="P1159" s="32">
        <f>IF(G1159="","",IFERROR(INDEX(Config!$I$5:$I$16,MATCH(G1159,Config!$H$5:$H$16,0)),0))</f>
        <v/>
      </c>
      <c r="Q1159" s="30">
        <f>IF(OR(H1159&lt;&gt;"Realizado",P1159="",P1159=0),"",A1159+P1159)</f>
        <v/>
      </c>
      <c r="R1159" s="26">
        <f>IF(Q1159="","",IF(COUNTIFS($E$5:$E$1204,E1159,$A$5:$A$1204,"&gt;"&amp;A1159,$H$5:$H$1204,"&lt;&gt;Falta",$H$5:$H$1204,"&lt;&gt;Cancelado",$H$5:$H$1204,"&lt;&gt;Remarcado")&gt;0,"Sim","Não"))</f>
        <v/>
      </c>
      <c r="S1159" s="32">
        <f>IF(R1159&lt;&gt;"Não","",IF(Q1159+Config!$B$9&lt;=Config!$B$8,Config!$B$8-Q1159,""))</f>
        <v/>
      </c>
      <c r="T1159" s="26">
        <f>IF(S1159="","","Sim")</f>
        <v/>
      </c>
      <c r="U1159" s="41">
        <f>IF(T1159="Sim",S1159+ROW()/100000,0)</f>
        <v>0</v>
      </c>
      <c r="V1159" s="41">
        <f>IF(AND(H1159="Falta",L1159=Config!$B$7,M1159=Config!$B$5,COUNTIFS($E$5:E1159,E1159,$H$5:H1159,"Falta",$L$5:L1159,Config!$B$7,$M$5:M1159,Config!$B$5)=1),COUNTIFS($E$5:$E$1204,E1159,$H$5:$H$1204,"Falta",$L$5:$L$1204,Config!$B$7,$M$5:$M$1204,Config!$B$5)*1000-ROW()/100000,0)</f>
        <v>0</v>
      </c>
    </row>
    <row r="1160">
      <c r="A1160" s="39" t="n"/>
      <c r="B1160" s="40" t="n"/>
      <c r="C1160" s="35" t="n"/>
      <c r="D1160" s="35" t="n"/>
      <c r="E1160" s="34" t="n"/>
      <c r="F1160" s="35" t="n"/>
      <c r="G1160" s="35" t="n"/>
      <c r="H1160" s="35" t="n"/>
      <c r="I1160" s="35" t="n"/>
      <c r="J1160" s="35" t="n"/>
      <c r="K1160" s="34" t="n"/>
      <c r="L1160" s="26">
        <f>IF(A1160="","",MONTH(A1160))</f>
        <v/>
      </c>
      <c r="M1160" s="26">
        <f>IF(A1160="","",YEAR(A1160))</f>
        <v/>
      </c>
      <c r="N1160" s="26">
        <f>IF(A1160="","",CHOOSE(WEEKDAY(A1160,2),"Segunda","Terça","Quarta","Quinta","Sexta","Sábado","Domingo"))</f>
        <v/>
      </c>
      <c r="O1160" s="26">
        <f>IF(B1160="","",IF(B1160&lt;TIME(12,0,0),"Manhã",IF(B1160&lt;TIME(18,0,0),"Tarde","Noite")))</f>
        <v/>
      </c>
      <c r="P1160" s="32">
        <f>IF(G1160="","",IFERROR(INDEX(Config!$I$5:$I$16,MATCH(G1160,Config!$H$5:$H$16,0)),0))</f>
        <v/>
      </c>
      <c r="Q1160" s="30">
        <f>IF(OR(H1160&lt;&gt;"Realizado",P1160="",P1160=0),"",A1160+P1160)</f>
        <v/>
      </c>
      <c r="R1160" s="26">
        <f>IF(Q1160="","",IF(COUNTIFS($E$5:$E$1204,E1160,$A$5:$A$1204,"&gt;"&amp;A1160,$H$5:$H$1204,"&lt;&gt;Falta",$H$5:$H$1204,"&lt;&gt;Cancelado",$H$5:$H$1204,"&lt;&gt;Remarcado")&gt;0,"Sim","Não"))</f>
        <v/>
      </c>
      <c r="S1160" s="32">
        <f>IF(R1160&lt;&gt;"Não","",IF(Q1160+Config!$B$9&lt;=Config!$B$8,Config!$B$8-Q1160,""))</f>
        <v/>
      </c>
      <c r="T1160" s="26">
        <f>IF(S1160="","","Sim")</f>
        <v/>
      </c>
      <c r="U1160" s="41">
        <f>IF(T1160="Sim",S1160+ROW()/100000,0)</f>
        <v>0</v>
      </c>
      <c r="V1160" s="41">
        <f>IF(AND(H1160="Falta",L1160=Config!$B$7,M1160=Config!$B$5,COUNTIFS($E$5:E1160,E1160,$H$5:H1160,"Falta",$L$5:L1160,Config!$B$7,$M$5:M1160,Config!$B$5)=1),COUNTIFS($E$5:$E$1204,E1160,$H$5:$H$1204,"Falta",$L$5:$L$1204,Config!$B$7,$M$5:$M$1204,Config!$B$5)*1000-ROW()/100000,0)</f>
        <v>0</v>
      </c>
    </row>
    <row r="1161">
      <c r="A1161" s="39" t="n"/>
      <c r="B1161" s="40" t="n"/>
      <c r="C1161" s="35" t="n"/>
      <c r="D1161" s="35" t="n"/>
      <c r="E1161" s="34" t="n"/>
      <c r="F1161" s="35" t="n"/>
      <c r="G1161" s="35" t="n"/>
      <c r="H1161" s="35" t="n"/>
      <c r="I1161" s="35" t="n"/>
      <c r="J1161" s="35" t="n"/>
      <c r="K1161" s="34" t="n"/>
      <c r="L1161" s="26">
        <f>IF(A1161="","",MONTH(A1161))</f>
        <v/>
      </c>
      <c r="M1161" s="26">
        <f>IF(A1161="","",YEAR(A1161))</f>
        <v/>
      </c>
      <c r="N1161" s="26">
        <f>IF(A1161="","",CHOOSE(WEEKDAY(A1161,2),"Segunda","Terça","Quarta","Quinta","Sexta","Sábado","Domingo"))</f>
        <v/>
      </c>
      <c r="O1161" s="26">
        <f>IF(B1161="","",IF(B1161&lt;TIME(12,0,0),"Manhã",IF(B1161&lt;TIME(18,0,0),"Tarde","Noite")))</f>
        <v/>
      </c>
      <c r="P1161" s="32">
        <f>IF(G1161="","",IFERROR(INDEX(Config!$I$5:$I$16,MATCH(G1161,Config!$H$5:$H$16,0)),0))</f>
        <v/>
      </c>
      <c r="Q1161" s="30">
        <f>IF(OR(H1161&lt;&gt;"Realizado",P1161="",P1161=0),"",A1161+P1161)</f>
        <v/>
      </c>
      <c r="R1161" s="26">
        <f>IF(Q1161="","",IF(COUNTIFS($E$5:$E$1204,E1161,$A$5:$A$1204,"&gt;"&amp;A1161,$H$5:$H$1204,"&lt;&gt;Falta",$H$5:$H$1204,"&lt;&gt;Cancelado",$H$5:$H$1204,"&lt;&gt;Remarcado")&gt;0,"Sim","Não"))</f>
        <v/>
      </c>
      <c r="S1161" s="32">
        <f>IF(R1161&lt;&gt;"Não","",IF(Q1161+Config!$B$9&lt;=Config!$B$8,Config!$B$8-Q1161,""))</f>
        <v/>
      </c>
      <c r="T1161" s="26">
        <f>IF(S1161="","","Sim")</f>
        <v/>
      </c>
      <c r="U1161" s="41">
        <f>IF(T1161="Sim",S1161+ROW()/100000,0)</f>
        <v>0</v>
      </c>
      <c r="V1161" s="41">
        <f>IF(AND(H1161="Falta",L1161=Config!$B$7,M1161=Config!$B$5,COUNTIFS($E$5:E1161,E1161,$H$5:H1161,"Falta",$L$5:L1161,Config!$B$7,$M$5:M1161,Config!$B$5)=1),COUNTIFS($E$5:$E$1204,E1161,$H$5:$H$1204,"Falta",$L$5:$L$1204,Config!$B$7,$M$5:$M$1204,Config!$B$5)*1000-ROW()/100000,0)</f>
        <v>0</v>
      </c>
    </row>
    <row r="1162">
      <c r="A1162" s="39" t="n"/>
      <c r="B1162" s="40" t="n"/>
      <c r="C1162" s="35" t="n"/>
      <c r="D1162" s="35" t="n"/>
      <c r="E1162" s="34" t="n"/>
      <c r="F1162" s="35" t="n"/>
      <c r="G1162" s="35" t="n"/>
      <c r="H1162" s="35" t="n"/>
      <c r="I1162" s="35" t="n"/>
      <c r="J1162" s="35" t="n"/>
      <c r="K1162" s="34" t="n"/>
      <c r="L1162" s="26">
        <f>IF(A1162="","",MONTH(A1162))</f>
        <v/>
      </c>
      <c r="M1162" s="26">
        <f>IF(A1162="","",YEAR(A1162))</f>
        <v/>
      </c>
      <c r="N1162" s="26">
        <f>IF(A1162="","",CHOOSE(WEEKDAY(A1162,2),"Segunda","Terça","Quarta","Quinta","Sexta","Sábado","Domingo"))</f>
        <v/>
      </c>
      <c r="O1162" s="26">
        <f>IF(B1162="","",IF(B1162&lt;TIME(12,0,0),"Manhã",IF(B1162&lt;TIME(18,0,0),"Tarde","Noite")))</f>
        <v/>
      </c>
      <c r="P1162" s="32">
        <f>IF(G1162="","",IFERROR(INDEX(Config!$I$5:$I$16,MATCH(G1162,Config!$H$5:$H$16,0)),0))</f>
        <v/>
      </c>
      <c r="Q1162" s="30">
        <f>IF(OR(H1162&lt;&gt;"Realizado",P1162="",P1162=0),"",A1162+P1162)</f>
        <v/>
      </c>
      <c r="R1162" s="26">
        <f>IF(Q1162="","",IF(COUNTIFS($E$5:$E$1204,E1162,$A$5:$A$1204,"&gt;"&amp;A1162,$H$5:$H$1204,"&lt;&gt;Falta",$H$5:$H$1204,"&lt;&gt;Cancelado",$H$5:$H$1204,"&lt;&gt;Remarcado")&gt;0,"Sim","Não"))</f>
        <v/>
      </c>
      <c r="S1162" s="32">
        <f>IF(R1162&lt;&gt;"Não","",IF(Q1162+Config!$B$9&lt;=Config!$B$8,Config!$B$8-Q1162,""))</f>
        <v/>
      </c>
      <c r="T1162" s="26">
        <f>IF(S1162="","","Sim")</f>
        <v/>
      </c>
      <c r="U1162" s="41">
        <f>IF(T1162="Sim",S1162+ROW()/100000,0)</f>
        <v>0</v>
      </c>
      <c r="V1162" s="41">
        <f>IF(AND(H1162="Falta",L1162=Config!$B$7,M1162=Config!$B$5,COUNTIFS($E$5:E1162,E1162,$H$5:H1162,"Falta",$L$5:L1162,Config!$B$7,$M$5:M1162,Config!$B$5)=1),COUNTIFS($E$5:$E$1204,E1162,$H$5:$H$1204,"Falta",$L$5:$L$1204,Config!$B$7,$M$5:$M$1204,Config!$B$5)*1000-ROW()/100000,0)</f>
        <v>0</v>
      </c>
    </row>
    <row r="1163">
      <c r="A1163" s="39" t="n"/>
      <c r="B1163" s="40" t="n"/>
      <c r="C1163" s="35" t="n"/>
      <c r="D1163" s="35" t="n"/>
      <c r="E1163" s="34" t="n"/>
      <c r="F1163" s="35" t="n"/>
      <c r="G1163" s="35" t="n"/>
      <c r="H1163" s="35" t="n"/>
      <c r="I1163" s="35" t="n"/>
      <c r="J1163" s="35" t="n"/>
      <c r="K1163" s="34" t="n"/>
      <c r="L1163" s="26">
        <f>IF(A1163="","",MONTH(A1163))</f>
        <v/>
      </c>
      <c r="M1163" s="26">
        <f>IF(A1163="","",YEAR(A1163))</f>
        <v/>
      </c>
      <c r="N1163" s="26">
        <f>IF(A1163="","",CHOOSE(WEEKDAY(A1163,2),"Segunda","Terça","Quarta","Quinta","Sexta","Sábado","Domingo"))</f>
        <v/>
      </c>
      <c r="O1163" s="26">
        <f>IF(B1163="","",IF(B1163&lt;TIME(12,0,0),"Manhã",IF(B1163&lt;TIME(18,0,0),"Tarde","Noite")))</f>
        <v/>
      </c>
      <c r="P1163" s="32">
        <f>IF(G1163="","",IFERROR(INDEX(Config!$I$5:$I$16,MATCH(G1163,Config!$H$5:$H$16,0)),0))</f>
        <v/>
      </c>
      <c r="Q1163" s="30">
        <f>IF(OR(H1163&lt;&gt;"Realizado",P1163="",P1163=0),"",A1163+P1163)</f>
        <v/>
      </c>
      <c r="R1163" s="26">
        <f>IF(Q1163="","",IF(COUNTIFS($E$5:$E$1204,E1163,$A$5:$A$1204,"&gt;"&amp;A1163,$H$5:$H$1204,"&lt;&gt;Falta",$H$5:$H$1204,"&lt;&gt;Cancelado",$H$5:$H$1204,"&lt;&gt;Remarcado")&gt;0,"Sim","Não"))</f>
        <v/>
      </c>
      <c r="S1163" s="32">
        <f>IF(R1163&lt;&gt;"Não","",IF(Q1163+Config!$B$9&lt;=Config!$B$8,Config!$B$8-Q1163,""))</f>
        <v/>
      </c>
      <c r="T1163" s="26">
        <f>IF(S1163="","","Sim")</f>
        <v/>
      </c>
      <c r="U1163" s="41">
        <f>IF(T1163="Sim",S1163+ROW()/100000,0)</f>
        <v>0</v>
      </c>
      <c r="V1163" s="41">
        <f>IF(AND(H1163="Falta",L1163=Config!$B$7,M1163=Config!$B$5,COUNTIFS($E$5:E1163,E1163,$H$5:H1163,"Falta",$L$5:L1163,Config!$B$7,$M$5:M1163,Config!$B$5)=1),COUNTIFS($E$5:$E$1204,E1163,$H$5:$H$1204,"Falta",$L$5:$L$1204,Config!$B$7,$M$5:$M$1204,Config!$B$5)*1000-ROW()/100000,0)</f>
        <v>0</v>
      </c>
    </row>
    <row r="1164">
      <c r="A1164" s="39" t="n"/>
      <c r="B1164" s="40" t="n"/>
      <c r="C1164" s="35" t="n"/>
      <c r="D1164" s="35" t="n"/>
      <c r="E1164" s="34" t="n"/>
      <c r="F1164" s="35" t="n"/>
      <c r="G1164" s="35" t="n"/>
      <c r="H1164" s="35" t="n"/>
      <c r="I1164" s="35" t="n"/>
      <c r="J1164" s="35" t="n"/>
      <c r="K1164" s="34" t="n"/>
      <c r="L1164" s="26">
        <f>IF(A1164="","",MONTH(A1164))</f>
        <v/>
      </c>
      <c r="M1164" s="26">
        <f>IF(A1164="","",YEAR(A1164))</f>
        <v/>
      </c>
      <c r="N1164" s="26">
        <f>IF(A1164="","",CHOOSE(WEEKDAY(A1164,2),"Segunda","Terça","Quarta","Quinta","Sexta","Sábado","Domingo"))</f>
        <v/>
      </c>
      <c r="O1164" s="26">
        <f>IF(B1164="","",IF(B1164&lt;TIME(12,0,0),"Manhã",IF(B1164&lt;TIME(18,0,0),"Tarde","Noite")))</f>
        <v/>
      </c>
      <c r="P1164" s="32">
        <f>IF(G1164="","",IFERROR(INDEX(Config!$I$5:$I$16,MATCH(G1164,Config!$H$5:$H$16,0)),0))</f>
        <v/>
      </c>
      <c r="Q1164" s="30">
        <f>IF(OR(H1164&lt;&gt;"Realizado",P1164="",P1164=0),"",A1164+P1164)</f>
        <v/>
      </c>
      <c r="R1164" s="26">
        <f>IF(Q1164="","",IF(COUNTIFS($E$5:$E$1204,E1164,$A$5:$A$1204,"&gt;"&amp;A1164,$H$5:$H$1204,"&lt;&gt;Falta",$H$5:$H$1204,"&lt;&gt;Cancelado",$H$5:$H$1204,"&lt;&gt;Remarcado")&gt;0,"Sim","Não"))</f>
        <v/>
      </c>
      <c r="S1164" s="32">
        <f>IF(R1164&lt;&gt;"Não","",IF(Q1164+Config!$B$9&lt;=Config!$B$8,Config!$B$8-Q1164,""))</f>
        <v/>
      </c>
      <c r="T1164" s="26">
        <f>IF(S1164="","","Sim")</f>
        <v/>
      </c>
      <c r="U1164" s="41">
        <f>IF(T1164="Sim",S1164+ROW()/100000,0)</f>
        <v>0</v>
      </c>
      <c r="V1164" s="41">
        <f>IF(AND(H1164="Falta",L1164=Config!$B$7,M1164=Config!$B$5,COUNTIFS($E$5:E1164,E1164,$H$5:H1164,"Falta",$L$5:L1164,Config!$B$7,$M$5:M1164,Config!$B$5)=1),COUNTIFS($E$5:$E$1204,E1164,$H$5:$H$1204,"Falta",$L$5:$L$1204,Config!$B$7,$M$5:$M$1204,Config!$B$5)*1000-ROW()/100000,0)</f>
        <v>0</v>
      </c>
    </row>
    <row r="1165">
      <c r="A1165" s="39" t="n"/>
      <c r="B1165" s="40" t="n"/>
      <c r="C1165" s="35" t="n"/>
      <c r="D1165" s="35" t="n"/>
      <c r="E1165" s="34" t="n"/>
      <c r="F1165" s="35" t="n"/>
      <c r="G1165" s="35" t="n"/>
      <c r="H1165" s="35" t="n"/>
      <c r="I1165" s="35" t="n"/>
      <c r="J1165" s="35" t="n"/>
      <c r="K1165" s="34" t="n"/>
      <c r="L1165" s="26">
        <f>IF(A1165="","",MONTH(A1165))</f>
        <v/>
      </c>
      <c r="M1165" s="26">
        <f>IF(A1165="","",YEAR(A1165))</f>
        <v/>
      </c>
      <c r="N1165" s="26">
        <f>IF(A1165="","",CHOOSE(WEEKDAY(A1165,2),"Segunda","Terça","Quarta","Quinta","Sexta","Sábado","Domingo"))</f>
        <v/>
      </c>
      <c r="O1165" s="26">
        <f>IF(B1165="","",IF(B1165&lt;TIME(12,0,0),"Manhã",IF(B1165&lt;TIME(18,0,0),"Tarde","Noite")))</f>
        <v/>
      </c>
      <c r="P1165" s="32">
        <f>IF(G1165="","",IFERROR(INDEX(Config!$I$5:$I$16,MATCH(G1165,Config!$H$5:$H$16,0)),0))</f>
        <v/>
      </c>
      <c r="Q1165" s="30">
        <f>IF(OR(H1165&lt;&gt;"Realizado",P1165="",P1165=0),"",A1165+P1165)</f>
        <v/>
      </c>
      <c r="R1165" s="26">
        <f>IF(Q1165="","",IF(COUNTIFS($E$5:$E$1204,E1165,$A$5:$A$1204,"&gt;"&amp;A1165,$H$5:$H$1204,"&lt;&gt;Falta",$H$5:$H$1204,"&lt;&gt;Cancelado",$H$5:$H$1204,"&lt;&gt;Remarcado")&gt;0,"Sim","Não"))</f>
        <v/>
      </c>
      <c r="S1165" s="32">
        <f>IF(R1165&lt;&gt;"Não","",IF(Q1165+Config!$B$9&lt;=Config!$B$8,Config!$B$8-Q1165,""))</f>
        <v/>
      </c>
      <c r="T1165" s="26">
        <f>IF(S1165="","","Sim")</f>
        <v/>
      </c>
      <c r="U1165" s="41">
        <f>IF(T1165="Sim",S1165+ROW()/100000,0)</f>
        <v>0</v>
      </c>
      <c r="V1165" s="41">
        <f>IF(AND(H1165="Falta",L1165=Config!$B$7,M1165=Config!$B$5,COUNTIFS($E$5:E1165,E1165,$H$5:H1165,"Falta",$L$5:L1165,Config!$B$7,$M$5:M1165,Config!$B$5)=1),COUNTIFS($E$5:$E$1204,E1165,$H$5:$H$1204,"Falta",$L$5:$L$1204,Config!$B$7,$M$5:$M$1204,Config!$B$5)*1000-ROW()/100000,0)</f>
        <v>0</v>
      </c>
    </row>
    <row r="1166">
      <c r="A1166" s="39" t="n"/>
      <c r="B1166" s="40" t="n"/>
      <c r="C1166" s="35" t="n"/>
      <c r="D1166" s="35" t="n"/>
      <c r="E1166" s="34" t="n"/>
      <c r="F1166" s="35" t="n"/>
      <c r="G1166" s="35" t="n"/>
      <c r="H1166" s="35" t="n"/>
      <c r="I1166" s="35" t="n"/>
      <c r="J1166" s="35" t="n"/>
      <c r="K1166" s="34" t="n"/>
      <c r="L1166" s="26">
        <f>IF(A1166="","",MONTH(A1166))</f>
        <v/>
      </c>
      <c r="M1166" s="26">
        <f>IF(A1166="","",YEAR(A1166))</f>
        <v/>
      </c>
      <c r="N1166" s="26">
        <f>IF(A1166="","",CHOOSE(WEEKDAY(A1166,2),"Segunda","Terça","Quarta","Quinta","Sexta","Sábado","Domingo"))</f>
        <v/>
      </c>
      <c r="O1166" s="26">
        <f>IF(B1166="","",IF(B1166&lt;TIME(12,0,0),"Manhã",IF(B1166&lt;TIME(18,0,0),"Tarde","Noite")))</f>
        <v/>
      </c>
      <c r="P1166" s="32">
        <f>IF(G1166="","",IFERROR(INDEX(Config!$I$5:$I$16,MATCH(G1166,Config!$H$5:$H$16,0)),0))</f>
        <v/>
      </c>
      <c r="Q1166" s="30">
        <f>IF(OR(H1166&lt;&gt;"Realizado",P1166="",P1166=0),"",A1166+P1166)</f>
        <v/>
      </c>
      <c r="R1166" s="26">
        <f>IF(Q1166="","",IF(COUNTIFS($E$5:$E$1204,E1166,$A$5:$A$1204,"&gt;"&amp;A1166,$H$5:$H$1204,"&lt;&gt;Falta",$H$5:$H$1204,"&lt;&gt;Cancelado",$H$5:$H$1204,"&lt;&gt;Remarcado")&gt;0,"Sim","Não"))</f>
        <v/>
      </c>
      <c r="S1166" s="32">
        <f>IF(R1166&lt;&gt;"Não","",IF(Q1166+Config!$B$9&lt;=Config!$B$8,Config!$B$8-Q1166,""))</f>
        <v/>
      </c>
      <c r="T1166" s="26">
        <f>IF(S1166="","","Sim")</f>
        <v/>
      </c>
      <c r="U1166" s="41">
        <f>IF(T1166="Sim",S1166+ROW()/100000,0)</f>
        <v>0</v>
      </c>
      <c r="V1166" s="41">
        <f>IF(AND(H1166="Falta",L1166=Config!$B$7,M1166=Config!$B$5,COUNTIFS($E$5:E1166,E1166,$H$5:H1166,"Falta",$L$5:L1166,Config!$B$7,$M$5:M1166,Config!$B$5)=1),COUNTIFS($E$5:$E$1204,E1166,$H$5:$H$1204,"Falta",$L$5:$L$1204,Config!$B$7,$M$5:$M$1204,Config!$B$5)*1000-ROW()/100000,0)</f>
        <v>0</v>
      </c>
    </row>
    <row r="1167">
      <c r="A1167" s="39" t="n"/>
      <c r="B1167" s="40" t="n"/>
      <c r="C1167" s="35" t="n"/>
      <c r="D1167" s="35" t="n"/>
      <c r="E1167" s="34" t="n"/>
      <c r="F1167" s="35" t="n"/>
      <c r="G1167" s="35" t="n"/>
      <c r="H1167" s="35" t="n"/>
      <c r="I1167" s="35" t="n"/>
      <c r="J1167" s="35" t="n"/>
      <c r="K1167" s="34" t="n"/>
      <c r="L1167" s="26">
        <f>IF(A1167="","",MONTH(A1167))</f>
        <v/>
      </c>
      <c r="M1167" s="26">
        <f>IF(A1167="","",YEAR(A1167))</f>
        <v/>
      </c>
      <c r="N1167" s="26">
        <f>IF(A1167="","",CHOOSE(WEEKDAY(A1167,2),"Segunda","Terça","Quarta","Quinta","Sexta","Sábado","Domingo"))</f>
        <v/>
      </c>
      <c r="O1167" s="26">
        <f>IF(B1167="","",IF(B1167&lt;TIME(12,0,0),"Manhã",IF(B1167&lt;TIME(18,0,0),"Tarde","Noite")))</f>
        <v/>
      </c>
      <c r="P1167" s="32">
        <f>IF(G1167="","",IFERROR(INDEX(Config!$I$5:$I$16,MATCH(G1167,Config!$H$5:$H$16,0)),0))</f>
        <v/>
      </c>
      <c r="Q1167" s="30">
        <f>IF(OR(H1167&lt;&gt;"Realizado",P1167="",P1167=0),"",A1167+P1167)</f>
        <v/>
      </c>
      <c r="R1167" s="26">
        <f>IF(Q1167="","",IF(COUNTIFS($E$5:$E$1204,E1167,$A$5:$A$1204,"&gt;"&amp;A1167,$H$5:$H$1204,"&lt;&gt;Falta",$H$5:$H$1204,"&lt;&gt;Cancelado",$H$5:$H$1204,"&lt;&gt;Remarcado")&gt;0,"Sim","Não"))</f>
        <v/>
      </c>
      <c r="S1167" s="32">
        <f>IF(R1167&lt;&gt;"Não","",IF(Q1167+Config!$B$9&lt;=Config!$B$8,Config!$B$8-Q1167,""))</f>
        <v/>
      </c>
      <c r="T1167" s="26">
        <f>IF(S1167="","","Sim")</f>
        <v/>
      </c>
      <c r="U1167" s="41">
        <f>IF(T1167="Sim",S1167+ROW()/100000,0)</f>
        <v>0</v>
      </c>
      <c r="V1167" s="41">
        <f>IF(AND(H1167="Falta",L1167=Config!$B$7,M1167=Config!$B$5,COUNTIFS($E$5:E1167,E1167,$H$5:H1167,"Falta",$L$5:L1167,Config!$B$7,$M$5:M1167,Config!$B$5)=1),COUNTIFS($E$5:$E$1204,E1167,$H$5:$H$1204,"Falta",$L$5:$L$1204,Config!$B$7,$M$5:$M$1204,Config!$B$5)*1000-ROW()/100000,0)</f>
        <v>0</v>
      </c>
    </row>
    <row r="1168">
      <c r="A1168" s="39" t="n"/>
      <c r="B1168" s="40" t="n"/>
      <c r="C1168" s="35" t="n"/>
      <c r="D1168" s="35" t="n"/>
      <c r="E1168" s="34" t="n"/>
      <c r="F1168" s="35" t="n"/>
      <c r="G1168" s="35" t="n"/>
      <c r="H1168" s="35" t="n"/>
      <c r="I1168" s="35" t="n"/>
      <c r="J1168" s="35" t="n"/>
      <c r="K1168" s="34" t="n"/>
      <c r="L1168" s="26">
        <f>IF(A1168="","",MONTH(A1168))</f>
        <v/>
      </c>
      <c r="M1168" s="26">
        <f>IF(A1168="","",YEAR(A1168))</f>
        <v/>
      </c>
      <c r="N1168" s="26">
        <f>IF(A1168="","",CHOOSE(WEEKDAY(A1168,2),"Segunda","Terça","Quarta","Quinta","Sexta","Sábado","Domingo"))</f>
        <v/>
      </c>
      <c r="O1168" s="26">
        <f>IF(B1168="","",IF(B1168&lt;TIME(12,0,0),"Manhã",IF(B1168&lt;TIME(18,0,0),"Tarde","Noite")))</f>
        <v/>
      </c>
      <c r="P1168" s="32">
        <f>IF(G1168="","",IFERROR(INDEX(Config!$I$5:$I$16,MATCH(G1168,Config!$H$5:$H$16,0)),0))</f>
        <v/>
      </c>
      <c r="Q1168" s="30">
        <f>IF(OR(H1168&lt;&gt;"Realizado",P1168="",P1168=0),"",A1168+P1168)</f>
        <v/>
      </c>
      <c r="R1168" s="26">
        <f>IF(Q1168="","",IF(COUNTIFS($E$5:$E$1204,E1168,$A$5:$A$1204,"&gt;"&amp;A1168,$H$5:$H$1204,"&lt;&gt;Falta",$H$5:$H$1204,"&lt;&gt;Cancelado",$H$5:$H$1204,"&lt;&gt;Remarcado")&gt;0,"Sim","Não"))</f>
        <v/>
      </c>
      <c r="S1168" s="32">
        <f>IF(R1168&lt;&gt;"Não","",IF(Q1168+Config!$B$9&lt;=Config!$B$8,Config!$B$8-Q1168,""))</f>
        <v/>
      </c>
      <c r="T1168" s="26">
        <f>IF(S1168="","","Sim")</f>
        <v/>
      </c>
      <c r="U1168" s="41">
        <f>IF(T1168="Sim",S1168+ROW()/100000,0)</f>
        <v>0</v>
      </c>
      <c r="V1168" s="41">
        <f>IF(AND(H1168="Falta",L1168=Config!$B$7,M1168=Config!$B$5,COUNTIFS($E$5:E1168,E1168,$H$5:H1168,"Falta",$L$5:L1168,Config!$B$7,$M$5:M1168,Config!$B$5)=1),COUNTIFS($E$5:$E$1204,E1168,$H$5:$H$1204,"Falta",$L$5:$L$1204,Config!$B$7,$M$5:$M$1204,Config!$B$5)*1000-ROW()/100000,0)</f>
        <v>0</v>
      </c>
    </row>
    <row r="1169">
      <c r="A1169" s="39" t="n"/>
      <c r="B1169" s="40" t="n"/>
      <c r="C1169" s="35" t="n"/>
      <c r="D1169" s="35" t="n"/>
      <c r="E1169" s="34" t="n"/>
      <c r="F1169" s="35" t="n"/>
      <c r="G1169" s="35" t="n"/>
      <c r="H1169" s="35" t="n"/>
      <c r="I1169" s="35" t="n"/>
      <c r="J1169" s="35" t="n"/>
      <c r="K1169" s="34" t="n"/>
      <c r="L1169" s="26">
        <f>IF(A1169="","",MONTH(A1169))</f>
        <v/>
      </c>
      <c r="M1169" s="26">
        <f>IF(A1169="","",YEAR(A1169))</f>
        <v/>
      </c>
      <c r="N1169" s="26">
        <f>IF(A1169="","",CHOOSE(WEEKDAY(A1169,2),"Segunda","Terça","Quarta","Quinta","Sexta","Sábado","Domingo"))</f>
        <v/>
      </c>
      <c r="O1169" s="26">
        <f>IF(B1169="","",IF(B1169&lt;TIME(12,0,0),"Manhã",IF(B1169&lt;TIME(18,0,0),"Tarde","Noite")))</f>
        <v/>
      </c>
      <c r="P1169" s="32">
        <f>IF(G1169="","",IFERROR(INDEX(Config!$I$5:$I$16,MATCH(G1169,Config!$H$5:$H$16,0)),0))</f>
        <v/>
      </c>
      <c r="Q1169" s="30">
        <f>IF(OR(H1169&lt;&gt;"Realizado",P1169="",P1169=0),"",A1169+P1169)</f>
        <v/>
      </c>
      <c r="R1169" s="26">
        <f>IF(Q1169="","",IF(COUNTIFS($E$5:$E$1204,E1169,$A$5:$A$1204,"&gt;"&amp;A1169,$H$5:$H$1204,"&lt;&gt;Falta",$H$5:$H$1204,"&lt;&gt;Cancelado",$H$5:$H$1204,"&lt;&gt;Remarcado")&gt;0,"Sim","Não"))</f>
        <v/>
      </c>
      <c r="S1169" s="32">
        <f>IF(R1169&lt;&gt;"Não","",IF(Q1169+Config!$B$9&lt;=Config!$B$8,Config!$B$8-Q1169,""))</f>
        <v/>
      </c>
      <c r="T1169" s="26">
        <f>IF(S1169="","","Sim")</f>
        <v/>
      </c>
      <c r="U1169" s="41">
        <f>IF(T1169="Sim",S1169+ROW()/100000,0)</f>
        <v>0</v>
      </c>
      <c r="V1169" s="41">
        <f>IF(AND(H1169="Falta",L1169=Config!$B$7,M1169=Config!$B$5,COUNTIFS($E$5:E1169,E1169,$H$5:H1169,"Falta",$L$5:L1169,Config!$B$7,$M$5:M1169,Config!$B$5)=1),COUNTIFS($E$5:$E$1204,E1169,$H$5:$H$1204,"Falta",$L$5:$L$1204,Config!$B$7,$M$5:$M$1204,Config!$B$5)*1000-ROW()/100000,0)</f>
        <v>0</v>
      </c>
    </row>
    <row r="1170">
      <c r="A1170" s="39" t="n"/>
      <c r="B1170" s="40" t="n"/>
      <c r="C1170" s="35" t="n"/>
      <c r="D1170" s="35" t="n"/>
      <c r="E1170" s="34" t="n"/>
      <c r="F1170" s="35" t="n"/>
      <c r="G1170" s="35" t="n"/>
      <c r="H1170" s="35" t="n"/>
      <c r="I1170" s="35" t="n"/>
      <c r="J1170" s="35" t="n"/>
      <c r="K1170" s="34" t="n"/>
      <c r="L1170" s="26">
        <f>IF(A1170="","",MONTH(A1170))</f>
        <v/>
      </c>
      <c r="M1170" s="26">
        <f>IF(A1170="","",YEAR(A1170))</f>
        <v/>
      </c>
      <c r="N1170" s="26">
        <f>IF(A1170="","",CHOOSE(WEEKDAY(A1170,2),"Segunda","Terça","Quarta","Quinta","Sexta","Sábado","Domingo"))</f>
        <v/>
      </c>
      <c r="O1170" s="26">
        <f>IF(B1170="","",IF(B1170&lt;TIME(12,0,0),"Manhã",IF(B1170&lt;TIME(18,0,0),"Tarde","Noite")))</f>
        <v/>
      </c>
      <c r="P1170" s="32">
        <f>IF(G1170="","",IFERROR(INDEX(Config!$I$5:$I$16,MATCH(G1170,Config!$H$5:$H$16,0)),0))</f>
        <v/>
      </c>
      <c r="Q1170" s="30">
        <f>IF(OR(H1170&lt;&gt;"Realizado",P1170="",P1170=0),"",A1170+P1170)</f>
        <v/>
      </c>
      <c r="R1170" s="26">
        <f>IF(Q1170="","",IF(COUNTIFS($E$5:$E$1204,E1170,$A$5:$A$1204,"&gt;"&amp;A1170,$H$5:$H$1204,"&lt;&gt;Falta",$H$5:$H$1204,"&lt;&gt;Cancelado",$H$5:$H$1204,"&lt;&gt;Remarcado")&gt;0,"Sim","Não"))</f>
        <v/>
      </c>
      <c r="S1170" s="32">
        <f>IF(R1170&lt;&gt;"Não","",IF(Q1170+Config!$B$9&lt;=Config!$B$8,Config!$B$8-Q1170,""))</f>
        <v/>
      </c>
      <c r="T1170" s="26">
        <f>IF(S1170="","","Sim")</f>
        <v/>
      </c>
      <c r="U1170" s="41">
        <f>IF(T1170="Sim",S1170+ROW()/100000,0)</f>
        <v>0</v>
      </c>
      <c r="V1170" s="41">
        <f>IF(AND(H1170="Falta",L1170=Config!$B$7,M1170=Config!$B$5,COUNTIFS($E$5:E1170,E1170,$H$5:H1170,"Falta",$L$5:L1170,Config!$B$7,$M$5:M1170,Config!$B$5)=1),COUNTIFS($E$5:$E$1204,E1170,$H$5:$H$1204,"Falta",$L$5:$L$1204,Config!$B$7,$M$5:$M$1204,Config!$B$5)*1000-ROW()/100000,0)</f>
        <v>0</v>
      </c>
    </row>
    <row r="1171">
      <c r="A1171" s="39" t="n"/>
      <c r="B1171" s="40" t="n"/>
      <c r="C1171" s="35" t="n"/>
      <c r="D1171" s="35" t="n"/>
      <c r="E1171" s="34" t="n"/>
      <c r="F1171" s="35" t="n"/>
      <c r="G1171" s="35" t="n"/>
      <c r="H1171" s="35" t="n"/>
      <c r="I1171" s="35" t="n"/>
      <c r="J1171" s="35" t="n"/>
      <c r="K1171" s="34" t="n"/>
      <c r="L1171" s="26">
        <f>IF(A1171="","",MONTH(A1171))</f>
        <v/>
      </c>
      <c r="M1171" s="26">
        <f>IF(A1171="","",YEAR(A1171))</f>
        <v/>
      </c>
      <c r="N1171" s="26">
        <f>IF(A1171="","",CHOOSE(WEEKDAY(A1171,2),"Segunda","Terça","Quarta","Quinta","Sexta","Sábado","Domingo"))</f>
        <v/>
      </c>
      <c r="O1171" s="26">
        <f>IF(B1171="","",IF(B1171&lt;TIME(12,0,0),"Manhã",IF(B1171&lt;TIME(18,0,0),"Tarde","Noite")))</f>
        <v/>
      </c>
      <c r="P1171" s="32">
        <f>IF(G1171="","",IFERROR(INDEX(Config!$I$5:$I$16,MATCH(G1171,Config!$H$5:$H$16,0)),0))</f>
        <v/>
      </c>
      <c r="Q1171" s="30">
        <f>IF(OR(H1171&lt;&gt;"Realizado",P1171="",P1171=0),"",A1171+P1171)</f>
        <v/>
      </c>
      <c r="R1171" s="26">
        <f>IF(Q1171="","",IF(COUNTIFS($E$5:$E$1204,E1171,$A$5:$A$1204,"&gt;"&amp;A1171,$H$5:$H$1204,"&lt;&gt;Falta",$H$5:$H$1204,"&lt;&gt;Cancelado",$H$5:$H$1204,"&lt;&gt;Remarcado")&gt;0,"Sim","Não"))</f>
        <v/>
      </c>
      <c r="S1171" s="32">
        <f>IF(R1171&lt;&gt;"Não","",IF(Q1171+Config!$B$9&lt;=Config!$B$8,Config!$B$8-Q1171,""))</f>
        <v/>
      </c>
      <c r="T1171" s="26">
        <f>IF(S1171="","","Sim")</f>
        <v/>
      </c>
      <c r="U1171" s="41">
        <f>IF(T1171="Sim",S1171+ROW()/100000,0)</f>
        <v>0</v>
      </c>
      <c r="V1171" s="41">
        <f>IF(AND(H1171="Falta",L1171=Config!$B$7,M1171=Config!$B$5,COUNTIFS($E$5:E1171,E1171,$H$5:H1171,"Falta",$L$5:L1171,Config!$B$7,$M$5:M1171,Config!$B$5)=1),COUNTIFS($E$5:$E$1204,E1171,$H$5:$H$1204,"Falta",$L$5:$L$1204,Config!$B$7,$M$5:$M$1204,Config!$B$5)*1000-ROW()/100000,0)</f>
        <v>0</v>
      </c>
    </row>
    <row r="1172">
      <c r="A1172" s="39" t="n"/>
      <c r="B1172" s="40" t="n"/>
      <c r="C1172" s="35" t="n"/>
      <c r="D1172" s="35" t="n"/>
      <c r="E1172" s="34" t="n"/>
      <c r="F1172" s="35" t="n"/>
      <c r="G1172" s="35" t="n"/>
      <c r="H1172" s="35" t="n"/>
      <c r="I1172" s="35" t="n"/>
      <c r="J1172" s="35" t="n"/>
      <c r="K1172" s="34" t="n"/>
      <c r="L1172" s="26">
        <f>IF(A1172="","",MONTH(A1172))</f>
        <v/>
      </c>
      <c r="M1172" s="26">
        <f>IF(A1172="","",YEAR(A1172))</f>
        <v/>
      </c>
      <c r="N1172" s="26">
        <f>IF(A1172="","",CHOOSE(WEEKDAY(A1172,2),"Segunda","Terça","Quarta","Quinta","Sexta","Sábado","Domingo"))</f>
        <v/>
      </c>
      <c r="O1172" s="26">
        <f>IF(B1172="","",IF(B1172&lt;TIME(12,0,0),"Manhã",IF(B1172&lt;TIME(18,0,0),"Tarde","Noite")))</f>
        <v/>
      </c>
      <c r="P1172" s="32">
        <f>IF(G1172="","",IFERROR(INDEX(Config!$I$5:$I$16,MATCH(G1172,Config!$H$5:$H$16,0)),0))</f>
        <v/>
      </c>
      <c r="Q1172" s="30">
        <f>IF(OR(H1172&lt;&gt;"Realizado",P1172="",P1172=0),"",A1172+P1172)</f>
        <v/>
      </c>
      <c r="R1172" s="26">
        <f>IF(Q1172="","",IF(COUNTIFS($E$5:$E$1204,E1172,$A$5:$A$1204,"&gt;"&amp;A1172,$H$5:$H$1204,"&lt;&gt;Falta",$H$5:$H$1204,"&lt;&gt;Cancelado",$H$5:$H$1204,"&lt;&gt;Remarcado")&gt;0,"Sim","Não"))</f>
        <v/>
      </c>
      <c r="S1172" s="32">
        <f>IF(R1172&lt;&gt;"Não","",IF(Q1172+Config!$B$9&lt;=Config!$B$8,Config!$B$8-Q1172,""))</f>
        <v/>
      </c>
      <c r="T1172" s="26">
        <f>IF(S1172="","","Sim")</f>
        <v/>
      </c>
      <c r="U1172" s="41">
        <f>IF(T1172="Sim",S1172+ROW()/100000,0)</f>
        <v>0</v>
      </c>
      <c r="V1172" s="41">
        <f>IF(AND(H1172="Falta",L1172=Config!$B$7,M1172=Config!$B$5,COUNTIFS($E$5:E1172,E1172,$H$5:H1172,"Falta",$L$5:L1172,Config!$B$7,$M$5:M1172,Config!$B$5)=1),COUNTIFS($E$5:$E$1204,E1172,$H$5:$H$1204,"Falta",$L$5:$L$1204,Config!$B$7,$M$5:$M$1204,Config!$B$5)*1000-ROW()/100000,0)</f>
        <v>0</v>
      </c>
    </row>
    <row r="1173">
      <c r="A1173" s="39" t="n"/>
      <c r="B1173" s="40" t="n"/>
      <c r="C1173" s="35" t="n"/>
      <c r="D1173" s="35" t="n"/>
      <c r="E1173" s="34" t="n"/>
      <c r="F1173" s="35" t="n"/>
      <c r="G1173" s="35" t="n"/>
      <c r="H1173" s="35" t="n"/>
      <c r="I1173" s="35" t="n"/>
      <c r="J1173" s="35" t="n"/>
      <c r="K1173" s="34" t="n"/>
      <c r="L1173" s="26">
        <f>IF(A1173="","",MONTH(A1173))</f>
        <v/>
      </c>
      <c r="M1173" s="26">
        <f>IF(A1173="","",YEAR(A1173))</f>
        <v/>
      </c>
      <c r="N1173" s="26">
        <f>IF(A1173="","",CHOOSE(WEEKDAY(A1173,2),"Segunda","Terça","Quarta","Quinta","Sexta","Sábado","Domingo"))</f>
        <v/>
      </c>
      <c r="O1173" s="26">
        <f>IF(B1173="","",IF(B1173&lt;TIME(12,0,0),"Manhã",IF(B1173&lt;TIME(18,0,0),"Tarde","Noite")))</f>
        <v/>
      </c>
      <c r="P1173" s="32">
        <f>IF(G1173="","",IFERROR(INDEX(Config!$I$5:$I$16,MATCH(G1173,Config!$H$5:$H$16,0)),0))</f>
        <v/>
      </c>
      <c r="Q1173" s="30">
        <f>IF(OR(H1173&lt;&gt;"Realizado",P1173="",P1173=0),"",A1173+P1173)</f>
        <v/>
      </c>
      <c r="R1173" s="26">
        <f>IF(Q1173="","",IF(COUNTIFS($E$5:$E$1204,E1173,$A$5:$A$1204,"&gt;"&amp;A1173,$H$5:$H$1204,"&lt;&gt;Falta",$H$5:$H$1204,"&lt;&gt;Cancelado",$H$5:$H$1204,"&lt;&gt;Remarcado")&gt;0,"Sim","Não"))</f>
        <v/>
      </c>
      <c r="S1173" s="32">
        <f>IF(R1173&lt;&gt;"Não","",IF(Q1173+Config!$B$9&lt;=Config!$B$8,Config!$B$8-Q1173,""))</f>
        <v/>
      </c>
      <c r="T1173" s="26">
        <f>IF(S1173="","","Sim")</f>
        <v/>
      </c>
      <c r="U1173" s="41">
        <f>IF(T1173="Sim",S1173+ROW()/100000,0)</f>
        <v>0</v>
      </c>
      <c r="V1173" s="41">
        <f>IF(AND(H1173="Falta",L1173=Config!$B$7,M1173=Config!$B$5,COUNTIFS($E$5:E1173,E1173,$H$5:H1173,"Falta",$L$5:L1173,Config!$B$7,$M$5:M1173,Config!$B$5)=1),COUNTIFS($E$5:$E$1204,E1173,$H$5:$H$1204,"Falta",$L$5:$L$1204,Config!$B$7,$M$5:$M$1204,Config!$B$5)*1000-ROW()/100000,0)</f>
        <v>0</v>
      </c>
    </row>
    <row r="1174">
      <c r="A1174" s="39" t="n"/>
      <c r="B1174" s="40" t="n"/>
      <c r="C1174" s="35" t="n"/>
      <c r="D1174" s="35" t="n"/>
      <c r="E1174" s="34" t="n"/>
      <c r="F1174" s="35" t="n"/>
      <c r="G1174" s="35" t="n"/>
      <c r="H1174" s="35" t="n"/>
      <c r="I1174" s="35" t="n"/>
      <c r="J1174" s="35" t="n"/>
      <c r="K1174" s="34" t="n"/>
      <c r="L1174" s="26">
        <f>IF(A1174="","",MONTH(A1174))</f>
        <v/>
      </c>
      <c r="M1174" s="26">
        <f>IF(A1174="","",YEAR(A1174))</f>
        <v/>
      </c>
      <c r="N1174" s="26">
        <f>IF(A1174="","",CHOOSE(WEEKDAY(A1174,2),"Segunda","Terça","Quarta","Quinta","Sexta","Sábado","Domingo"))</f>
        <v/>
      </c>
      <c r="O1174" s="26">
        <f>IF(B1174="","",IF(B1174&lt;TIME(12,0,0),"Manhã",IF(B1174&lt;TIME(18,0,0),"Tarde","Noite")))</f>
        <v/>
      </c>
      <c r="P1174" s="32">
        <f>IF(G1174="","",IFERROR(INDEX(Config!$I$5:$I$16,MATCH(G1174,Config!$H$5:$H$16,0)),0))</f>
        <v/>
      </c>
      <c r="Q1174" s="30">
        <f>IF(OR(H1174&lt;&gt;"Realizado",P1174="",P1174=0),"",A1174+P1174)</f>
        <v/>
      </c>
      <c r="R1174" s="26">
        <f>IF(Q1174="","",IF(COUNTIFS($E$5:$E$1204,E1174,$A$5:$A$1204,"&gt;"&amp;A1174,$H$5:$H$1204,"&lt;&gt;Falta",$H$5:$H$1204,"&lt;&gt;Cancelado",$H$5:$H$1204,"&lt;&gt;Remarcado")&gt;0,"Sim","Não"))</f>
        <v/>
      </c>
      <c r="S1174" s="32">
        <f>IF(R1174&lt;&gt;"Não","",IF(Q1174+Config!$B$9&lt;=Config!$B$8,Config!$B$8-Q1174,""))</f>
        <v/>
      </c>
      <c r="T1174" s="26">
        <f>IF(S1174="","","Sim")</f>
        <v/>
      </c>
      <c r="U1174" s="41">
        <f>IF(T1174="Sim",S1174+ROW()/100000,0)</f>
        <v>0</v>
      </c>
      <c r="V1174" s="41">
        <f>IF(AND(H1174="Falta",L1174=Config!$B$7,M1174=Config!$B$5,COUNTIFS($E$5:E1174,E1174,$H$5:H1174,"Falta",$L$5:L1174,Config!$B$7,$M$5:M1174,Config!$B$5)=1),COUNTIFS($E$5:$E$1204,E1174,$H$5:$H$1204,"Falta",$L$5:$L$1204,Config!$B$7,$M$5:$M$1204,Config!$B$5)*1000-ROW()/100000,0)</f>
        <v>0</v>
      </c>
    </row>
    <row r="1175">
      <c r="A1175" s="39" t="n"/>
      <c r="B1175" s="40" t="n"/>
      <c r="C1175" s="35" t="n"/>
      <c r="D1175" s="35" t="n"/>
      <c r="E1175" s="34" t="n"/>
      <c r="F1175" s="35" t="n"/>
      <c r="G1175" s="35" t="n"/>
      <c r="H1175" s="35" t="n"/>
      <c r="I1175" s="35" t="n"/>
      <c r="J1175" s="35" t="n"/>
      <c r="K1175" s="34" t="n"/>
      <c r="L1175" s="26">
        <f>IF(A1175="","",MONTH(A1175))</f>
        <v/>
      </c>
      <c r="M1175" s="26">
        <f>IF(A1175="","",YEAR(A1175))</f>
        <v/>
      </c>
      <c r="N1175" s="26">
        <f>IF(A1175="","",CHOOSE(WEEKDAY(A1175,2),"Segunda","Terça","Quarta","Quinta","Sexta","Sábado","Domingo"))</f>
        <v/>
      </c>
      <c r="O1175" s="26">
        <f>IF(B1175="","",IF(B1175&lt;TIME(12,0,0),"Manhã",IF(B1175&lt;TIME(18,0,0),"Tarde","Noite")))</f>
        <v/>
      </c>
      <c r="P1175" s="32">
        <f>IF(G1175="","",IFERROR(INDEX(Config!$I$5:$I$16,MATCH(G1175,Config!$H$5:$H$16,0)),0))</f>
        <v/>
      </c>
      <c r="Q1175" s="30">
        <f>IF(OR(H1175&lt;&gt;"Realizado",P1175="",P1175=0),"",A1175+P1175)</f>
        <v/>
      </c>
      <c r="R1175" s="26">
        <f>IF(Q1175="","",IF(COUNTIFS($E$5:$E$1204,E1175,$A$5:$A$1204,"&gt;"&amp;A1175,$H$5:$H$1204,"&lt;&gt;Falta",$H$5:$H$1204,"&lt;&gt;Cancelado",$H$5:$H$1204,"&lt;&gt;Remarcado")&gt;0,"Sim","Não"))</f>
        <v/>
      </c>
      <c r="S1175" s="32">
        <f>IF(R1175&lt;&gt;"Não","",IF(Q1175+Config!$B$9&lt;=Config!$B$8,Config!$B$8-Q1175,""))</f>
        <v/>
      </c>
      <c r="T1175" s="26">
        <f>IF(S1175="","","Sim")</f>
        <v/>
      </c>
      <c r="U1175" s="41">
        <f>IF(T1175="Sim",S1175+ROW()/100000,0)</f>
        <v>0</v>
      </c>
      <c r="V1175" s="41">
        <f>IF(AND(H1175="Falta",L1175=Config!$B$7,M1175=Config!$B$5,COUNTIFS($E$5:E1175,E1175,$H$5:H1175,"Falta",$L$5:L1175,Config!$B$7,$M$5:M1175,Config!$B$5)=1),COUNTIFS($E$5:$E$1204,E1175,$H$5:$H$1204,"Falta",$L$5:$L$1204,Config!$B$7,$M$5:$M$1204,Config!$B$5)*1000-ROW()/100000,0)</f>
        <v>0</v>
      </c>
    </row>
    <row r="1176">
      <c r="A1176" s="39" t="n"/>
      <c r="B1176" s="40" t="n"/>
      <c r="C1176" s="35" t="n"/>
      <c r="D1176" s="35" t="n"/>
      <c r="E1176" s="34" t="n"/>
      <c r="F1176" s="35" t="n"/>
      <c r="G1176" s="35" t="n"/>
      <c r="H1176" s="35" t="n"/>
      <c r="I1176" s="35" t="n"/>
      <c r="J1176" s="35" t="n"/>
      <c r="K1176" s="34" t="n"/>
      <c r="L1176" s="26">
        <f>IF(A1176="","",MONTH(A1176))</f>
        <v/>
      </c>
      <c r="M1176" s="26">
        <f>IF(A1176="","",YEAR(A1176))</f>
        <v/>
      </c>
      <c r="N1176" s="26">
        <f>IF(A1176="","",CHOOSE(WEEKDAY(A1176,2),"Segunda","Terça","Quarta","Quinta","Sexta","Sábado","Domingo"))</f>
        <v/>
      </c>
      <c r="O1176" s="26">
        <f>IF(B1176="","",IF(B1176&lt;TIME(12,0,0),"Manhã",IF(B1176&lt;TIME(18,0,0),"Tarde","Noite")))</f>
        <v/>
      </c>
      <c r="P1176" s="32">
        <f>IF(G1176="","",IFERROR(INDEX(Config!$I$5:$I$16,MATCH(G1176,Config!$H$5:$H$16,0)),0))</f>
        <v/>
      </c>
      <c r="Q1176" s="30">
        <f>IF(OR(H1176&lt;&gt;"Realizado",P1176="",P1176=0),"",A1176+P1176)</f>
        <v/>
      </c>
      <c r="R1176" s="26">
        <f>IF(Q1176="","",IF(COUNTIFS($E$5:$E$1204,E1176,$A$5:$A$1204,"&gt;"&amp;A1176,$H$5:$H$1204,"&lt;&gt;Falta",$H$5:$H$1204,"&lt;&gt;Cancelado",$H$5:$H$1204,"&lt;&gt;Remarcado")&gt;0,"Sim","Não"))</f>
        <v/>
      </c>
      <c r="S1176" s="32">
        <f>IF(R1176&lt;&gt;"Não","",IF(Q1176+Config!$B$9&lt;=Config!$B$8,Config!$B$8-Q1176,""))</f>
        <v/>
      </c>
      <c r="T1176" s="26">
        <f>IF(S1176="","","Sim")</f>
        <v/>
      </c>
      <c r="U1176" s="41">
        <f>IF(T1176="Sim",S1176+ROW()/100000,0)</f>
        <v>0</v>
      </c>
      <c r="V1176" s="41">
        <f>IF(AND(H1176="Falta",L1176=Config!$B$7,M1176=Config!$B$5,COUNTIFS($E$5:E1176,E1176,$H$5:H1176,"Falta",$L$5:L1176,Config!$B$7,$M$5:M1176,Config!$B$5)=1),COUNTIFS($E$5:$E$1204,E1176,$H$5:$H$1204,"Falta",$L$5:$L$1204,Config!$B$7,$M$5:$M$1204,Config!$B$5)*1000-ROW()/100000,0)</f>
        <v>0</v>
      </c>
    </row>
    <row r="1177">
      <c r="A1177" s="39" t="n"/>
      <c r="B1177" s="40" t="n"/>
      <c r="C1177" s="35" t="n"/>
      <c r="D1177" s="35" t="n"/>
      <c r="E1177" s="34" t="n"/>
      <c r="F1177" s="35" t="n"/>
      <c r="G1177" s="35" t="n"/>
      <c r="H1177" s="35" t="n"/>
      <c r="I1177" s="35" t="n"/>
      <c r="J1177" s="35" t="n"/>
      <c r="K1177" s="34" t="n"/>
      <c r="L1177" s="26">
        <f>IF(A1177="","",MONTH(A1177))</f>
        <v/>
      </c>
      <c r="M1177" s="26">
        <f>IF(A1177="","",YEAR(A1177))</f>
        <v/>
      </c>
      <c r="N1177" s="26">
        <f>IF(A1177="","",CHOOSE(WEEKDAY(A1177,2),"Segunda","Terça","Quarta","Quinta","Sexta","Sábado","Domingo"))</f>
        <v/>
      </c>
      <c r="O1177" s="26">
        <f>IF(B1177="","",IF(B1177&lt;TIME(12,0,0),"Manhã",IF(B1177&lt;TIME(18,0,0),"Tarde","Noite")))</f>
        <v/>
      </c>
      <c r="P1177" s="32">
        <f>IF(G1177="","",IFERROR(INDEX(Config!$I$5:$I$16,MATCH(G1177,Config!$H$5:$H$16,0)),0))</f>
        <v/>
      </c>
      <c r="Q1177" s="30">
        <f>IF(OR(H1177&lt;&gt;"Realizado",P1177="",P1177=0),"",A1177+P1177)</f>
        <v/>
      </c>
      <c r="R1177" s="26">
        <f>IF(Q1177="","",IF(COUNTIFS($E$5:$E$1204,E1177,$A$5:$A$1204,"&gt;"&amp;A1177,$H$5:$H$1204,"&lt;&gt;Falta",$H$5:$H$1204,"&lt;&gt;Cancelado",$H$5:$H$1204,"&lt;&gt;Remarcado")&gt;0,"Sim","Não"))</f>
        <v/>
      </c>
      <c r="S1177" s="32">
        <f>IF(R1177&lt;&gt;"Não","",IF(Q1177+Config!$B$9&lt;=Config!$B$8,Config!$B$8-Q1177,""))</f>
        <v/>
      </c>
      <c r="T1177" s="26">
        <f>IF(S1177="","","Sim")</f>
        <v/>
      </c>
      <c r="U1177" s="41">
        <f>IF(T1177="Sim",S1177+ROW()/100000,0)</f>
        <v>0</v>
      </c>
      <c r="V1177" s="41">
        <f>IF(AND(H1177="Falta",L1177=Config!$B$7,M1177=Config!$B$5,COUNTIFS($E$5:E1177,E1177,$H$5:H1177,"Falta",$L$5:L1177,Config!$B$7,$M$5:M1177,Config!$B$5)=1),COUNTIFS($E$5:$E$1204,E1177,$H$5:$H$1204,"Falta",$L$5:$L$1204,Config!$B$7,$M$5:$M$1204,Config!$B$5)*1000-ROW()/100000,0)</f>
        <v>0</v>
      </c>
    </row>
    <row r="1178">
      <c r="A1178" s="39" t="n"/>
      <c r="B1178" s="40" t="n"/>
      <c r="C1178" s="35" t="n"/>
      <c r="D1178" s="35" t="n"/>
      <c r="E1178" s="34" t="n"/>
      <c r="F1178" s="35" t="n"/>
      <c r="G1178" s="35" t="n"/>
      <c r="H1178" s="35" t="n"/>
      <c r="I1178" s="35" t="n"/>
      <c r="J1178" s="35" t="n"/>
      <c r="K1178" s="34" t="n"/>
      <c r="L1178" s="26">
        <f>IF(A1178="","",MONTH(A1178))</f>
        <v/>
      </c>
      <c r="M1178" s="26">
        <f>IF(A1178="","",YEAR(A1178))</f>
        <v/>
      </c>
      <c r="N1178" s="26">
        <f>IF(A1178="","",CHOOSE(WEEKDAY(A1178,2),"Segunda","Terça","Quarta","Quinta","Sexta","Sábado","Domingo"))</f>
        <v/>
      </c>
      <c r="O1178" s="26">
        <f>IF(B1178="","",IF(B1178&lt;TIME(12,0,0),"Manhã",IF(B1178&lt;TIME(18,0,0),"Tarde","Noite")))</f>
        <v/>
      </c>
      <c r="P1178" s="32">
        <f>IF(G1178="","",IFERROR(INDEX(Config!$I$5:$I$16,MATCH(G1178,Config!$H$5:$H$16,0)),0))</f>
        <v/>
      </c>
      <c r="Q1178" s="30">
        <f>IF(OR(H1178&lt;&gt;"Realizado",P1178="",P1178=0),"",A1178+P1178)</f>
        <v/>
      </c>
      <c r="R1178" s="26">
        <f>IF(Q1178="","",IF(COUNTIFS($E$5:$E$1204,E1178,$A$5:$A$1204,"&gt;"&amp;A1178,$H$5:$H$1204,"&lt;&gt;Falta",$H$5:$H$1204,"&lt;&gt;Cancelado",$H$5:$H$1204,"&lt;&gt;Remarcado")&gt;0,"Sim","Não"))</f>
        <v/>
      </c>
      <c r="S1178" s="32">
        <f>IF(R1178&lt;&gt;"Não","",IF(Q1178+Config!$B$9&lt;=Config!$B$8,Config!$B$8-Q1178,""))</f>
        <v/>
      </c>
      <c r="T1178" s="26">
        <f>IF(S1178="","","Sim")</f>
        <v/>
      </c>
      <c r="U1178" s="41">
        <f>IF(T1178="Sim",S1178+ROW()/100000,0)</f>
        <v>0</v>
      </c>
      <c r="V1178" s="41">
        <f>IF(AND(H1178="Falta",L1178=Config!$B$7,M1178=Config!$B$5,COUNTIFS($E$5:E1178,E1178,$H$5:H1178,"Falta",$L$5:L1178,Config!$B$7,$M$5:M1178,Config!$B$5)=1),COUNTIFS($E$5:$E$1204,E1178,$H$5:$H$1204,"Falta",$L$5:$L$1204,Config!$B$7,$M$5:$M$1204,Config!$B$5)*1000-ROW()/100000,0)</f>
        <v>0</v>
      </c>
    </row>
    <row r="1179">
      <c r="A1179" s="39" t="n"/>
      <c r="B1179" s="40" t="n"/>
      <c r="C1179" s="35" t="n"/>
      <c r="D1179" s="35" t="n"/>
      <c r="E1179" s="34" t="n"/>
      <c r="F1179" s="35" t="n"/>
      <c r="G1179" s="35" t="n"/>
      <c r="H1179" s="35" t="n"/>
      <c r="I1179" s="35" t="n"/>
      <c r="J1179" s="35" t="n"/>
      <c r="K1179" s="34" t="n"/>
      <c r="L1179" s="26">
        <f>IF(A1179="","",MONTH(A1179))</f>
        <v/>
      </c>
      <c r="M1179" s="26">
        <f>IF(A1179="","",YEAR(A1179))</f>
        <v/>
      </c>
      <c r="N1179" s="26">
        <f>IF(A1179="","",CHOOSE(WEEKDAY(A1179,2),"Segunda","Terça","Quarta","Quinta","Sexta","Sábado","Domingo"))</f>
        <v/>
      </c>
      <c r="O1179" s="26">
        <f>IF(B1179="","",IF(B1179&lt;TIME(12,0,0),"Manhã",IF(B1179&lt;TIME(18,0,0),"Tarde","Noite")))</f>
        <v/>
      </c>
      <c r="P1179" s="32">
        <f>IF(G1179="","",IFERROR(INDEX(Config!$I$5:$I$16,MATCH(G1179,Config!$H$5:$H$16,0)),0))</f>
        <v/>
      </c>
      <c r="Q1179" s="30">
        <f>IF(OR(H1179&lt;&gt;"Realizado",P1179="",P1179=0),"",A1179+P1179)</f>
        <v/>
      </c>
      <c r="R1179" s="26">
        <f>IF(Q1179="","",IF(COUNTIFS($E$5:$E$1204,E1179,$A$5:$A$1204,"&gt;"&amp;A1179,$H$5:$H$1204,"&lt;&gt;Falta",$H$5:$H$1204,"&lt;&gt;Cancelado",$H$5:$H$1204,"&lt;&gt;Remarcado")&gt;0,"Sim","Não"))</f>
        <v/>
      </c>
      <c r="S1179" s="32">
        <f>IF(R1179&lt;&gt;"Não","",IF(Q1179+Config!$B$9&lt;=Config!$B$8,Config!$B$8-Q1179,""))</f>
        <v/>
      </c>
      <c r="T1179" s="26">
        <f>IF(S1179="","","Sim")</f>
        <v/>
      </c>
      <c r="U1179" s="41">
        <f>IF(T1179="Sim",S1179+ROW()/100000,0)</f>
        <v>0</v>
      </c>
      <c r="V1179" s="41">
        <f>IF(AND(H1179="Falta",L1179=Config!$B$7,M1179=Config!$B$5,COUNTIFS($E$5:E1179,E1179,$H$5:H1179,"Falta",$L$5:L1179,Config!$B$7,$M$5:M1179,Config!$B$5)=1),COUNTIFS($E$5:$E$1204,E1179,$H$5:$H$1204,"Falta",$L$5:$L$1204,Config!$B$7,$M$5:$M$1204,Config!$B$5)*1000-ROW()/100000,0)</f>
        <v>0</v>
      </c>
    </row>
    <row r="1180">
      <c r="A1180" s="39" t="n"/>
      <c r="B1180" s="40" t="n"/>
      <c r="C1180" s="35" t="n"/>
      <c r="D1180" s="35" t="n"/>
      <c r="E1180" s="34" t="n"/>
      <c r="F1180" s="35" t="n"/>
      <c r="G1180" s="35" t="n"/>
      <c r="H1180" s="35" t="n"/>
      <c r="I1180" s="35" t="n"/>
      <c r="J1180" s="35" t="n"/>
      <c r="K1180" s="34" t="n"/>
      <c r="L1180" s="26">
        <f>IF(A1180="","",MONTH(A1180))</f>
        <v/>
      </c>
      <c r="M1180" s="26">
        <f>IF(A1180="","",YEAR(A1180))</f>
        <v/>
      </c>
      <c r="N1180" s="26">
        <f>IF(A1180="","",CHOOSE(WEEKDAY(A1180,2),"Segunda","Terça","Quarta","Quinta","Sexta","Sábado","Domingo"))</f>
        <v/>
      </c>
      <c r="O1180" s="26">
        <f>IF(B1180="","",IF(B1180&lt;TIME(12,0,0),"Manhã",IF(B1180&lt;TIME(18,0,0),"Tarde","Noite")))</f>
        <v/>
      </c>
      <c r="P1180" s="32">
        <f>IF(G1180="","",IFERROR(INDEX(Config!$I$5:$I$16,MATCH(G1180,Config!$H$5:$H$16,0)),0))</f>
        <v/>
      </c>
      <c r="Q1180" s="30">
        <f>IF(OR(H1180&lt;&gt;"Realizado",P1180="",P1180=0),"",A1180+P1180)</f>
        <v/>
      </c>
      <c r="R1180" s="26">
        <f>IF(Q1180="","",IF(COUNTIFS($E$5:$E$1204,E1180,$A$5:$A$1204,"&gt;"&amp;A1180,$H$5:$H$1204,"&lt;&gt;Falta",$H$5:$H$1204,"&lt;&gt;Cancelado",$H$5:$H$1204,"&lt;&gt;Remarcado")&gt;0,"Sim","Não"))</f>
        <v/>
      </c>
      <c r="S1180" s="32">
        <f>IF(R1180&lt;&gt;"Não","",IF(Q1180+Config!$B$9&lt;=Config!$B$8,Config!$B$8-Q1180,""))</f>
        <v/>
      </c>
      <c r="T1180" s="26">
        <f>IF(S1180="","","Sim")</f>
        <v/>
      </c>
      <c r="U1180" s="41">
        <f>IF(T1180="Sim",S1180+ROW()/100000,0)</f>
        <v>0</v>
      </c>
      <c r="V1180" s="41">
        <f>IF(AND(H1180="Falta",L1180=Config!$B$7,M1180=Config!$B$5,COUNTIFS($E$5:E1180,E1180,$H$5:H1180,"Falta",$L$5:L1180,Config!$B$7,$M$5:M1180,Config!$B$5)=1),COUNTIFS($E$5:$E$1204,E1180,$H$5:$H$1204,"Falta",$L$5:$L$1204,Config!$B$7,$M$5:$M$1204,Config!$B$5)*1000-ROW()/100000,0)</f>
        <v>0</v>
      </c>
    </row>
    <row r="1181">
      <c r="A1181" s="39" t="n"/>
      <c r="B1181" s="40" t="n"/>
      <c r="C1181" s="35" t="n"/>
      <c r="D1181" s="35" t="n"/>
      <c r="E1181" s="34" t="n"/>
      <c r="F1181" s="35" t="n"/>
      <c r="G1181" s="35" t="n"/>
      <c r="H1181" s="35" t="n"/>
      <c r="I1181" s="35" t="n"/>
      <c r="J1181" s="35" t="n"/>
      <c r="K1181" s="34" t="n"/>
      <c r="L1181" s="26">
        <f>IF(A1181="","",MONTH(A1181))</f>
        <v/>
      </c>
      <c r="M1181" s="26">
        <f>IF(A1181="","",YEAR(A1181))</f>
        <v/>
      </c>
      <c r="N1181" s="26">
        <f>IF(A1181="","",CHOOSE(WEEKDAY(A1181,2),"Segunda","Terça","Quarta","Quinta","Sexta","Sábado","Domingo"))</f>
        <v/>
      </c>
      <c r="O1181" s="26">
        <f>IF(B1181="","",IF(B1181&lt;TIME(12,0,0),"Manhã",IF(B1181&lt;TIME(18,0,0),"Tarde","Noite")))</f>
        <v/>
      </c>
      <c r="P1181" s="32">
        <f>IF(G1181="","",IFERROR(INDEX(Config!$I$5:$I$16,MATCH(G1181,Config!$H$5:$H$16,0)),0))</f>
        <v/>
      </c>
      <c r="Q1181" s="30">
        <f>IF(OR(H1181&lt;&gt;"Realizado",P1181="",P1181=0),"",A1181+P1181)</f>
        <v/>
      </c>
      <c r="R1181" s="26">
        <f>IF(Q1181="","",IF(COUNTIFS($E$5:$E$1204,E1181,$A$5:$A$1204,"&gt;"&amp;A1181,$H$5:$H$1204,"&lt;&gt;Falta",$H$5:$H$1204,"&lt;&gt;Cancelado",$H$5:$H$1204,"&lt;&gt;Remarcado")&gt;0,"Sim","Não"))</f>
        <v/>
      </c>
      <c r="S1181" s="32">
        <f>IF(R1181&lt;&gt;"Não","",IF(Q1181+Config!$B$9&lt;=Config!$B$8,Config!$B$8-Q1181,""))</f>
        <v/>
      </c>
      <c r="T1181" s="26">
        <f>IF(S1181="","","Sim")</f>
        <v/>
      </c>
      <c r="U1181" s="41">
        <f>IF(T1181="Sim",S1181+ROW()/100000,0)</f>
        <v>0</v>
      </c>
      <c r="V1181" s="41">
        <f>IF(AND(H1181="Falta",L1181=Config!$B$7,M1181=Config!$B$5,COUNTIFS($E$5:E1181,E1181,$H$5:H1181,"Falta",$L$5:L1181,Config!$B$7,$M$5:M1181,Config!$B$5)=1),COUNTIFS($E$5:$E$1204,E1181,$H$5:$H$1204,"Falta",$L$5:$L$1204,Config!$B$7,$M$5:$M$1204,Config!$B$5)*1000-ROW()/100000,0)</f>
        <v>0</v>
      </c>
    </row>
    <row r="1182">
      <c r="A1182" s="39" t="n"/>
      <c r="B1182" s="40" t="n"/>
      <c r="C1182" s="35" t="n"/>
      <c r="D1182" s="35" t="n"/>
      <c r="E1182" s="34" t="n"/>
      <c r="F1182" s="35" t="n"/>
      <c r="G1182" s="35" t="n"/>
      <c r="H1182" s="35" t="n"/>
      <c r="I1182" s="35" t="n"/>
      <c r="J1182" s="35" t="n"/>
      <c r="K1182" s="34" t="n"/>
      <c r="L1182" s="26">
        <f>IF(A1182="","",MONTH(A1182))</f>
        <v/>
      </c>
      <c r="M1182" s="26">
        <f>IF(A1182="","",YEAR(A1182))</f>
        <v/>
      </c>
      <c r="N1182" s="26">
        <f>IF(A1182="","",CHOOSE(WEEKDAY(A1182,2),"Segunda","Terça","Quarta","Quinta","Sexta","Sábado","Domingo"))</f>
        <v/>
      </c>
      <c r="O1182" s="26">
        <f>IF(B1182="","",IF(B1182&lt;TIME(12,0,0),"Manhã",IF(B1182&lt;TIME(18,0,0),"Tarde","Noite")))</f>
        <v/>
      </c>
      <c r="P1182" s="32">
        <f>IF(G1182="","",IFERROR(INDEX(Config!$I$5:$I$16,MATCH(G1182,Config!$H$5:$H$16,0)),0))</f>
        <v/>
      </c>
      <c r="Q1182" s="30">
        <f>IF(OR(H1182&lt;&gt;"Realizado",P1182="",P1182=0),"",A1182+P1182)</f>
        <v/>
      </c>
      <c r="R1182" s="26">
        <f>IF(Q1182="","",IF(COUNTIFS($E$5:$E$1204,E1182,$A$5:$A$1204,"&gt;"&amp;A1182,$H$5:$H$1204,"&lt;&gt;Falta",$H$5:$H$1204,"&lt;&gt;Cancelado",$H$5:$H$1204,"&lt;&gt;Remarcado")&gt;0,"Sim","Não"))</f>
        <v/>
      </c>
      <c r="S1182" s="32">
        <f>IF(R1182&lt;&gt;"Não","",IF(Q1182+Config!$B$9&lt;=Config!$B$8,Config!$B$8-Q1182,""))</f>
        <v/>
      </c>
      <c r="T1182" s="26">
        <f>IF(S1182="","","Sim")</f>
        <v/>
      </c>
      <c r="U1182" s="41">
        <f>IF(T1182="Sim",S1182+ROW()/100000,0)</f>
        <v>0</v>
      </c>
      <c r="V1182" s="41">
        <f>IF(AND(H1182="Falta",L1182=Config!$B$7,M1182=Config!$B$5,COUNTIFS($E$5:E1182,E1182,$H$5:H1182,"Falta",$L$5:L1182,Config!$B$7,$M$5:M1182,Config!$B$5)=1),COUNTIFS($E$5:$E$1204,E1182,$H$5:$H$1204,"Falta",$L$5:$L$1204,Config!$B$7,$M$5:$M$1204,Config!$B$5)*1000-ROW()/100000,0)</f>
        <v>0</v>
      </c>
    </row>
    <row r="1183">
      <c r="A1183" s="39" t="n"/>
      <c r="B1183" s="40" t="n"/>
      <c r="C1183" s="35" t="n"/>
      <c r="D1183" s="35" t="n"/>
      <c r="E1183" s="34" t="n"/>
      <c r="F1183" s="35" t="n"/>
      <c r="G1183" s="35" t="n"/>
      <c r="H1183" s="35" t="n"/>
      <c r="I1183" s="35" t="n"/>
      <c r="J1183" s="35" t="n"/>
      <c r="K1183" s="34" t="n"/>
      <c r="L1183" s="26">
        <f>IF(A1183="","",MONTH(A1183))</f>
        <v/>
      </c>
      <c r="M1183" s="26">
        <f>IF(A1183="","",YEAR(A1183))</f>
        <v/>
      </c>
      <c r="N1183" s="26">
        <f>IF(A1183="","",CHOOSE(WEEKDAY(A1183,2),"Segunda","Terça","Quarta","Quinta","Sexta","Sábado","Domingo"))</f>
        <v/>
      </c>
      <c r="O1183" s="26">
        <f>IF(B1183="","",IF(B1183&lt;TIME(12,0,0),"Manhã",IF(B1183&lt;TIME(18,0,0),"Tarde","Noite")))</f>
        <v/>
      </c>
      <c r="P1183" s="32">
        <f>IF(G1183="","",IFERROR(INDEX(Config!$I$5:$I$16,MATCH(G1183,Config!$H$5:$H$16,0)),0))</f>
        <v/>
      </c>
      <c r="Q1183" s="30">
        <f>IF(OR(H1183&lt;&gt;"Realizado",P1183="",P1183=0),"",A1183+P1183)</f>
        <v/>
      </c>
      <c r="R1183" s="26">
        <f>IF(Q1183="","",IF(COUNTIFS($E$5:$E$1204,E1183,$A$5:$A$1204,"&gt;"&amp;A1183,$H$5:$H$1204,"&lt;&gt;Falta",$H$5:$H$1204,"&lt;&gt;Cancelado",$H$5:$H$1204,"&lt;&gt;Remarcado")&gt;0,"Sim","Não"))</f>
        <v/>
      </c>
      <c r="S1183" s="32">
        <f>IF(R1183&lt;&gt;"Não","",IF(Q1183+Config!$B$9&lt;=Config!$B$8,Config!$B$8-Q1183,""))</f>
        <v/>
      </c>
      <c r="T1183" s="26">
        <f>IF(S1183="","","Sim")</f>
        <v/>
      </c>
      <c r="U1183" s="41">
        <f>IF(T1183="Sim",S1183+ROW()/100000,0)</f>
        <v>0</v>
      </c>
      <c r="V1183" s="41">
        <f>IF(AND(H1183="Falta",L1183=Config!$B$7,M1183=Config!$B$5,COUNTIFS($E$5:E1183,E1183,$H$5:H1183,"Falta",$L$5:L1183,Config!$B$7,$M$5:M1183,Config!$B$5)=1),COUNTIFS($E$5:$E$1204,E1183,$H$5:$H$1204,"Falta",$L$5:$L$1204,Config!$B$7,$M$5:$M$1204,Config!$B$5)*1000-ROW()/100000,0)</f>
        <v>0</v>
      </c>
    </row>
    <row r="1184">
      <c r="A1184" s="39" t="n"/>
      <c r="B1184" s="40" t="n"/>
      <c r="C1184" s="35" t="n"/>
      <c r="D1184" s="35" t="n"/>
      <c r="E1184" s="34" t="n"/>
      <c r="F1184" s="35" t="n"/>
      <c r="G1184" s="35" t="n"/>
      <c r="H1184" s="35" t="n"/>
      <c r="I1184" s="35" t="n"/>
      <c r="J1184" s="35" t="n"/>
      <c r="K1184" s="34" t="n"/>
      <c r="L1184" s="26">
        <f>IF(A1184="","",MONTH(A1184))</f>
        <v/>
      </c>
      <c r="M1184" s="26">
        <f>IF(A1184="","",YEAR(A1184))</f>
        <v/>
      </c>
      <c r="N1184" s="26">
        <f>IF(A1184="","",CHOOSE(WEEKDAY(A1184,2),"Segunda","Terça","Quarta","Quinta","Sexta","Sábado","Domingo"))</f>
        <v/>
      </c>
      <c r="O1184" s="26">
        <f>IF(B1184="","",IF(B1184&lt;TIME(12,0,0),"Manhã",IF(B1184&lt;TIME(18,0,0),"Tarde","Noite")))</f>
        <v/>
      </c>
      <c r="P1184" s="32">
        <f>IF(G1184="","",IFERROR(INDEX(Config!$I$5:$I$16,MATCH(G1184,Config!$H$5:$H$16,0)),0))</f>
        <v/>
      </c>
      <c r="Q1184" s="30">
        <f>IF(OR(H1184&lt;&gt;"Realizado",P1184="",P1184=0),"",A1184+P1184)</f>
        <v/>
      </c>
      <c r="R1184" s="26">
        <f>IF(Q1184="","",IF(COUNTIFS($E$5:$E$1204,E1184,$A$5:$A$1204,"&gt;"&amp;A1184,$H$5:$H$1204,"&lt;&gt;Falta",$H$5:$H$1204,"&lt;&gt;Cancelado",$H$5:$H$1204,"&lt;&gt;Remarcado")&gt;0,"Sim","Não"))</f>
        <v/>
      </c>
      <c r="S1184" s="32">
        <f>IF(R1184&lt;&gt;"Não","",IF(Q1184+Config!$B$9&lt;=Config!$B$8,Config!$B$8-Q1184,""))</f>
        <v/>
      </c>
      <c r="T1184" s="26">
        <f>IF(S1184="","","Sim")</f>
        <v/>
      </c>
      <c r="U1184" s="41">
        <f>IF(T1184="Sim",S1184+ROW()/100000,0)</f>
        <v>0</v>
      </c>
      <c r="V1184" s="41">
        <f>IF(AND(H1184="Falta",L1184=Config!$B$7,M1184=Config!$B$5,COUNTIFS($E$5:E1184,E1184,$H$5:H1184,"Falta",$L$5:L1184,Config!$B$7,$M$5:M1184,Config!$B$5)=1),COUNTIFS($E$5:$E$1204,E1184,$H$5:$H$1204,"Falta",$L$5:$L$1204,Config!$B$7,$M$5:$M$1204,Config!$B$5)*1000-ROW()/100000,0)</f>
        <v>0</v>
      </c>
    </row>
    <row r="1185">
      <c r="A1185" s="39" t="n"/>
      <c r="B1185" s="40" t="n"/>
      <c r="C1185" s="35" t="n"/>
      <c r="D1185" s="35" t="n"/>
      <c r="E1185" s="34" t="n"/>
      <c r="F1185" s="35" t="n"/>
      <c r="G1185" s="35" t="n"/>
      <c r="H1185" s="35" t="n"/>
      <c r="I1185" s="35" t="n"/>
      <c r="J1185" s="35" t="n"/>
      <c r="K1185" s="34" t="n"/>
      <c r="L1185" s="26">
        <f>IF(A1185="","",MONTH(A1185))</f>
        <v/>
      </c>
      <c r="M1185" s="26">
        <f>IF(A1185="","",YEAR(A1185))</f>
        <v/>
      </c>
      <c r="N1185" s="26">
        <f>IF(A1185="","",CHOOSE(WEEKDAY(A1185,2),"Segunda","Terça","Quarta","Quinta","Sexta","Sábado","Domingo"))</f>
        <v/>
      </c>
      <c r="O1185" s="26">
        <f>IF(B1185="","",IF(B1185&lt;TIME(12,0,0),"Manhã",IF(B1185&lt;TIME(18,0,0),"Tarde","Noite")))</f>
        <v/>
      </c>
      <c r="P1185" s="32">
        <f>IF(G1185="","",IFERROR(INDEX(Config!$I$5:$I$16,MATCH(G1185,Config!$H$5:$H$16,0)),0))</f>
        <v/>
      </c>
      <c r="Q1185" s="30">
        <f>IF(OR(H1185&lt;&gt;"Realizado",P1185="",P1185=0),"",A1185+P1185)</f>
        <v/>
      </c>
      <c r="R1185" s="26">
        <f>IF(Q1185="","",IF(COUNTIFS($E$5:$E$1204,E1185,$A$5:$A$1204,"&gt;"&amp;A1185,$H$5:$H$1204,"&lt;&gt;Falta",$H$5:$H$1204,"&lt;&gt;Cancelado",$H$5:$H$1204,"&lt;&gt;Remarcado")&gt;0,"Sim","Não"))</f>
        <v/>
      </c>
      <c r="S1185" s="32">
        <f>IF(R1185&lt;&gt;"Não","",IF(Q1185+Config!$B$9&lt;=Config!$B$8,Config!$B$8-Q1185,""))</f>
        <v/>
      </c>
      <c r="T1185" s="26">
        <f>IF(S1185="","","Sim")</f>
        <v/>
      </c>
      <c r="U1185" s="41">
        <f>IF(T1185="Sim",S1185+ROW()/100000,0)</f>
        <v>0</v>
      </c>
      <c r="V1185" s="41">
        <f>IF(AND(H1185="Falta",L1185=Config!$B$7,M1185=Config!$B$5,COUNTIFS($E$5:E1185,E1185,$H$5:H1185,"Falta",$L$5:L1185,Config!$B$7,$M$5:M1185,Config!$B$5)=1),COUNTIFS($E$5:$E$1204,E1185,$H$5:$H$1204,"Falta",$L$5:$L$1204,Config!$B$7,$M$5:$M$1204,Config!$B$5)*1000-ROW()/100000,0)</f>
        <v>0</v>
      </c>
    </row>
    <row r="1186">
      <c r="A1186" s="39" t="n"/>
      <c r="B1186" s="40" t="n"/>
      <c r="C1186" s="35" t="n"/>
      <c r="D1186" s="35" t="n"/>
      <c r="E1186" s="34" t="n"/>
      <c r="F1186" s="35" t="n"/>
      <c r="G1186" s="35" t="n"/>
      <c r="H1186" s="35" t="n"/>
      <c r="I1186" s="35" t="n"/>
      <c r="J1186" s="35" t="n"/>
      <c r="K1186" s="34" t="n"/>
      <c r="L1186" s="26">
        <f>IF(A1186="","",MONTH(A1186))</f>
        <v/>
      </c>
      <c r="M1186" s="26">
        <f>IF(A1186="","",YEAR(A1186))</f>
        <v/>
      </c>
      <c r="N1186" s="26">
        <f>IF(A1186="","",CHOOSE(WEEKDAY(A1186,2),"Segunda","Terça","Quarta","Quinta","Sexta","Sábado","Domingo"))</f>
        <v/>
      </c>
      <c r="O1186" s="26">
        <f>IF(B1186="","",IF(B1186&lt;TIME(12,0,0),"Manhã",IF(B1186&lt;TIME(18,0,0),"Tarde","Noite")))</f>
        <v/>
      </c>
      <c r="P1186" s="32">
        <f>IF(G1186="","",IFERROR(INDEX(Config!$I$5:$I$16,MATCH(G1186,Config!$H$5:$H$16,0)),0))</f>
        <v/>
      </c>
      <c r="Q1186" s="30">
        <f>IF(OR(H1186&lt;&gt;"Realizado",P1186="",P1186=0),"",A1186+P1186)</f>
        <v/>
      </c>
      <c r="R1186" s="26">
        <f>IF(Q1186="","",IF(COUNTIFS($E$5:$E$1204,E1186,$A$5:$A$1204,"&gt;"&amp;A1186,$H$5:$H$1204,"&lt;&gt;Falta",$H$5:$H$1204,"&lt;&gt;Cancelado",$H$5:$H$1204,"&lt;&gt;Remarcado")&gt;0,"Sim","Não"))</f>
        <v/>
      </c>
      <c r="S1186" s="32">
        <f>IF(R1186&lt;&gt;"Não","",IF(Q1186+Config!$B$9&lt;=Config!$B$8,Config!$B$8-Q1186,""))</f>
        <v/>
      </c>
      <c r="T1186" s="26">
        <f>IF(S1186="","","Sim")</f>
        <v/>
      </c>
      <c r="U1186" s="41">
        <f>IF(T1186="Sim",S1186+ROW()/100000,0)</f>
        <v>0</v>
      </c>
      <c r="V1186" s="41">
        <f>IF(AND(H1186="Falta",L1186=Config!$B$7,M1186=Config!$B$5,COUNTIFS($E$5:E1186,E1186,$H$5:H1186,"Falta",$L$5:L1186,Config!$B$7,$M$5:M1186,Config!$B$5)=1),COUNTIFS($E$5:$E$1204,E1186,$H$5:$H$1204,"Falta",$L$5:$L$1204,Config!$B$7,$M$5:$M$1204,Config!$B$5)*1000-ROW()/100000,0)</f>
        <v>0</v>
      </c>
    </row>
    <row r="1187">
      <c r="A1187" s="39" t="n"/>
      <c r="B1187" s="40" t="n"/>
      <c r="C1187" s="35" t="n"/>
      <c r="D1187" s="35" t="n"/>
      <c r="E1187" s="34" t="n"/>
      <c r="F1187" s="35" t="n"/>
      <c r="G1187" s="35" t="n"/>
      <c r="H1187" s="35" t="n"/>
      <c r="I1187" s="35" t="n"/>
      <c r="J1187" s="35" t="n"/>
      <c r="K1187" s="34" t="n"/>
      <c r="L1187" s="26">
        <f>IF(A1187="","",MONTH(A1187))</f>
        <v/>
      </c>
      <c r="M1187" s="26">
        <f>IF(A1187="","",YEAR(A1187))</f>
        <v/>
      </c>
      <c r="N1187" s="26">
        <f>IF(A1187="","",CHOOSE(WEEKDAY(A1187,2),"Segunda","Terça","Quarta","Quinta","Sexta","Sábado","Domingo"))</f>
        <v/>
      </c>
      <c r="O1187" s="26">
        <f>IF(B1187="","",IF(B1187&lt;TIME(12,0,0),"Manhã",IF(B1187&lt;TIME(18,0,0),"Tarde","Noite")))</f>
        <v/>
      </c>
      <c r="P1187" s="32">
        <f>IF(G1187="","",IFERROR(INDEX(Config!$I$5:$I$16,MATCH(G1187,Config!$H$5:$H$16,0)),0))</f>
        <v/>
      </c>
      <c r="Q1187" s="30">
        <f>IF(OR(H1187&lt;&gt;"Realizado",P1187="",P1187=0),"",A1187+P1187)</f>
        <v/>
      </c>
      <c r="R1187" s="26">
        <f>IF(Q1187="","",IF(COUNTIFS($E$5:$E$1204,E1187,$A$5:$A$1204,"&gt;"&amp;A1187,$H$5:$H$1204,"&lt;&gt;Falta",$H$5:$H$1204,"&lt;&gt;Cancelado",$H$5:$H$1204,"&lt;&gt;Remarcado")&gt;0,"Sim","Não"))</f>
        <v/>
      </c>
      <c r="S1187" s="32">
        <f>IF(R1187&lt;&gt;"Não","",IF(Q1187+Config!$B$9&lt;=Config!$B$8,Config!$B$8-Q1187,""))</f>
        <v/>
      </c>
      <c r="T1187" s="26">
        <f>IF(S1187="","","Sim")</f>
        <v/>
      </c>
      <c r="U1187" s="41">
        <f>IF(T1187="Sim",S1187+ROW()/100000,0)</f>
        <v>0</v>
      </c>
      <c r="V1187" s="41">
        <f>IF(AND(H1187="Falta",L1187=Config!$B$7,M1187=Config!$B$5,COUNTIFS($E$5:E1187,E1187,$H$5:H1187,"Falta",$L$5:L1187,Config!$B$7,$M$5:M1187,Config!$B$5)=1),COUNTIFS($E$5:$E$1204,E1187,$H$5:$H$1204,"Falta",$L$5:$L$1204,Config!$B$7,$M$5:$M$1204,Config!$B$5)*1000-ROW()/100000,0)</f>
        <v>0</v>
      </c>
    </row>
    <row r="1188">
      <c r="A1188" s="39" t="n"/>
      <c r="B1188" s="40" t="n"/>
      <c r="C1188" s="35" t="n"/>
      <c r="D1188" s="35" t="n"/>
      <c r="E1188" s="34" t="n"/>
      <c r="F1188" s="35" t="n"/>
      <c r="G1188" s="35" t="n"/>
      <c r="H1188" s="35" t="n"/>
      <c r="I1188" s="35" t="n"/>
      <c r="J1188" s="35" t="n"/>
      <c r="K1188" s="34" t="n"/>
      <c r="L1188" s="26">
        <f>IF(A1188="","",MONTH(A1188))</f>
        <v/>
      </c>
      <c r="M1188" s="26">
        <f>IF(A1188="","",YEAR(A1188))</f>
        <v/>
      </c>
      <c r="N1188" s="26">
        <f>IF(A1188="","",CHOOSE(WEEKDAY(A1188,2),"Segunda","Terça","Quarta","Quinta","Sexta","Sábado","Domingo"))</f>
        <v/>
      </c>
      <c r="O1188" s="26">
        <f>IF(B1188="","",IF(B1188&lt;TIME(12,0,0),"Manhã",IF(B1188&lt;TIME(18,0,0),"Tarde","Noite")))</f>
        <v/>
      </c>
      <c r="P1188" s="32">
        <f>IF(G1188="","",IFERROR(INDEX(Config!$I$5:$I$16,MATCH(G1188,Config!$H$5:$H$16,0)),0))</f>
        <v/>
      </c>
      <c r="Q1188" s="30">
        <f>IF(OR(H1188&lt;&gt;"Realizado",P1188="",P1188=0),"",A1188+P1188)</f>
        <v/>
      </c>
      <c r="R1188" s="26">
        <f>IF(Q1188="","",IF(COUNTIFS($E$5:$E$1204,E1188,$A$5:$A$1204,"&gt;"&amp;A1188,$H$5:$H$1204,"&lt;&gt;Falta",$H$5:$H$1204,"&lt;&gt;Cancelado",$H$5:$H$1204,"&lt;&gt;Remarcado")&gt;0,"Sim","Não"))</f>
        <v/>
      </c>
      <c r="S1188" s="32">
        <f>IF(R1188&lt;&gt;"Não","",IF(Q1188+Config!$B$9&lt;=Config!$B$8,Config!$B$8-Q1188,""))</f>
        <v/>
      </c>
      <c r="T1188" s="26">
        <f>IF(S1188="","","Sim")</f>
        <v/>
      </c>
      <c r="U1188" s="41">
        <f>IF(T1188="Sim",S1188+ROW()/100000,0)</f>
        <v>0</v>
      </c>
      <c r="V1188" s="41">
        <f>IF(AND(H1188="Falta",L1188=Config!$B$7,M1188=Config!$B$5,COUNTIFS($E$5:E1188,E1188,$H$5:H1188,"Falta",$L$5:L1188,Config!$B$7,$M$5:M1188,Config!$B$5)=1),COUNTIFS($E$5:$E$1204,E1188,$H$5:$H$1204,"Falta",$L$5:$L$1204,Config!$B$7,$M$5:$M$1204,Config!$B$5)*1000-ROW()/100000,0)</f>
        <v>0</v>
      </c>
    </row>
    <row r="1189">
      <c r="A1189" s="39" t="n"/>
      <c r="B1189" s="40" t="n"/>
      <c r="C1189" s="35" t="n"/>
      <c r="D1189" s="35" t="n"/>
      <c r="E1189" s="34" t="n"/>
      <c r="F1189" s="35" t="n"/>
      <c r="G1189" s="35" t="n"/>
      <c r="H1189" s="35" t="n"/>
      <c r="I1189" s="35" t="n"/>
      <c r="J1189" s="35" t="n"/>
      <c r="K1189" s="34" t="n"/>
      <c r="L1189" s="26">
        <f>IF(A1189="","",MONTH(A1189))</f>
        <v/>
      </c>
      <c r="M1189" s="26">
        <f>IF(A1189="","",YEAR(A1189))</f>
        <v/>
      </c>
      <c r="N1189" s="26">
        <f>IF(A1189="","",CHOOSE(WEEKDAY(A1189,2),"Segunda","Terça","Quarta","Quinta","Sexta","Sábado","Domingo"))</f>
        <v/>
      </c>
      <c r="O1189" s="26">
        <f>IF(B1189="","",IF(B1189&lt;TIME(12,0,0),"Manhã",IF(B1189&lt;TIME(18,0,0),"Tarde","Noite")))</f>
        <v/>
      </c>
      <c r="P1189" s="32">
        <f>IF(G1189="","",IFERROR(INDEX(Config!$I$5:$I$16,MATCH(G1189,Config!$H$5:$H$16,0)),0))</f>
        <v/>
      </c>
      <c r="Q1189" s="30">
        <f>IF(OR(H1189&lt;&gt;"Realizado",P1189="",P1189=0),"",A1189+P1189)</f>
        <v/>
      </c>
      <c r="R1189" s="26">
        <f>IF(Q1189="","",IF(COUNTIFS($E$5:$E$1204,E1189,$A$5:$A$1204,"&gt;"&amp;A1189,$H$5:$H$1204,"&lt;&gt;Falta",$H$5:$H$1204,"&lt;&gt;Cancelado",$H$5:$H$1204,"&lt;&gt;Remarcado")&gt;0,"Sim","Não"))</f>
        <v/>
      </c>
      <c r="S1189" s="32">
        <f>IF(R1189&lt;&gt;"Não","",IF(Q1189+Config!$B$9&lt;=Config!$B$8,Config!$B$8-Q1189,""))</f>
        <v/>
      </c>
      <c r="T1189" s="26">
        <f>IF(S1189="","","Sim")</f>
        <v/>
      </c>
      <c r="U1189" s="41">
        <f>IF(T1189="Sim",S1189+ROW()/100000,0)</f>
        <v>0</v>
      </c>
      <c r="V1189" s="41">
        <f>IF(AND(H1189="Falta",L1189=Config!$B$7,M1189=Config!$B$5,COUNTIFS($E$5:E1189,E1189,$H$5:H1189,"Falta",$L$5:L1189,Config!$B$7,$M$5:M1189,Config!$B$5)=1),COUNTIFS($E$5:$E$1204,E1189,$H$5:$H$1204,"Falta",$L$5:$L$1204,Config!$B$7,$M$5:$M$1204,Config!$B$5)*1000-ROW()/100000,0)</f>
        <v>0</v>
      </c>
    </row>
    <row r="1190">
      <c r="A1190" s="39" t="n"/>
      <c r="B1190" s="40" t="n"/>
      <c r="C1190" s="35" t="n"/>
      <c r="D1190" s="35" t="n"/>
      <c r="E1190" s="34" t="n"/>
      <c r="F1190" s="35" t="n"/>
      <c r="G1190" s="35" t="n"/>
      <c r="H1190" s="35" t="n"/>
      <c r="I1190" s="35" t="n"/>
      <c r="J1190" s="35" t="n"/>
      <c r="K1190" s="34" t="n"/>
      <c r="L1190" s="26">
        <f>IF(A1190="","",MONTH(A1190))</f>
        <v/>
      </c>
      <c r="M1190" s="26">
        <f>IF(A1190="","",YEAR(A1190))</f>
        <v/>
      </c>
      <c r="N1190" s="26">
        <f>IF(A1190="","",CHOOSE(WEEKDAY(A1190,2),"Segunda","Terça","Quarta","Quinta","Sexta","Sábado","Domingo"))</f>
        <v/>
      </c>
      <c r="O1190" s="26">
        <f>IF(B1190="","",IF(B1190&lt;TIME(12,0,0),"Manhã",IF(B1190&lt;TIME(18,0,0),"Tarde","Noite")))</f>
        <v/>
      </c>
      <c r="P1190" s="32">
        <f>IF(G1190="","",IFERROR(INDEX(Config!$I$5:$I$16,MATCH(G1190,Config!$H$5:$H$16,0)),0))</f>
        <v/>
      </c>
      <c r="Q1190" s="30">
        <f>IF(OR(H1190&lt;&gt;"Realizado",P1190="",P1190=0),"",A1190+P1190)</f>
        <v/>
      </c>
      <c r="R1190" s="26">
        <f>IF(Q1190="","",IF(COUNTIFS($E$5:$E$1204,E1190,$A$5:$A$1204,"&gt;"&amp;A1190,$H$5:$H$1204,"&lt;&gt;Falta",$H$5:$H$1204,"&lt;&gt;Cancelado",$H$5:$H$1204,"&lt;&gt;Remarcado")&gt;0,"Sim","Não"))</f>
        <v/>
      </c>
      <c r="S1190" s="32">
        <f>IF(R1190&lt;&gt;"Não","",IF(Q1190+Config!$B$9&lt;=Config!$B$8,Config!$B$8-Q1190,""))</f>
        <v/>
      </c>
      <c r="T1190" s="26">
        <f>IF(S1190="","","Sim")</f>
        <v/>
      </c>
      <c r="U1190" s="41">
        <f>IF(T1190="Sim",S1190+ROW()/100000,0)</f>
        <v>0</v>
      </c>
      <c r="V1190" s="41">
        <f>IF(AND(H1190="Falta",L1190=Config!$B$7,M1190=Config!$B$5,COUNTIFS($E$5:E1190,E1190,$H$5:H1190,"Falta",$L$5:L1190,Config!$B$7,$M$5:M1190,Config!$B$5)=1),COUNTIFS($E$5:$E$1204,E1190,$H$5:$H$1204,"Falta",$L$5:$L$1204,Config!$B$7,$M$5:$M$1204,Config!$B$5)*1000-ROW()/100000,0)</f>
        <v>0</v>
      </c>
    </row>
    <row r="1191">
      <c r="A1191" s="39" t="n"/>
      <c r="B1191" s="40" t="n"/>
      <c r="C1191" s="35" t="n"/>
      <c r="D1191" s="35" t="n"/>
      <c r="E1191" s="34" t="n"/>
      <c r="F1191" s="35" t="n"/>
      <c r="G1191" s="35" t="n"/>
      <c r="H1191" s="35" t="n"/>
      <c r="I1191" s="35" t="n"/>
      <c r="J1191" s="35" t="n"/>
      <c r="K1191" s="34" t="n"/>
      <c r="L1191" s="26">
        <f>IF(A1191="","",MONTH(A1191))</f>
        <v/>
      </c>
      <c r="M1191" s="26">
        <f>IF(A1191="","",YEAR(A1191))</f>
        <v/>
      </c>
      <c r="N1191" s="26">
        <f>IF(A1191="","",CHOOSE(WEEKDAY(A1191,2),"Segunda","Terça","Quarta","Quinta","Sexta","Sábado","Domingo"))</f>
        <v/>
      </c>
      <c r="O1191" s="26">
        <f>IF(B1191="","",IF(B1191&lt;TIME(12,0,0),"Manhã",IF(B1191&lt;TIME(18,0,0),"Tarde","Noite")))</f>
        <v/>
      </c>
      <c r="P1191" s="32">
        <f>IF(G1191="","",IFERROR(INDEX(Config!$I$5:$I$16,MATCH(G1191,Config!$H$5:$H$16,0)),0))</f>
        <v/>
      </c>
      <c r="Q1191" s="30">
        <f>IF(OR(H1191&lt;&gt;"Realizado",P1191="",P1191=0),"",A1191+P1191)</f>
        <v/>
      </c>
      <c r="R1191" s="26">
        <f>IF(Q1191="","",IF(COUNTIFS($E$5:$E$1204,E1191,$A$5:$A$1204,"&gt;"&amp;A1191,$H$5:$H$1204,"&lt;&gt;Falta",$H$5:$H$1204,"&lt;&gt;Cancelado",$H$5:$H$1204,"&lt;&gt;Remarcado")&gt;0,"Sim","Não"))</f>
        <v/>
      </c>
      <c r="S1191" s="32">
        <f>IF(R1191&lt;&gt;"Não","",IF(Q1191+Config!$B$9&lt;=Config!$B$8,Config!$B$8-Q1191,""))</f>
        <v/>
      </c>
      <c r="T1191" s="26">
        <f>IF(S1191="","","Sim")</f>
        <v/>
      </c>
      <c r="U1191" s="41">
        <f>IF(T1191="Sim",S1191+ROW()/100000,0)</f>
        <v>0</v>
      </c>
      <c r="V1191" s="41">
        <f>IF(AND(H1191="Falta",L1191=Config!$B$7,M1191=Config!$B$5,COUNTIFS($E$5:E1191,E1191,$H$5:H1191,"Falta",$L$5:L1191,Config!$B$7,$M$5:M1191,Config!$B$5)=1),COUNTIFS($E$5:$E$1204,E1191,$H$5:$H$1204,"Falta",$L$5:$L$1204,Config!$B$7,$M$5:$M$1204,Config!$B$5)*1000-ROW()/100000,0)</f>
        <v>0</v>
      </c>
    </row>
    <row r="1192">
      <c r="A1192" s="39" t="n"/>
      <c r="B1192" s="40" t="n"/>
      <c r="C1192" s="35" t="n"/>
      <c r="D1192" s="35" t="n"/>
      <c r="E1192" s="34" t="n"/>
      <c r="F1192" s="35" t="n"/>
      <c r="G1192" s="35" t="n"/>
      <c r="H1192" s="35" t="n"/>
      <c r="I1192" s="35" t="n"/>
      <c r="J1192" s="35" t="n"/>
      <c r="K1192" s="34" t="n"/>
      <c r="L1192" s="26">
        <f>IF(A1192="","",MONTH(A1192))</f>
        <v/>
      </c>
      <c r="M1192" s="26">
        <f>IF(A1192="","",YEAR(A1192))</f>
        <v/>
      </c>
      <c r="N1192" s="26">
        <f>IF(A1192="","",CHOOSE(WEEKDAY(A1192,2),"Segunda","Terça","Quarta","Quinta","Sexta","Sábado","Domingo"))</f>
        <v/>
      </c>
      <c r="O1192" s="26">
        <f>IF(B1192="","",IF(B1192&lt;TIME(12,0,0),"Manhã",IF(B1192&lt;TIME(18,0,0),"Tarde","Noite")))</f>
        <v/>
      </c>
      <c r="P1192" s="32">
        <f>IF(G1192="","",IFERROR(INDEX(Config!$I$5:$I$16,MATCH(G1192,Config!$H$5:$H$16,0)),0))</f>
        <v/>
      </c>
      <c r="Q1192" s="30">
        <f>IF(OR(H1192&lt;&gt;"Realizado",P1192="",P1192=0),"",A1192+P1192)</f>
        <v/>
      </c>
      <c r="R1192" s="26">
        <f>IF(Q1192="","",IF(COUNTIFS($E$5:$E$1204,E1192,$A$5:$A$1204,"&gt;"&amp;A1192,$H$5:$H$1204,"&lt;&gt;Falta",$H$5:$H$1204,"&lt;&gt;Cancelado",$H$5:$H$1204,"&lt;&gt;Remarcado")&gt;0,"Sim","Não"))</f>
        <v/>
      </c>
      <c r="S1192" s="32">
        <f>IF(R1192&lt;&gt;"Não","",IF(Q1192+Config!$B$9&lt;=Config!$B$8,Config!$B$8-Q1192,""))</f>
        <v/>
      </c>
      <c r="T1192" s="26">
        <f>IF(S1192="","","Sim")</f>
        <v/>
      </c>
      <c r="U1192" s="41">
        <f>IF(T1192="Sim",S1192+ROW()/100000,0)</f>
        <v>0</v>
      </c>
      <c r="V1192" s="41">
        <f>IF(AND(H1192="Falta",L1192=Config!$B$7,M1192=Config!$B$5,COUNTIFS($E$5:E1192,E1192,$H$5:H1192,"Falta",$L$5:L1192,Config!$B$7,$M$5:M1192,Config!$B$5)=1),COUNTIFS($E$5:$E$1204,E1192,$H$5:$H$1204,"Falta",$L$5:$L$1204,Config!$B$7,$M$5:$M$1204,Config!$B$5)*1000-ROW()/100000,0)</f>
        <v>0</v>
      </c>
    </row>
    <row r="1193">
      <c r="A1193" s="39" t="n"/>
      <c r="B1193" s="40" t="n"/>
      <c r="C1193" s="35" t="n"/>
      <c r="D1193" s="35" t="n"/>
      <c r="E1193" s="34" t="n"/>
      <c r="F1193" s="35" t="n"/>
      <c r="G1193" s="35" t="n"/>
      <c r="H1193" s="35" t="n"/>
      <c r="I1193" s="35" t="n"/>
      <c r="J1193" s="35" t="n"/>
      <c r="K1193" s="34" t="n"/>
      <c r="L1193" s="26">
        <f>IF(A1193="","",MONTH(A1193))</f>
        <v/>
      </c>
      <c r="M1193" s="26">
        <f>IF(A1193="","",YEAR(A1193))</f>
        <v/>
      </c>
      <c r="N1193" s="26">
        <f>IF(A1193="","",CHOOSE(WEEKDAY(A1193,2),"Segunda","Terça","Quarta","Quinta","Sexta","Sábado","Domingo"))</f>
        <v/>
      </c>
      <c r="O1193" s="26">
        <f>IF(B1193="","",IF(B1193&lt;TIME(12,0,0),"Manhã",IF(B1193&lt;TIME(18,0,0),"Tarde","Noite")))</f>
        <v/>
      </c>
      <c r="P1193" s="32">
        <f>IF(G1193="","",IFERROR(INDEX(Config!$I$5:$I$16,MATCH(G1193,Config!$H$5:$H$16,0)),0))</f>
        <v/>
      </c>
      <c r="Q1193" s="30">
        <f>IF(OR(H1193&lt;&gt;"Realizado",P1193="",P1193=0),"",A1193+P1193)</f>
        <v/>
      </c>
      <c r="R1193" s="26">
        <f>IF(Q1193="","",IF(COUNTIFS($E$5:$E$1204,E1193,$A$5:$A$1204,"&gt;"&amp;A1193,$H$5:$H$1204,"&lt;&gt;Falta",$H$5:$H$1204,"&lt;&gt;Cancelado",$H$5:$H$1204,"&lt;&gt;Remarcado")&gt;0,"Sim","Não"))</f>
        <v/>
      </c>
      <c r="S1193" s="32">
        <f>IF(R1193&lt;&gt;"Não","",IF(Q1193+Config!$B$9&lt;=Config!$B$8,Config!$B$8-Q1193,""))</f>
        <v/>
      </c>
      <c r="T1193" s="26">
        <f>IF(S1193="","","Sim")</f>
        <v/>
      </c>
      <c r="U1193" s="41">
        <f>IF(T1193="Sim",S1193+ROW()/100000,0)</f>
        <v>0</v>
      </c>
      <c r="V1193" s="41">
        <f>IF(AND(H1193="Falta",L1193=Config!$B$7,M1193=Config!$B$5,COUNTIFS($E$5:E1193,E1193,$H$5:H1193,"Falta",$L$5:L1193,Config!$B$7,$M$5:M1193,Config!$B$5)=1),COUNTIFS($E$5:$E$1204,E1193,$H$5:$H$1204,"Falta",$L$5:$L$1204,Config!$B$7,$M$5:$M$1204,Config!$B$5)*1000-ROW()/100000,0)</f>
        <v>0</v>
      </c>
    </row>
    <row r="1194">
      <c r="A1194" s="39" t="n"/>
      <c r="B1194" s="40" t="n"/>
      <c r="C1194" s="35" t="n"/>
      <c r="D1194" s="35" t="n"/>
      <c r="E1194" s="34" t="n"/>
      <c r="F1194" s="35" t="n"/>
      <c r="G1194" s="35" t="n"/>
      <c r="H1194" s="35" t="n"/>
      <c r="I1194" s="35" t="n"/>
      <c r="J1194" s="35" t="n"/>
      <c r="K1194" s="34" t="n"/>
      <c r="L1194" s="26">
        <f>IF(A1194="","",MONTH(A1194))</f>
        <v/>
      </c>
      <c r="M1194" s="26">
        <f>IF(A1194="","",YEAR(A1194))</f>
        <v/>
      </c>
      <c r="N1194" s="26">
        <f>IF(A1194="","",CHOOSE(WEEKDAY(A1194,2),"Segunda","Terça","Quarta","Quinta","Sexta","Sábado","Domingo"))</f>
        <v/>
      </c>
      <c r="O1194" s="26">
        <f>IF(B1194="","",IF(B1194&lt;TIME(12,0,0),"Manhã",IF(B1194&lt;TIME(18,0,0),"Tarde","Noite")))</f>
        <v/>
      </c>
      <c r="P1194" s="32">
        <f>IF(G1194="","",IFERROR(INDEX(Config!$I$5:$I$16,MATCH(G1194,Config!$H$5:$H$16,0)),0))</f>
        <v/>
      </c>
      <c r="Q1194" s="30">
        <f>IF(OR(H1194&lt;&gt;"Realizado",P1194="",P1194=0),"",A1194+P1194)</f>
        <v/>
      </c>
      <c r="R1194" s="26">
        <f>IF(Q1194="","",IF(COUNTIFS($E$5:$E$1204,E1194,$A$5:$A$1204,"&gt;"&amp;A1194,$H$5:$H$1204,"&lt;&gt;Falta",$H$5:$H$1204,"&lt;&gt;Cancelado",$H$5:$H$1204,"&lt;&gt;Remarcado")&gt;0,"Sim","Não"))</f>
        <v/>
      </c>
      <c r="S1194" s="32">
        <f>IF(R1194&lt;&gt;"Não","",IF(Q1194+Config!$B$9&lt;=Config!$B$8,Config!$B$8-Q1194,""))</f>
        <v/>
      </c>
      <c r="T1194" s="26">
        <f>IF(S1194="","","Sim")</f>
        <v/>
      </c>
      <c r="U1194" s="41">
        <f>IF(T1194="Sim",S1194+ROW()/100000,0)</f>
        <v>0</v>
      </c>
      <c r="V1194" s="41">
        <f>IF(AND(H1194="Falta",L1194=Config!$B$7,M1194=Config!$B$5,COUNTIFS($E$5:E1194,E1194,$H$5:H1194,"Falta",$L$5:L1194,Config!$B$7,$M$5:M1194,Config!$B$5)=1),COUNTIFS($E$5:$E$1204,E1194,$H$5:$H$1204,"Falta",$L$5:$L$1204,Config!$B$7,$M$5:$M$1204,Config!$B$5)*1000-ROW()/100000,0)</f>
        <v>0</v>
      </c>
    </row>
    <row r="1195">
      <c r="A1195" s="39" t="n"/>
      <c r="B1195" s="40" t="n"/>
      <c r="C1195" s="35" t="n"/>
      <c r="D1195" s="35" t="n"/>
      <c r="E1195" s="34" t="n"/>
      <c r="F1195" s="35" t="n"/>
      <c r="G1195" s="35" t="n"/>
      <c r="H1195" s="35" t="n"/>
      <c r="I1195" s="35" t="n"/>
      <c r="J1195" s="35" t="n"/>
      <c r="K1195" s="34" t="n"/>
      <c r="L1195" s="26">
        <f>IF(A1195="","",MONTH(A1195))</f>
        <v/>
      </c>
      <c r="M1195" s="26">
        <f>IF(A1195="","",YEAR(A1195))</f>
        <v/>
      </c>
      <c r="N1195" s="26">
        <f>IF(A1195="","",CHOOSE(WEEKDAY(A1195,2),"Segunda","Terça","Quarta","Quinta","Sexta","Sábado","Domingo"))</f>
        <v/>
      </c>
      <c r="O1195" s="26">
        <f>IF(B1195="","",IF(B1195&lt;TIME(12,0,0),"Manhã",IF(B1195&lt;TIME(18,0,0),"Tarde","Noite")))</f>
        <v/>
      </c>
      <c r="P1195" s="32">
        <f>IF(G1195="","",IFERROR(INDEX(Config!$I$5:$I$16,MATCH(G1195,Config!$H$5:$H$16,0)),0))</f>
        <v/>
      </c>
      <c r="Q1195" s="30">
        <f>IF(OR(H1195&lt;&gt;"Realizado",P1195="",P1195=0),"",A1195+P1195)</f>
        <v/>
      </c>
      <c r="R1195" s="26">
        <f>IF(Q1195="","",IF(COUNTIFS($E$5:$E$1204,E1195,$A$5:$A$1204,"&gt;"&amp;A1195,$H$5:$H$1204,"&lt;&gt;Falta",$H$5:$H$1204,"&lt;&gt;Cancelado",$H$5:$H$1204,"&lt;&gt;Remarcado")&gt;0,"Sim","Não"))</f>
        <v/>
      </c>
      <c r="S1195" s="32">
        <f>IF(R1195&lt;&gt;"Não","",IF(Q1195+Config!$B$9&lt;=Config!$B$8,Config!$B$8-Q1195,""))</f>
        <v/>
      </c>
      <c r="T1195" s="26">
        <f>IF(S1195="","","Sim")</f>
        <v/>
      </c>
      <c r="U1195" s="41">
        <f>IF(T1195="Sim",S1195+ROW()/100000,0)</f>
        <v>0</v>
      </c>
      <c r="V1195" s="41">
        <f>IF(AND(H1195="Falta",L1195=Config!$B$7,M1195=Config!$B$5,COUNTIFS($E$5:E1195,E1195,$H$5:H1195,"Falta",$L$5:L1195,Config!$B$7,$M$5:M1195,Config!$B$5)=1),COUNTIFS($E$5:$E$1204,E1195,$H$5:$H$1204,"Falta",$L$5:$L$1204,Config!$B$7,$M$5:$M$1204,Config!$B$5)*1000-ROW()/100000,0)</f>
        <v>0</v>
      </c>
    </row>
    <row r="1196">
      <c r="A1196" s="39" t="n"/>
      <c r="B1196" s="40" t="n"/>
      <c r="C1196" s="35" t="n"/>
      <c r="D1196" s="35" t="n"/>
      <c r="E1196" s="34" t="n"/>
      <c r="F1196" s="35" t="n"/>
      <c r="G1196" s="35" t="n"/>
      <c r="H1196" s="35" t="n"/>
      <c r="I1196" s="35" t="n"/>
      <c r="J1196" s="35" t="n"/>
      <c r="K1196" s="34" t="n"/>
      <c r="L1196" s="26">
        <f>IF(A1196="","",MONTH(A1196))</f>
        <v/>
      </c>
      <c r="M1196" s="26">
        <f>IF(A1196="","",YEAR(A1196))</f>
        <v/>
      </c>
      <c r="N1196" s="26">
        <f>IF(A1196="","",CHOOSE(WEEKDAY(A1196,2),"Segunda","Terça","Quarta","Quinta","Sexta","Sábado","Domingo"))</f>
        <v/>
      </c>
      <c r="O1196" s="26">
        <f>IF(B1196="","",IF(B1196&lt;TIME(12,0,0),"Manhã",IF(B1196&lt;TIME(18,0,0),"Tarde","Noite")))</f>
        <v/>
      </c>
      <c r="P1196" s="32">
        <f>IF(G1196="","",IFERROR(INDEX(Config!$I$5:$I$16,MATCH(G1196,Config!$H$5:$H$16,0)),0))</f>
        <v/>
      </c>
      <c r="Q1196" s="30">
        <f>IF(OR(H1196&lt;&gt;"Realizado",P1196="",P1196=0),"",A1196+P1196)</f>
        <v/>
      </c>
      <c r="R1196" s="26">
        <f>IF(Q1196="","",IF(COUNTIFS($E$5:$E$1204,E1196,$A$5:$A$1204,"&gt;"&amp;A1196,$H$5:$H$1204,"&lt;&gt;Falta",$H$5:$H$1204,"&lt;&gt;Cancelado",$H$5:$H$1204,"&lt;&gt;Remarcado")&gt;0,"Sim","Não"))</f>
        <v/>
      </c>
      <c r="S1196" s="32">
        <f>IF(R1196&lt;&gt;"Não","",IF(Q1196+Config!$B$9&lt;=Config!$B$8,Config!$B$8-Q1196,""))</f>
        <v/>
      </c>
      <c r="T1196" s="26">
        <f>IF(S1196="","","Sim")</f>
        <v/>
      </c>
      <c r="U1196" s="41">
        <f>IF(T1196="Sim",S1196+ROW()/100000,0)</f>
        <v>0</v>
      </c>
      <c r="V1196" s="41">
        <f>IF(AND(H1196="Falta",L1196=Config!$B$7,M1196=Config!$B$5,COUNTIFS($E$5:E1196,E1196,$H$5:H1196,"Falta",$L$5:L1196,Config!$B$7,$M$5:M1196,Config!$B$5)=1),COUNTIFS($E$5:$E$1204,E1196,$H$5:$H$1204,"Falta",$L$5:$L$1204,Config!$B$7,$M$5:$M$1204,Config!$B$5)*1000-ROW()/100000,0)</f>
        <v>0</v>
      </c>
    </row>
    <row r="1197">
      <c r="A1197" s="39" t="n"/>
      <c r="B1197" s="40" t="n"/>
      <c r="C1197" s="35" t="n"/>
      <c r="D1197" s="35" t="n"/>
      <c r="E1197" s="34" t="n"/>
      <c r="F1197" s="35" t="n"/>
      <c r="G1197" s="35" t="n"/>
      <c r="H1197" s="35" t="n"/>
      <c r="I1197" s="35" t="n"/>
      <c r="J1197" s="35" t="n"/>
      <c r="K1197" s="34" t="n"/>
      <c r="L1197" s="26">
        <f>IF(A1197="","",MONTH(A1197))</f>
        <v/>
      </c>
      <c r="M1197" s="26">
        <f>IF(A1197="","",YEAR(A1197))</f>
        <v/>
      </c>
      <c r="N1197" s="26">
        <f>IF(A1197="","",CHOOSE(WEEKDAY(A1197,2),"Segunda","Terça","Quarta","Quinta","Sexta","Sábado","Domingo"))</f>
        <v/>
      </c>
      <c r="O1197" s="26">
        <f>IF(B1197="","",IF(B1197&lt;TIME(12,0,0),"Manhã",IF(B1197&lt;TIME(18,0,0),"Tarde","Noite")))</f>
        <v/>
      </c>
      <c r="P1197" s="32">
        <f>IF(G1197="","",IFERROR(INDEX(Config!$I$5:$I$16,MATCH(G1197,Config!$H$5:$H$16,0)),0))</f>
        <v/>
      </c>
      <c r="Q1197" s="30">
        <f>IF(OR(H1197&lt;&gt;"Realizado",P1197="",P1197=0),"",A1197+P1197)</f>
        <v/>
      </c>
      <c r="R1197" s="26">
        <f>IF(Q1197="","",IF(COUNTIFS($E$5:$E$1204,E1197,$A$5:$A$1204,"&gt;"&amp;A1197,$H$5:$H$1204,"&lt;&gt;Falta",$H$5:$H$1204,"&lt;&gt;Cancelado",$H$5:$H$1204,"&lt;&gt;Remarcado")&gt;0,"Sim","Não"))</f>
        <v/>
      </c>
      <c r="S1197" s="32">
        <f>IF(R1197&lt;&gt;"Não","",IF(Q1197+Config!$B$9&lt;=Config!$B$8,Config!$B$8-Q1197,""))</f>
        <v/>
      </c>
      <c r="T1197" s="26">
        <f>IF(S1197="","","Sim")</f>
        <v/>
      </c>
      <c r="U1197" s="41">
        <f>IF(T1197="Sim",S1197+ROW()/100000,0)</f>
        <v>0</v>
      </c>
      <c r="V1197" s="41">
        <f>IF(AND(H1197="Falta",L1197=Config!$B$7,M1197=Config!$B$5,COUNTIFS($E$5:E1197,E1197,$H$5:H1197,"Falta",$L$5:L1197,Config!$B$7,$M$5:M1197,Config!$B$5)=1),COUNTIFS($E$5:$E$1204,E1197,$H$5:$H$1204,"Falta",$L$5:$L$1204,Config!$B$7,$M$5:$M$1204,Config!$B$5)*1000-ROW()/100000,0)</f>
        <v>0</v>
      </c>
    </row>
    <row r="1198">
      <c r="A1198" s="39" t="n"/>
      <c r="B1198" s="40" t="n"/>
      <c r="C1198" s="35" t="n"/>
      <c r="D1198" s="35" t="n"/>
      <c r="E1198" s="34" t="n"/>
      <c r="F1198" s="35" t="n"/>
      <c r="G1198" s="35" t="n"/>
      <c r="H1198" s="35" t="n"/>
      <c r="I1198" s="35" t="n"/>
      <c r="J1198" s="35" t="n"/>
      <c r="K1198" s="34" t="n"/>
      <c r="L1198" s="26">
        <f>IF(A1198="","",MONTH(A1198))</f>
        <v/>
      </c>
      <c r="M1198" s="26">
        <f>IF(A1198="","",YEAR(A1198))</f>
        <v/>
      </c>
      <c r="N1198" s="26">
        <f>IF(A1198="","",CHOOSE(WEEKDAY(A1198,2),"Segunda","Terça","Quarta","Quinta","Sexta","Sábado","Domingo"))</f>
        <v/>
      </c>
      <c r="O1198" s="26">
        <f>IF(B1198="","",IF(B1198&lt;TIME(12,0,0),"Manhã",IF(B1198&lt;TIME(18,0,0),"Tarde","Noite")))</f>
        <v/>
      </c>
      <c r="P1198" s="32">
        <f>IF(G1198="","",IFERROR(INDEX(Config!$I$5:$I$16,MATCH(G1198,Config!$H$5:$H$16,0)),0))</f>
        <v/>
      </c>
      <c r="Q1198" s="30">
        <f>IF(OR(H1198&lt;&gt;"Realizado",P1198="",P1198=0),"",A1198+P1198)</f>
        <v/>
      </c>
      <c r="R1198" s="26">
        <f>IF(Q1198="","",IF(COUNTIFS($E$5:$E$1204,E1198,$A$5:$A$1204,"&gt;"&amp;A1198,$H$5:$H$1204,"&lt;&gt;Falta",$H$5:$H$1204,"&lt;&gt;Cancelado",$H$5:$H$1204,"&lt;&gt;Remarcado")&gt;0,"Sim","Não"))</f>
        <v/>
      </c>
      <c r="S1198" s="32">
        <f>IF(R1198&lt;&gt;"Não","",IF(Q1198+Config!$B$9&lt;=Config!$B$8,Config!$B$8-Q1198,""))</f>
        <v/>
      </c>
      <c r="T1198" s="26">
        <f>IF(S1198="","","Sim")</f>
        <v/>
      </c>
      <c r="U1198" s="41">
        <f>IF(T1198="Sim",S1198+ROW()/100000,0)</f>
        <v>0</v>
      </c>
      <c r="V1198" s="41">
        <f>IF(AND(H1198="Falta",L1198=Config!$B$7,M1198=Config!$B$5,COUNTIFS($E$5:E1198,E1198,$H$5:H1198,"Falta",$L$5:L1198,Config!$B$7,$M$5:M1198,Config!$B$5)=1),COUNTIFS($E$5:$E$1204,E1198,$H$5:$H$1204,"Falta",$L$5:$L$1204,Config!$B$7,$M$5:$M$1204,Config!$B$5)*1000-ROW()/100000,0)</f>
        <v>0</v>
      </c>
    </row>
    <row r="1199">
      <c r="A1199" s="39" t="n"/>
      <c r="B1199" s="40" t="n"/>
      <c r="C1199" s="35" t="n"/>
      <c r="D1199" s="35" t="n"/>
      <c r="E1199" s="34" t="n"/>
      <c r="F1199" s="35" t="n"/>
      <c r="G1199" s="35" t="n"/>
      <c r="H1199" s="35" t="n"/>
      <c r="I1199" s="35" t="n"/>
      <c r="J1199" s="35" t="n"/>
      <c r="K1199" s="34" t="n"/>
      <c r="L1199" s="26">
        <f>IF(A1199="","",MONTH(A1199))</f>
        <v/>
      </c>
      <c r="M1199" s="26">
        <f>IF(A1199="","",YEAR(A1199))</f>
        <v/>
      </c>
      <c r="N1199" s="26">
        <f>IF(A1199="","",CHOOSE(WEEKDAY(A1199,2),"Segunda","Terça","Quarta","Quinta","Sexta","Sábado","Domingo"))</f>
        <v/>
      </c>
      <c r="O1199" s="26">
        <f>IF(B1199="","",IF(B1199&lt;TIME(12,0,0),"Manhã",IF(B1199&lt;TIME(18,0,0),"Tarde","Noite")))</f>
        <v/>
      </c>
      <c r="P1199" s="32">
        <f>IF(G1199="","",IFERROR(INDEX(Config!$I$5:$I$16,MATCH(G1199,Config!$H$5:$H$16,0)),0))</f>
        <v/>
      </c>
      <c r="Q1199" s="30">
        <f>IF(OR(H1199&lt;&gt;"Realizado",P1199="",P1199=0),"",A1199+P1199)</f>
        <v/>
      </c>
      <c r="R1199" s="26">
        <f>IF(Q1199="","",IF(COUNTIFS($E$5:$E$1204,E1199,$A$5:$A$1204,"&gt;"&amp;A1199,$H$5:$H$1204,"&lt;&gt;Falta",$H$5:$H$1204,"&lt;&gt;Cancelado",$H$5:$H$1204,"&lt;&gt;Remarcado")&gt;0,"Sim","Não"))</f>
        <v/>
      </c>
      <c r="S1199" s="32">
        <f>IF(R1199&lt;&gt;"Não","",IF(Q1199+Config!$B$9&lt;=Config!$B$8,Config!$B$8-Q1199,""))</f>
        <v/>
      </c>
      <c r="T1199" s="26">
        <f>IF(S1199="","","Sim")</f>
        <v/>
      </c>
      <c r="U1199" s="41">
        <f>IF(T1199="Sim",S1199+ROW()/100000,0)</f>
        <v>0</v>
      </c>
      <c r="V1199" s="41">
        <f>IF(AND(H1199="Falta",L1199=Config!$B$7,M1199=Config!$B$5,COUNTIFS($E$5:E1199,E1199,$H$5:H1199,"Falta",$L$5:L1199,Config!$B$7,$M$5:M1199,Config!$B$5)=1),COUNTIFS($E$5:$E$1204,E1199,$H$5:$H$1204,"Falta",$L$5:$L$1204,Config!$B$7,$M$5:$M$1204,Config!$B$5)*1000-ROW()/100000,0)</f>
        <v>0</v>
      </c>
    </row>
    <row r="1200">
      <c r="A1200" s="39" t="n"/>
      <c r="B1200" s="40" t="n"/>
      <c r="C1200" s="35" t="n"/>
      <c r="D1200" s="35" t="n"/>
      <c r="E1200" s="34" t="n"/>
      <c r="F1200" s="35" t="n"/>
      <c r="G1200" s="35" t="n"/>
      <c r="H1200" s="35" t="n"/>
      <c r="I1200" s="35" t="n"/>
      <c r="J1200" s="35" t="n"/>
      <c r="K1200" s="34" t="n"/>
      <c r="L1200" s="26">
        <f>IF(A1200="","",MONTH(A1200))</f>
        <v/>
      </c>
      <c r="M1200" s="26">
        <f>IF(A1200="","",YEAR(A1200))</f>
        <v/>
      </c>
      <c r="N1200" s="26">
        <f>IF(A1200="","",CHOOSE(WEEKDAY(A1200,2),"Segunda","Terça","Quarta","Quinta","Sexta","Sábado","Domingo"))</f>
        <v/>
      </c>
      <c r="O1200" s="26">
        <f>IF(B1200="","",IF(B1200&lt;TIME(12,0,0),"Manhã",IF(B1200&lt;TIME(18,0,0),"Tarde","Noite")))</f>
        <v/>
      </c>
      <c r="P1200" s="32">
        <f>IF(G1200="","",IFERROR(INDEX(Config!$I$5:$I$16,MATCH(G1200,Config!$H$5:$H$16,0)),0))</f>
        <v/>
      </c>
      <c r="Q1200" s="30">
        <f>IF(OR(H1200&lt;&gt;"Realizado",P1200="",P1200=0),"",A1200+P1200)</f>
        <v/>
      </c>
      <c r="R1200" s="26">
        <f>IF(Q1200="","",IF(COUNTIFS($E$5:$E$1204,E1200,$A$5:$A$1204,"&gt;"&amp;A1200,$H$5:$H$1204,"&lt;&gt;Falta",$H$5:$H$1204,"&lt;&gt;Cancelado",$H$5:$H$1204,"&lt;&gt;Remarcado")&gt;0,"Sim","Não"))</f>
        <v/>
      </c>
      <c r="S1200" s="32">
        <f>IF(R1200&lt;&gt;"Não","",IF(Q1200+Config!$B$9&lt;=Config!$B$8,Config!$B$8-Q1200,""))</f>
        <v/>
      </c>
      <c r="T1200" s="26">
        <f>IF(S1200="","","Sim")</f>
        <v/>
      </c>
      <c r="U1200" s="41">
        <f>IF(T1200="Sim",S1200+ROW()/100000,0)</f>
        <v>0</v>
      </c>
      <c r="V1200" s="41">
        <f>IF(AND(H1200="Falta",L1200=Config!$B$7,M1200=Config!$B$5,COUNTIFS($E$5:E1200,E1200,$H$5:H1200,"Falta",$L$5:L1200,Config!$B$7,$M$5:M1200,Config!$B$5)=1),COUNTIFS($E$5:$E$1204,E1200,$H$5:$H$1204,"Falta",$L$5:$L$1204,Config!$B$7,$M$5:$M$1204,Config!$B$5)*1000-ROW()/100000,0)</f>
        <v>0</v>
      </c>
    </row>
    <row r="1201">
      <c r="A1201" s="39" t="n"/>
      <c r="B1201" s="40" t="n"/>
      <c r="C1201" s="35" t="n"/>
      <c r="D1201" s="35" t="n"/>
      <c r="E1201" s="34" t="n"/>
      <c r="F1201" s="35" t="n"/>
      <c r="G1201" s="35" t="n"/>
      <c r="H1201" s="35" t="n"/>
      <c r="I1201" s="35" t="n"/>
      <c r="J1201" s="35" t="n"/>
      <c r="K1201" s="34" t="n"/>
      <c r="L1201" s="26">
        <f>IF(A1201="","",MONTH(A1201))</f>
        <v/>
      </c>
      <c r="M1201" s="26">
        <f>IF(A1201="","",YEAR(A1201))</f>
        <v/>
      </c>
      <c r="N1201" s="26">
        <f>IF(A1201="","",CHOOSE(WEEKDAY(A1201,2),"Segunda","Terça","Quarta","Quinta","Sexta","Sábado","Domingo"))</f>
        <v/>
      </c>
      <c r="O1201" s="26">
        <f>IF(B1201="","",IF(B1201&lt;TIME(12,0,0),"Manhã",IF(B1201&lt;TIME(18,0,0),"Tarde","Noite")))</f>
        <v/>
      </c>
      <c r="P1201" s="32">
        <f>IF(G1201="","",IFERROR(INDEX(Config!$I$5:$I$16,MATCH(G1201,Config!$H$5:$H$16,0)),0))</f>
        <v/>
      </c>
      <c r="Q1201" s="30">
        <f>IF(OR(H1201&lt;&gt;"Realizado",P1201="",P1201=0),"",A1201+P1201)</f>
        <v/>
      </c>
      <c r="R1201" s="26">
        <f>IF(Q1201="","",IF(COUNTIFS($E$5:$E$1204,E1201,$A$5:$A$1204,"&gt;"&amp;A1201,$H$5:$H$1204,"&lt;&gt;Falta",$H$5:$H$1204,"&lt;&gt;Cancelado",$H$5:$H$1204,"&lt;&gt;Remarcado")&gt;0,"Sim","Não"))</f>
        <v/>
      </c>
      <c r="S1201" s="32">
        <f>IF(R1201&lt;&gt;"Não","",IF(Q1201+Config!$B$9&lt;=Config!$B$8,Config!$B$8-Q1201,""))</f>
        <v/>
      </c>
      <c r="T1201" s="26">
        <f>IF(S1201="","","Sim")</f>
        <v/>
      </c>
      <c r="U1201" s="41">
        <f>IF(T1201="Sim",S1201+ROW()/100000,0)</f>
        <v>0</v>
      </c>
      <c r="V1201" s="41">
        <f>IF(AND(H1201="Falta",L1201=Config!$B$7,M1201=Config!$B$5,COUNTIFS($E$5:E1201,E1201,$H$5:H1201,"Falta",$L$5:L1201,Config!$B$7,$M$5:M1201,Config!$B$5)=1),COUNTIFS($E$5:$E$1204,E1201,$H$5:$H$1204,"Falta",$L$5:$L$1204,Config!$B$7,$M$5:$M$1204,Config!$B$5)*1000-ROW()/100000,0)</f>
        <v>0</v>
      </c>
    </row>
    <row r="1202">
      <c r="A1202" s="39" t="n"/>
      <c r="B1202" s="40" t="n"/>
      <c r="C1202" s="35" t="n"/>
      <c r="D1202" s="35" t="n"/>
      <c r="E1202" s="34" t="n"/>
      <c r="F1202" s="35" t="n"/>
      <c r="G1202" s="35" t="n"/>
      <c r="H1202" s="35" t="n"/>
      <c r="I1202" s="35" t="n"/>
      <c r="J1202" s="35" t="n"/>
      <c r="K1202" s="34" t="n"/>
      <c r="L1202" s="26">
        <f>IF(A1202="","",MONTH(A1202))</f>
        <v/>
      </c>
      <c r="M1202" s="26">
        <f>IF(A1202="","",YEAR(A1202))</f>
        <v/>
      </c>
      <c r="N1202" s="26">
        <f>IF(A1202="","",CHOOSE(WEEKDAY(A1202,2),"Segunda","Terça","Quarta","Quinta","Sexta","Sábado","Domingo"))</f>
        <v/>
      </c>
      <c r="O1202" s="26">
        <f>IF(B1202="","",IF(B1202&lt;TIME(12,0,0),"Manhã",IF(B1202&lt;TIME(18,0,0),"Tarde","Noite")))</f>
        <v/>
      </c>
      <c r="P1202" s="32">
        <f>IF(G1202="","",IFERROR(INDEX(Config!$I$5:$I$16,MATCH(G1202,Config!$H$5:$H$16,0)),0))</f>
        <v/>
      </c>
      <c r="Q1202" s="30">
        <f>IF(OR(H1202&lt;&gt;"Realizado",P1202="",P1202=0),"",A1202+P1202)</f>
        <v/>
      </c>
      <c r="R1202" s="26">
        <f>IF(Q1202="","",IF(COUNTIFS($E$5:$E$1204,E1202,$A$5:$A$1204,"&gt;"&amp;A1202,$H$5:$H$1204,"&lt;&gt;Falta",$H$5:$H$1204,"&lt;&gt;Cancelado",$H$5:$H$1204,"&lt;&gt;Remarcado")&gt;0,"Sim","Não"))</f>
        <v/>
      </c>
      <c r="S1202" s="32">
        <f>IF(R1202&lt;&gt;"Não","",IF(Q1202+Config!$B$9&lt;=Config!$B$8,Config!$B$8-Q1202,""))</f>
        <v/>
      </c>
      <c r="T1202" s="26">
        <f>IF(S1202="","","Sim")</f>
        <v/>
      </c>
      <c r="U1202" s="41">
        <f>IF(T1202="Sim",S1202+ROW()/100000,0)</f>
        <v>0</v>
      </c>
      <c r="V1202" s="41">
        <f>IF(AND(H1202="Falta",L1202=Config!$B$7,M1202=Config!$B$5,COUNTIFS($E$5:E1202,E1202,$H$5:H1202,"Falta",$L$5:L1202,Config!$B$7,$M$5:M1202,Config!$B$5)=1),COUNTIFS($E$5:$E$1204,E1202,$H$5:$H$1204,"Falta",$L$5:$L$1204,Config!$B$7,$M$5:$M$1204,Config!$B$5)*1000-ROW()/100000,0)</f>
        <v>0</v>
      </c>
    </row>
    <row r="1203">
      <c r="A1203" s="39" t="n"/>
      <c r="B1203" s="40" t="n"/>
      <c r="C1203" s="35" t="n"/>
      <c r="D1203" s="35" t="n"/>
      <c r="E1203" s="34" t="n"/>
      <c r="F1203" s="35" t="n"/>
      <c r="G1203" s="35" t="n"/>
      <c r="H1203" s="35" t="n"/>
      <c r="I1203" s="35" t="n"/>
      <c r="J1203" s="35" t="n"/>
      <c r="K1203" s="34" t="n"/>
      <c r="L1203" s="26">
        <f>IF(A1203="","",MONTH(A1203))</f>
        <v/>
      </c>
      <c r="M1203" s="26">
        <f>IF(A1203="","",YEAR(A1203))</f>
        <v/>
      </c>
      <c r="N1203" s="26">
        <f>IF(A1203="","",CHOOSE(WEEKDAY(A1203,2),"Segunda","Terça","Quarta","Quinta","Sexta","Sábado","Domingo"))</f>
        <v/>
      </c>
      <c r="O1203" s="26">
        <f>IF(B1203="","",IF(B1203&lt;TIME(12,0,0),"Manhã",IF(B1203&lt;TIME(18,0,0),"Tarde","Noite")))</f>
        <v/>
      </c>
      <c r="P1203" s="32">
        <f>IF(G1203="","",IFERROR(INDEX(Config!$I$5:$I$16,MATCH(G1203,Config!$H$5:$H$16,0)),0))</f>
        <v/>
      </c>
      <c r="Q1203" s="30">
        <f>IF(OR(H1203&lt;&gt;"Realizado",P1203="",P1203=0),"",A1203+P1203)</f>
        <v/>
      </c>
      <c r="R1203" s="26">
        <f>IF(Q1203="","",IF(COUNTIFS($E$5:$E$1204,E1203,$A$5:$A$1204,"&gt;"&amp;A1203,$H$5:$H$1204,"&lt;&gt;Falta",$H$5:$H$1204,"&lt;&gt;Cancelado",$H$5:$H$1204,"&lt;&gt;Remarcado")&gt;0,"Sim","Não"))</f>
        <v/>
      </c>
      <c r="S1203" s="32">
        <f>IF(R1203&lt;&gt;"Não","",IF(Q1203+Config!$B$9&lt;=Config!$B$8,Config!$B$8-Q1203,""))</f>
        <v/>
      </c>
      <c r="T1203" s="26">
        <f>IF(S1203="","","Sim")</f>
        <v/>
      </c>
      <c r="U1203" s="41">
        <f>IF(T1203="Sim",S1203+ROW()/100000,0)</f>
        <v>0</v>
      </c>
      <c r="V1203" s="41">
        <f>IF(AND(H1203="Falta",L1203=Config!$B$7,M1203=Config!$B$5,COUNTIFS($E$5:E1203,E1203,$H$5:H1203,"Falta",$L$5:L1203,Config!$B$7,$M$5:M1203,Config!$B$5)=1),COUNTIFS($E$5:$E$1204,E1203,$H$5:$H$1204,"Falta",$L$5:$L$1204,Config!$B$7,$M$5:$M$1204,Config!$B$5)*1000-ROW()/100000,0)</f>
        <v>0</v>
      </c>
    </row>
    <row r="1204">
      <c r="A1204" s="39" t="n"/>
      <c r="B1204" s="40" t="n"/>
      <c r="C1204" s="35" t="n"/>
      <c r="D1204" s="35" t="n"/>
      <c r="E1204" s="34" t="n"/>
      <c r="F1204" s="35" t="n"/>
      <c r="G1204" s="35" t="n"/>
      <c r="H1204" s="35" t="n"/>
      <c r="I1204" s="35" t="n"/>
      <c r="J1204" s="35" t="n"/>
      <c r="K1204" s="34" t="n"/>
      <c r="L1204" s="26">
        <f>IF(A1204="","",MONTH(A1204))</f>
        <v/>
      </c>
      <c r="M1204" s="26">
        <f>IF(A1204="","",YEAR(A1204))</f>
        <v/>
      </c>
      <c r="N1204" s="26">
        <f>IF(A1204="","",CHOOSE(WEEKDAY(A1204,2),"Segunda","Terça","Quarta","Quinta","Sexta","Sábado","Domingo"))</f>
        <v/>
      </c>
      <c r="O1204" s="26">
        <f>IF(B1204="","",IF(B1204&lt;TIME(12,0,0),"Manhã",IF(B1204&lt;TIME(18,0,0),"Tarde","Noite")))</f>
        <v/>
      </c>
      <c r="P1204" s="32">
        <f>IF(G1204="","",IFERROR(INDEX(Config!$I$5:$I$16,MATCH(G1204,Config!$H$5:$H$16,0)),0))</f>
        <v/>
      </c>
      <c r="Q1204" s="30">
        <f>IF(OR(H1204&lt;&gt;"Realizado",P1204="",P1204=0),"",A1204+P1204)</f>
        <v/>
      </c>
      <c r="R1204" s="26">
        <f>IF(Q1204="","",IF(COUNTIFS($E$5:$E$1204,E1204,$A$5:$A$1204,"&gt;"&amp;A1204,$H$5:$H$1204,"&lt;&gt;Falta",$H$5:$H$1204,"&lt;&gt;Cancelado",$H$5:$H$1204,"&lt;&gt;Remarcado")&gt;0,"Sim","Não"))</f>
        <v/>
      </c>
      <c r="S1204" s="32">
        <f>IF(R1204&lt;&gt;"Não","",IF(Q1204+Config!$B$9&lt;=Config!$B$8,Config!$B$8-Q1204,""))</f>
        <v/>
      </c>
      <c r="T1204" s="26">
        <f>IF(S1204="","","Sim")</f>
        <v/>
      </c>
      <c r="U1204" s="41">
        <f>IF(T1204="Sim",S1204+ROW()/100000,0)</f>
        <v>0</v>
      </c>
      <c r="V1204" s="41">
        <f>IF(AND(H1204="Falta",L1204=Config!$B$7,M1204=Config!$B$5,COUNTIFS($E$5:E1204,E1204,$H$5:H1204,"Falta",$L$5:L1204,Config!$B$7,$M$5:M1204,Config!$B$5)=1),COUNTIFS($E$5:$E$1204,E1204,$H$5:$H$1204,"Falta",$L$5:$L$1204,Config!$B$7,$M$5:$M$1204,Config!$B$5)*1000-ROW()/100000,0)</f>
        <v>0</v>
      </c>
    </row>
    <row r="1206">
      <c r="A1206" s="31" t="inlineStr">
        <is>
          <t>Vermelho: falta. Amarelo: paciente na lista de retorno (passou do retorno previsto e não tem nenhum horário depois). "Voltou ou tem horário?" olha qualquer atendimento posterior do paciente que não seja falta, cancelamento ou remarcação.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T1204"/>
  <mergeCells count="2">
    <mergeCell ref="A1:T1"/>
    <mergeCell ref="A2:T2"/>
  </mergeCells>
  <conditionalFormatting sqref="A5:T1204">
    <cfRule type="expression" priority="1" dxfId="3">
      <formula>$H5="Falta"</formula>
    </cfRule>
    <cfRule type="expression" priority="2" dxfId="2">
      <formula>$T5="Sim"</formula>
    </cfRule>
    <cfRule type="expression" priority="3" dxfId="4">
      <formula>OR($H5="Cancelado",$H5="Remarcado")</formula>
    </cfRule>
  </conditionalFormatting>
  <dataValidations count="5">
    <dataValidation sqref="C5:C1204" showDropDown="0" showInputMessage="0" showErrorMessage="0" allowBlank="1" type="list">
      <formula1>=OFFSET(Config!$D$5,0,0,MAX(1,COUNTA(Config!$D$5:$D$12)),1)</formula1>
    </dataValidation>
    <dataValidation sqref="F5:F1204" showDropDown="0" showInputMessage="0" showErrorMessage="0" allowBlank="1" type="list">
      <formula1>=OFFSET(Config!$F$5,0,0,MAX(1,COUNTA(Config!$F$5:$F$10)),1)</formula1>
    </dataValidation>
    <dataValidation sqref="G5:G1204" showDropDown="0" showInputMessage="0" showErrorMessage="0" allowBlank="1" type="list">
      <formula1>=OFFSET(Config!$H$5,0,0,MAX(1,COUNTA(Config!$H$5:$H$16)),1)</formula1>
    </dataValidation>
    <dataValidation sqref="H5:H1204" showDropDown="0" showInputMessage="0" showErrorMessage="1" allowBlank="1" type="list">
      <formula1>"Agendado,Confirmado,Realizado,Falta,Cancelado,Remarcado"</formula1>
    </dataValidation>
    <dataValidation sqref="A5:A1204" showDropDown="0" showInputMessage="0" showErrorMessage="0" allowBlank="1" type="date" operator="greaterThan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Faltas, remarcações e lista de retorno · Kit de Gestão para Médicos</dc:title>
  <dcterms:created xmlns:dcterms="http://purl.org/dc/terms/" xmlns:xsi="http://www.w3.org/2001/XMLSchema-instance" xsi:type="dcterms:W3CDTF">2026-09-14T21:29:04Z</dcterms:created>
  <dcterms:modified xmlns:dcterms="http://purl.org/dc/terms/" xmlns:xsi="http://www.w3.org/2001/XMLSchema-instance" xsi:type="dcterms:W3CDTF">2026-09-14T21:29:06Z</dcterms:modified>
</cp:coreProperties>
</file>