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Guias" sheetId="4" state="visible" r:id="rId4"/>
    <sheet xmlns:r="http://schemas.openxmlformats.org/officeDocument/2006/relationships" name="Lotes" sheetId="5" state="visible" r:id="rId5"/>
  </sheets>
  <definedNames>
    <definedName name="_xlnm._FilterDatabase" localSheetId="3" hidden="1">'Guias'!$A$4:$M$1504</definedName>
    <definedName name="_xlnm._FilterDatabase" localSheetId="4" hidden="1">'Lotes'!$A$4:$R$154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%"/>
    <numFmt numFmtId="167" formatCode="&quot;R$&quot; #,##0;[Red]-&quot;R$&quot; #,##0"/>
    <numFmt numFmtId="168" formatCode="mm/yyyy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C0392B"/>
      <sz val="10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167" fontId="1" fillId="4" borderId="0" applyAlignment="1" pivotButton="0" quotePrefix="0" xfId="0">
      <alignment horizontal="center"/>
    </xf>
    <xf numFmtId="167" fontId="10" fillId="5" borderId="0" applyAlignment="1" pivotButton="0" quotePrefix="0" xfId="0">
      <alignment horizontal="center"/>
    </xf>
    <xf numFmtId="167" fontId="12" fillId="6" borderId="0" applyAlignment="1" pivotButton="0" quotePrefix="0" xfId="0">
      <alignment horizontal="center"/>
    </xf>
    <xf numFmtId="166" fontId="10" fillId="5" borderId="0" applyAlignment="1" pivotButton="0" quotePrefix="0" xfId="0">
      <alignment horizontal="center"/>
    </xf>
    <xf numFmtId="167" fontId="1" fillId="7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14" fillId="0" borderId="1" pivotButton="0" quotePrefix="0" xfId="0"/>
    <xf numFmtId="0" fontId="6" fillId="0" borderId="0" applyAlignment="1" pivotButton="0" quotePrefix="0" xfId="0">
      <alignment horizontal="left" vertical="top" wrapText="1"/>
    </xf>
    <xf numFmtId="168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6" fillId="0" borderId="0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168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8">
    <dxf>
      <font>
        <name val="Arial"/>
        <b val="1"/>
        <color rgb="00C8402E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B0A6C4"/>
        <sz val="10"/>
      </font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FF4CC"/>
        </patternFill>
      </fill>
    </dxf>
    <dxf>
      <font>
        <name val="Arial"/>
        <color rgb="008A86A0"/>
        <sz val="10"/>
      </font>
    </dxf>
    <dxf>
      <font>
        <name val="Arial"/>
        <color rgb="00155E3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Glosa no ano por convênio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'Painel'!F10</f>
            </strRef>
          </tx>
          <spPr>
            <a:solidFill xmlns:a="http://schemas.openxmlformats.org/drawingml/2006/main">
              <a:srgbClr val="7A1F1F"/>
            </a:solidFill>
            <a:ln xmlns:a="http://schemas.openxmlformats.org/drawingml/2006/main">
              <a:prstDash val="solid"/>
            </a:ln>
          </spPr>
          <cat>
            <numRef>
              <f>'Painel'!$A$11:$A$13</f>
            </numRef>
          </cat>
          <val>
            <numRef>
              <f>'Painel'!$F$11:$F$13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Convênios a receber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Responde "quanto o convênio deve e quanto ele não pagou?": cada lote enviado (convênio × mês) com previsão de pagamento pelo prazo do contrato, o que foi pago, a glosa, o recurso e o que foi recuperado; por convênio, por mês e a lista de guias glosadas para recorrer.</t>
        </is>
      </c>
    </row>
    <row r="5" ht="46" customHeight="1">
      <c r="A5" s="3" t="inlineStr">
        <is>
          <t>Passo 1</t>
        </is>
      </c>
      <c r="B5" s="4" t="inlineStr">
        <is>
          <t>Em Config, cadastre cada convênio com o prazo contratual de pagamento (dias após o envio) e o dia de envio do lote.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Guias, uma linha por atendimento de convênio realizado (copie da Agenda da planilha 01: data, paciente, convênio, procedimento, profissional, valor). É a base do lote do mês.</t>
        </is>
      </c>
    </row>
    <row r="7" ht="46" customHeight="1">
      <c r="A7" s="3" t="inlineStr">
        <is>
          <t>Passo 3</t>
        </is>
      </c>
      <c r="B7" s="4" t="inlineStr">
        <is>
          <t>Em Lotes, uma linha por convênio e mês: nº de guias, valor enviado e data de envio. Quando o pagamento cair, digite data e valor pago (a glosa é a diferença) e lance a entrada no caixa (09). Se recorrer, marque o recurso; se aceito, o valor recuperado e a data. Volte em Guias e marque as guias glosadas.</t>
        </is>
      </c>
    </row>
    <row r="8" ht="46" customHeight="1">
      <c r="A8" s="3" t="inlineStr">
        <is>
          <t>Passo 4</t>
        </is>
      </c>
      <c r="B8" s="4" t="inlineStr">
        <is>
          <t>Em Painel: a receber, atrasado, glosa do ano (R$ e %), em recurso; por convênio (com prazo real × contratual), lotes em aberto, mês a mês e as guias glosadas para recorrer.</t>
        </is>
      </c>
    </row>
    <row r="9" ht="46" customHeight="1">
      <c r="A9" s="3" t="inlineStr">
        <is>
          <t>Rotina</t>
        </is>
      </c>
      <c r="B9" s="4" t="inlineStr">
        <is>
          <t>Sexta, 3 minutos (rotina da semana, planilha 03): separar as guias da semana e conferir se todas estão na aba Guias. Dia 5: enviar o lote do mês anterior e registrar. No recebimento: pagamento, glosa e recurso. A planilha avisa o atraso; a cobrança ao convênio é sua.</t>
        </is>
      </c>
    </row>
    <row r="10" ht="46" customHeight="1">
      <c r="A10" s="3" t="inlineStr">
        <is>
          <t>Ligação com as outras planilhas</t>
        </is>
      </c>
      <c r="B10" s="4" t="inlineStr">
        <is>
          <t>A receber e atrasado vão para o Painel da clínica (17); a glosa % por convênio alimenta o simulador (07); os lotes pagos são entradas do caixa (09). As metas do trimestre (19) acompanham glosa, atrasos e recuperado.</t>
        </is>
      </c>
    </row>
    <row r="11" ht="46" customHeight="1">
      <c r="A11" s="3" t="inlineStr">
        <is>
          <t>Com a IA</t>
        </is>
      </c>
      <c r="B11" s="4" t="inlineStr">
        <is>
          <t>Copie "Por convênio" e use o prompt "Recebíveis 01 · Resumir os convênios para o sócio" da biblioteca do kit; para uma guia glosada, "Recebíveis 03 · Recurso de glosa em linguagem administrativa" (sem dados clínicos: só guia, procedimento, data e motivo administrativo).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 e gráficos funcionam.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3" customWidth="1" min="9" max="9"/>
    <col width="12" customWidth="1" min="10" max="10"/>
    <col width="14" customWidth="1" min="11" max="11"/>
    <col width="22" customWidth="1" min="12" max="12"/>
  </cols>
  <sheetData>
    <row r="1" ht="28" customHeight="1">
      <c r="A1" s="5" t="str">
        <f>Config!$B$4&amp;" · Convênios a receber · "&amp;TEXT(DAY(Config!$B$5),"00")&amp;"/"&amp;TEXT(MONTH(Config!$B$5),"00")&amp;"/"&amp;YEAR(Config!$B$5)</f>
        <v>Clínica Vida Plena (exemplo fictício) · Convênios a receber · 14/09/2026</v>
      </c>
    </row>
    <row r="2">
      <c r="A2" s="6" t="inlineStr">
        <is>
          <t>Nada para digitar aqui: tudo vem de Lotes, Guias e Config. A receber = lotes enviados e ainda não pagos (valor enviado).</t>
        </is>
      </c>
    </row>
    <row r="3"/>
    <row r="4">
      <c r="A4" s="7" t="inlineStr">
        <is>
          <t>A receber (lotes enviados)</t>
        </is>
      </c>
      <c r="B4" s="8" t="n"/>
      <c r="C4" s="9" t="inlineStr">
        <is>
          <t>Atrasado</t>
        </is>
      </c>
      <c r="D4" s="10" t="n"/>
      <c r="E4" s="11" t="inlineStr">
        <is>
          <t>Recebido no ano</t>
        </is>
      </c>
      <c r="F4" s="12" t="n"/>
      <c r="G4" s="9" t="inlineStr">
        <is>
          <t>Glosa no ano (R$)</t>
        </is>
      </c>
      <c r="H4" s="10" t="n"/>
      <c r="I4" s="9" t="inlineStr">
        <is>
          <t>Glosa no ano (%)</t>
        </is>
      </c>
      <c r="J4" s="10" t="n"/>
      <c r="K4" s="13" t="inlineStr">
        <is>
          <t>Em recurso (R$)</t>
        </is>
      </c>
      <c r="L4" s="14" t="n"/>
    </row>
    <row r="5" ht="30" customHeight="1">
      <c r="A5" s="15">
        <f>SUMIFS(Lotes!$D$5:$D$154,Lotes!$N$5:$N$154,"Aguardando")+SUMIFS(Lotes!$D$5:$D$154,Lotes!$N$5:$N$154,"Atrasada")</f>
        <v>15758</v>
      </c>
      <c r="B5" s="8" t="n"/>
      <c r="C5" s="16">
        <f>SUMIFS(Lotes!$D$5:$D$154,Lotes!$N$5:$N$154,"Atrasada")</f>
        <v>1727</v>
      </c>
      <c r="D5" s="10" t="n"/>
      <c r="E5" s="17">
        <f>SUMIFS(Lotes!$G$5:$G$154,Lotes!$F$5:$F$154,"&gt;="&amp;DATE(Config!$B$6,1,1),Lotes!$F$5:$F$154,"&lt;="&amp;DATE(Config!$B$6,12,31))+SUMIFS(Lotes!$I$5:$I$154,Lotes!$J$5:$J$154,"&gt;="&amp;DATE(Config!$B$6,1,1),Lotes!$J$5:$J$154,"&lt;="&amp;DATE(Config!$B$6,12,31))</f>
        <v>73702</v>
      </c>
      <c r="F5" s="12" t="n"/>
      <c r="G5" s="16">
        <f>SUMIFS(Lotes!$M$5:$M$154,Lotes!$F$5:$F$154,"&gt;="&amp;DATE(Config!$B$6,1,1),Lotes!$F$5:$F$154,"&lt;="&amp;DATE(Config!$B$6,12,31))</f>
        <v>4273</v>
      </c>
      <c r="H5" s="10" t="n"/>
      <c r="I5" s="18">
        <f>IFERROR(G5/(SUMIFS(Lotes!$G$5:$G$154,Lotes!$F$5:$F$154,"&gt;="&amp;DATE(Config!$B$6,1,1),Lotes!$F$5:$F$154,"&lt;="&amp;DATE(Config!$B$6,12,31))+G5),0)</f>
        <v>0.055367670877875</v>
      </c>
      <c r="J5" s="10" t="n"/>
      <c r="K5" s="19">
        <f>SUMIFS(Lotes!$M$5:$M$154,Lotes!$H$5:$H$154,"Em recurso")</f>
        <v>240</v>
      </c>
      <c r="L5" s="14" t="n"/>
    </row>
    <row r="6"/>
    <row r="7" ht="30" customHeight="1">
      <c r="A7" s="20" t="inlineStr">
        <is>
          <t>Glosa (%) = glosa ÷ (pago + glosa) dos lotes pagos no ano: de tudo o que o convênio decidiu, quanto ele não pagou. Recebido no ano inclui glosa recuperada por recurso. Em separação (mês corrente) não conta como a receber até o envio.</t>
        </is>
      </c>
    </row>
    <row r="8"/>
    <row r="9">
      <c r="A9" s="21" t="inlineStr">
        <is>
          <t>Por convênio (lotes enviados no ano)</t>
        </is>
      </c>
    </row>
    <row r="10" ht="32" customHeight="1">
      <c r="A10" s="22" t="inlineStr">
        <is>
          <t>Convênio</t>
        </is>
      </c>
      <c r="B10" s="22" t="inlineStr">
        <is>
          <t>Lotes</t>
        </is>
      </c>
      <c r="C10" s="22" t="inlineStr">
        <is>
          <t>Enviado (R$)</t>
        </is>
      </c>
      <c r="D10" s="22" t="inlineStr">
        <is>
          <t>Pago (R$)</t>
        </is>
      </c>
      <c r="E10" s="22" t="inlineStr">
        <is>
          <t>Glosa (R$)</t>
        </is>
      </c>
      <c r="F10" s="22" t="inlineStr">
        <is>
          <t>Glosa (%)</t>
        </is>
      </c>
      <c r="G10" s="22" t="inlineStr">
        <is>
          <t>Recuperado (R$)</t>
        </is>
      </c>
      <c r="H10" s="22" t="inlineStr">
        <is>
          <t>A receber (R$)</t>
        </is>
      </c>
      <c r="I10" s="22" t="inlineStr">
        <is>
          <t>Atrasado (R$)</t>
        </is>
      </c>
      <c r="J10" s="22" t="inlineStr">
        <is>
          <t>Prazo contratual</t>
        </is>
      </c>
      <c r="K10" s="22" t="inlineStr">
        <is>
          <t>Prazo real (média, dias)</t>
        </is>
      </c>
      <c r="L10" s="22" t="inlineStr">
        <is>
          <t>Barra da glosa</t>
        </is>
      </c>
    </row>
    <row r="11">
      <c r="A11" s="23" t="str">
        <f>IF(Config!$A$10="","",Config!$A$10)</f>
        <v>Saúde Total</v>
      </c>
      <c r="B11" s="24">
        <f>IF(Config!$A$10="","",COUNTIFS(Lotes!$A$5:$A$154,Config!$A$10,Lotes!$E$5:$E$154,"&gt;="&amp;DATE(Config!$B$6,1,1),Lotes!$E$5:$E$154,"&lt;="&amp;DATE(Config!$B$6,12,31)))</f>
        <v>9</v>
      </c>
      <c r="C11" s="25">
        <f>IF(Config!$A$10="","",SUMIFS(Lotes!$D$5:$D$154,Lotes!$A$5:$A$154,Config!$A$10,Lotes!$E$5:$E$154,"&gt;="&amp;DATE(Config!$B$6,1,1),Lotes!$E$5:$E$154,"&lt;="&amp;DATE(Config!$B$6,12,31)))</f>
        <v>47560</v>
      </c>
      <c r="D11" s="25">
        <f>IF(Config!$A$10="","",SUMIFS(Lotes!$G$5:$G$154,Lotes!$A$5:$A$154,Config!$A$10,Lotes!$F$5:$F$154,"&gt;="&amp;DATE(Config!$B$6,1,1),Lotes!$F$5:$F$154,"&lt;="&amp;DATE(Config!$B$6,12,31)))</f>
        <v>45565</v>
      </c>
      <c r="E11" s="25">
        <f>IF(Config!$A$10="","",SUMIFS(Lotes!$M$5:$M$154,Lotes!$A$5:$A$154,Config!$A$10,Lotes!$F$5:$F$154,"&gt;="&amp;DATE(Config!$B$6,1,1),Lotes!$F$5:$F$154,"&lt;="&amp;DATE(Config!$B$6,12,31)))</f>
        <v>1550</v>
      </c>
      <c r="F11" s="26">
        <f>IF(Config!$A$10="","",IFERROR(E11/(D11+E11),0))</f>
        <v>0.0328982277406346</v>
      </c>
      <c r="G11" s="25">
        <f>IF(Config!$A$10="","",SUMIFS(Lotes!$I$5:$I$154,Lotes!$A$5:$A$154,Config!$A$10,Lotes!$J$5:$J$154,"&gt;="&amp;DATE(Config!$B$6,1,1),Lotes!$J$5:$J$154,"&lt;="&amp;DATE(Config!$B$6,12,31)))</f>
        <v>140</v>
      </c>
      <c r="H11" s="25">
        <f>IF(Config!$A$10="","",SUMIFS(Lotes!$D$5:$D$154,Lotes!$A$5:$A$154,Config!$A$10,Lotes!$N$5:$N$154,"Aguardando")+SUMIFS(Lotes!$D$5:$D$154,Lotes!$A$5:$A$154,Config!$A$10,Lotes!$N$5:$N$154,"Atrasada"))</f>
        <v>4555</v>
      </c>
      <c r="I11" s="25">
        <f>IF(Config!$A$10="","",SUMIFS(Lotes!$D$5:$D$154,Lotes!$A$5:$A$154,Config!$A$10,Lotes!$N$5:$N$154,"Atrasada"))</f>
        <v>0</v>
      </c>
      <c r="J11" s="27">
        <f>IF(Config!$A$10="","",Config!$B$10)</f>
        <v>30</v>
      </c>
      <c r="K11" s="27">
        <f>IF(Config!$A$10="","",IFERROR(AVERAGEIFS(Lotes!$T$5:$T$154,Lotes!$A$5:$A$154,Config!$A$10,Lotes!$F$5:$F$154,"&gt;="&amp;DATE(Config!$B$6,1,1),Lotes!$F$5:$F$154,"&lt;="&amp;DATE(Config!$B$6,12,31)),"—"))</f>
        <v>32.1111111111111</v>
      </c>
      <c r="L11" s="28" t="str">
        <f>IF(F11="","",REPT("█",ROUND(MIN(1,F11/0.15)*20,0)))</f>
        <v>████</v>
      </c>
    </row>
    <row r="12">
      <c r="A12" s="23" t="str">
        <f>IF(Config!$A$11="","",Config!$A$11)</f>
        <v>MediPlan</v>
      </c>
      <c r="B12" s="24">
        <f>IF(Config!$A$11="","",COUNTIFS(Lotes!$A$5:$A$154,Config!$A$11,Lotes!$E$5:$E$154,"&gt;="&amp;DATE(Config!$B$6,1,1),Lotes!$E$5:$E$154,"&lt;="&amp;DATE(Config!$B$6,12,31)))</f>
        <v>9</v>
      </c>
      <c r="C12" s="25">
        <f>IF(Config!$A$11="","",SUMIFS(Lotes!$D$5:$D$154,Lotes!$A$5:$A$154,Config!$A$11,Lotes!$E$5:$E$154,"&gt;="&amp;DATE(Config!$B$6,1,1),Lotes!$E$5:$E$154,"&lt;="&amp;DATE(Config!$B$6,12,31)))</f>
        <v>20985</v>
      </c>
      <c r="D12" s="25">
        <f>IF(Config!$A$11="","",SUMIFS(Lotes!$G$5:$G$154,Lotes!$A$5:$A$154,Config!$A$11,Lotes!$F$5:$F$154,"&gt;="&amp;DATE(Config!$B$6,1,1),Lotes!$F$5:$F$154,"&lt;="&amp;DATE(Config!$B$6,12,31)))</f>
        <v>16120</v>
      </c>
      <c r="E12" s="25">
        <f>IF(Config!$A$11="","",SUMIFS(Lotes!$M$5:$M$154,Lotes!$A$5:$A$154,Config!$A$11,Lotes!$F$5:$F$154,"&gt;="&amp;DATE(Config!$B$6,1,1),Lotes!$F$5:$F$154,"&lt;="&amp;DATE(Config!$B$6,12,31)))</f>
        <v>1300</v>
      </c>
      <c r="F12" s="26">
        <f>IF(Config!$A$11="","",IFERROR(E12/(D12+E12),0))</f>
        <v>0.0746268656716418</v>
      </c>
      <c r="G12" s="25">
        <f>IF(Config!$A$11="","",SUMIFS(Lotes!$I$5:$I$154,Lotes!$A$5:$A$154,Config!$A$11,Lotes!$J$5:$J$154,"&gt;="&amp;DATE(Config!$B$6,1,1),Lotes!$J$5:$J$154,"&lt;="&amp;DATE(Config!$B$6,12,31)))</f>
        <v>130</v>
      </c>
      <c r="H12" s="25">
        <f>IF(Config!$A$11="","",SUMIFS(Lotes!$D$5:$D$154,Lotes!$A$5:$A$154,Config!$A$11,Lotes!$N$5:$N$154,"Aguardando")+SUMIFS(Lotes!$D$5:$D$154,Lotes!$A$5:$A$154,Config!$A$11,Lotes!$N$5:$N$154,"Atrasada"))</f>
        <v>6305</v>
      </c>
      <c r="I12" s="25">
        <f>IF(Config!$A$11="","",SUMIFS(Lotes!$D$5:$D$154,Lotes!$A$5:$A$154,Config!$A$11,Lotes!$N$5:$N$154,"Atrasada"))</f>
        <v>0</v>
      </c>
      <c r="J12" s="27">
        <f>IF(Config!$A$11="","",Config!$B$11)</f>
        <v>45</v>
      </c>
      <c r="K12" s="27">
        <f>IF(Config!$A$11="","",IFERROR(AVERAGEIFS(Lotes!$T$5:$T$154,Lotes!$A$5:$A$154,Config!$A$11,Lotes!$F$5:$F$154,"&gt;="&amp;DATE(Config!$B$6,1,1),Lotes!$F$5:$F$154,"&lt;="&amp;DATE(Config!$B$6,12,31)),"—"))</f>
        <v>46.625</v>
      </c>
      <c r="L12" s="28" t="str">
        <f>IF(F12="","",REPT("█",ROUND(MIN(1,F12/0.15)*20,0)))</f>
        <v>██████████</v>
      </c>
    </row>
    <row r="13">
      <c r="A13" s="23" t="str">
        <f>IF(Config!$A$12="","",Config!$A$12)</f>
        <v>Vida Care</v>
      </c>
      <c r="B13" s="24">
        <f>IF(Config!$A$12="","",COUNTIFS(Lotes!$A$5:$A$154,Config!$A$12,Lotes!$E$5:$E$154,"&gt;="&amp;DATE(Config!$B$6,1,1),Lotes!$E$5:$E$154,"&lt;="&amp;DATE(Config!$B$6,12,31)))</f>
        <v>9</v>
      </c>
      <c r="C13" s="25">
        <f>IF(Config!$A$12="","",SUMIFS(Lotes!$D$5:$D$154,Lotes!$A$5:$A$154,Config!$A$12,Lotes!$E$5:$E$154,"&gt;="&amp;DATE(Config!$B$6,1,1),Lotes!$E$5:$E$154,"&lt;="&amp;DATE(Config!$B$6,12,31)))</f>
        <v>14228</v>
      </c>
      <c r="D13" s="25">
        <f>IF(Config!$A$12="","",SUMIFS(Lotes!$G$5:$G$154,Lotes!$A$5:$A$154,Config!$A$12,Lotes!$F$5:$F$154,"&gt;="&amp;DATE(Config!$B$6,1,1),Lotes!$F$5:$F$154,"&lt;="&amp;DATE(Config!$B$6,12,31)))</f>
        <v>11217</v>
      </c>
      <c r="E13" s="25">
        <f>IF(Config!$A$12="","",SUMIFS(Lotes!$M$5:$M$154,Lotes!$A$5:$A$154,Config!$A$12,Lotes!$F$5:$F$154,"&gt;="&amp;DATE(Config!$B$6,1,1),Lotes!$F$5:$F$154,"&lt;="&amp;DATE(Config!$B$6,12,31)))</f>
        <v>1423</v>
      </c>
      <c r="F13" s="26">
        <f>IF(Config!$A$12="","",IFERROR(E13/(D13+E13),0))</f>
        <v>0.112579113924051</v>
      </c>
      <c r="G13" s="25">
        <f>IF(Config!$A$12="","",SUMIFS(Lotes!$I$5:$I$154,Lotes!$A$5:$A$154,Config!$A$12,Lotes!$J$5:$J$154,"&gt;="&amp;DATE(Config!$B$6,1,1),Lotes!$J$5:$J$154,"&lt;="&amp;DATE(Config!$B$6,12,31)))</f>
        <v>530</v>
      </c>
      <c r="H13" s="25">
        <f>IF(Config!$A$12="","",SUMIFS(Lotes!$D$5:$D$154,Lotes!$A$5:$A$154,Config!$A$12,Lotes!$N$5:$N$154,"Aguardando")+SUMIFS(Lotes!$D$5:$D$154,Lotes!$A$5:$A$154,Config!$A$12,Lotes!$N$5:$N$154,"Atrasada"))</f>
        <v>4898</v>
      </c>
      <c r="I13" s="25">
        <f>IF(Config!$A$12="","",SUMIFS(Lotes!$D$5:$D$154,Lotes!$A$5:$A$154,Config!$A$12,Lotes!$N$5:$N$154,"Atrasada"))</f>
        <v>1727</v>
      </c>
      <c r="J13" s="27">
        <f>IF(Config!$A$12="","",Config!$B$12)</f>
        <v>60</v>
      </c>
      <c r="K13" s="27">
        <f>IF(Config!$A$12="","",IFERROR(AVERAGEIFS(Lotes!$T$5:$T$154,Lotes!$A$5:$A$154,Config!$A$12,Lotes!$F$5:$F$154,"&gt;="&amp;DATE(Config!$B$6,1,1),Lotes!$F$5:$F$154,"&lt;="&amp;DATE(Config!$B$6,12,31)),"—"))</f>
        <v>60.875</v>
      </c>
      <c r="L13" s="28" t="str">
        <f>IF(F13="","",REPT("█",ROUND(MIN(1,F13/0.15)*20,0)))</f>
        <v>███████████████</v>
      </c>
    </row>
    <row r="14">
      <c r="A14" s="23">
        <f>IF(Config!$A$13="","",Config!$A$13)</f>
        <v/>
      </c>
      <c r="B14" s="24">
        <f>IF(Config!$A$13="","",COUNTIFS(Lotes!$A$5:$A$154,Config!$A$13,Lotes!$E$5:$E$154,"&gt;="&amp;DATE(Config!$B$6,1,1),Lotes!$E$5:$E$154,"&lt;="&amp;DATE(Config!$B$6,12,31)))</f>
        <v/>
      </c>
      <c r="C14" s="25">
        <f>IF(Config!$A$13="","",SUMIFS(Lotes!$D$5:$D$154,Lotes!$A$5:$A$154,Config!$A$13,Lotes!$E$5:$E$154,"&gt;="&amp;DATE(Config!$B$6,1,1),Lotes!$E$5:$E$154,"&lt;="&amp;DATE(Config!$B$6,12,31)))</f>
        <v/>
      </c>
      <c r="D14" s="25">
        <f>IF(Config!$A$13="","",SUMIFS(Lotes!$G$5:$G$154,Lotes!$A$5:$A$154,Config!$A$13,Lotes!$F$5:$F$154,"&gt;="&amp;DATE(Config!$B$6,1,1),Lotes!$F$5:$F$154,"&lt;="&amp;DATE(Config!$B$6,12,31)))</f>
        <v/>
      </c>
      <c r="E14" s="25">
        <f>IF(Config!$A$13="","",SUMIFS(Lotes!$M$5:$M$154,Lotes!$A$5:$A$154,Config!$A$13,Lotes!$F$5:$F$154,"&gt;="&amp;DATE(Config!$B$6,1,1),Lotes!$F$5:$F$154,"&lt;="&amp;DATE(Config!$B$6,12,31)))</f>
        <v/>
      </c>
      <c r="F14" s="26">
        <f>IF(Config!$A$13="","",IFERROR(E14/(D14+E14),0))</f>
        <v/>
      </c>
      <c r="G14" s="25">
        <f>IF(Config!$A$13="","",SUMIFS(Lotes!$I$5:$I$154,Lotes!$A$5:$A$154,Config!$A$13,Lotes!$J$5:$J$154,"&gt;="&amp;DATE(Config!$B$6,1,1),Lotes!$J$5:$J$154,"&lt;="&amp;DATE(Config!$B$6,12,31)))</f>
        <v/>
      </c>
      <c r="H14" s="25">
        <f>IF(Config!$A$13="","",SUMIFS(Lotes!$D$5:$D$154,Lotes!$A$5:$A$154,Config!$A$13,Lotes!$N$5:$N$154,"Aguardando")+SUMIFS(Lotes!$D$5:$D$154,Lotes!$A$5:$A$154,Config!$A$13,Lotes!$N$5:$N$154,"Atrasada"))</f>
        <v/>
      </c>
      <c r="I14" s="25">
        <f>IF(Config!$A$13="","",SUMIFS(Lotes!$D$5:$D$154,Lotes!$A$5:$A$154,Config!$A$13,Lotes!$N$5:$N$154,"Atrasada"))</f>
        <v/>
      </c>
      <c r="J14" s="27">
        <f>IF(Config!$A$13="","",Config!$B$13)</f>
        <v/>
      </c>
      <c r="K14" s="27">
        <f>IF(Config!$A$13="","",IFERROR(AVERAGEIFS(Lotes!$T$5:$T$154,Lotes!$A$5:$A$154,Config!$A$13,Lotes!$F$5:$F$154,"&gt;="&amp;DATE(Config!$B$6,1,1),Lotes!$F$5:$F$154,"&lt;="&amp;DATE(Config!$B$6,12,31)),"—"))</f>
        <v/>
      </c>
      <c r="L14" s="28">
        <f>IF(F14="","",REPT("█",ROUND(MIN(1,F14/0.15)*20,0)))</f>
        <v/>
      </c>
    </row>
    <row r="15">
      <c r="A15" s="23">
        <f>IF(Config!$A$14="","",Config!$A$14)</f>
        <v/>
      </c>
      <c r="B15" s="24">
        <f>IF(Config!$A$14="","",COUNTIFS(Lotes!$A$5:$A$154,Config!$A$14,Lotes!$E$5:$E$154,"&gt;="&amp;DATE(Config!$B$6,1,1),Lotes!$E$5:$E$154,"&lt;="&amp;DATE(Config!$B$6,12,31)))</f>
        <v/>
      </c>
      <c r="C15" s="25">
        <f>IF(Config!$A$14="","",SUMIFS(Lotes!$D$5:$D$154,Lotes!$A$5:$A$154,Config!$A$14,Lotes!$E$5:$E$154,"&gt;="&amp;DATE(Config!$B$6,1,1),Lotes!$E$5:$E$154,"&lt;="&amp;DATE(Config!$B$6,12,31)))</f>
        <v/>
      </c>
      <c r="D15" s="25">
        <f>IF(Config!$A$14="","",SUMIFS(Lotes!$G$5:$G$154,Lotes!$A$5:$A$154,Config!$A$14,Lotes!$F$5:$F$154,"&gt;="&amp;DATE(Config!$B$6,1,1),Lotes!$F$5:$F$154,"&lt;="&amp;DATE(Config!$B$6,12,31)))</f>
        <v/>
      </c>
      <c r="E15" s="25">
        <f>IF(Config!$A$14="","",SUMIFS(Lotes!$M$5:$M$154,Lotes!$A$5:$A$154,Config!$A$14,Lotes!$F$5:$F$154,"&gt;="&amp;DATE(Config!$B$6,1,1),Lotes!$F$5:$F$154,"&lt;="&amp;DATE(Config!$B$6,12,31)))</f>
        <v/>
      </c>
      <c r="F15" s="26">
        <f>IF(Config!$A$14="","",IFERROR(E15/(D15+E15),0))</f>
        <v/>
      </c>
      <c r="G15" s="25">
        <f>IF(Config!$A$14="","",SUMIFS(Lotes!$I$5:$I$154,Lotes!$A$5:$A$154,Config!$A$14,Lotes!$J$5:$J$154,"&gt;="&amp;DATE(Config!$B$6,1,1),Lotes!$J$5:$J$154,"&lt;="&amp;DATE(Config!$B$6,12,31)))</f>
        <v/>
      </c>
      <c r="H15" s="25">
        <f>IF(Config!$A$14="","",SUMIFS(Lotes!$D$5:$D$154,Lotes!$A$5:$A$154,Config!$A$14,Lotes!$N$5:$N$154,"Aguardando")+SUMIFS(Lotes!$D$5:$D$154,Lotes!$A$5:$A$154,Config!$A$14,Lotes!$N$5:$N$154,"Atrasada"))</f>
        <v/>
      </c>
      <c r="I15" s="25">
        <f>IF(Config!$A$14="","",SUMIFS(Lotes!$D$5:$D$154,Lotes!$A$5:$A$154,Config!$A$14,Lotes!$N$5:$N$154,"Atrasada"))</f>
        <v/>
      </c>
      <c r="J15" s="27">
        <f>IF(Config!$A$14="","",Config!$B$14)</f>
        <v/>
      </c>
      <c r="K15" s="27">
        <f>IF(Config!$A$14="","",IFERROR(AVERAGEIFS(Lotes!$T$5:$T$154,Lotes!$A$5:$A$154,Config!$A$14,Lotes!$F$5:$F$154,"&gt;="&amp;DATE(Config!$B$6,1,1),Lotes!$F$5:$F$154,"&lt;="&amp;DATE(Config!$B$6,12,31)),"—"))</f>
        <v/>
      </c>
      <c r="L15" s="28">
        <f>IF(F15="","",REPT("█",ROUND(MIN(1,F15/0.15)*20,0)))</f>
        <v/>
      </c>
    </row>
    <row r="16">
      <c r="A16" s="23">
        <f>IF(Config!$A$15="","",Config!$A$15)</f>
        <v/>
      </c>
      <c r="B16" s="24">
        <f>IF(Config!$A$15="","",COUNTIFS(Lotes!$A$5:$A$154,Config!$A$15,Lotes!$E$5:$E$154,"&gt;="&amp;DATE(Config!$B$6,1,1),Lotes!$E$5:$E$154,"&lt;="&amp;DATE(Config!$B$6,12,31)))</f>
        <v/>
      </c>
      <c r="C16" s="25">
        <f>IF(Config!$A$15="","",SUMIFS(Lotes!$D$5:$D$154,Lotes!$A$5:$A$154,Config!$A$15,Lotes!$E$5:$E$154,"&gt;="&amp;DATE(Config!$B$6,1,1),Lotes!$E$5:$E$154,"&lt;="&amp;DATE(Config!$B$6,12,31)))</f>
        <v/>
      </c>
      <c r="D16" s="25">
        <f>IF(Config!$A$15="","",SUMIFS(Lotes!$G$5:$G$154,Lotes!$A$5:$A$154,Config!$A$15,Lotes!$F$5:$F$154,"&gt;="&amp;DATE(Config!$B$6,1,1),Lotes!$F$5:$F$154,"&lt;="&amp;DATE(Config!$B$6,12,31)))</f>
        <v/>
      </c>
      <c r="E16" s="25">
        <f>IF(Config!$A$15="","",SUMIFS(Lotes!$M$5:$M$154,Lotes!$A$5:$A$154,Config!$A$15,Lotes!$F$5:$F$154,"&gt;="&amp;DATE(Config!$B$6,1,1),Lotes!$F$5:$F$154,"&lt;="&amp;DATE(Config!$B$6,12,31)))</f>
        <v/>
      </c>
      <c r="F16" s="26">
        <f>IF(Config!$A$15="","",IFERROR(E16/(D16+E16),0))</f>
        <v/>
      </c>
      <c r="G16" s="25">
        <f>IF(Config!$A$15="","",SUMIFS(Lotes!$I$5:$I$154,Lotes!$A$5:$A$154,Config!$A$15,Lotes!$J$5:$J$154,"&gt;="&amp;DATE(Config!$B$6,1,1),Lotes!$J$5:$J$154,"&lt;="&amp;DATE(Config!$B$6,12,31)))</f>
        <v/>
      </c>
      <c r="H16" s="25">
        <f>IF(Config!$A$15="","",SUMIFS(Lotes!$D$5:$D$154,Lotes!$A$5:$A$154,Config!$A$15,Lotes!$N$5:$N$154,"Aguardando")+SUMIFS(Lotes!$D$5:$D$154,Lotes!$A$5:$A$154,Config!$A$15,Lotes!$N$5:$N$154,"Atrasada"))</f>
        <v/>
      </c>
      <c r="I16" s="25">
        <f>IF(Config!$A$15="","",SUMIFS(Lotes!$D$5:$D$154,Lotes!$A$5:$A$154,Config!$A$15,Lotes!$N$5:$N$154,"Atrasada"))</f>
        <v/>
      </c>
      <c r="J16" s="27">
        <f>IF(Config!$A$15="","",Config!$B$15)</f>
        <v/>
      </c>
      <c r="K16" s="27">
        <f>IF(Config!$A$15="","",IFERROR(AVERAGEIFS(Lotes!$T$5:$T$154,Lotes!$A$5:$A$154,Config!$A$15,Lotes!$F$5:$F$154,"&gt;="&amp;DATE(Config!$B$6,1,1),Lotes!$F$5:$F$154,"&lt;="&amp;DATE(Config!$B$6,12,31)),"—"))</f>
        <v/>
      </c>
      <c r="L16" s="28">
        <f>IF(F16="","",REPT("█",ROUND(MIN(1,F16/0.15)*20,0)))</f>
        <v/>
      </c>
    </row>
    <row r="17">
      <c r="A17" s="29" t="inlineStr">
        <is>
          <t>Glosa acima de 5 % e prazo real acima do contratual ficam em vermelho: são os dois argumentos da conversa com o convênio. A barra da glosa vai até 15 %.</t>
        </is>
      </c>
    </row>
    <row r="18"/>
    <row r="19">
      <c r="A19" s="21" t="inlineStr">
        <is>
          <t>Lotes em aberto: atrasados primeiro, depois os maiores</t>
        </is>
      </c>
    </row>
    <row r="20" ht="26" customHeight="1">
      <c r="A20" s="22" t="inlineStr">
        <is>
          <t>#</t>
        </is>
      </c>
      <c r="B20" s="22" t="inlineStr">
        <is>
          <t>Convênio</t>
        </is>
      </c>
      <c r="C20" s="22" t="inlineStr">
        <is>
          <t>Competência</t>
        </is>
      </c>
      <c r="D20" s="22" t="inlineStr">
        <is>
          <t>Nº de guias</t>
        </is>
      </c>
      <c r="E20" s="22" t="inlineStr">
        <is>
          <t>Enviado (R$)</t>
        </is>
      </c>
      <c r="F20" s="22" t="inlineStr">
        <is>
          <t>Data de envio</t>
        </is>
      </c>
      <c r="G20" s="22" t="inlineStr">
        <is>
          <t>Previsão</t>
        </is>
      </c>
      <c r="H20" s="22" t="inlineStr">
        <is>
          <t>Situação</t>
        </is>
      </c>
      <c r="I20" s="22" t="inlineStr">
        <is>
          <t>Dias de atraso</t>
        </is>
      </c>
    </row>
    <row r="21">
      <c r="A21" s="24" t="n">
        <v>1</v>
      </c>
      <c r="B21" s="23" t="str">
        <f>IFERROR(IF(LARGE(Lotes!$S$5:$S$154,1)&gt;0,INDEX(Lotes!$A$5:$A$154,MATCH(LARGE(Lotes!$S$5:$S$154,1),Lotes!$S$5:$S$154,0)),""),"")</f>
        <v>Vida Care</v>
      </c>
      <c r="C21" s="30">
        <f>IFERROR(IF(LARGE(Lotes!$S$5:$S$154,1)&gt;0,INDEX(Lotes!$B$5:$B$154,MATCH(LARGE(Lotes!$S$5:$S$154,1),Lotes!$S$5:$S$154,0)),""),"")</f>
        <v>46174.0</v>
      </c>
      <c r="D21" s="24">
        <f>IFERROR(IF(LARGE(Lotes!$S$5:$S$154,1)&gt;0,INDEX(Lotes!$C$5:$C$154,MATCH(LARGE(Lotes!$S$5:$S$154,1),Lotes!$S$5:$S$154,0)),""),"")</f>
        <v>19</v>
      </c>
      <c r="E21" s="25">
        <f>IFERROR(IF(LARGE(Lotes!$S$5:$S$154,1)&gt;0,INDEX(Lotes!$D$5:$D$154,MATCH(LARGE(Lotes!$S$5:$S$154,1),Lotes!$S$5:$S$154,0)),""),"")</f>
        <v>1727</v>
      </c>
      <c r="F21" s="31">
        <f>IFERROR(IF(LARGE(Lotes!$S$5:$S$154,1)&gt;0,INDEX(Lotes!$E$5:$E$154,MATCH(LARGE(Lotes!$S$5:$S$154,1),Lotes!$S$5:$S$154,0)),""),"")</f>
        <v>46209.0</v>
      </c>
      <c r="G21" s="31">
        <f>IFERROR(IF(LARGE(Lotes!$S$5:$S$154,1)&gt;0,INDEX(Lotes!$L$5:$L$154,MATCH(LARGE(Lotes!$S$5:$S$154,1),Lotes!$S$5:$S$154,0)),""),"")</f>
        <v>46269.0</v>
      </c>
      <c r="H21" s="24" t="str">
        <f>IFERROR(IF(LARGE(Lotes!$S$5:$S$154,1)&gt;0,INDEX(Lotes!$N$5:$N$154,MATCH(LARGE(Lotes!$S$5:$S$154,1),Lotes!$S$5:$S$154,0)),""),"")</f>
        <v>Atrasada</v>
      </c>
      <c r="I21" s="27">
        <f>IFERROR(IF(LARGE(Lotes!$S$5:$S$154,1)&gt;0,INDEX(Lotes!$O$5:$O$154,MATCH(LARGE(Lotes!$S$5:$S$154,1),Lotes!$S$5:$S$154,0)),""),"")</f>
        <v>10</v>
      </c>
    </row>
    <row r="22">
      <c r="A22" s="24" t="n">
        <v>2</v>
      </c>
      <c r="B22" s="23" t="str">
        <f>IFERROR(IF(LARGE(Lotes!$S$5:$S$154,2)&gt;0,INDEX(Lotes!$A$5:$A$154,MATCH(LARGE(Lotes!$S$5:$S$154,2),Lotes!$S$5:$S$154,0)),""),"")</f>
        <v>Saúde Total</v>
      </c>
      <c r="C22" s="30">
        <f>IFERROR(IF(LARGE(Lotes!$S$5:$S$154,2)&gt;0,INDEX(Lotes!$B$5:$B$154,MATCH(LARGE(Lotes!$S$5:$S$154,2),Lotes!$S$5:$S$154,0)),""),"")</f>
        <v>46235.0</v>
      </c>
      <c r="D22" s="24">
        <f>IFERROR(IF(LARGE(Lotes!$S$5:$S$154,2)&gt;0,INDEX(Lotes!$C$5:$C$154,MATCH(LARGE(Lotes!$S$5:$S$154,2),Lotes!$S$5:$S$154,0)),""),"")</f>
        <v>43</v>
      </c>
      <c r="E22" s="25">
        <f>IFERROR(IF(LARGE(Lotes!$S$5:$S$154,2)&gt;0,INDEX(Lotes!$D$5:$D$154,MATCH(LARGE(Lotes!$S$5:$S$154,2),Lotes!$S$5:$S$154,0)),""),"")</f>
        <v>4555</v>
      </c>
      <c r="F22" s="31">
        <f>IFERROR(IF(LARGE(Lotes!$S$5:$S$154,2)&gt;0,INDEX(Lotes!$E$5:$E$154,MATCH(LARGE(Lotes!$S$5:$S$154,2),Lotes!$S$5:$S$154,0)),""),"")</f>
        <v>46273.0</v>
      </c>
      <c r="G22" s="31">
        <f>IFERROR(IF(LARGE(Lotes!$S$5:$S$154,2)&gt;0,INDEX(Lotes!$L$5:$L$154,MATCH(LARGE(Lotes!$S$5:$S$154,2),Lotes!$S$5:$S$154,0)),""),"")</f>
        <v>46303.0</v>
      </c>
      <c r="H22" s="24" t="str">
        <f>IFERROR(IF(LARGE(Lotes!$S$5:$S$154,2)&gt;0,INDEX(Lotes!$N$5:$N$154,MATCH(LARGE(Lotes!$S$5:$S$154,2),Lotes!$S$5:$S$154,0)),""),"")</f>
        <v>Aguardando</v>
      </c>
      <c r="I22" s="27">
        <f>IFERROR(IF(LARGE(Lotes!$S$5:$S$154,2)&gt;0,INDEX(Lotes!$O$5:$O$154,MATCH(LARGE(Lotes!$S$5:$S$154,2),Lotes!$S$5:$S$154,0)),""),"")</f>
        <v/>
      </c>
    </row>
    <row r="23">
      <c r="A23" s="24" t="n">
        <v>3</v>
      </c>
      <c r="B23" s="23" t="str">
        <f>IFERROR(IF(LARGE(Lotes!$S$5:$S$154,3)&gt;0,INDEX(Lotes!$A$5:$A$154,MATCH(LARGE(Lotes!$S$5:$S$154,3),Lotes!$S$5:$S$154,0)),""),"")</f>
        <v>MediPlan</v>
      </c>
      <c r="C23" s="30">
        <f>IFERROR(IF(LARGE(Lotes!$S$5:$S$154,3)&gt;0,INDEX(Lotes!$B$5:$B$154,MATCH(LARGE(Lotes!$S$5:$S$154,3),Lotes!$S$5:$S$154,0)),""),"")</f>
        <v>46235.0</v>
      </c>
      <c r="D23" s="24">
        <f>IFERROR(IF(LARGE(Lotes!$S$5:$S$154,3)&gt;0,INDEX(Lotes!$C$5:$C$154,MATCH(LARGE(Lotes!$S$5:$S$154,3),Lotes!$S$5:$S$154,0)),""),"")</f>
        <v>34</v>
      </c>
      <c r="E23" s="25">
        <f>IFERROR(IF(LARGE(Lotes!$S$5:$S$154,3)&gt;0,INDEX(Lotes!$D$5:$D$154,MATCH(LARGE(Lotes!$S$5:$S$154,3),Lotes!$S$5:$S$154,0)),""),"")</f>
        <v>3430</v>
      </c>
      <c r="F23" s="31">
        <f>IFERROR(IF(LARGE(Lotes!$S$5:$S$154,3)&gt;0,INDEX(Lotes!$E$5:$E$154,MATCH(LARGE(Lotes!$S$5:$S$154,3),Lotes!$S$5:$S$154,0)),""),"")</f>
        <v>46273.0</v>
      </c>
      <c r="G23" s="31">
        <f>IFERROR(IF(LARGE(Lotes!$S$5:$S$154,3)&gt;0,INDEX(Lotes!$L$5:$L$154,MATCH(LARGE(Lotes!$S$5:$S$154,3),Lotes!$S$5:$S$154,0)),""),"")</f>
        <v>46318.0</v>
      </c>
      <c r="H23" s="24" t="str">
        <f>IFERROR(IF(LARGE(Lotes!$S$5:$S$154,3)&gt;0,INDEX(Lotes!$N$5:$N$154,MATCH(LARGE(Lotes!$S$5:$S$154,3),Lotes!$S$5:$S$154,0)),""),"")</f>
        <v>Aguardando</v>
      </c>
      <c r="I23" s="27">
        <f>IFERROR(IF(LARGE(Lotes!$S$5:$S$154,3)&gt;0,INDEX(Lotes!$O$5:$O$154,MATCH(LARGE(Lotes!$S$5:$S$154,3),Lotes!$S$5:$S$154,0)),""),"")</f>
        <v/>
      </c>
    </row>
    <row r="24">
      <c r="A24" s="24" t="n">
        <v>4</v>
      </c>
      <c r="B24" s="23" t="str">
        <f>IFERROR(IF(LARGE(Lotes!$S$5:$S$154,4)&gt;0,INDEX(Lotes!$A$5:$A$154,MATCH(LARGE(Lotes!$S$5:$S$154,4),Lotes!$S$5:$S$154,0)),""),"")</f>
        <v>MediPlan</v>
      </c>
      <c r="C24" s="30">
        <f>IFERROR(IF(LARGE(Lotes!$S$5:$S$154,4)&gt;0,INDEX(Lotes!$B$5:$B$154,MATCH(LARGE(Lotes!$S$5:$S$154,4),Lotes!$S$5:$S$154,0)),""),"")</f>
        <v>46204.0</v>
      </c>
      <c r="D24" s="24">
        <f>IFERROR(IF(LARGE(Lotes!$S$5:$S$154,4)&gt;0,INDEX(Lotes!$C$5:$C$154,MATCH(LARGE(Lotes!$S$5:$S$154,4),Lotes!$S$5:$S$154,0)),""),"")</f>
        <v>31</v>
      </c>
      <c r="E24" s="25">
        <f>IFERROR(IF(LARGE(Lotes!$S$5:$S$154,4)&gt;0,INDEX(Lotes!$D$5:$D$154,MATCH(LARGE(Lotes!$S$5:$S$154,4),Lotes!$S$5:$S$154,0)),""),"")</f>
        <v>2875</v>
      </c>
      <c r="F24" s="31">
        <f>IFERROR(IF(LARGE(Lotes!$S$5:$S$154,4)&gt;0,INDEX(Lotes!$E$5:$E$154,MATCH(LARGE(Lotes!$S$5:$S$154,4),Lotes!$S$5:$S$154,0)),""),"")</f>
        <v>46239.0</v>
      </c>
      <c r="G24" s="31">
        <f>IFERROR(IF(LARGE(Lotes!$S$5:$S$154,4)&gt;0,INDEX(Lotes!$L$5:$L$154,MATCH(LARGE(Lotes!$S$5:$S$154,4),Lotes!$S$5:$S$154,0)),""),"")</f>
        <v>46284.0</v>
      </c>
      <c r="H24" s="24" t="str">
        <f>IFERROR(IF(LARGE(Lotes!$S$5:$S$154,4)&gt;0,INDEX(Lotes!$N$5:$N$154,MATCH(LARGE(Lotes!$S$5:$S$154,4),Lotes!$S$5:$S$154,0)),""),"")</f>
        <v>Aguardando</v>
      </c>
      <c r="I24" s="27">
        <f>IFERROR(IF(LARGE(Lotes!$S$5:$S$154,4)&gt;0,INDEX(Lotes!$O$5:$O$154,MATCH(LARGE(Lotes!$S$5:$S$154,4),Lotes!$S$5:$S$154,0)),""),"")</f>
        <v/>
      </c>
    </row>
    <row r="25">
      <c r="A25" s="24" t="n">
        <v>5</v>
      </c>
      <c r="B25" s="23" t="str">
        <f>IFERROR(IF(LARGE(Lotes!$S$5:$S$154,5)&gt;0,INDEX(Lotes!$A$5:$A$154,MATCH(LARGE(Lotes!$S$5:$S$154,5),Lotes!$S$5:$S$154,0)),""),"")</f>
        <v>Vida Care</v>
      </c>
      <c r="C25" s="30">
        <f>IFERROR(IF(LARGE(Lotes!$S$5:$S$154,5)&gt;0,INDEX(Lotes!$B$5:$B$154,MATCH(LARGE(Lotes!$S$5:$S$154,5),Lotes!$S$5:$S$154,0)),""),"")</f>
        <v>46235.0</v>
      </c>
      <c r="D25" s="24">
        <f>IFERROR(IF(LARGE(Lotes!$S$5:$S$154,5)&gt;0,INDEX(Lotes!$C$5:$C$154,MATCH(LARGE(Lotes!$S$5:$S$154,5),Lotes!$S$5:$S$154,0)),""),"")</f>
        <v>20</v>
      </c>
      <c r="E25" s="25">
        <f>IFERROR(IF(LARGE(Lotes!$S$5:$S$154,5)&gt;0,INDEX(Lotes!$D$5:$D$154,MATCH(LARGE(Lotes!$S$5:$S$154,5),Lotes!$S$5:$S$154,0)),""),"")</f>
        <v>1646</v>
      </c>
      <c r="F25" s="31">
        <f>IFERROR(IF(LARGE(Lotes!$S$5:$S$154,5)&gt;0,INDEX(Lotes!$E$5:$E$154,MATCH(LARGE(Lotes!$S$5:$S$154,5),Lotes!$S$5:$S$154,0)),""),"")</f>
        <v>46273.0</v>
      </c>
      <c r="G25" s="31">
        <f>IFERROR(IF(LARGE(Lotes!$S$5:$S$154,5)&gt;0,INDEX(Lotes!$L$5:$L$154,MATCH(LARGE(Lotes!$S$5:$S$154,5),Lotes!$S$5:$S$154,0)),""),"")</f>
        <v>46333.0</v>
      </c>
      <c r="H25" s="24" t="str">
        <f>IFERROR(IF(LARGE(Lotes!$S$5:$S$154,5)&gt;0,INDEX(Lotes!$N$5:$N$154,MATCH(LARGE(Lotes!$S$5:$S$154,5),Lotes!$S$5:$S$154,0)),""),"")</f>
        <v>Aguardando</v>
      </c>
      <c r="I25" s="27">
        <f>IFERROR(IF(LARGE(Lotes!$S$5:$S$154,5)&gt;0,INDEX(Lotes!$O$5:$O$154,MATCH(LARGE(Lotes!$S$5:$S$154,5),Lotes!$S$5:$S$154,0)),""),"")</f>
        <v/>
      </c>
    </row>
    <row r="26">
      <c r="A26" s="24" t="n">
        <v>6</v>
      </c>
      <c r="B26" s="23" t="str">
        <f>IFERROR(IF(LARGE(Lotes!$S$5:$S$154,6)&gt;0,INDEX(Lotes!$A$5:$A$154,MATCH(LARGE(Lotes!$S$5:$S$154,6),Lotes!$S$5:$S$154,0)),""),"")</f>
        <v>Vida Care</v>
      </c>
      <c r="C26" s="30">
        <f>IFERROR(IF(LARGE(Lotes!$S$5:$S$154,6)&gt;0,INDEX(Lotes!$B$5:$B$154,MATCH(LARGE(Lotes!$S$5:$S$154,6),Lotes!$S$5:$S$154,0)),""),"")</f>
        <v>46204.0</v>
      </c>
      <c r="D26" s="24">
        <f>IFERROR(IF(LARGE(Lotes!$S$5:$S$154,6)&gt;0,INDEX(Lotes!$C$5:$C$154,MATCH(LARGE(Lotes!$S$5:$S$154,6),Lotes!$S$5:$S$154,0)),""),"")</f>
        <v>20</v>
      </c>
      <c r="E26" s="25">
        <f>IFERROR(IF(LARGE(Lotes!$S$5:$S$154,6)&gt;0,INDEX(Lotes!$D$5:$D$154,MATCH(LARGE(Lotes!$S$5:$S$154,6),Lotes!$S$5:$S$154,0)),""),"")</f>
        <v>1525</v>
      </c>
      <c r="F26" s="31">
        <f>IFERROR(IF(LARGE(Lotes!$S$5:$S$154,6)&gt;0,INDEX(Lotes!$E$5:$E$154,MATCH(LARGE(Lotes!$S$5:$S$154,6),Lotes!$S$5:$S$154,0)),""),"")</f>
        <v>46239.0</v>
      </c>
      <c r="G26" s="31">
        <f>IFERROR(IF(LARGE(Lotes!$S$5:$S$154,6)&gt;0,INDEX(Lotes!$L$5:$L$154,MATCH(LARGE(Lotes!$S$5:$S$154,6),Lotes!$S$5:$S$154,0)),""),"")</f>
        <v>46299.0</v>
      </c>
      <c r="H26" s="24" t="str">
        <f>IFERROR(IF(LARGE(Lotes!$S$5:$S$154,6)&gt;0,INDEX(Lotes!$N$5:$N$154,MATCH(LARGE(Lotes!$S$5:$S$154,6),Lotes!$S$5:$S$154,0)),""),"")</f>
        <v>Aguardando</v>
      </c>
      <c r="I26" s="27">
        <f>IFERROR(IF(LARGE(Lotes!$S$5:$S$154,6)&gt;0,INDEX(Lotes!$O$5:$O$154,MATCH(LARGE(Lotes!$S$5:$S$154,6),Lotes!$S$5:$S$154,0)),""),"")</f>
        <v/>
      </c>
    </row>
    <row r="27">
      <c r="A27" s="24" t="n">
        <v>7</v>
      </c>
      <c r="B27" s="23">
        <f>IFERROR(IF(LARGE(Lotes!$S$5:$S$154,7)&gt;0,INDEX(Lotes!$A$5:$A$154,MATCH(LARGE(Lotes!$S$5:$S$154,7),Lotes!$S$5:$S$154,0)),""),"")</f>
        <v/>
      </c>
      <c r="C27" s="30">
        <f>IFERROR(IF(LARGE(Lotes!$S$5:$S$154,7)&gt;0,INDEX(Lotes!$B$5:$B$154,MATCH(LARGE(Lotes!$S$5:$S$154,7),Lotes!$S$5:$S$154,0)),""),"")</f>
        <v/>
      </c>
      <c r="D27" s="24">
        <f>IFERROR(IF(LARGE(Lotes!$S$5:$S$154,7)&gt;0,INDEX(Lotes!$C$5:$C$154,MATCH(LARGE(Lotes!$S$5:$S$154,7),Lotes!$S$5:$S$154,0)),""),"")</f>
        <v/>
      </c>
      <c r="E27" s="25">
        <f>IFERROR(IF(LARGE(Lotes!$S$5:$S$154,7)&gt;0,INDEX(Lotes!$D$5:$D$154,MATCH(LARGE(Lotes!$S$5:$S$154,7),Lotes!$S$5:$S$154,0)),""),"")</f>
        <v/>
      </c>
      <c r="F27" s="31">
        <f>IFERROR(IF(LARGE(Lotes!$S$5:$S$154,7)&gt;0,INDEX(Lotes!$E$5:$E$154,MATCH(LARGE(Lotes!$S$5:$S$154,7),Lotes!$S$5:$S$154,0)),""),"")</f>
        <v/>
      </c>
      <c r="G27" s="31">
        <f>IFERROR(IF(LARGE(Lotes!$S$5:$S$154,7)&gt;0,INDEX(Lotes!$L$5:$L$154,MATCH(LARGE(Lotes!$S$5:$S$154,7),Lotes!$S$5:$S$154,0)),""),"")</f>
        <v/>
      </c>
      <c r="H27" s="24">
        <f>IFERROR(IF(LARGE(Lotes!$S$5:$S$154,7)&gt;0,INDEX(Lotes!$N$5:$N$154,MATCH(LARGE(Lotes!$S$5:$S$154,7),Lotes!$S$5:$S$154,0)),""),"")</f>
        <v/>
      </c>
      <c r="I27" s="27">
        <f>IFERROR(IF(LARGE(Lotes!$S$5:$S$154,7)&gt;0,INDEX(Lotes!$O$5:$O$154,MATCH(LARGE(Lotes!$S$5:$S$154,7),Lotes!$S$5:$S$154,0)),""),"")</f>
        <v/>
      </c>
    </row>
    <row r="28">
      <c r="A28" s="24" t="n">
        <v>8</v>
      </c>
      <c r="B28" s="23">
        <f>IFERROR(IF(LARGE(Lotes!$S$5:$S$154,8)&gt;0,INDEX(Lotes!$A$5:$A$154,MATCH(LARGE(Lotes!$S$5:$S$154,8),Lotes!$S$5:$S$154,0)),""),"")</f>
        <v/>
      </c>
      <c r="C28" s="30">
        <f>IFERROR(IF(LARGE(Lotes!$S$5:$S$154,8)&gt;0,INDEX(Lotes!$B$5:$B$154,MATCH(LARGE(Lotes!$S$5:$S$154,8),Lotes!$S$5:$S$154,0)),""),"")</f>
        <v/>
      </c>
      <c r="D28" s="24">
        <f>IFERROR(IF(LARGE(Lotes!$S$5:$S$154,8)&gt;0,INDEX(Lotes!$C$5:$C$154,MATCH(LARGE(Lotes!$S$5:$S$154,8),Lotes!$S$5:$S$154,0)),""),"")</f>
        <v/>
      </c>
      <c r="E28" s="25">
        <f>IFERROR(IF(LARGE(Lotes!$S$5:$S$154,8)&gt;0,INDEX(Lotes!$D$5:$D$154,MATCH(LARGE(Lotes!$S$5:$S$154,8),Lotes!$S$5:$S$154,0)),""),"")</f>
        <v/>
      </c>
      <c r="F28" s="31">
        <f>IFERROR(IF(LARGE(Lotes!$S$5:$S$154,8)&gt;0,INDEX(Lotes!$E$5:$E$154,MATCH(LARGE(Lotes!$S$5:$S$154,8),Lotes!$S$5:$S$154,0)),""),"")</f>
        <v/>
      </c>
      <c r="G28" s="31">
        <f>IFERROR(IF(LARGE(Lotes!$S$5:$S$154,8)&gt;0,INDEX(Lotes!$L$5:$L$154,MATCH(LARGE(Lotes!$S$5:$S$154,8),Lotes!$S$5:$S$154,0)),""),"")</f>
        <v/>
      </c>
      <c r="H28" s="24">
        <f>IFERROR(IF(LARGE(Lotes!$S$5:$S$154,8)&gt;0,INDEX(Lotes!$N$5:$N$154,MATCH(LARGE(Lotes!$S$5:$S$154,8),Lotes!$S$5:$S$154,0)),""),"")</f>
        <v/>
      </c>
      <c r="I28" s="27">
        <f>IFERROR(IF(LARGE(Lotes!$S$5:$S$154,8)&gt;0,INDEX(Lotes!$O$5:$O$154,MATCH(LARGE(Lotes!$S$5:$S$154,8),Lotes!$S$5:$S$154,0)),""),"")</f>
        <v/>
      </c>
    </row>
    <row r="29">
      <c r="A29" s="24" t="n">
        <v>9</v>
      </c>
      <c r="B29" s="23">
        <f>IFERROR(IF(LARGE(Lotes!$S$5:$S$154,9)&gt;0,INDEX(Lotes!$A$5:$A$154,MATCH(LARGE(Lotes!$S$5:$S$154,9),Lotes!$S$5:$S$154,0)),""),"")</f>
        <v/>
      </c>
      <c r="C29" s="30">
        <f>IFERROR(IF(LARGE(Lotes!$S$5:$S$154,9)&gt;0,INDEX(Lotes!$B$5:$B$154,MATCH(LARGE(Lotes!$S$5:$S$154,9),Lotes!$S$5:$S$154,0)),""),"")</f>
        <v/>
      </c>
      <c r="D29" s="24">
        <f>IFERROR(IF(LARGE(Lotes!$S$5:$S$154,9)&gt;0,INDEX(Lotes!$C$5:$C$154,MATCH(LARGE(Lotes!$S$5:$S$154,9),Lotes!$S$5:$S$154,0)),""),"")</f>
        <v/>
      </c>
      <c r="E29" s="25">
        <f>IFERROR(IF(LARGE(Lotes!$S$5:$S$154,9)&gt;0,INDEX(Lotes!$D$5:$D$154,MATCH(LARGE(Lotes!$S$5:$S$154,9),Lotes!$S$5:$S$154,0)),""),"")</f>
        <v/>
      </c>
      <c r="F29" s="31">
        <f>IFERROR(IF(LARGE(Lotes!$S$5:$S$154,9)&gt;0,INDEX(Lotes!$E$5:$E$154,MATCH(LARGE(Lotes!$S$5:$S$154,9),Lotes!$S$5:$S$154,0)),""),"")</f>
        <v/>
      </c>
      <c r="G29" s="31">
        <f>IFERROR(IF(LARGE(Lotes!$S$5:$S$154,9)&gt;0,INDEX(Lotes!$L$5:$L$154,MATCH(LARGE(Lotes!$S$5:$S$154,9),Lotes!$S$5:$S$154,0)),""),"")</f>
        <v/>
      </c>
      <c r="H29" s="24">
        <f>IFERROR(IF(LARGE(Lotes!$S$5:$S$154,9)&gt;0,INDEX(Lotes!$N$5:$N$154,MATCH(LARGE(Lotes!$S$5:$S$154,9),Lotes!$S$5:$S$154,0)),""),"")</f>
        <v/>
      </c>
      <c r="I29" s="27">
        <f>IFERROR(IF(LARGE(Lotes!$S$5:$S$154,9)&gt;0,INDEX(Lotes!$O$5:$O$154,MATCH(LARGE(Lotes!$S$5:$S$154,9),Lotes!$S$5:$S$154,0)),""),"")</f>
        <v/>
      </c>
    </row>
    <row r="30">
      <c r="A30" s="24" t="n">
        <v>10</v>
      </c>
      <c r="B30" s="23">
        <f>IFERROR(IF(LARGE(Lotes!$S$5:$S$154,10)&gt;0,INDEX(Lotes!$A$5:$A$154,MATCH(LARGE(Lotes!$S$5:$S$154,10),Lotes!$S$5:$S$154,0)),""),"")</f>
        <v/>
      </c>
      <c r="C30" s="30">
        <f>IFERROR(IF(LARGE(Lotes!$S$5:$S$154,10)&gt;0,INDEX(Lotes!$B$5:$B$154,MATCH(LARGE(Lotes!$S$5:$S$154,10),Lotes!$S$5:$S$154,0)),""),"")</f>
        <v/>
      </c>
      <c r="D30" s="24">
        <f>IFERROR(IF(LARGE(Lotes!$S$5:$S$154,10)&gt;0,INDEX(Lotes!$C$5:$C$154,MATCH(LARGE(Lotes!$S$5:$S$154,10),Lotes!$S$5:$S$154,0)),""),"")</f>
        <v/>
      </c>
      <c r="E30" s="25">
        <f>IFERROR(IF(LARGE(Lotes!$S$5:$S$154,10)&gt;0,INDEX(Lotes!$D$5:$D$154,MATCH(LARGE(Lotes!$S$5:$S$154,10),Lotes!$S$5:$S$154,0)),""),"")</f>
        <v/>
      </c>
      <c r="F30" s="31">
        <f>IFERROR(IF(LARGE(Lotes!$S$5:$S$154,10)&gt;0,INDEX(Lotes!$E$5:$E$154,MATCH(LARGE(Lotes!$S$5:$S$154,10),Lotes!$S$5:$S$154,0)),""),"")</f>
        <v/>
      </c>
      <c r="G30" s="31">
        <f>IFERROR(IF(LARGE(Lotes!$S$5:$S$154,10)&gt;0,INDEX(Lotes!$L$5:$L$154,MATCH(LARGE(Lotes!$S$5:$S$154,10),Lotes!$S$5:$S$154,0)),""),"")</f>
        <v/>
      </c>
      <c r="H30" s="24">
        <f>IFERROR(IF(LARGE(Lotes!$S$5:$S$154,10)&gt;0,INDEX(Lotes!$N$5:$N$154,MATCH(LARGE(Lotes!$S$5:$S$154,10),Lotes!$S$5:$S$154,0)),""),"")</f>
        <v/>
      </c>
      <c r="I30" s="27">
        <f>IFERROR(IF(LARGE(Lotes!$S$5:$S$154,10)&gt;0,INDEX(Lotes!$O$5:$O$154,MATCH(LARGE(Lotes!$S$5:$S$154,10),Lotes!$S$5:$S$154,0)),""),"")</f>
        <v/>
      </c>
    </row>
    <row r="31">
      <c r="A31" s="24" t="n">
        <v>11</v>
      </c>
      <c r="B31" s="23">
        <f>IFERROR(IF(LARGE(Lotes!$S$5:$S$154,11)&gt;0,INDEX(Lotes!$A$5:$A$154,MATCH(LARGE(Lotes!$S$5:$S$154,11),Lotes!$S$5:$S$154,0)),""),"")</f>
        <v/>
      </c>
      <c r="C31" s="30">
        <f>IFERROR(IF(LARGE(Lotes!$S$5:$S$154,11)&gt;0,INDEX(Lotes!$B$5:$B$154,MATCH(LARGE(Lotes!$S$5:$S$154,11),Lotes!$S$5:$S$154,0)),""),"")</f>
        <v/>
      </c>
      <c r="D31" s="24">
        <f>IFERROR(IF(LARGE(Lotes!$S$5:$S$154,11)&gt;0,INDEX(Lotes!$C$5:$C$154,MATCH(LARGE(Lotes!$S$5:$S$154,11),Lotes!$S$5:$S$154,0)),""),"")</f>
        <v/>
      </c>
      <c r="E31" s="25">
        <f>IFERROR(IF(LARGE(Lotes!$S$5:$S$154,11)&gt;0,INDEX(Lotes!$D$5:$D$154,MATCH(LARGE(Lotes!$S$5:$S$154,11),Lotes!$S$5:$S$154,0)),""),"")</f>
        <v/>
      </c>
      <c r="F31" s="31">
        <f>IFERROR(IF(LARGE(Lotes!$S$5:$S$154,11)&gt;0,INDEX(Lotes!$E$5:$E$154,MATCH(LARGE(Lotes!$S$5:$S$154,11),Lotes!$S$5:$S$154,0)),""),"")</f>
        <v/>
      </c>
      <c r="G31" s="31">
        <f>IFERROR(IF(LARGE(Lotes!$S$5:$S$154,11)&gt;0,INDEX(Lotes!$L$5:$L$154,MATCH(LARGE(Lotes!$S$5:$S$154,11),Lotes!$S$5:$S$154,0)),""),"")</f>
        <v/>
      </c>
      <c r="H31" s="24">
        <f>IFERROR(IF(LARGE(Lotes!$S$5:$S$154,11)&gt;0,INDEX(Lotes!$N$5:$N$154,MATCH(LARGE(Lotes!$S$5:$S$154,11),Lotes!$S$5:$S$154,0)),""),"")</f>
        <v/>
      </c>
      <c r="I31" s="27">
        <f>IFERROR(IF(LARGE(Lotes!$S$5:$S$154,11)&gt;0,INDEX(Lotes!$O$5:$O$154,MATCH(LARGE(Lotes!$S$5:$S$154,11),Lotes!$S$5:$S$154,0)),""),"")</f>
        <v/>
      </c>
    </row>
    <row r="32">
      <c r="A32" s="24" t="n">
        <v>12</v>
      </c>
      <c r="B32" s="23">
        <f>IFERROR(IF(LARGE(Lotes!$S$5:$S$154,12)&gt;0,INDEX(Lotes!$A$5:$A$154,MATCH(LARGE(Lotes!$S$5:$S$154,12),Lotes!$S$5:$S$154,0)),""),"")</f>
        <v/>
      </c>
      <c r="C32" s="30">
        <f>IFERROR(IF(LARGE(Lotes!$S$5:$S$154,12)&gt;0,INDEX(Lotes!$B$5:$B$154,MATCH(LARGE(Lotes!$S$5:$S$154,12),Lotes!$S$5:$S$154,0)),""),"")</f>
        <v/>
      </c>
      <c r="D32" s="24">
        <f>IFERROR(IF(LARGE(Lotes!$S$5:$S$154,12)&gt;0,INDEX(Lotes!$C$5:$C$154,MATCH(LARGE(Lotes!$S$5:$S$154,12),Lotes!$S$5:$S$154,0)),""),"")</f>
        <v/>
      </c>
      <c r="E32" s="25">
        <f>IFERROR(IF(LARGE(Lotes!$S$5:$S$154,12)&gt;0,INDEX(Lotes!$D$5:$D$154,MATCH(LARGE(Lotes!$S$5:$S$154,12),Lotes!$S$5:$S$154,0)),""),"")</f>
        <v/>
      </c>
      <c r="F32" s="31">
        <f>IFERROR(IF(LARGE(Lotes!$S$5:$S$154,12)&gt;0,INDEX(Lotes!$E$5:$E$154,MATCH(LARGE(Lotes!$S$5:$S$154,12),Lotes!$S$5:$S$154,0)),""),"")</f>
        <v/>
      </c>
      <c r="G32" s="31">
        <f>IFERROR(IF(LARGE(Lotes!$S$5:$S$154,12)&gt;0,INDEX(Lotes!$L$5:$L$154,MATCH(LARGE(Lotes!$S$5:$S$154,12),Lotes!$S$5:$S$154,0)),""),"")</f>
        <v/>
      </c>
      <c r="H32" s="24">
        <f>IFERROR(IF(LARGE(Lotes!$S$5:$S$154,12)&gt;0,INDEX(Lotes!$N$5:$N$154,MATCH(LARGE(Lotes!$S$5:$S$154,12),Lotes!$S$5:$S$154,0)),""),"")</f>
        <v/>
      </c>
      <c r="I32" s="27">
        <f>IFERROR(IF(LARGE(Lotes!$S$5:$S$154,12)&gt;0,INDEX(Lotes!$O$5:$O$154,MATCH(LARGE(Lotes!$S$5:$S$154,12),Lotes!$S$5:$S$154,0)),""),"")</f>
        <v/>
      </c>
    </row>
    <row r="33"/>
    <row r="34"/>
    <row r="35">
      <c r="A35" s="21" t="inlineStr">
        <is>
          <t>Por mês de competência (ano do painel)</t>
        </is>
      </c>
    </row>
    <row r="36" ht="26" customHeight="1">
      <c r="A36" s="22" t="inlineStr">
        <is>
          <t>Mês</t>
        </is>
      </c>
      <c r="B36" s="22" t="inlineStr">
        <is>
          <t>Lotes</t>
        </is>
      </c>
      <c r="C36" s="22" t="inlineStr">
        <is>
          <t>Guias</t>
        </is>
      </c>
      <c r="D36" s="22" t="inlineStr">
        <is>
          <t>Enviado (R$)</t>
        </is>
      </c>
      <c r="E36" s="22" t="inlineStr">
        <is>
          <t>Pago (R$)</t>
        </is>
      </c>
      <c r="F36" s="22" t="inlineStr">
        <is>
          <t>Glosa (R$)</t>
        </is>
      </c>
      <c r="G36" s="22" t="inlineStr">
        <is>
          <t>Glosa (%)</t>
        </is>
      </c>
      <c r="H36" s="22" t="inlineStr">
        <is>
          <t>A receber (R$)</t>
        </is>
      </c>
      <c r="I36" s="22" t="inlineStr">
        <is>
          <t>Situação</t>
        </is>
      </c>
    </row>
    <row r="37">
      <c r="A37" s="23" t="inlineStr">
        <is>
          <t>Janeiro</t>
        </is>
      </c>
      <c r="B37" s="24">
        <f>COUNTIFS(Lotes!$B$5:$B$154,DATE(Config!$B$6,1,1),Lotes!$A$5:$A$154,"&lt;&gt;")</f>
        <v>3</v>
      </c>
      <c r="C37" s="24">
        <f>SUMIFS(Lotes!$C$5:$C$154,Lotes!$B$5:$B$154,DATE(Config!$B$6,1,1))</f>
        <v>69</v>
      </c>
      <c r="D37" s="25">
        <f>SUMIFS(Lotes!$D$5:$D$154,Lotes!$B$5:$B$154,DATE(Config!$B$6,1,1))</f>
        <v>7000</v>
      </c>
      <c r="E37" s="25">
        <f>SUMIFS(Lotes!$G$5:$G$154,Lotes!$B$5:$B$154,DATE(Config!$B$6,1,1))</f>
        <v>6595</v>
      </c>
      <c r="F37" s="25">
        <f>SUMIFS(Lotes!$M$5:$M$154,Lotes!$B$5:$B$154,DATE(Config!$B$6,1,1))</f>
        <v>405</v>
      </c>
      <c r="G37" s="26">
        <f>IF(E37+F37=0,"",F37/(E37+F37))</f>
        <v>0.0578571428571429</v>
      </c>
      <c r="H37" s="25">
        <f>SUMIFS(Lotes!$D$5:$D$154,Lotes!$B$5:$B$154,DATE(Config!$B$6,1,1),Lotes!$N$5:$N$154,"Aguardando")+SUMIFS(Lotes!$D$5:$D$154,Lotes!$B$5:$B$154,DATE(Config!$B$6,1,1),Lotes!$N$5:$N$154,"Atrasada")</f>
        <v>0</v>
      </c>
      <c r="I37" s="24" t="str">
        <f>IF(B37=0,"",IF(COUNTIFS(Lotes!$B$5:$B$154,DATE(Config!$B$6,1,1),Lotes!$N$5:$N$154,"Atrasada")&gt;0,"Com atraso",IF(COUNTIFS(Lotes!$B$5:$B$154,DATE(Config!$B$6,1,1),Lotes!$N$5:$N$154,"Em separação")&gt;0,"Em separação",IF(H37&gt;0,"Aguardando","Fechado"))))</f>
        <v>Fechado</v>
      </c>
    </row>
    <row r="38">
      <c r="A38" s="23" t="inlineStr">
        <is>
          <t>Fevereiro</t>
        </is>
      </c>
      <c r="B38" s="24">
        <f>COUNTIFS(Lotes!$B$5:$B$154,DATE(Config!$B$6,2,1),Lotes!$A$5:$A$154,"&lt;&gt;")</f>
        <v>3</v>
      </c>
      <c r="C38" s="24">
        <f>SUMIFS(Lotes!$C$5:$C$154,Lotes!$B$5:$B$154,DATE(Config!$B$6,2,1))</f>
        <v>62</v>
      </c>
      <c r="D38" s="25">
        <f>SUMIFS(Lotes!$D$5:$D$154,Lotes!$B$5:$B$154,DATE(Config!$B$6,2,1))</f>
        <v>6266</v>
      </c>
      <c r="E38" s="25">
        <f>SUMIFS(Lotes!$G$5:$G$154,Lotes!$B$5:$B$154,DATE(Config!$B$6,2,1))</f>
        <v>5910</v>
      </c>
      <c r="F38" s="25">
        <f>SUMIFS(Lotes!$M$5:$M$154,Lotes!$B$5:$B$154,DATE(Config!$B$6,2,1))</f>
        <v>356</v>
      </c>
      <c r="G38" s="26">
        <f>IF(E38+F38=0,"",F38/(E38+F38))</f>
        <v>0.0568145547398659</v>
      </c>
      <c r="H38" s="25">
        <f>SUMIFS(Lotes!$D$5:$D$154,Lotes!$B$5:$B$154,DATE(Config!$B$6,2,1),Lotes!$N$5:$N$154,"Aguardando")+SUMIFS(Lotes!$D$5:$D$154,Lotes!$B$5:$B$154,DATE(Config!$B$6,2,1),Lotes!$N$5:$N$154,"Atrasada")</f>
        <v>0</v>
      </c>
      <c r="I38" s="24" t="str">
        <f>IF(B38=0,"",IF(COUNTIFS(Lotes!$B$5:$B$154,DATE(Config!$B$6,2,1),Lotes!$N$5:$N$154,"Atrasada")&gt;0,"Com atraso",IF(COUNTIFS(Lotes!$B$5:$B$154,DATE(Config!$B$6,2,1),Lotes!$N$5:$N$154,"Em separação")&gt;0,"Em separação",IF(H38&gt;0,"Aguardando","Fechado"))))</f>
        <v>Fechado</v>
      </c>
    </row>
    <row r="39">
      <c r="A39" s="23" t="inlineStr">
        <is>
          <t>Março</t>
        </is>
      </c>
      <c r="B39" s="24">
        <f>COUNTIFS(Lotes!$B$5:$B$154,DATE(Config!$B$6,3,1),Lotes!$A$5:$A$154,"&lt;&gt;")</f>
        <v>3</v>
      </c>
      <c r="C39" s="24">
        <f>SUMIFS(Lotes!$C$5:$C$154,Lotes!$B$5:$B$154,DATE(Config!$B$6,3,1))</f>
        <v>113</v>
      </c>
      <c r="D39" s="25">
        <f>SUMIFS(Lotes!$D$5:$D$154,Lotes!$B$5:$B$154,DATE(Config!$B$6,3,1))</f>
        <v>11855</v>
      </c>
      <c r="E39" s="25">
        <f>SUMIFS(Lotes!$G$5:$G$154,Lotes!$B$5:$B$154,DATE(Config!$B$6,3,1))</f>
        <v>11115</v>
      </c>
      <c r="F39" s="25">
        <f>SUMIFS(Lotes!$M$5:$M$154,Lotes!$B$5:$B$154,DATE(Config!$B$6,3,1))</f>
        <v>740</v>
      </c>
      <c r="G39" s="26">
        <f>IF(E39+F39=0,"",F39/(E39+F39))</f>
        <v>0.0624209194432729</v>
      </c>
      <c r="H39" s="25">
        <f>SUMIFS(Lotes!$D$5:$D$154,Lotes!$B$5:$B$154,DATE(Config!$B$6,3,1),Lotes!$N$5:$N$154,"Aguardando")+SUMIFS(Lotes!$D$5:$D$154,Lotes!$B$5:$B$154,DATE(Config!$B$6,3,1),Lotes!$N$5:$N$154,"Atrasada")</f>
        <v>0</v>
      </c>
      <c r="I39" s="24" t="str">
        <f>IF(B39=0,"",IF(COUNTIFS(Lotes!$B$5:$B$154,DATE(Config!$B$6,3,1),Lotes!$N$5:$N$154,"Atrasada")&gt;0,"Com atraso",IF(COUNTIFS(Lotes!$B$5:$B$154,DATE(Config!$B$6,3,1),Lotes!$N$5:$N$154,"Em separação")&gt;0,"Em separação",IF(H39&gt;0,"Aguardando","Fechado"))))</f>
        <v>Fechado</v>
      </c>
    </row>
    <row r="40">
      <c r="A40" s="23" t="inlineStr">
        <is>
          <t>Abril</t>
        </is>
      </c>
      <c r="B40" s="24">
        <f>COUNTIFS(Lotes!$B$5:$B$154,DATE(Config!$B$6,4,1),Lotes!$A$5:$A$154,"&lt;&gt;")</f>
        <v>3</v>
      </c>
      <c r="C40" s="24">
        <f>SUMIFS(Lotes!$C$5:$C$154,Lotes!$B$5:$B$154,DATE(Config!$B$6,4,1))</f>
        <v>86</v>
      </c>
      <c r="D40" s="25">
        <f>SUMIFS(Lotes!$D$5:$D$154,Lotes!$B$5:$B$154,DATE(Config!$B$6,4,1))</f>
        <v>8418</v>
      </c>
      <c r="E40" s="25">
        <f>SUMIFS(Lotes!$G$5:$G$154,Lotes!$B$5:$B$154,DATE(Config!$B$6,4,1))</f>
        <v>7796</v>
      </c>
      <c r="F40" s="25">
        <f>SUMIFS(Lotes!$M$5:$M$154,Lotes!$B$5:$B$154,DATE(Config!$B$6,4,1))</f>
        <v>622</v>
      </c>
      <c r="G40" s="26">
        <f>IF(E40+F40=0,"",F40/(E40+F40))</f>
        <v>0.0738892848657638</v>
      </c>
      <c r="H40" s="25">
        <f>SUMIFS(Lotes!$D$5:$D$154,Lotes!$B$5:$B$154,DATE(Config!$B$6,4,1),Lotes!$N$5:$N$154,"Aguardando")+SUMIFS(Lotes!$D$5:$D$154,Lotes!$B$5:$B$154,DATE(Config!$B$6,4,1),Lotes!$N$5:$N$154,"Atrasada")</f>
        <v>0</v>
      </c>
      <c r="I40" s="24" t="str">
        <f>IF(B40=0,"",IF(COUNTIFS(Lotes!$B$5:$B$154,DATE(Config!$B$6,4,1),Lotes!$N$5:$N$154,"Atrasada")&gt;0,"Com atraso",IF(COUNTIFS(Lotes!$B$5:$B$154,DATE(Config!$B$6,4,1),Lotes!$N$5:$N$154,"Em separação")&gt;0,"Em separação",IF(H40&gt;0,"Aguardando","Fechado"))))</f>
        <v>Fechado</v>
      </c>
    </row>
    <row r="41">
      <c r="A41" s="23" t="inlineStr">
        <is>
          <t>Maio</t>
        </is>
      </c>
      <c r="B41" s="24">
        <f>COUNTIFS(Lotes!$B$5:$B$154,DATE(Config!$B$6,5,1),Lotes!$A$5:$A$154,"&lt;&gt;")</f>
        <v>3</v>
      </c>
      <c r="C41" s="24">
        <f>SUMIFS(Lotes!$C$5:$C$154,Lotes!$B$5:$B$154,DATE(Config!$B$6,5,1))</f>
        <v>100</v>
      </c>
      <c r="D41" s="25">
        <f>SUMIFS(Lotes!$D$5:$D$154,Lotes!$B$5:$B$154,DATE(Config!$B$6,5,1))</f>
        <v>10541</v>
      </c>
      <c r="E41" s="25">
        <f>SUMIFS(Lotes!$G$5:$G$154,Lotes!$B$5:$B$154,DATE(Config!$B$6,5,1))</f>
        <v>9936</v>
      </c>
      <c r="F41" s="25">
        <f>SUMIFS(Lotes!$M$5:$M$154,Lotes!$B$5:$B$154,DATE(Config!$B$6,5,1))</f>
        <v>605</v>
      </c>
      <c r="G41" s="26">
        <f>IF(E41+F41=0,"",F41/(E41+F41))</f>
        <v>0.0573949340669766</v>
      </c>
      <c r="H41" s="25">
        <f>SUMIFS(Lotes!$D$5:$D$154,Lotes!$B$5:$B$154,DATE(Config!$B$6,5,1),Lotes!$N$5:$N$154,"Aguardando")+SUMIFS(Lotes!$D$5:$D$154,Lotes!$B$5:$B$154,DATE(Config!$B$6,5,1),Lotes!$N$5:$N$154,"Atrasada")</f>
        <v>0</v>
      </c>
      <c r="I41" s="24" t="str">
        <f>IF(B41=0,"",IF(COUNTIFS(Lotes!$B$5:$B$154,DATE(Config!$B$6,5,1),Lotes!$N$5:$N$154,"Atrasada")&gt;0,"Com atraso",IF(COUNTIFS(Lotes!$B$5:$B$154,DATE(Config!$B$6,5,1),Lotes!$N$5:$N$154,"Em separação")&gt;0,"Em separação",IF(H41&gt;0,"Aguardando","Fechado"))))</f>
        <v>Fechado</v>
      </c>
    </row>
    <row r="42">
      <c r="A42" s="23" t="inlineStr">
        <is>
          <t>Junho</t>
        </is>
      </c>
      <c r="B42" s="24">
        <f>COUNTIFS(Lotes!$B$5:$B$154,DATE(Config!$B$6,6,1),Lotes!$A$5:$A$154,"&lt;&gt;")</f>
        <v>3</v>
      </c>
      <c r="C42" s="24">
        <f>SUMIFS(Lotes!$C$5:$C$154,Lotes!$B$5:$B$154,DATE(Config!$B$6,6,1))</f>
        <v>114</v>
      </c>
      <c r="D42" s="25">
        <f>SUMIFS(Lotes!$D$5:$D$154,Lotes!$B$5:$B$154,DATE(Config!$B$6,6,1))</f>
        <v>11552</v>
      </c>
      <c r="E42" s="25">
        <f>SUMIFS(Lotes!$G$5:$G$154,Lotes!$B$5:$B$154,DATE(Config!$B$6,6,1))</f>
        <v>9450</v>
      </c>
      <c r="F42" s="25">
        <f>SUMIFS(Lotes!$M$5:$M$154,Lotes!$B$5:$B$154,DATE(Config!$B$6,6,1))</f>
        <v>375</v>
      </c>
      <c r="G42" s="26">
        <f>IF(E42+F42=0,"",F42/(E42+F42))</f>
        <v>0.0381679389312977</v>
      </c>
      <c r="H42" s="25">
        <f>SUMIFS(Lotes!$D$5:$D$154,Lotes!$B$5:$B$154,DATE(Config!$B$6,6,1),Lotes!$N$5:$N$154,"Aguardando")+SUMIFS(Lotes!$D$5:$D$154,Lotes!$B$5:$B$154,DATE(Config!$B$6,6,1),Lotes!$N$5:$N$154,"Atrasada")</f>
        <v>1727</v>
      </c>
      <c r="I42" s="24" t="str">
        <f>IF(B42=0,"",IF(COUNTIFS(Lotes!$B$5:$B$154,DATE(Config!$B$6,6,1),Lotes!$N$5:$N$154,"Atrasada")&gt;0,"Com atraso",IF(COUNTIFS(Lotes!$B$5:$B$154,DATE(Config!$B$6,6,1),Lotes!$N$5:$N$154,"Em separação")&gt;0,"Em separação",IF(H42&gt;0,"Aguardando","Fechado"))))</f>
        <v>Com atraso</v>
      </c>
    </row>
    <row r="43">
      <c r="A43" s="23" t="inlineStr">
        <is>
          <t>Julho</t>
        </is>
      </c>
      <c r="B43" s="24">
        <f>COUNTIFS(Lotes!$B$5:$B$154,DATE(Config!$B$6,7,1),Lotes!$A$5:$A$154,"&lt;&gt;")</f>
        <v>3</v>
      </c>
      <c r="C43" s="24">
        <f>SUMIFS(Lotes!$C$5:$C$154,Lotes!$B$5:$B$154,DATE(Config!$B$6,7,1))</f>
        <v>100</v>
      </c>
      <c r="D43" s="25">
        <f>SUMIFS(Lotes!$D$5:$D$154,Lotes!$B$5:$B$154,DATE(Config!$B$6,7,1))</f>
        <v>10350</v>
      </c>
      <c r="E43" s="25">
        <f>SUMIFS(Lotes!$G$5:$G$154,Lotes!$B$5:$B$154,DATE(Config!$B$6,7,1))</f>
        <v>5780</v>
      </c>
      <c r="F43" s="25">
        <f>SUMIFS(Lotes!$M$5:$M$154,Lotes!$B$5:$B$154,DATE(Config!$B$6,7,1))</f>
        <v>170</v>
      </c>
      <c r="G43" s="26">
        <f>IF(E43+F43=0,"",F43/(E43+F43))</f>
        <v>0.0285714285714286</v>
      </c>
      <c r="H43" s="25">
        <f>SUMIFS(Lotes!$D$5:$D$154,Lotes!$B$5:$B$154,DATE(Config!$B$6,7,1),Lotes!$N$5:$N$154,"Aguardando")+SUMIFS(Lotes!$D$5:$D$154,Lotes!$B$5:$B$154,DATE(Config!$B$6,7,1),Lotes!$N$5:$N$154,"Atrasada")</f>
        <v>4400</v>
      </c>
      <c r="I43" s="24" t="str">
        <f>IF(B43=0,"",IF(COUNTIFS(Lotes!$B$5:$B$154,DATE(Config!$B$6,7,1),Lotes!$N$5:$N$154,"Atrasada")&gt;0,"Com atraso",IF(COUNTIFS(Lotes!$B$5:$B$154,DATE(Config!$B$6,7,1),Lotes!$N$5:$N$154,"Em separação")&gt;0,"Em separação",IF(H43&gt;0,"Aguardando","Fechado"))))</f>
        <v>Aguardando</v>
      </c>
    </row>
    <row r="44">
      <c r="A44" s="23" t="inlineStr">
        <is>
          <t>Agosto</t>
        </is>
      </c>
      <c r="B44" s="24">
        <f>COUNTIFS(Lotes!$B$5:$B$154,DATE(Config!$B$6,8,1),Lotes!$A$5:$A$154,"&lt;&gt;")</f>
        <v>3</v>
      </c>
      <c r="C44" s="24">
        <f>SUMIFS(Lotes!$C$5:$C$154,Lotes!$B$5:$B$154,DATE(Config!$B$6,8,1))</f>
        <v>97</v>
      </c>
      <c r="D44" s="25">
        <f>SUMIFS(Lotes!$D$5:$D$154,Lotes!$B$5:$B$154,DATE(Config!$B$6,8,1))</f>
        <v>9631</v>
      </c>
      <c r="E44" s="25">
        <f>SUMIFS(Lotes!$G$5:$G$154,Lotes!$B$5:$B$154,DATE(Config!$B$6,8,1))</f>
        <v>0</v>
      </c>
      <c r="F44" s="25">
        <f>SUMIFS(Lotes!$M$5:$M$154,Lotes!$B$5:$B$154,DATE(Config!$B$6,8,1))</f>
        <v>0</v>
      </c>
      <c r="G44" s="26">
        <f>IF(E44+F44=0,"",F44/(E44+F44))</f>
        <v/>
      </c>
      <c r="H44" s="25">
        <f>SUMIFS(Lotes!$D$5:$D$154,Lotes!$B$5:$B$154,DATE(Config!$B$6,8,1),Lotes!$N$5:$N$154,"Aguardando")+SUMIFS(Lotes!$D$5:$D$154,Lotes!$B$5:$B$154,DATE(Config!$B$6,8,1),Lotes!$N$5:$N$154,"Atrasada")</f>
        <v>9631</v>
      </c>
      <c r="I44" s="24" t="str">
        <f>IF(B44=0,"",IF(COUNTIFS(Lotes!$B$5:$B$154,DATE(Config!$B$6,8,1),Lotes!$N$5:$N$154,"Atrasada")&gt;0,"Com atraso",IF(COUNTIFS(Lotes!$B$5:$B$154,DATE(Config!$B$6,8,1),Lotes!$N$5:$N$154,"Em separação")&gt;0,"Em separação",IF(H44&gt;0,"Aguardando","Fechado"))))</f>
        <v>Aguardando</v>
      </c>
    </row>
    <row r="45">
      <c r="A45" s="23" t="inlineStr">
        <is>
          <t>Setembro</t>
        </is>
      </c>
      <c r="B45" s="24">
        <f>COUNTIFS(Lotes!$B$5:$B$154,DATE(Config!$B$6,9,1),Lotes!$A$5:$A$154,"&lt;&gt;")</f>
        <v>3</v>
      </c>
      <c r="C45" s="24">
        <f>SUMIFS(Lotes!$C$5:$C$154,Lotes!$B$5:$B$154,DATE(Config!$B$6,9,1))</f>
        <v>42</v>
      </c>
      <c r="D45" s="25">
        <f>SUMIFS(Lotes!$D$5:$D$154,Lotes!$B$5:$B$154,DATE(Config!$B$6,9,1))</f>
        <v>4425</v>
      </c>
      <c r="E45" s="25">
        <f>SUMIFS(Lotes!$G$5:$G$154,Lotes!$B$5:$B$154,DATE(Config!$B$6,9,1))</f>
        <v>0</v>
      </c>
      <c r="F45" s="25">
        <f>SUMIFS(Lotes!$M$5:$M$154,Lotes!$B$5:$B$154,DATE(Config!$B$6,9,1))</f>
        <v>0</v>
      </c>
      <c r="G45" s="26">
        <f>IF(E45+F45=0,"",F45/(E45+F45))</f>
        <v/>
      </c>
      <c r="H45" s="25">
        <f>SUMIFS(Lotes!$D$5:$D$154,Lotes!$B$5:$B$154,DATE(Config!$B$6,9,1),Lotes!$N$5:$N$154,"Aguardando")+SUMIFS(Lotes!$D$5:$D$154,Lotes!$B$5:$B$154,DATE(Config!$B$6,9,1),Lotes!$N$5:$N$154,"Atrasada")</f>
        <v>0</v>
      </c>
      <c r="I45" s="24" t="str">
        <f>IF(B45=0,"",IF(COUNTIFS(Lotes!$B$5:$B$154,DATE(Config!$B$6,9,1),Lotes!$N$5:$N$154,"Atrasada")&gt;0,"Com atraso",IF(COUNTIFS(Lotes!$B$5:$B$154,DATE(Config!$B$6,9,1),Lotes!$N$5:$N$154,"Em separação")&gt;0,"Em separação",IF(H45&gt;0,"Aguardando","Fechado"))))</f>
        <v>Em separação</v>
      </c>
    </row>
    <row r="46">
      <c r="A46" s="23" t="inlineStr">
        <is>
          <t>Outubro</t>
        </is>
      </c>
      <c r="B46" s="24">
        <f>COUNTIFS(Lotes!$B$5:$B$154,DATE(Config!$B$6,10,1),Lotes!$A$5:$A$154,"&lt;&gt;")</f>
        <v>0</v>
      </c>
      <c r="C46" s="24">
        <f>SUMIFS(Lotes!$C$5:$C$154,Lotes!$B$5:$B$154,DATE(Config!$B$6,10,1))</f>
        <v>0</v>
      </c>
      <c r="D46" s="25">
        <f>SUMIFS(Lotes!$D$5:$D$154,Lotes!$B$5:$B$154,DATE(Config!$B$6,10,1))</f>
        <v>0</v>
      </c>
      <c r="E46" s="25">
        <f>SUMIFS(Lotes!$G$5:$G$154,Lotes!$B$5:$B$154,DATE(Config!$B$6,10,1))</f>
        <v>0</v>
      </c>
      <c r="F46" s="25">
        <f>SUMIFS(Lotes!$M$5:$M$154,Lotes!$B$5:$B$154,DATE(Config!$B$6,10,1))</f>
        <v>0</v>
      </c>
      <c r="G46" s="26">
        <f>IF(E46+F46=0,"",F46/(E46+F46))</f>
        <v/>
      </c>
      <c r="H46" s="25">
        <f>SUMIFS(Lotes!$D$5:$D$154,Lotes!$B$5:$B$154,DATE(Config!$B$6,10,1),Lotes!$N$5:$N$154,"Aguardando")+SUMIFS(Lotes!$D$5:$D$154,Lotes!$B$5:$B$154,DATE(Config!$B$6,10,1),Lotes!$N$5:$N$154,"Atrasada")</f>
        <v>0</v>
      </c>
      <c r="I46" s="24">
        <f>IF(B46=0,"",IF(COUNTIFS(Lotes!$B$5:$B$154,DATE(Config!$B$6,10,1),Lotes!$N$5:$N$154,"Atrasada")&gt;0,"Com atraso",IF(COUNTIFS(Lotes!$B$5:$B$154,DATE(Config!$B$6,10,1),Lotes!$N$5:$N$154,"Em separação")&gt;0,"Em separação",IF(H46&gt;0,"Aguardando","Fechado"))))</f>
        <v/>
      </c>
    </row>
    <row r="47">
      <c r="A47" s="23" t="inlineStr">
        <is>
          <t>Novembro</t>
        </is>
      </c>
      <c r="B47" s="24">
        <f>COUNTIFS(Lotes!$B$5:$B$154,DATE(Config!$B$6,11,1),Lotes!$A$5:$A$154,"&lt;&gt;")</f>
        <v>0</v>
      </c>
      <c r="C47" s="24">
        <f>SUMIFS(Lotes!$C$5:$C$154,Lotes!$B$5:$B$154,DATE(Config!$B$6,11,1))</f>
        <v>0</v>
      </c>
      <c r="D47" s="25">
        <f>SUMIFS(Lotes!$D$5:$D$154,Lotes!$B$5:$B$154,DATE(Config!$B$6,11,1))</f>
        <v>0</v>
      </c>
      <c r="E47" s="25">
        <f>SUMIFS(Lotes!$G$5:$G$154,Lotes!$B$5:$B$154,DATE(Config!$B$6,11,1))</f>
        <v>0</v>
      </c>
      <c r="F47" s="25">
        <f>SUMIFS(Lotes!$M$5:$M$154,Lotes!$B$5:$B$154,DATE(Config!$B$6,11,1))</f>
        <v>0</v>
      </c>
      <c r="G47" s="26">
        <f>IF(E47+F47=0,"",F47/(E47+F47))</f>
        <v/>
      </c>
      <c r="H47" s="25">
        <f>SUMIFS(Lotes!$D$5:$D$154,Lotes!$B$5:$B$154,DATE(Config!$B$6,11,1),Lotes!$N$5:$N$154,"Aguardando")+SUMIFS(Lotes!$D$5:$D$154,Lotes!$B$5:$B$154,DATE(Config!$B$6,11,1),Lotes!$N$5:$N$154,"Atrasada")</f>
        <v>0</v>
      </c>
      <c r="I47" s="24">
        <f>IF(B47=0,"",IF(COUNTIFS(Lotes!$B$5:$B$154,DATE(Config!$B$6,11,1),Lotes!$N$5:$N$154,"Atrasada")&gt;0,"Com atraso",IF(COUNTIFS(Lotes!$B$5:$B$154,DATE(Config!$B$6,11,1),Lotes!$N$5:$N$154,"Em separação")&gt;0,"Em separação",IF(H47&gt;0,"Aguardando","Fechado"))))</f>
        <v/>
      </c>
    </row>
    <row r="48">
      <c r="A48" s="23" t="inlineStr">
        <is>
          <t>Dezembro</t>
        </is>
      </c>
      <c r="B48" s="24">
        <f>COUNTIFS(Lotes!$B$5:$B$154,DATE(Config!$B$6,12,1),Lotes!$A$5:$A$154,"&lt;&gt;")</f>
        <v>0</v>
      </c>
      <c r="C48" s="24">
        <f>SUMIFS(Lotes!$C$5:$C$154,Lotes!$B$5:$B$154,DATE(Config!$B$6,12,1))</f>
        <v>0</v>
      </c>
      <c r="D48" s="25">
        <f>SUMIFS(Lotes!$D$5:$D$154,Lotes!$B$5:$B$154,DATE(Config!$B$6,12,1))</f>
        <v>0</v>
      </c>
      <c r="E48" s="25">
        <f>SUMIFS(Lotes!$G$5:$G$154,Lotes!$B$5:$B$154,DATE(Config!$B$6,12,1))</f>
        <v>0</v>
      </c>
      <c r="F48" s="25">
        <f>SUMIFS(Lotes!$M$5:$M$154,Lotes!$B$5:$B$154,DATE(Config!$B$6,12,1))</f>
        <v>0</v>
      </c>
      <c r="G48" s="26">
        <f>IF(E48+F48=0,"",F48/(E48+F48))</f>
        <v/>
      </c>
      <c r="H48" s="25">
        <f>SUMIFS(Lotes!$D$5:$D$154,Lotes!$B$5:$B$154,DATE(Config!$B$6,12,1),Lotes!$N$5:$N$154,"Aguardando")+SUMIFS(Lotes!$D$5:$D$154,Lotes!$B$5:$B$154,DATE(Config!$B$6,12,1),Lotes!$N$5:$N$154,"Atrasada")</f>
        <v>0</v>
      </c>
      <c r="I48" s="24">
        <f>IF(B48=0,"",IF(COUNTIFS(Lotes!$B$5:$B$154,DATE(Config!$B$6,12,1),Lotes!$N$5:$N$154,"Atrasada")&gt;0,"Com atraso",IF(COUNTIFS(Lotes!$B$5:$B$154,DATE(Config!$B$6,12,1),Lotes!$N$5:$N$154,"Em separação")&gt;0,"Em separação",IF(H48&gt;0,"Aguardando","Fechado"))))</f>
        <v/>
      </c>
    </row>
    <row r="49"/>
    <row r="50"/>
    <row r="51">
      <c r="A51" s="21" t="inlineStr">
        <is>
          <t>Guias glosadas para recorrer (maiores primeiro; recurso aceito sai da lista)</t>
        </is>
      </c>
    </row>
    <row r="52" ht="26" customHeight="1">
      <c r="A52" s="22" t="inlineStr">
        <is>
          <t>#</t>
        </is>
      </c>
      <c r="B52" s="22" t="inlineStr">
        <is>
          <t>Guia</t>
        </is>
      </c>
      <c r="C52" s="22" t="inlineStr">
        <is>
          <t>Data</t>
        </is>
      </c>
      <c r="D52" s="22" t="inlineStr">
        <is>
          <t>Paciente</t>
        </is>
      </c>
      <c r="E52" s="22" t="inlineStr">
        <is>
          <t>Convênio</t>
        </is>
      </c>
      <c r="F52" s="22" t="inlineStr">
        <is>
          <t>Procedimento</t>
        </is>
      </c>
      <c r="G52" s="22" t="inlineStr">
        <is>
          <t>Profissional</t>
        </is>
      </c>
      <c r="H52" s="22" t="inlineStr">
        <is>
          <t>Valor (R$)</t>
        </is>
      </c>
      <c r="I52" s="22" t="inlineStr">
        <is>
          <t>Recurso</t>
        </is>
      </c>
    </row>
    <row r="53">
      <c r="A53" s="24" t="n">
        <v>1</v>
      </c>
      <c r="B53" s="24" t="str">
        <f>IFERROR(IF(LARGE(Guias!$N$5:$N$1504,1)&gt;0,INDEX(Guias!$A$5:$A$1504,MATCH(LARGE(Guias!$N$5:$N$1504,1),Guias!$N$5:$N$1504,0)),""),"")</f>
        <v>G2026-0577</v>
      </c>
      <c r="C53" s="31">
        <f>IFERROR(IF(LARGE(Guias!$N$5:$N$1504,1)&gt;0,INDEX(Guias!$B$5:$B$1504,MATCH(LARGE(Guias!$N$5:$N$1504,1),Guias!$N$5:$N$1504,0)),""),"")</f>
        <v>46212.0</v>
      </c>
      <c r="D53" s="23" t="str">
        <f>IFERROR(IF(LARGE(Guias!$N$5:$N$1504,1)&gt;0,INDEX(Guias!$C$5:$C$1504,MATCH(LARGE(Guias!$N$5:$N$1504,1),Guias!$N$5:$N$1504,0)),""),"")</f>
        <v>Isabela Barbosa</v>
      </c>
      <c r="E53" s="24" t="str">
        <f>IFERROR(IF(LARGE(Guias!$N$5:$N$1504,1)&gt;0,INDEX(Guias!$D$5:$D$1504,MATCH(LARGE(Guias!$N$5:$N$1504,1),Guias!$N$5:$N$1504,0)),""),"")</f>
        <v>Saúde Total</v>
      </c>
      <c r="F53" s="23" t="str">
        <f>IFERROR(IF(LARGE(Guias!$N$5:$N$1504,1)&gt;0,INDEX(Guias!$E$5:$E$1504,MATCH(LARGE(Guias!$N$5:$N$1504,1),Guias!$N$5:$N$1504,0)),""),"")</f>
        <v>Avaliação endócrina</v>
      </c>
      <c r="G53" s="23" t="str">
        <f>IFERROR(IF(LARGE(Guias!$N$5:$N$1504,1)&gt;0,INDEX(Guias!$F$5:$F$1504,MATCH(LARGE(Guias!$N$5:$N$1504,1),Guias!$N$5:$N$1504,0)),""),"")</f>
        <v>Dra. Renata Sousa</v>
      </c>
      <c r="H53" s="25">
        <f>IFERROR(IF(LARGE(Guias!$N$5:$N$1504,1)&gt;0,INDEX(Guias!$G$5:$G$1504,MATCH(LARGE(Guias!$N$5:$N$1504,1),Guias!$N$5:$N$1504,0)),""),"")</f>
        <v>130</v>
      </c>
      <c r="I53" s="24" t="str">
        <f>IFERROR(IF(LARGE(Guias!$N$5:$N$1504,1)&gt;0,IF(INDEX(Guias!$I$5:$I$1504,MATCH(LARGE(Guias!$N$5:$N$1504,1),Guias!$N$5:$N$1504,0))=0,"—",INDEX(Guias!$I$5:$I$1504,MATCH(LARGE(Guias!$N$5:$N$1504,1),Guias!$N$5:$N$1504,0))),""),"")</f>
        <v>—</v>
      </c>
    </row>
    <row r="54">
      <c r="A54" s="24" t="n">
        <v>2</v>
      </c>
      <c r="B54" s="24" t="str">
        <f>IFERROR(IF(LARGE(Guias!$N$5:$N$1504,2)&gt;0,INDEX(Guias!$A$5:$A$1504,MATCH(LARGE(Guias!$N$5:$N$1504,2),Guias!$N$5:$N$1504,0)),""),"")</f>
        <v>G2026-0495</v>
      </c>
      <c r="C54" s="31">
        <f>IFERROR(IF(LARGE(Guias!$N$5:$N$1504,2)&gt;0,INDEX(Guias!$B$5:$B$1504,MATCH(LARGE(Guias!$N$5:$N$1504,2),Guias!$N$5:$N$1504,0)),""),"")</f>
        <v>46191.0</v>
      </c>
      <c r="D54" s="23" t="str">
        <f>IFERROR(IF(LARGE(Guias!$N$5:$N$1504,2)&gt;0,INDEX(Guias!$C$5:$C$1504,MATCH(LARGE(Guias!$N$5:$N$1504,2),Guias!$N$5:$N$1504,0)),""),"")</f>
        <v>Daniel Melo</v>
      </c>
      <c r="E54" s="24" t="str">
        <f>IFERROR(IF(LARGE(Guias!$N$5:$N$1504,2)&gt;0,INDEX(Guias!$D$5:$D$1504,MATCH(LARGE(Guias!$N$5:$N$1504,2),Guias!$N$5:$N$1504,0)),""),"")</f>
        <v>Saúde Total</v>
      </c>
      <c r="F54" s="23" t="str">
        <f>IFERROR(IF(LARGE(Guias!$N$5:$N$1504,2)&gt;0,INDEX(Guias!$E$5:$E$1504,MATCH(LARGE(Guias!$N$5:$N$1504,2),Guias!$N$5:$N$1504,0)),""),"")</f>
        <v>Consulta</v>
      </c>
      <c r="G54" s="23" t="str">
        <f>IFERROR(IF(LARGE(Guias!$N$5:$N$1504,2)&gt;0,INDEX(Guias!$F$5:$F$1504,MATCH(LARGE(Guias!$N$5:$N$1504,2),Guias!$N$5:$N$1504,0)),""),"")</f>
        <v>Dra. Carolina Mendes</v>
      </c>
      <c r="H54" s="25">
        <f>IFERROR(IF(LARGE(Guias!$N$5:$N$1504,2)&gt;0,INDEX(Guias!$G$5:$G$1504,MATCH(LARGE(Guias!$N$5:$N$1504,2),Guias!$N$5:$N$1504,0)),""),"")</f>
        <v>120</v>
      </c>
      <c r="I54" s="24" t="str">
        <f>IFERROR(IF(LARGE(Guias!$N$5:$N$1504,2)&gt;0,IF(INDEX(Guias!$I$5:$I$1504,MATCH(LARGE(Guias!$N$5:$N$1504,2),Guias!$N$5:$N$1504,0))=0,"—",INDEX(Guias!$I$5:$I$1504,MATCH(LARGE(Guias!$N$5:$N$1504,2),Guias!$N$5:$N$1504,0))),""),"")</f>
        <v>Em recurso</v>
      </c>
    </row>
    <row r="55">
      <c r="A55" s="24" t="n">
        <v>3</v>
      </c>
      <c r="B55" s="24" t="str">
        <f>IFERROR(IF(LARGE(Guias!$N$5:$N$1504,3)&gt;0,INDEX(Guias!$A$5:$A$1504,MATCH(LARGE(Guias!$N$5:$N$1504,3),Guias!$N$5:$N$1504,0)),""),"")</f>
        <v>G2026-0481</v>
      </c>
      <c r="C55" s="31">
        <f>IFERROR(IF(LARGE(Guias!$N$5:$N$1504,3)&gt;0,INDEX(Guias!$B$5:$B$1504,MATCH(LARGE(Guias!$N$5:$N$1504,3),Guias!$N$5:$N$1504,0)),""),"")</f>
        <v>46189.0</v>
      </c>
      <c r="D55" s="23" t="str">
        <f>IFERROR(IF(LARGE(Guias!$N$5:$N$1504,3)&gt;0,INDEX(Guias!$C$5:$C$1504,MATCH(LARGE(Guias!$N$5:$N$1504,3),Guias!$N$5:$N$1504,0)),""),"")</f>
        <v>Carlos Castro</v>
      </c>
      <c r="E55" s="24" t="str">
        <f>IFERROR(IF(LARGE(Guias!$N$5:$N$1504,3)&gt;0,INDEX(Guias!$D$5:$D$1504,MATCH(LARGE(Guias!$N$5:$N$1504,3),Guias!$N$5:$N$1504,0)),""),"")</f>
        <v>Saúde Total</v>
      </c>
      <c r="F55" s="23" t="str">
        <f>IFERROR(IF(LARGE(Guias!$N$5:$N$1504,3)&gt;0,INDEX(Guias!$E$5:$E$1504,MATCH(LARGE(Guias!$N$5:$N$1504,3),Guias!$N$5:$N$1504,0)),""),"")</f>
        <v>Consulta</v>
      </c>
      <c r="G55" s="23" t="str">
        <f>IFERROR(IF(LARGE(Guias!$N$5:$N$1504,3)&gt;0,INDEX(Guias!$F$5:$F$1504,MATCH(LARGE(Guias!$N$5:$N$1504,3),Guias!$N$5:$N$1504,0)),""),"")</f>
        <v>Dra. Carolina Mendes</v>
      </c>
      <c r="H55" s="25">
        <f>IFERROR(IF(LARGE(Guias!$N$5:$N$1504,3)&gt;0,INDEX(Guias!$G$5:$G$1504,MATCH(LARGE(Guias!$N$5:$N$1504,3),Guias!$N$5:$N$1504,0)),""),"")</f>
        <v>120</v>
      </c>
      <c r="I55" s="24" t="str">
        <f>IFERROR(IF(LARGE(Guias!$N$5:$N$1504,3)&gt;0,IF(INDEX(Guias!$I$5:$I$1504,MATCH(LARGE(Guias!$N$5:$N$1504,3),Guias!$N$5:$N$1504,0))=0,"—",INDEX(Guias!$I$5:$I$1504,MATCH(LARGE(Guias!$N$5:$N$1504,3),Guias!$N$5:$N$1504,0))),""),"")</f>
        <v>Em recurso</v>
      </c>
    </row>
    <row r="56">
      <c r="A56" s="24" t="n">
        <v>4</v>
      </c>
      <c r="B56" s="24" t="str">
        <f>IFERROR(IF(LARGE(Guias!$N$5:$N$1504,4)&gt;0,INDEX(Guias!$A$5:$A$1504,MATCH(LARGE(Guias!$N$5:$N$1504,4),Guias!$N$5:$N$1504,0)),""),"")</f>
        <v>G2026-0483</v>
      </c>
      <c r="C56" s="31">
        <f>IFERROR(IF(LARGE(Guias!$N$5:$N$1504,4)&gt;0,INDEX(Guias!$B$5:$B$1504,MATCH(LARGE(Guias!$N$5:$N$1504,4),Guias!$N$5:$N$1504,0)),""),"")</f>
        <v>46189.0</v>
      </c>
      <c r="D56" s="23" t="str">
        <f>IFERROR(IF(LARGE(Guias!$N$5:$N$1504,4)&gt;0,INDEX(Guias!$C$5:$C$1504,MATCH(LARGE(Guias!$N$5:$N$1504,4),Guias!$N$5:$N$1504,0)),""),"")</f>
        <v>Sérgio Teixeira</v>
      </c>
      <c r="E56" s="24" t="str">
        <f>IFERROR(IF(LARGE(Guias!$N$5:$N$1504,4)&gt;0,INDEX(Guias!$D$5:$D$1504,MATCH(LARGE(Guias!$N$5:$N$1504,4),Guias!$N$5:$N$1504,0)),""),"")</f>
        <v>MediPlan</v>
      </c>
      <c r="F56" s="23" t="str">
        <f>IFERROR(IF(LARGE(Guias!$N$5:$N$1504,4)&gt;0,INDEX(Guias!$E$5:$E$1504,MATCH(LARGE(Guias!$N$5:$N$1504,4),Guias!$N$5:$N$1504,0)),""),"")</f>
        <v>Consulta</v>
      </c>
      <c r="G56" s="23" t="str">
        <f>IFERROR(IF(LARGE(Guias!$N$5:$N$1504,4)&gt;0,INDEX(Guias!$F$5:$F$1504,MATCH(LARGE(Guias!$N$5:$N$1504,4),Guias!$N$5:$N$1504,0)),""),"")</f>
        <v>Dr. Paulo Andrade</v>
      </c>
      <c r="H56" s="25">
        <f>IFERROR(IF(LARGE(Guias!$N$5:$N$1504,4)&gt;0,INDEX(Guias!$G$5:$G$1504,MATCH(LARGE(Guias!$N$5:$N$1504,4),Guias!$N$5:$N$1504,0)),""),"")</f>
        <v>100</v>
      </c>
      <c r="I56" s="24" t="str">
        <f>IFERROR(IF(LARGE(Guias!$N$5:$N$1504,4)&gt;0,IF(INDEX(Guias!$I$5:$I$1504,MATCH(LARGE(Guias!$N$5:$N$1504,4),Guias!$N$5:$N$1504,0))=0,"—",INDEX(Guias!$I$5:$I$1504,MATCH(LARGE(Guias!$N$5:$N$1504,4),Guias!$N$5:$N$1504,0))),""),"")</f>
        <v>—</v>
      </c>
    </row>
    <row r="57">
      <c r="A57" s="24" t="n">
        <v>5</v>
      </c>
      <c r="B57" s="24" t="str">
        <f>IFERROR(IF(LARGE(Guias!$N$5:$N$1504,5)&gt;0,INDEX(Guias!$A$5:$A$1504,MATCH(LARGE(Guias!$N$5:$N$1504,5),Guias!$N$5:$N$1504,0)),""),"")</f>
        <v>G2026-0582</v>
      </c>
      <c r="C57" s="31">
        <f>IFERROR(IF(LARGE(Guias!$N$5:$N$1504,5)&gt;0,INDEX(Guias!$B$5:$B$1504,MATCH(LARGE(Guias!$N$5:$N$1504,5),Guias!$N$5:$N$1504,0)),""),"")</f>
        <v>46213.0</v>
      </c>
      <c r="D57" s="23" t="str">
        <f>IFERROR(IF(LARGE(Guias!$N$5:$N$1504,5)&gt;0,INDEX(Guias!$C$5:$C$1504,MATCH(LARGE(Guias!$N$5:$N$1504,5),Guias!$N$5:$N$1504,0)),""),"")</f>
        <v>Débora Machado</v>
      </c>
      <c r="E57" s="24" t="str">
        <f>IFERROR(IF(LARGE(Guias!$N$5:$N$1504,5)&gt;0,INDEX(Guias!$D$5:$D$1504,MATCH(LARGE(Guias!$N$5:$N$1504,5),Guias!$N$5:$N$1504,0)),""),"")</f>
        <v>Saúde Total</v>
      </c>
      <c r="F57" s="23" t="str">
        <f>IFERROR(IF(LARGE(Guias!$N$5:$N$1504,5)&gt;0,INDEX(Guias!$E$5:$E$1504,MATCH(LARGE(Guias!$N$5:$N$1504,5),Guias!$N$5:$N$1504,0)),""),"")</f>
        <v>ECG</v>
      </c>
      <c r="G57" s="23" t="str">
        <f>IFERROR(IF(LARGE(Guias!$N$5:$N$1504,5)&gt;0,INDEX(Guias!$F$5:$F$1504,MATCH(LARGE(Guias!$N$5:$N$1504,5),Guias!$N$5:$N$1504,0)),""),"")</f>
        <v>Dr. Paulo Andrade</v>
      </c>
      <c r="H57" s="25">
        <f>IFERROR(IF(LARGE(Guias!$N$5:$N$1504,5)&gt;0,INDEX(Guias!$G$5:$G$1504,MATCH(LARGE(Guias!$N$5:$N$1504,5),Guias!$N$5:$N$1504,0)),""),"")</f>
        <v>40</v>
      </c>
      <c r="I57" s="24" t="str">
        <f>IFERROR(IF(LARGE(Guias!$N$5:$N$1504,5)&gt;0,IF(INDEX(Guias!$I$5:$I$1504,MATCH(LARGE(Guias!$N$5:$N$1504,5),Guias!$N$5:$N$1504,0))=0,"—",INDEX(Guias!$I$5:$I$1504,MATCH(LARGE(Guias!$N$5:$N$1504,5),Guias!$N$5:$N$1504,0))),""),"")</f>
        <v>—</v>
      </c>
    </row>
    <row r="58">
      <c r="A58" s="24" t="n">
        <v>6</v>
      </c>
      <c r="B58" s="24" t="str">
        <f>IFERROR(IF(LARGE(Guias!$N$5:$N$1504,6)&gt;0,INDEX(Guias!$A$5:$A$1504,MATCH(LARGE(Guias!$N$5:$N$1504,6),Guias!$N$5:$N$1504,0)),""),"")</f>
        <v>G2026-0527</v>
      </c>
      <c r="C58" s="31">
        <f>IFERROR(IF(LARGE(Guias!$N$5:$N$1504,6)&gt;0,INDEX(Guias!$B$5:$B$1504,MATCH(LARGE(Guias!$N$5:$N$1504,6),Guias!$N$5:$N$1504,0)),""),"")</f>
        <v>46198.0</v>
      </c>
      <c r="D58" s="23" t="str">
        <f>IFERROR(IF(LARGE(Guias!$N$5:$N$1504,6)&gt;0,INDEX(Guias!$C$5:$C$1504,MATCH(LARGE(Guias!$N$5:$N$1504,6),Guias!$N$5:$N$1504,0)),""),"")</f>
        <v>Sérgio Batista</v>
      </c>
      <c r="E58" s="24" t="str">
        <f>IFERROR(IF(LARGE(Guias!$N$5:$N$1504,6)&gt;0,INDEX(Guias!$D$5:$D$1504,MATCH(LARGE(Guias!$N$5:$N$1504,6),Guias!$N$5:$N$1504,0)),""),"")</f>
        <v>MediPlan</v>
      </c>
      <c r="F58" s="23" t="str">
        <f>IFERROR(IF(LARGE(Guias!$N$5:$N$1504,6)&gt;0,INDEX(Guias!$E$5:$E$1504,MATCH(LARGE(Guias!$N$5:$N$1504,6),Guias!$N$5:$N$1504,0)),""),"")</f>
        <v>ECG</v>
      </c>
      <c r="G58" s="23" t="str">
        <f>IFERROR(IF(LARGE(Guias!$N$5:$N$1504,6)&gt;0,INDEX(Guias!$F$5:$F$1504,MATCH(LARGE(Guias!$N$5:$N$1504,6),Guias!$N$5:$N$1504,0)),""),"")</f>
        <v>Dr. Paulo Andrade</v>
      </c>
      <c r="H58" s="25">
        <f>IFERROR(IF(LARGE(Guias!$N$5:$N$1504,6)&gt;0,INDEX(Guias!$G$5:$G$1504,MATCH(LARGE(Guias!$N$5:$N$1504,6),Guias!$N$5:$N$1504,0)),""),"")</f>
        <v>35</v>
      </c>
      <c r="I58" s="24" t="str">
        <f>IFERROR(IF(LARGE(Guias!$N$5:$N$1504,6)&gt;0,IF(INDEX(Guias!$I$5:$I$1504,MATCH(LARGE(Guias!$N$5:$N$1504,6),Guias!$N$5:$N$1504,0))=0,"—",INDEX(Guias!$I$5:$I$1504,MATCH(LARGE(Guias!$N$5:$N$1504,6),Guias!$N$5:$N$1504,0))),""),"")</f>
        <v>—</v>
      </c>
    </row>
    <row r="59">
      <c r="A59" s="24" t="n">
        <v>7</v>
      </c>
      <c r="B59" s="24">
        <f>IFERROR(IF(LARGE(Guias!$N$5:$N$1504,7)&gt;0,INDEX(Guias!$A$5:$A$1504,MATCH(LARGE(Guias!$N$5:$N$1504,7),Guias!$N$5:$N$1504,0)),""),"")</f>
        <v/>
      </c>
      <c r="C59" s="31">
        <f>IFERROR(IF(LARGE(Guias!$N$5:$N$1504,7)&gt;0,INDEX(Guias!$B$5:$B$1504,MATCH(LARGE(Guias!$N$5:$N$1504,7),Guias!$N$5:$N$1504,0)),""),"")</f>
        <v/>
      </c>
      <c r="D59" s="23">
        <f>IFERROR(IF(LARGE(Guias!$N$5:$N$1504,7)&gt;0,INDEX(Guias!$C$5:$C$1504,MATCH(LARGE(Guias!$N$5:$N$1504,7),Guias!$N$5:$N$1504,0)),""),"")</f>
        <v/>
      </c>
      <c r="E59" s="24">
        <f>IFERROR(IF(LARGE(Guias!$N$5:$N$1504,7)&gt;0,INDEX(Guias!$D$5:$D$1504,MATCH(LARGE(Guias!$N$5:$N$1504,7),Guias!$N$5:$N$1504,0)),""),"")</f>
        <v/>
      </c>
      <c r="F59" s="23">
        <f>IFERROR(IF(LARGE(Guias!$N$5:$N$1504,7)&gt;0,INDEX(Guias!$E$5:$E$1504,MATCH(LARGE(Guias!$N$5:$N$1504,7),Guias!$N$5:$N$1504,0)),""),"")</f>
        <v/>
      </c>
      <c r="G59" s="23">
        <f>IFERROR(IF(LARGE(Guias!$N$5:$N$1504,7)&gt;0,INDEX(Guias!$F$5:$F$1504,MATCH(LARGE(Guias!$N$5:$N$1504,7),Guias!$N$5:$N$1504,0)),""),"")</f>
        <v/>
      </c>
      <c r="H59" s="25">
        <f>IFERROR(IF(LARGE(Guias!$N$5:$N$1504,7)&gt;0,INDEX(Guias!$G$5:$G$1504,MATCH(LARGE(Guias!$N$5:$N$1504,7),Guias!$N$5:$N$1504,0)),""),"")</f>
        <v/>
      </c>
      <c r="I59" s="24">
        <f>IFERROR(IF(LARGE(Guias!$N$5:$N$1504,7)&gt;0,IF(INDEX(Guias!$I$5:$I$1504,MATCH(LARGE(Guias!$N$5:$N$1504,7),Guias!$N$5:$N$1504,0))=0,"—",INDEX(Guias!$I$5:$I$1504,MATCH(LARGE(Guias!$N$5:$N$1504,7),Guias!$N$5:$N$1504,0))),""),"")</f>
        <v/>
      </c>
    </row>
    <row r="60">
      <c r="A60" s="24" t="n">
        <v>8</v>
      </c>
      <c r="B60" s="24">
        <f>IFERROR(IF(LARGE(Guias!$N$5:$N$1504,8)&gt;0,INDEX(Guias!$A$5:$A$1504,MATCH(LARGE(Guias!$N$5:$N$1504,8),Guias!$N$5:$N$1504,0)),""),"")</f>
        <v/>
      </c>
      <c r="C60" s="31">
        <f>IFERROR(IF(LARGE(Guias!$N$5:$N$1504,8)&gt;0,INDEX(Guias!$B$5:$B$1504,MATCH(LARGE(Guias!$N$5:$N$1504,8),Guias!$N$5:$N$1504,0)),""),"")</f>
        <v/>
      </c>
      <c r="D60" s="23">
        <f>IFERROR(IF(LARGE(Guias!$N$5:$N$1504,8)&gt;0,INDEX(Guias!$C$5:$C$1504,MATCH(LARGE(Guias!$N$5:$N$1504,8),Guias!$N$5:$N$1504,0)),""),"")</f>
        <v/>
      </c>
      <c r="E60" s="24">
        <f>IFERROR(IF(LARGE(Guias!$N$5:$N$1504,8)&gt;0,INDEX(Guias!$D$5:$D$1504,MATCH(LARGE(Guias!$N$5:$N$1504,8),Guias!$N$5:$N$1504,0)),""),"")</f>
        <v/>
      </c>
      <c r="F60" s="23">
        <f>IFERROR(IF(LARGE(Guias!$N$5:$N$1504,8)&gt;0,INDEX(Guias!$E$5:$E$1504,MATCH(LARGE(Guias!$N$5:$N$1504,8),Guias!$N$5:$N$1504,0)),""),"")</f>
        <v/>
      </c>
      <c r="G60" s="23">
        <f>IFERROR(IF(LARGE(Guias!$N$5:$N$1504,8)&gt;0,INDEX(Guias!$F$5:$F$1504,MATCH(LARGE(Guias!$N$5:$N$1504,8),Guias!$N$5:$N$1504,0)),""),"")</f>
        <v/>
      </c>
      <c r="H60" s="25">
        <f>IFERROR(IF(LARGE(Guias!$N$5:$N$1504,8)&gt;0,INDEX(Guias!$G$5:$G$1504,MATCH(LARGE(Guias!$N$5:$N$1504,8),Guias!$N$5:$N$1504,0)),""),"")</f>
        <v/>
      </c>
      <c r="I60" s="24">
        <f>IFERROR(IF(LARGE(Guias!$N$5:$N$1504,8)&gt;0,IF(INDEX(Guias!$I$5:$I$1504,MATCH(LARGE(Guias!$N$5:$N$1504,8),Guias!$N$5:$N$1504,0))=0,"—",INDEX(Guias!$I$5:$I$1504,MATCH(LARGE(Guias!$N$5:$N$1504,8),Guias!$N$5:$N$1504,0))),""),"")</f>
        <v/>
      </c>
    </row>
    <row r="61">
      <c r="A61" s="24" t="n">
        <v>9</v>
      </c>
      <c r="B61" s="24">
        <f>IFERROR(IF(LARGE(Guias!$N$5:$N$1504,9)&gt;0,INDEX(Guias!$A$5:$A$1504,MATCH(LARGE(Guias!$N$5:$N$1504,9),Guias!$N$5:$N$1504,0)),""),"")</f>
        <v/>
      </c>
      <c r="C61" s="31">
        <f>IFERROR(IF(LARGE(Guias!$N$5:$N$1504,9)&gt;0,INDEX(Guias!$B$5:$B$1504,MATCH(LARGE(Guias!$N$5:$N$1504,9),Guias!$N$5:$N$1504,0)),""),"")</f>
        <v/>
      </c>
      <c r="D61" s="23">
        <f>IFERROR(IF(LARGE(Guias!$N$5:$N$1504,9)&gt;0,INDEX(Guias!$C$5:$C$1504,MATCH(LARGE(Guias!$N$5:$N$1504,9),Guias!$N$5:$N$1504,0)),""),"")</f>
        <v/>
      </c>
      <c r="E61" s="24">
        <f>IFERROR(IF(LARGE(Guias!$N$5:$N$1504,9)&gt;0,INDEX(Guias!$D$5:$D$1504,MATCH(LARGE(Guias!$N$5:$N$1504,9),Guias!$N$5:$N$1504,0)),""),"")</f>
        <v/>
      </c>
      <c r="F61" s="23">
        <f>IFERROR(IF(LARGE(Guias!$N$5:$N$1504,9)&gt;0,INDEX(Guias!$E$5:$E$1504,MATCH(LARGE(Guias!$N$5:$N$1504,9),Guias!$N$5:$N$1504,0)),""),"")</f>
        <v/>
      </c>
      <c r="G61" s="23">
        <f>IFERROR(IF(LARGE(Guias!$N$5:$N$1504,9)&gt;0,INDEX(Guias!$F$5:$F$1504,MATCH(LARGE(Guias!$N$5:$N$1504,9),Guias!$N$5:$N$1504,0)),""),"")</f>
        <v/>
      </c>
      <c r="H61" s="25">
        <f>IFERROR(IF(LARGE(Guias!$N$5:$N$1504,9)&gt;0,INDEX(Guias!$G$5:$G$1504,MATCH(LARGE(Guias!$N$5:$N$1504,9),Guias!$N$5:$N$1504,0)),""),"")</f>
        <v/>
      </c>
      <c r="I61" s="24">
        <f>IFERROR(IF(LARGE(Guias!$N$5:$N$1504,9)&gt;0,IF(INDEX(Guias!$I$5:$I$1504,MATCH(LARGE(Guias!$N$5:$N$1504,9),Guias!$N$5:$N$1504,0))=0,"—",INDEX(Guias!$I$5:$I$1504,MATCH(LARGE(Guias!$N$5:$N$1504,9),Guias!$N$5:$N$1504,0))),""),"")</f>
        <v/>
      </c>
    </row>
    <row r="62">
      <c r="A62" s="24" t="n">
        <v>10</v>
      </c>
      <c r="B62" s="24">
        <f>IFERROR(IF(LARGE(Guias!$N$5:$N$1504,10)&gt;0,INDEX(Guias!$A$5:$A$1504,MATCH(LARGE(Guias!$N$5:$N$1504,10),Guias!$N$5:$N$1504,0)),""),"")</f>
        <v/>
      </c>
      <c r="C62" s="31">
        <f>IFERROR(IF(LARGE(Guias!$N$5:$N$1504,10)&gt;0,INDEX(Guias!$B$5:$B$1504,MATCH(LARGE(Guias!$N$5:$N$1504,10),Guias!$N$5:$N$1504,0)),""),"")</f>
        <v/>
      </c>
      <c r="D62" s="23">
        <f>IFERROR(IF(LARGE(Guias!$N$5:$N$1504,10)&gt;0,INDEX(Guias!$C$5:$C$1504,MATCH(LARGE(Guias!$N$5:$N$1504,10),Guias!$N$5:$N$1504,0)),""),"")</f>
        <v/>
      </c>
      <c r="E62" s="24">
        <f>IFERROR(IF(LARGE(Guias!$N$5:$N$1504,10)&gt;0,INDEX(Guias!$D$5:$D$1504,MATCH(LARGE(Guias!$N$5:$N$1504,10),Guias!$N$5:$N$1504,0)),""),"")</f>
        <v/>
      </c>
      <c r="F62" s="23">
        <f>IFERROR(IF(LARGE(Guias!$N$5:$N$1504,10)&gt;0,INDEX(Guias!$E$5:$E$1504,MATCH(LARGE(Guias!$N$5:$N$1504,10),Guias!$N$5:$N$1504,0)),""),"")</f>
        <v/>
      </c>
      <c r="G62" s="23">
        <f>IFERROR(IF(LARGE(Guias!$N$5:$N$1504,10)&gt;0,INDEX(Guias!$F$5:$F$1504,MATCH(LARGE(Guias!$N$5:$N$1504,10),Guias!$N$5:$N$1504,0)),""),"")</f>
        <v/>
      </c>
      <c r="H62" s="25">
        <f>IFERROR(IF(LARGE(Guias!$N$5:$N$1504,10)&gt;0,INDEX(Guias!$G$5:$G$1504,MATCH(LARGE(Guias!$N$5:$N$1504,10),Guias!$N$5:$N$1504,0)),""),"")</f>
        <v/>
      </c>
      <c r="I62" s="24">
        <f>IFERROR(IF(LARGE(Guias!$N$5:$N$1504,10)&gt;0,IF(INDEX(Guias!$I$5:$I$1504,MATCH(LARGE(Guias!$N$5:$N$1504,10),Guias!$N$5:$N$1504,0))=0,"—",INDEX(Guias!$I$5:$I$1504,MATCH(LARGE(Guias!$N$5:$N$1504,10),Guias!$N$5:$N$1504,0))),""),"")</f>
        <v/>
      </c>
    </row>
    <row r="63">
      <c r="A63" s="24" t="n">
        <v>11</v>
      </c>
      <c r="B63" s="24">
        <f>IFERROR(IF(LARGE(Guias!$N$5:$N$1504,11)&gt;0,INDEX(Guias!$A$5:$A$1504,MATCH(LARGE(Guias!$N$5:$N$1504,11),Guias!$N$5:$N$1504,0)),""),"")</f>
        <v/>
      </c>
      <c r="C63" s="31">
        <f>IFERROR(IF(LARGE(Guias!$N$5:$N$1504,11)&gt;0,INDEX(Guias!$B$5:$B$1504,MATCH(LARGE(Guias!$N$5:$N$1504,11),Guias!$N$5:$N$1504,0)),""),"")</f>
        <v/>
      </c>
      <c r="D63" s="23">
        <f>IFERROR(IF(LARGE(Guias!$N$5:$N$1504,11)&gt;0,INDEX(Guias!$C$5:$C$1504,MATCH(LARGE(Guias!$N$5:$N$1504,11),Guias!$N$5:$N$1504,0)),""),"")</f>
        <v/>
      </c>
      <c r="E63" s="24">
        <f>IFERROR(IF(LARGE(Guias!$N$5:$N$1504,11)&gt;0,INDEX(Guias!$D$5:$D$1504,MATCH(LARGE(Guias!$N$5:$N$1504,11),Guias!$N$5:$N$1504,0)),""),"")</f>
        <v/>
      </c>
      <c r="F63" s="23">
        <f>IFERROR(IF(LARGE(Guias!$N$5:$N$1504,11)&gt;0,INDEX(Guias!$E$5:$E$1504,MATCH(LARGE(Guias!$N$5:$N$1504,11),Guias!$N$5:$N$1504,0)),""),"")</f>
        <v/>
      </c>
      <c r="G63" s="23">
        <f>IFERROR(IF(LARGE(Guias!$N$5:$N$1504,11)&gt;0,INDEX(Guias!$F$5:$F$1504,MATCH(LARGE(Guias!$N$5:$N$1504,11),Guias!$N$5:$N$1504,0)),""),"")</f>
        <v/>
      </c>
      <c r="H63" s="25">
        <f>IFERROR(IF(LARGE(Guias!$N$5:$N$1504,11)&gt;0,INDEX(Guias!$G$5:$G$1504,MATCH(LARGE(Guias!$N$5:$N$1504,11),Guias!$N$5:$N$1504,0)),""),"")</f>
        <v/>
      </c>
      <c r="I63" s="24">
        <f>IFERROR(IF(LARGE(Guias!$N$5:$N$1504,11)&gt;0,IF(INDEX(Guias!$I$5:$I$1504,MATCH(LARGE(Guias!$N$5:$N$1504,11),Guias!$N$5:$N$1504,0))=0,"—",INDEX(Guias!$I$5:$I$1504,MATCH(LARGE(Guias!$N$5:$N$1504,11),Guias!$N$5:$N$1504,0))),""),"")</f>
        <v/>
      </c>
    </row>
    <row r="64">
      <c r="A64" s="24" t="n">
        <v>12</v>
      </c>
      <c r="B64" s="24">
        <f>IFERROR(IF(LARGE(Guias!$N$5:$N$1504,12)&gt;0,INDEX(Guias!$A$5:$A$1504,MATCH(LARGE(Guias!$N$5:$N$1504,12),Guias!$N$5:$N$1504,0)),""),"")</f>
        <v/>
      </c>
      <c r="C64" s="31">
        <f>IFERROR(IF(LARGE(Guias!$N$5:$N$1504,12)&gt;0,INDEX(Guias!$B$5:$B$1504,MATCH(LARGE(Guias!$N$5:$N$1504,12),Guias!$N$5:$N$1504,0)),""),"")</f>
        <v/>
      </c>
      <c r="D64" s="23">
        <f>IFERROR(IF(LARGE(Guias!$N$5:$N$1504,12)&gt;0,INDEX(Guias!$C$5:$C$1504,MATCH(LARGE(Guias!$N$5:$N$1504,12),Guias!$N$5:$N$1504,0)),""),"")</f>
        <v/>
      </c>
      <c r="E64" s="24">
        <f>IFERROR(IF(LARGE(Guias!$N$5:$N$1504,12)&gt;0,INDEX(Guias!$D$5:$D$1504,MATCH(LARGE(Guias!$N$5:$N$1504,12),Guias!$N$5:$N$1504,0)),""),"")</f>
        <v/>
      </c>
      <c r="F64" s="23">
        <f>IFERROR(IF(LARGE(Guias!$N$5:$N$1504,12)&gt;0,INDEX(Guias!$E$5:$E$1504,MATCH(LARGE(Guias!$N$5:$N$1504,12),Guias!$N$5:$N$1504,0)),""),"")</f>
        <v/>
      </c>
      <c r="G64" s="23">
        <f>IFERROR(IF(LARGE(Guias!$N$5:$N$1504,12)&gt;0,INDEX(Guias!$F$5:$F$1504,MATCH(LARGE(Guias!$N$5:$N$1504,12),Guias!$N$5:$N$1504,0)),""),"")</f>
        <v/>
      </c>
      <c r="H64" s="25">
        <f>IFERROR(IF(LARGE(Guias!$N$5:$N$1504,12)&gt;0,INDEX(Guias!$G$5:$G$1504,MATCH(LARGE(Guias!$N$5:$N$1504,12),Guias!$N$5:$N$1504,0)),""),"")</f>
        <v/>
      </c>
      <c r="I64" s="24">
        <f>IFERROR(IF(LARGE(Guias!$N$5:$N$1504,12)&gt;0,IF(INDEX(Guias!$I$5:$I$1504,MATCH(LARGE(Guias!$N$5:$N$1504,12),Guias!$N$5:$N$1504,0))=0,"—",INDEX(Guias!$I$5:$I$1504,MATCH(LARGE(Guias!$N$5:$N$1504,12),Guias!$N$5:$N$1504,0))),""),"")</f>
        <v/>
      </c>
    </row>
    <row r="65">
      <c r="A65" s="29" t="inlineStr">
        <is>
          <t>Recurso com "—" = ainda não recorreu. Prazo para recorrer varia por contrato: confira antes. A planilha lista; o recurso é administrativo e é seu.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A7:L7"/>
    <mergeCell ref="A17:J17"/>
    <mergeCell ref="C5:D5"/>
    <mergeCell ref="E5:F5"/>
    <mergeCell ref="K5:L5"/>
    <mergeCell ref="A35:J35"/>
    <mergeCell ref="A19:J19"/>
    <mergeCell ref="C4:D4"/>
    <mergeCell ref="A2:L2"/>
    <mergeCell ref="E4:F4"/>
    <mergeCell ref="A9:J9"/>
    <mergeCell ref="A51:J51"/>
    <mergeCell ref="A5:B5"/>
    <mergeCell ref="G5:H5"/>
    <mergeCell ref="I5:J5"/>
    <mergeCell ref="A65:J65"/>
    <mergeCell ref="A4:B4"/>
    <mergeCell ref="G4:H4"/>
    <mergeCell ref="I4:J4"/>
    <mergeCell ref="A1:L1"/>
    <mergeCell ref="K4:L4"/>
  </mergeCells>
  <conditionalFormatting sqref="F11:F16">
    <cfRule type="expression" priority="1" dxfId="0">
      <formula>AND(ISNUMBER(F11),F11&gt;0.05)</formula>
    </cfRule>
  </conditionalFormatting>
  <conditionalFormatting sqref="I11:I16">
    <cfRule type="expression" priority="2" dxfId="1">
      <formula>AND(ISNUMBER(I11),I11&gt;0)</formula>
    </cfRule>
  </conditionalFormatting>
  <conditionalFormatting sqref="K11:K16">
    <cfRule type="expression" priority="3" dxfId="0">
      <formula>AND(ISNUMBER(K11),K11&gt;J11)</formula>
    </cfRule>
  </conditionalFormatting>
  <conditionalFormatting sqref="A21:I32">
    <cfRule type="expression" priority="4" dxfId="2">
      <formula>$H21="Atrasada"</formula>
    </cfRule>
  </conditionalFormatting>
  <conditionalFormatting sqref="A37:I48">
    <cfRule type="expression" priority="5" dxfId="3">
      <formula>$B37=0</formula>
    </cfRule>
  </conditionalFormatting>
  <conditionalFormatting sqref="I37:I48">
    <cfRule type="expression" priority="6" dxfId="1">
      <formula>I37="Com atraso"</formula>
    </cfRule>
    <cfRule type="expression" priority="7" dxfId="4">
      <formula>I37="Fechado"</formula>
    </cfRule>
  </conditionalFormatting>
  <conditionalFormatting sqref="A53:I64">
    <cfRule type="expression" priority="8" dxfId="5">
      <formula>$I53="Em recurso"</formula>
    </cfRule>
    <cfRule type="expression" priority="9" dxfId="6">
      <formula>$I53="Negado"</formula>
    </cfRule>
  </conditionalFormatting>
  <conditionalFormatting sqref="I53:I64">
    <cfRule type="expression" priority="10" dxfId="3">
      <formula>$I53="—"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8" customWidth="1" min="4" max="4"/>
    <col width="44" customWidth="1" min="5" max="5"/>
    <col width="3" customWidth="1" min="6" max="6"/>
    <col width="3" customWidth="1" min="7" max="7"/>
    <col width="3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Cada convênio com o prazo contratual de pagamento (dias após o envio do lote) e o dia de envio.</t>
        </is>
      </c>
    </row>
    <row r="4">
      <c r="A4" s="32" t="inlineStr">
        <is>
          <t>Clínica</t>
        </is>
      </c>
      <c r="B4" s="33" t="inlineStr">
        <is>
          <t>Clínica Vida Plena (exemplo fictício)</t>
        </is>
      </c>
    </row>
    <row r="5">
      <c r="A5" s="32" t="inlineStr">
        <is>
          <t>Data de referência (hoje)</t>
        </is>
      </c>
      <c r="B5" s="34" t="n">
        <v>46279</v>
      </c>
    </row>
    <row r="6">
      <c r="A6" s="32" t="inlineStr">
        <is>
          <t>Ano do painel</t>
        </is>
      </c>
      <c r="B6" s="35" t="n">
        <v>2026</v>
      </c>
    </row>
    <row r="7">
      <c r="A7" s="32" t="inlineStr">
        <is>
          <t>Tolerância de atraso antes de avisar (dias)</t>
        </is>
      </c>
      <c r="B7" s="36" t="n">
        <v>0</v>
      </c>
    </row>
    <row r="9" ht="32" customHeight="1">
      <c r="A9" s="22" t="inlineStr">
        <is>
          <t>Convênio</t>
        </is>
      </c>
      <c r="B9" s="22" t="inlineStr">
        <is>
          <t>Prazo de pagamento (dias)</t>
        </is>
      </c>
      <c r="C9" s="22" t="inlineStr">
        <is>
          <t>Dia de envio do lote</t>
        </is>
      </c>
      <c r="D9" s="22" t="inlineStr">
        <is>
          <t>Glosa histórica (informativa)</t>
        </is>
      </c>
      <c r="E9" s="22" t="inlineStr">
        <is>
          <t>Observação</t>
        </is>
      </c>
    </row>
    <row r="10">
      <c r="A10" s="33" t="inlineStr">
        <is>
          <t>Saúde Total</t>
        </is>
      </c>
      <c r="B10" s="36" t="n">
        <v>30</v>
      </c>
      <c r="C10" s="36" t="n">
        <v>5</v>
      </c>
      <c r="D10" s="37" t="n">
        <v>0.03</v>
      </c>
      <c r="E10" s="33" t="inlineStr">
        <is>
          <t>Prazo contado do envio do lote (contrato)</t>
        </is>
      </c>
    </row>
    <row r="11">
      <c r="A11" s="33" t="inlineStr">
        <is>
          <t>MediPlan</t>
        </is>
      </c>
      <c r="B11" s="36" t="n">
        <v>45</v>
      </c>
      <c r="C11" s="36" t="n">
        <v>5</v>
      </c>
      <c r="D11" s="37" t="n">
        <v>0.06</v>
      </c>
      <c r="E11" s="33" t="inlineStr">
        <is>
          <t>Prazo contado do envio do lote (contrato)</t>
        </is>
      </c>
    </row>
    <row r="12">
      <c r="A12" s="33" t="inlineStr">
        <is>
          <t>Vida Care</t>
        </is>
      </c>
      <c r="B12" s="36" t="n">
        <v>60</v>
      </c>
      <c r="C12" s="36" t="n">
        <v>5</v>
      </c>
      <c r="D12" s="37" t="n">
        <v>0.1</v>
      </c>
      <c r="E12" s="33" t="inlineStr">
        <is>
          <t>Prazo contado do envio do lote (contrato)</t>
        </is>
      </c>
    </row>
    <row r="13">
      <c r="A13" s="33" t="n"/>
      <c r="B13" s="36" t="n"/>
      <c r="C13" s="36" t="n"/>
      <c r="D13" s="37" t="n"/>
      <c r="E13" s="33" t="n"/>
    </row>
    <row r="14">
      <c r="A14" s="33" t="n"/>
      <c r="B14" s="36" t="n"/>
      <c r="C14" s="36" t="n"/>
      <c r="D14" s="37" t="n"/>
      <c r="E14" s="33" t="n"/>
    </row>
    <row r="15">
      <c r="A15" s="33" t="n"/>
      <c r="B15" s="36" t="n"/>
      <c r="C15" s="36" t="n"/>
      <c r="D15" s="37" t="n"/>
      <c r="E15" s="33" t="n"/>
    </row>
    <row r="17">
      <c r="A17" s="38" t="inlineStr">
        <is>
          <t>Preencha de cima para baixo, sem pular linha. Prazo: o que está no contrato (30, 45 ou 60 dias após o envio). A glosa histórica é só uma referência para o simulador (07); o Painel calcula a glosa real dos lotes pagos.</t>
        </is>
      </c>
    </row>
    <row r="18">
      <c r="A18" s="38" t="inlineStr">
        <is>
          <t>Recurso de glosa: administrativo (guia sem autorização, código errado, prazo). O texto do recurso é seu; o prompt "Recebíveis 03 · Recurso de glosa em linguagem administrativa" da biblioteca ajuda a redigir, sem conteúdo clínico.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  <col width="18" customWidth="1" min="5" max="5"/>
    <col width="22" customWidth="1" min="6" max="6"/>
    <col width="11" customWidth="1" min="7" max="7"/>
    <col width="9" customWidth="1" min="8" max="8"/>
    <col width="11" customWidth="1" min="9" max="9"/>
    <col width="11" customWidth="1" min="10" max="10"/>
    <col width="16" customWidth="1" min="11" max="11"/>
    <col width="16" customWidth="1" min="12" max="12"/>
    <col width="12" customWidth="1" min="13" max="13"/>
    <col hidden="1" width="13" customWidth="1" min="14" max="14"/>
  </cols>
  <sheetData>
    <row r="1" ht="28" customHeight="1">
      <c r="A1" s="5" t="inlineStr">
        <is>
          <t>Guias</t>
        </is>
      </c>
    </row>
    <row r="2">
      <c r="A2" s="6" t="inlineStr">
        <is>
          <t>Uma linha por atendimento de convênio realizado (copie da Agenda da planilha 01: data, paciente, pagador, procedimento, profissional, valor). Quando o convênio pagar o lote, marque as guias glosadas e o recurso.</t>
        </is>
      </c>
    </row>
    <row r="4" ht="32" customHeight="1">
      <c r="A4" s="22" t="inlineStr">
        <is>
          <t>Guia (nº)</t>
        </is>
      </c>
      <c r="B4" s="22" t="inlineStr">
        <is>
          <t>Data do atendimento</t>
        </is>
      </c>
      <c r="C4" s="22" t="inlineStr">
        <is>
          <t>Paciente</t>
        </is>
      </c>
      <c r="D4" s="22" t="inlineStr">
        <is>
          <t>Convênio</t>
        </is>
      </c>
      <c r="E4" s="22" t="inlineStr">
        <is>
          <t>Procedimento</t>
        </is>
      </c>
      <c r="F4" s="22" t="inlineStr">
        <is>
          <t>Profissional</t>
        </is>
      </c>
      <c r="G4" s="22" t="inlineStr">
        <is>
          <t>Valor (R$)</t>
        </is>
      </c>
      <c r="H4" s="22" t="inlineStr">
        <is>
          <t>Glosada?</t>
        </is>
      </c>
      <c r="I4" s="22" t="inlineStr">
        <is>
          <t>Recurso</t>
        </is>
      </c>
      <c r="J4" s="22" t="inlineStr">
        <is>
          <t>Competência</t>
        </is>
      </c>
      <c r="K4" s="22" t="inlineStr">
        <is>
          <t>Lote (chave)</t>
        </is>
      </c>
      <c r="L4" s="22" t="inlineStr">
        <is>
          <t>Situação do lote</t>
        </is>
      </c>
      <c r="M4" s="22" t="inlineStr">
        <is>
          <t>Valor glosado (R$)</t>
        </is>
      </c>
    </row>
    <row r="5">
      <c r="A5" s="35" t="inlineStr">
        <is>
          <t>G2026-0431</t>
        </is>
      </c>
      <c r="B5" s="39" t="n">
        <v>46174</v>
      </c>
      <c r="C5" s="33" t="inlineStr">
        <is>
          <t>Isabela Pinto</t>
        </is>
      </c>
      <c r="D5" s="35" t="inlineStr">
        <is>
          <t>Saúde Total</t>
        </is>
      </c>
      <c r="E5" s="33" t="inlineStr">
        <is>
          <t>Consulta</t>
        </is>
      </c>
      <c r="F5" s="33" t="inlineStr">
        <is>
          <t>Dra. Carolina Mendes</t>
        </is>
      </c>
      <c r="G5" s="40" t="n">
        <v>120</v>
      </c>
      <c r="H5" s="35" t="n"/>
      <c r="I5" s="35" t="n"/>
      <c r="J5" s="30">
        <f>IF(B5="","",DATE(YEAR(B5),MONTH(B5),1))</f>
        <v>46174.0</v>
      </c>
      <c r="K5" s="41" t="str">
        <f>IF(OR(B5="",D5=""),"",D5&amp;"|"&amp;TEXT(J5,"yyyy-mm"))</f>
        <v>Saúde Total|2026-06</v>
      </c>
      <c r="L5" s="24" t="str">
        <f>IF(K5="","",IFERROR(INDEX(Lotes!$N$5:$N$154,MATCH(K5,Lotes!$P$5:$P$154,0)),"Sem lote cadastrado"))</f>
        <v>Em recurso</v>
      </c>
      <c r="M5" s="25">
        <f>IF(H5="Sim",G5,0)</f>
        <v>0</v>
      </c>
      <c r="N5" s="42">
        <f>IF(AND(H5="Sim",I5&lt;&gt;"Aceito"),G5+ROW()/100000,0)</f>
        <v>0</v>
      </c>
    </row>
    <row r="6">
      <c r="A6" s="35" t="inlineStr">
        <is>
          <t>G2026-0432</t>
        </is>
      </c>
      <c r="B6" s="39" t="n">
        <v>46174</v>
      </c>
      <c r="C6" s="33" t="inlineStr">
        <is>
          <t>Tatiana Cunha</t>
        </is>
      </c>
      <c r="D6" s="35" t="inlineStr">
        <is>
          <t>Saúde Total</t>
        </is>
      </c>
      <c r="E6" s="33" t="inlineStr">
        <is>
          <t>Consulta</t>
        </is>
      </c>
      <c r="F6" s="33" t="inlineStr">
        <is>
          <t>Dra. Carolina Mendes</t>
        </is>
      </c>
      <c r="G6" s="40" t="n">
        <v>120</v>
      </c>
      <c r="H6" s="35" t="n"/>
      <c r="I6" s="35" t="n"/>
      <c r="J6" s="30">
        <f>IF(B6="","",DATE(YEAR(B6),MONTH(B6),1))</f>
        <v>46174.0</v>
      </c>
      <c r="K6" s="41" t="str">
        <f>IF(OR(B6="",D6=""),"",D6&amp;"|"&amp;TEXT(J6,"yyyy-mm"))</f>
        <v>Saúde Total|2026-06</v>
      </c>
      <c r="L6" s="24" t="str">
        <f>IF(K6="","",IFERROR(INDEX(Lotes!$N$5:$N$154,MATCH(K6,Lotes!$P$5:$P$154,0)),"Sem lote cadastrado"))</f>
        <v>Em recurso</v>
      </c>
      <c r="M6" s="25">
        <f>IF(H6="Sim",G6,0)</f>
        <v>0</v>
      </c>
      <c r="N6" s="42">
        <f>IF(AND(H6="Sim",I6&lt;&gt;"Aceito"),G6+ROW()/100000,0)</f>
        <v>0</v>
      </c>
    </row>
    <row r="7">
      <c r="A7" s="35" t="inlineStr">
        <is>
          <t>G2026-0433</t>
        </is>
      </c>
      <c r="B7" s="39" t="n">
        <v>46174</v>
      </c>
      <c r="C7" s="33" t="inlineStr">
        <is>
          <t>Débora Machado</t>
        </is>
      </c>
      <c r="D7" s="35" t="inlineStr">
        <is>
          <t>Saúde Total</t>
        </is>
      </c>
      <c r="E7" s="33" t="inlineStr">
        <is>
          <t>Consulta</t>
        </is>
      </c>
      <c r="F7" s="33" t="inlineStr">
        <is>
          <t>Dra. Carolina Mendes</t>
        </is>
      </c>
      <c r="G7" s="40" t="n">
        <v>120</v>
      </c>
      <c r="H7" s="35" t="n"/>
      <c r="I7" s="35" t="n"/>
      <c r="J7" s="30">
        <f>IF(B7="","",DATE(YEAR(B7),MONTH(B7),1))</f>
        <v>46174.0</v>
      </c>
      <c r="K7" s="41" t="str">
        <f>IF(OR(B7="",D7=""),"",D7&amp;"|"&amp;TEXT(J7,"yyyy-mm"))</f>
        <v>Saúde Total|2026-06</v>
      </c>
      <c r="L7" s="24" t="str">
        <f>IF(K7="","",IFERROR(INDEX(Lotes!$N$5:$N$154,MATCH(K7,Lotes!$P$5:$P$154,0)),"Sem lote cadastrado"))</f>
        <v>Em recurso</v>
      </c>
      <c r="M7" s="25">
        <f>IF(H7="Sim",G7,0)</f>
        <v>0</v>
      </c>
      <c r="N7" s="42">
        <f>IF(AND(H7="Sim",I7&lt;&gt;"Aceito"),G7+ROW()/100000,0)</f>
        <v>0</v>
      </c>
    </row>
    <row r="8">
      <c r="A8" s="35" t="inlineStr">
        <is>
          <t>G2026-0434</t>
        </is>
      </c>
      <c r="B8" s="39" t="n">
        <v>46174</v>
      </c>
      <c r="C8" s="33" t="inlineStr">
        <is>
          <t>Otávio Martins</t>
        </is>
      </c>
      <c r="D8" s="35" t="inlineStr">
        <is>
          <t>MediPlan</t>
        </is>
      </c>
      <c r="E8" s="33" t="inlineStr">
        <is>
          <t>Consulta</t>
        </is>
      </c>
      <c r="F8" s="33" t="inlineStr">
        <is>
          <t>Dr. Paulo Andrade</t>
        </is>
      </c>
      <c r="G8" s="40" t="n">
        <v>100</v>
      </c>
      <c r="H8" s="35" t="n"/>
      <c r="I8" s="35" t="n"/>
      <c r="J8" s="30">
        <f>IF(B8="","",DATE(YEAR(B8),MONTH(B8),1))</f>
        <v>46174.0</v>
      </c>
      <c r="K8" s="41" t="str">
        <f>IF(OR(B8="",D8=""),"",D8&amp;"|"&amp;TEXT(J8,"yyyy-mm"))</f>
        <v>MediPlan|2026-06</v>
      </c>
      <c r="L8" s="24" t="str">
        <f>IF(K8="","",IFERROR(INDEX(Lotes!$N$5:$N$154,MATCH(K8,Lotes!$P$5:$P$154,0)),"Sem lote cadastrado"))</f>
        <v>Paga com glosa</v>
      </c>
      <c r="M8" s="25">
        <f>IF(H8="Sim",G8,0)</f>
        <v>0</v>
      </c>
      <c r="N8" s="42">
        <f>IF(AND(H8="Sim",I8&lt;&gt;"Aceito"),G8+ROW()/100000,0)</f>
        <v>0</v>
      </c>
    </row>
    <row r="9">
      <c r="A9" s="35" t="inlineStr">
        <is>
          <t>G2026-0435</t>
        </is>
      </c>
      <c r="B9" s="39" t="n">
        <v>46174</v>
      </c>
      <c r="C9" s="33" t="inlineStr">
        <is>
          <t>Mateus Martins</t>
        </is>
      </c>
      <c r="D9" s="35" t="inlineStr">
        <is>
          <t>Vida Care</t>
        </is>
      </c>
      <c r="E9" s="33" t="inlineStr">
        <is>
          <t>Consulta</t>
        </is>
      </c>
      <c r="F9" s="33" t="inlineStr">
        <is>
          <t>Dr. Paulo Andrade</t>
        </is>
      </c>
      <c r="G9" s="40" t="n">
        <v>90</v>
      </c>
      <c r="H9" s="35" t="n"/>
      <c r="I9" s="35" t="n"/>
      <c r="J9" s="30">
        <f>IF(B9="","",DATE(YEAR(B9),MONTH(B9),1))</f>
        <v>46174.0</v>
      </c>
      <c r="K9" s="41" t="str">
        <f>IF(OR(B9="",D9=""),"",D9&amp;"|"&amp;TEXT(J9,"yyyy-mm"))</f>
        <v>Vida Care|2026-06</v>
      </c>
      <c r="L9" s="24" t="str">
        <f>IF(K9="","",IFERROR(INDEX(Lotes!$N$5:$N$154,MATCH(K9,Lotes!$P$5:$P$154,0)),"Sem lote cadastrado"))</f>
        <v>Atrasada</v>
      </c>
      <c r="M9" s="25">
        <f>IF(H9="Sim",G9,0)</f>
        <v>0</v>
      </c>
      <c r="N9" s="42">
        <f>IF(AND(H9="Sim",I9&lt;&gt;"Aceito"),G9+ROW()/100000,0)</f>
        <v>0</v>
      </c>
    </row>
    <row r="10">
      <c r="A10" s="35" t="inlineStr">
        <is>
          <t>G2026-0436</t>
        </is>
      </c>
      <c r="B10" s="39" t="n">
        <v>46174</v>
      </c>
      <c r="C10" s="33" t="inlineStr">
        <is>
          <t>Leandro Ferreira</t>
        </is>
      </c>
      <c r="D10" s="35" t="inlineStr">
        <is>
          <t>Saúde Total</t>
        </is>
      </c>
      <c r="E10" s="33" t="inlineStr">
        <is>
          <t>Holter</t>
        </is>
      </c>
      <c r="F10" s="33" t="inlineStr">
        <is>
          <t>Dr. Paulo Andrade</t>
        </is>
      </c>
      <c r="G10" s="40" t="n">
        <v>105</v>
      </c>
      <c r="H10" s="35" t="n"/>
      <c r="I10" s="35" t="n"/>
      <c r="J10" s="30">
        <f>IF(B10="","",DATE(YEAR(B10),MONTH(B10),1))</f>
        <v>46174.0</v>
      </c>
      <c r="K10" s="41" t="str">
        <f>IF(OR(B10="",D10=""),"",D10&amp;"|"&amp;TEXT(J10,"yyyy-mm"))</f>
        <v>Saúde Total|2026-06</v>
      </c>
      <c r="L10" s="24" t="str">
        <f>IF(K10="","",IFERROR(INDEX(Lotes!$N$5:$N$154,MATCH(K10,Lotes!$P$5:$P$154,0)),"Sem lote cadastrado"))</f>
        <v>Em recurso</v>
      </c>
      <c r="M10" s="25">
        <f>IF(H10="Sim",G10,0)</f>
        <v>0</v>
      </c>
      <c r="N10" s="42">
        <f>IF(AND(H10="Sim",I10&lt;&gt;"Aceito"),G10+ROW()/100000,0)</f>
        <v>0</v>
      </c>
    </row>
    <row r="11">
      <c r="A11" s="35" t="inlineStr">
        <is>
          <t>G2026-0437</t>
        </is>
      </c>
      <c r="B11" s="39" t="n">
        <v>46175</v>
      </c>
      <c r="C11" s="33" t="inlineStr">
        <is>
          <t>Sérgio Batista</t>
        </is>
      </c>
      <c r="D11" s="35" t="inlineStr">
        <is>
          <t>MediPlan</t>
        </is>
      </c>
      <c r="E11" s="33" t="inlineStr">
        <is>
          <t>Consulta</t>
        </is>
      </c>
      <c r="F11" s="33" t="inlineStr">
        <is>
          <t>Dra. Carolina Mendes</t>
        </is>
      </c>
      <c r="G11" s="40" t="n">
        <v>100</v>
      </c>
      <c r="H11" s="35" t="n"/>
      <c r="I11" s="35" t="n"/>
      <c r="J11" s="30">
        <f>IF(B11="","",DATE(YEAR(B11),MONTH(B11),1))</f>
        <v>46174.0</v>
      </c>
      <c r="K11" s="41" t="str">
        <f>IF(OR(B11="",D11=""),"",D11&amp;"|"&amp;TEXT(J11,"yyyy-mm"))</f>
        <v>MediPlan|2026-06</v>
      </c>
      <c r="L11" s="24" t="str">
        <f>IF(K11="","",IFERROR(INDEX(Lotes!$N$5:$N$154,MATCH(K11,Lotes!$P$5:$P$154,0)),"Sem lote cadastrado"))</f>
        <v>Paga com glosa</v>
      </c>
      <c r="M11" s="25">
        <f>IF(H11="Sim",G11,0)</f>
        <v>0</v>
      </c>
      <c r="N11" s="42">
        <f>IF(AND(H11="Sim",I11&lt;&gt;"Aceito"),G11+ROW()/100000,0)</f>
        <v>0</v>
      </c>
    </row>
    <row r="12">
      <c r="A12" s="35" t="inlineStr">
        <is>
          <t>G2026-0438</t>
        </is>
      </c>
      <c r="B12" s="39" t="n">
        <v>46175</v>
      </c>
      <c r="C12" s="33" t="inlineStr">
        <is>
          <t>Carlos Castro</t>
        </is>
      </c>
      <c r="D12" s="35" t="inlineStr">
        <is>
          <t>Saúde Total</t>
        </is>
      </c>
      <c r="E12" s="33" t="inlineStr">
        <is>
          <t>Consulta</t>
        </is>
      </c>
      <c r="F12" s="33" t="inlineStr">
        <is>
          <t>Dra. Carolina Mendes</t>
        </is>
      </c>
      <c r="G12" s="40" t="n">
        <v>120</v>
      </c>
      <c r="H12" s="35" t="n"/>
      <c r="I12" s="35" t="n"/>
      <c r="J12" s="30">
        <f>IF(B12="","",DATE(YEAR(B12),MONTH(B12),1))</f>
        <v>46174.0</v>
      </c>
      <c r="K12" s="41" t="str">
        <f>IF(OR(B12="",D12=""),"",D12&amp;"|"&amp;TEXT(J12,"yyyy-mm"))</f>
        <v>Saúde Total|2026-06</v>
      </c>
      <c r="L12" s="24" t="str">
        <f>IF(K12="","",IFERROR(INDEX(Lotes!$N$5:$N$154,MATCH(K12,Lotes!$P$5:$P$154,0)),"Sem lote cadastrado"))</f>
        <v>Em recurso</v>
      </c>
      <c r="M12" s="25">
        <f>IF(H12="Sim",G12,0)</f>
        <v>0</v>
      </c>
      <c r="N12" s="42">
        <f>IF(AND(H12="Sim",I12&lt;&gt;"Aceito"),G12+ROW()/100000,0)</f>
        <v>0</v>
      </c>
    </row>
    <row r="13">
      <c r="A13" s="35" t="inlineStr">
        <is>
          <t>G2026-0439</t>
        </is>
      </c>
      <c r="B13" s="39" t="n">
        <v>46175</v>
      </c>
      <c r="C13" s="33" t="inlineStr">
        <is>
          <t>Lucas Xavier</t>
        </is>
      </c>
      <c r="D13" s="35" t="inlineStr">
        <is>
          <t>Saúde Total</t>
        </is>
      </c>
      <c r="E13" s="33" t="inlineStr">
        <is>
          <t>Consulta</t>
        </is>
      </c>
      <c r="F13" s="33" t="inlineStr">
        <is>
          <t>Dra. Carolina Mendes</t>
        </is>
      </c>
      <c r="G13" s="40" t="n">
        <v>120</v>
      </c>
      <c r="H13" s="35" t="n"/>
      <c r="I13" s="35" t="n"/>
      <c r="J13" s="30">
        <f>IF(B13="","",DATE(YEAR(B13),MONTH(B13),1))</f>
        <v>46174.0</v>
      </c>
      <c r="K13" s="41" t="str">
        <f>IF(OR(B13="",D13=""),"",D13&amp;"|"&amp;TEXT(J13,"yyyy-mm"))</f>
        <v>Saúde Total|2026-06</v>
      </c>
      <c r="L13" s="24" t="str">
        <f>IF(K13="","",IFERROR(INDEX(Lotes!$N$5:$N$154,MATCH(K13,Lotes!$P$5:$P$154,0)),"Sem lote cadastrado"))</f>
        <v>Em recurso</v>
      </c>
      <c r="M13" s="25">
        <f>IF(H13="Sim",G13,0)</f>
        <v>0</v>
      </c>
      <c r="N13" s="42">
        <f>IF(AND(H13="Sim",I13&lt;&gt;"Aceito"),G13+ROW()/100000,0)</f>
        <v>0</v>
      </c>
    </row>
    <row r="14">
      <c r="A14" s="35" t="inlineStr">
        <is>
          <t>G2026-0440</t>
        </is>
      </c>
      <c r="B14" s="39" t="n">
        <v>46175</v>
      </c>
      <c r="C14" s="33" t="inlineStr">
        <is>
          <t>Rafael Nascimento</t>
        </is>
      </c>
      <c r="D14" s="35" t="inlineStr">
        <is>
          <t>Saúde Total</t>
        </is>
      </c>
      <c r="E14" s="33" t="inlineStr">
        <is>
          <t>Avaliação endócrina</t>
        </is>
      </c>
      <c r="F14" s="33" t="inlineStr">
        <is>
          <t>Dra. Renata Sousa</t>
        </is>
      </c>
      <c r="G14" s="40" t="n">
        <v>130</v>
      </c>
      <c r="H14" s="35" t="n"/>
      <c r="I14" s="35" t="n"/>
      <c r="J14" s="30">
        <f>IF(B14="","",DATE(YEAR(B14),MONTH(B14),1))</f>
        <v>46174.0</v>
      </c>
      <c r="K14" s="41" t="str">
        <f>IF(OR(B14="",D14=""),"",D14&amp;"|"&amp;TEXT(J14,"yyyy-mm"))</f>
        <v>Saúde Total|2026-06</v>
      </c>
      <c r="L14" s="24" t="str">
        <f>IF(K14="","",IFERROR(INDEX(Lotes!$N$5:$N$154,MATCH(K14,Lotes!$P$5:$P$154,0)),"Sem lote cadastrado"))</f>
        <v>Em recurso</v>
      </c>
      <c r="M14" s="25">
        <f>IF(H14="Sim",G14,0)</f>
        <v>0</v>
      </c>
      <c r="N14" s="42">
        <f>IF(AND(H14="Sim",I14&lt;&gt;"Aceito"),G14+ROW()/100000,0)</f>
        <v>0</v>
      </c>
    </row>
    <row r="15">
      <c r="A15" s="35" t="inlineStr">
        <is>
          <t>G2026-0441</t>
        </is>
      </c>
      <c r="B15" s="39" t="n">
        <v>46175</v>
      </c>
      <c r="C15" s="33" t="inlineStr">
        <is>
          <t>Leandro Cardoso</t>
        </is>
      </c>
      <c r="D15" s="35" t="inlineStr">
        <is>
          <t>MediPlan</t>
        </is>
      </c>
      <c r="E15" s="33" t="inlineStr">
        <is>
          <t>Consulta</t>
        </is>
      </c>
      <c r="F15" s="33" t="inlineStr">
        <is>
          <t>Dr. Paulo Andrade</t>
        </is>
      </c>
      <c r="G15" s="40" t="n">
        <v>100</v>
      </c>
      <c r="H15" s="35" t="n"/>
      <c r="I15" s="35" t="n"/>
      <c r="J15" s="30">
        <f>IF(B15="","",DATE(YEAR(B15),MONTH(B15),1))</f>
        <v>46174.0</v>
      </c>
      <c r="K15" s="41" t="str">
        <f>IF(OR(B15="",D15=""),"",D15&amp;"|"&amp;TEXT(J15,"yyyy-mm"))</f>
        <v>MediPlan|2026-06</v>
      </c>
      <c r="L15" s="24" t="str">
        <f>IF(K15="","",IFERROR(INDEX(Lotes!$N$5:$N$154,MATCH(K15,Lotes!$P$5:$P$154,0)),"Sem lote cadastrado"))</f>
        <v>Paga com glosa</v>
      </c>
      <c r="M15" s="25">
        <f>IF(H15="Sim",G15,0)</f>
        <v>0</v>
      </c>
      <c r="N15" s="42">
        <f>IF(AND(H15="Sim",I15&lt;&gt;"Aceito"),G15+ROW()/100000,0)</f>
        <v>0</v>
      </c>
    </row>
    <row r="16">
      <c r="A16" s="35" t="inlineStr">
        <is>
          <t>G2026-0442</t>
        </is>
      </c>
      <c r="B16" s="39" t="n">
        <v>46175</v>
      </c>
      <c r="C16" s="33" t="inlineStr">
        <is>
          <t>Gisele Lopes</t>
        </is>
      </c>
      <c r="D16" s="35" t="inlineStr">
        <is>
          <t>Saúde Total</t>
        </is>
      </c>
      <c r="E16" s="33" t="inlineStr">
        <is>
          <t>Avaliação endócrina</t>
        </is>
      </c>
      <c r="F16" s="33" t="inlineStr">
        <is>
          <t>Dra. Renata Sousa</t>
        </is>
      </c>
      <c r="G16" s="40" t="n">
        <v>130</v>
      </c>
      <c r="H16" s="35" t="n"/>
      <c r="I16" s="35" t="n"/>
      <c r="J16" s="30">
        <f>IF(B16="","",DATE(YEAR(B16),MONTH(B16),1))</f>
        <v>46174.0</v>
      </c>
      <c r="K16" s="41" t="str">
        <f>IF(OR(B16="",D16=""),"",D16&amp;"|"&amp;TEXT(J16,"yyyy-mm"))</f>
        <v>Saúde Total|2026-06</v>
      </c>
      <c r="L16" s="24" t="str">
        <f>IF(K16="","",IFERROR(INDEX(Lotes!$N$5:$N$154,MATCH(K16,Lotes!$P$5:$P$154,0)),"Sem lote cadastrado"))</f>
        <v>Em recurso</v>
      </c>
      <c r="M16" s="25">
        <f>IF(H16="Sim",G16,0)</f>
        <v>0</v>
      </c>
      <c r="N16" s="42">
        <f>IF(AND(H16="Sim",I16&lt;&gt;"Aceito"),G16+ROW()/100000,0)</f>
        <v>0</v>
      </c>
    </row>
    <row r="17">
      <c r="A17" s="35" t="inlineStr">
        <is>
          <t>G2026-0443</t>
        </is>
      </c>
      <c r="B17" s="39" t="n">
        <v>46175</v>
      </c>
      <c r="C17" s="33" t="inlineStr">
        <is>
          <t>Camila Batista</t>
        </is>
      </c>
      <c r="D17" s="35" t="inlineStr">
        <is>
          <t>MediPlan</t>
        </is>
      </c>
      <c r="E17" s="33" t="inlineStr">
        <is>
          <t>ECG</t>
        </is>
      </c>
      <c r="F17" s="33" t="inlineStr">
        <is>
          <t>Dr. Paulo Andrade</t>
        </is>
      </c>
      <c r="G17" s="40" t="n">
        <v>35</v>
      </c>
      <c r="H17" s="35" t="n"/>
      <c r="I17" s="35" t="n"/>
      <c r="J17" s="30">
        <f>IF(B17="","",DATE(YEAR(B17),MONTH(B17),1))</f>
        <v>46174.0</v>
      </c>
      <c r="K17" s="41" t="str">
        <f>IF(OR(B17="",D17=""),"",D17&amp;"|"&amp;TEXT(J17,"yyyy-mm"))</f>
        <v>MediPlan|2026-06</v>
      </c>
      <c r="L17" s="24" t="str">
        <f>IF(K17="","",IFERROR(INDEX(Lotes!$N$5:$N$154,MATCH(K17,Lotes!$P$5:$P$154,0)),"Sem lote cadastrado"))</f>
        <v>Paga com glosa</v>
      </c>
      <c r="M17" s="25">
        <f>IF(H17="Sim",G17,0)</f>
        <v>0</v>
      </c>
      <c r="N17" s="42">
        <f>IF(AND(H17="Sim",I17&lt;&gt;"Aceito"),G17+ROW()/100000,0)</f>
        <v>0</v>
      </c>
    </row>
    <row r="18">
      <c r="A18" s="35" t="inlineStr">
        <is>
          <t>G2026-0444</t>
        </is>
      </c>
      <c r="B18" s="39" t="n">
        <v>46176</v>
      </c>
      <c r="C18" s="33" t="inlineStr">
        <is>
          <t>Priscila Carvalho</t>
        </is>
      </c>
      <c r="D18" s="35" t="inlineStr">
        <is>
          <t>Vida Care</t>
        </is>
      </c>
      <c r="E18" s="33" t="inlineStr">
        <is>
          <t>Consulta</t>
        </is>
      </c>
      <c r="F18" s="33" t="inlineStr">
        <is>
          <t>Dra. Carolina Mendes</t>
        </is>
      </c>
      <c r="G18" s="40" t="n">
        <v>90</v>
      </c>
      <c r="H18" s="35" t="n"/>
      <c r="I18" s="35" t="n"/>
      <c r="J18" s="30">
        <f>IF(B18="","",DATE(YEAR(B18),MONTH(B18),1))</f>
        <v>46174.0</v>
      </c>
      <c r="K18" s="41" t="str">
        <f>IF(OR(B18="",D18=""),"",D18&amp;"|"&amp;TEXT(J18,"yyyy-mm"))</f>
        <v>Vida Care|2026-06</v>
      </c>
      <c r="L18" s="24" t="str">
        <f>IF(K18="","",IFERROR(INDEX(Lotes!$N$5:$N$154,MATCH(K18,Lotes!$P$5:$P$154,0)),"Sem lote cadastrado"))</f>
        <v>Atrasada</v>
      </c>
      <c r="M18" s="25">
        <f>IF(H18="Sim",G18,0)</f>
        <v>0</v>
      </c>
      <c r="N18" s="42">
        <f>IF(AND(H18="Sim",I18&lt;&gt;"Aceito"),G18+ROW()/100000,0)</f>
        <v>0</v>
      </c>
    </row>
    <row r="19">
      <c r="A19" s="35" t="inlineStr">
        <is>
          <t>G2026-0445</t>
        </is>
      </c>
      <c r="B19" s="39" t="n">
        <v>46178</v>
      </c>
      <c r="C19" s="33" t="inlineStr">
        <is>
          <t>Priscila Castro</t>
        </is>
      </c>
      <c r="D19" s="35" t="inlineStr">
        <is>
          <t>Saúde Total</t>
        </is>
      </c>
      <c r="E19" s="33" t="inlineStr">
        <is>
          <t>ECG</t>
        </is>
      </c>
      <c r="F19" s="33" t="inlineStr">
        <is>
          <t>Dr. Paulo Andrade</t>
        </is>
      </c>
      <c r="G19" s="40" t="n">
        <v>40</v>
      </c>
      <c r="H19" s="35" t="n"/>
      <c r="I19" s="35" t="n"/>
      <c r="J19" s="30">
        <f>IF(B19="","",DATE(YEAR(B19),MONTH(B19),1))</f>
        <v>46174.0</v>
      </c>
      <c r="K19" s="41" t="str">
        <f>IF(OR(B19="",D19=""),"",D19&amp;"|"&amp;TEXT(J19,"yyyy-mm"))</f>
        <v>Saúde Total|2026-06</v>
      </c>
      <c r="L19" s="24" t="str">
        <f>IF(K19="","",IFERROR(INDEX(Lotes!$N$5:$N$154,MATCH(K19,Lotes!$P$5:$P$154,0)),"Sem lote cadastrado"))</f>
        <v>Em recurso</v>
      </c>
      <c r="M19" s="25">
        <f>IF(H19="Sim",G19,0)</f>
        <v>0</v>
      </c>
      <c r="N19" s="42">
        <f>IF(AND(H19="Sim",I19&lt;&gt;"Aceito"),G19+ROW()/100000,0)</f>
        <v>0</v>
      </c>
    </row>
    <row r="20">
      <c r="A20" s="35" t="inlineStr">
        <is>
          <t>G2026-0446</t>
        </is>
      </c>
      <c r="B20" s="39" t="n">
        <v>46178</v>
      </c>
      <c r="C20" s="33" t="inlineStr">
        <is>
          <t>Simone Monteiro</t>
        </is>
      </c>
      <c r="D20" s="35" t="inlineStr">
        <is>
          <t>Vida Care</t>
        </is>
      </c>
      <c r="E20" s="33" t="inlineStr">
        <is>
          <t>Holter</t>
        </is>
      </c>
      <c r="F20" s="33" t="inlineStr">
        <is>
          <t>Dr. Paulo Andrade</t>
        </is>
      </c>
      <c r="G20" s="40" t="n">
        <v>85</v>
      </c>
      <c r="H20" s="35" t="n"/>
      <c r="I20" s="35" t="n"/>
      <c r="J20" s="30">
        <f>IF(B20="","",DATE(YEAR(B20),MONTH(B20),1))</f>
        <v>46174.0</v>
      </c>
      <c r="K20" s="41" t="str">
        <f>IF(OR(B20="",D20=""),"",D20&amp;"|"&amp;TEXT(J20,"yyyy-mm"))</f>
        <v>Vida Care|2026-06</v>
      </c>
      <c r="L20" s="24" t="str">
        <f>IF(K20="","",IFERROR(INDEX(Lotes!$N$5:$N$154,MATCH(K20,Lotes!$P$5:$P$154,0)),"Sem lote cadastrado"))</f>
        <v>Atrasada</v>
      </c>
      <c r="M20" s="25">
        <f>IF(H20="Sim",G20,0)</f>
        <v>0</v>
      </c>
      <c r="N20" s="42">
        <f>IF(AND(H20="Sim",I20&lt;&gt;"Aceito"),G20+ROW()/100000,0)</f>
        <v>0</v>
      </c>
    </row>
    <row r="21">
      <c r="A21" s="35" t="inlineStr">
        <is>
          <t>G2026-0447</t>
        </is>
      </c>
      <c r="B21" s="39" t="n">
        <v>46178</v>
      </c>
      <c r="C21" s="33" t="inlineStr">
        <is>
          <t>Tatiana Gonçalves</t>
        </is>
      </c>
      <c r="D21" s="35" t="inlineStr">
        <is>
          <t>Saúde Total</t>
        </is>
      </c>
      <c r="E21" s="33" t="inlineStr">
        <is>
          <t>Consulta</t>
        </is>
      </c>
      <c r="F21" s="33" t="inlineStr">
        <is>
          <t>Dr. Paulo Andrade</t>
        </is>
      </c>
      <c r="G21" s="40" t="n">
        <v>120</v>
      </c>
      <c r="H21" s="35" t="n"/>
      <c r="I21" s="35" t="n"/>
      <c r="J21" s="30">
        <f>IF(B21="","",DATE(YEAR(B21),MONTH(B21),1))</f>
        <v>46174.0</v>
      </c>
      <c r="K21" s="41" t="str">
        <f>IF(OR(B21="",D21=""),"",D21&amp;"|"&amp;TEXT(J21,"yyyy-mm"))</f>
        <v>Saúde Total|2026-06</v>
      </c>
      <c r="L21" s="24" t="str">
        <f>IF(K21="","",IFERROR(INDEX(Lotes!$N$5:$N$154,MATCH(K21,Lotes!$P$5:$P$154,0)),"Sem lote cadastrado"))</f>
        <v>Em recurso</v>
      </c>
      <c r="M21" s="25">
        <f>IF(H21="Sim",G21,0)</f>
        <v>0</v>
      </c>
      <c r="N21" s="42">
        <f>IF(AND(H21="Sim",I21&lt;&gt;"Aceito"),G21+ROW()/100000,0)</f>
        <v>0</v>
      </c>
    </row>
    <row r="22">
      <c r="A22" s="35" t="inlineStr">
        <is>
          <t>G2026-0448</t>
        </is>
      </c>
      <c r="B22" s="39" t="n">
        <v>46181</v>
      </c>
      <c r="C22" s="33" t="inlineStr">
        <is>
          <t>Eduardo Nunes</t>
        </is>
      </c>
      <c r="D22" s="35" t="inlineStr">
        <is>
          <t>MediPlan</t>
        </is>
      </c>
      <c r="E22" s="33" t="inlineStr">
        <is>
          <t>Consulta</t>
        </is>
      </c>
      <c r="F22" s="33" t="inlineStr">
        <is>
          <t>Dra. Carolina Mendes</t>
        </is>
      </c>
      <c r="G22" s="40" t="n">
        <v>100</v>
      </c>
      <c r="H22" s="35" t="n"/>
      <c r="I22" s="35" t="n"/>
      <c r="J22" s="30">
        <f>IF(B22="","",DATE(YEAR(B22),MONTH(B22),1))</f>
        <v>46174.0</v>
      </c>
      <c r="K22" s="41" t="str">
        <f>IF(OR(B22="",D22=""),"",D22&amp;"|"&amp;TEXT(J22,"yyyy-mm"))</f>
        <v>MediPlan|2026-06</v>
      </c>
      <c r="L22" s="24" t="str">
        <f>IF(K22="","",IFERROR(INDEX(Lotes!$N$5:$N$154,MATCH(K22,Lotes!$P$5:$P$154,0)),"Sem lote cadastrado"))</f>
        <v>Paga com glosa</v>
      </c>
      <c r="M22" s="25">
        <f>IF(H22="Sim",G22,0)</f>
        <v>0</v>
      </c>
      <c r="N22" s="42">
        <f>IF(AND(H22="Sim",I22&lt;&gt;"Aceito"),G22+ROW()/100000,0)</f>
        <v>0</v>
      </c>
    </row>
    <row r="23">
      <c r="A23" s="35" t="inlineStr">
        <is>
          <t>G2026-0449</t>
        </is>
      </c>
      <c r="B23" s="39" t="n">
        <v>46181</v>
      </c>
      <c r="C23" s="33" t="inlineStr">
        <is>
          <t>Priscila Castro</t>
        </is>
      </c>
      <c r="D23" s="35" t="inlineStr">
        <is>
          <t>Saúde Total</t>
        </is>
      </c>
      <c r="E23" s="33" t="inlineStr">
        <is>
          <t>Consulta</t>
        </is>
      </c>
      <c r="F23" s="33" t="inlineStr">
        <is>
          <t>Dra. Carolina Mendes</t>
        </is>
      </c>
      <c r="G23" s="40" t="n">
        <v>120</v>
      </c>
      <c r="H23" s="35" t="n"/>
      <c r="I23" s="35" t="n"/>
      <c r="J23" s="30">
        <f>IF(B23="","",DATE(YEAR(B23),MONTH(B23),1))</f>
        <v>46174.0</v>
      </c>
      <c r="K23" s="41" t="str">
        <f>IF(OR(B23="",D23=""),"",D23&amp;"|"&amp;TEXT(J23,"yyyy-mm"))</f>
        <v>Saúde Total|2026-06</v>
      </c>
      <c r="L23" s="24" t="str">
        <f>IF(K23="","",IFERROR(INDEX(Lotes!$N$5:$N$154,MATCH(K23,Lotes!$P$5:$P$154,0)),"Sem lote cadastrado"))</f>
        <v>Em recurso</v>
      </c>
      <c r="M23" s="25">
        <f>IF(H23="Sim",G23,0)</f>
        <v>0</v>
      </c>
      <c r="N23" s="42">
        <f>IF(AND(H23="Sim",I23&lt;&gt;"Aceito"),G23+ROW()/100000,0)</f>
        <v>0</v>
      </c>
    </row>
    <row r="24">
      <c r="A24" s="35" t="inlineStr">
        <is>
          <t>G2026-0450</t>
        </is>
      </c>
      <c r="B24" s="39" t="n">
        <v>46181</v>
      </c>
      <c r="C24" s="33" t="inlineStr">
        <is>
          <t>Tatiana Cunha</t>
        </is>
      </c>
      <c r="D24" s="35" t="inlineStr">
        <is>
          <t>Saúde Total</t>
        </is>
      </c>
      <c r="E24" s="33" t="inlineStr">
        <is>
          <t>Consulta</t>
        </is>
      </c>
      <c r="F24" s="33" t="inlineStr">
        <is>
          <t>Dra. Carolina Mendes</t>
        </is>
      </c>
      <c r="G24" s="40" t="n">
        <v>120</v>
      </c>
      <c r="H24" s="35" t="n"/>
      <c r="I24" s="35" t="n"/>
      <c r="J24" s="30">
        <f>IF(B24="","",DATE(YEAR(B24),MONTH(B24),1))</f>
        <v>46174.0</v>
      </c>
      <c r="K24" s="41" t="str">
        <f>IF(OR(B24="",D24=""),"",D24&amp;"|"&amp;TEXT(J24,"yyyy-mm"))</f>
        <v>Saúde Total|2026-06</v>
      </c>
      <c r="L24" s="24" t="str">
        <f>IF(K24="","",IFERROR(INDEX(Lotes!$N$5:$N$154,MATCH(K24,Lotes!$P$5:$P$154,0)),"Sem lote cadastrado"))</f>
        <v>Em recurso</v>
      </c>
      <c r="M24" s="25">
        <f>IF(H24="Sim",G24,0)</f>
        <v>0</v>
      </c>
      <c r="N24" s="42">
        <f>IF(AND(H24="Sim",I24&lt;&gt;"Aceito"),G24+ROW()/100000,0)</f>
        <v>0</v>
      </c>
    </row>
    <row r="25">
      <c r="A25" s="35" t="inlineStr">
        <is>
          <t>G2026-0451</t>
        </is>
      </c>
      <c r="B25" s="39" t="n">
        <v>46181</v>
      </c>
      <c r="C25" s="33" t="inlineStr">
        <is>
          <t>Priscila Nunes</t>
        </is>
      </c>
      <c r="D25" s="35" t="inlineStr">
        <is>
          <t>MediPlan</t>
        </is>
      </c>
      <c r="E25" s="33" t="inlineStr">
        <is>
          <t>Teste ergométrico</t>
        </is>
      </c>
      <c r="F25" s="33" t="inlineStr">
        <is>
          <t>Dr. Paulo Andrade</t>
        </is>
      </c>
      <c r="G25" s="40" t="n">
        <v>125</v>
      </c>
      <c r="H25" s="35" t="n"/>
      <c r="I25" s="35" t="n"/>
      <c r="J25" s="30">
        <f>IF(B25="","",DATE(YEAR(B25),MONTH(B25),1))</f>
        <v>46174.0</v>
      </c>
      <c r="K25" s="41" t="str">
        <f>IF(OR(B25="",D25=""),"",D25&amp;"|"&amp;TEXT(J25,"yyyy-mm"))</f>
        <v>MediPlan|2026-06</v>
      </c>
      <c r="L25" s="24" t="str">
        <f>IF(K25="","",IFERROR(INDEX(Lotes!$N$5:$N$154,MATCH(K25,Lotes!$P$5:$P$154,0)),"Sem lote cadastrado"))</f>
        <v>Paga com glosa</v>
      </c>
      <c r="M25" s="25">
        <f>IF(H25="Sim",G25,0)</f>
        <v>0</v>
      </c>
      <c r="N25" s="42">
        <f>IF(AND(H25="Sim",I25&lt;&gt;"Aceito"),G25+ROW()/100000,0)</f>
        <v>0</v>
      </c>
    </row>
    <row r="26">
      <c r="A26" s="35" t="inlineStr">
        <is>
          <t>G2026-0452</t>
        </is>
      </c>
      <c r="B26" s="39" t="n">
        <v>46181</v>
      </c>
      <c r="C26" s="33" t="inlineStr">
        <is>
          <t>Daniel Melo</t>
        </is>
      </c>
      <c r="D26" s="35" t="inlineStr">
        <is>
          <t>Saúde Total</t>
        </is>
      </c>
      <c r="E26" s="33" t="inlineStr">
        <is>
          <t>Holter</t>
        </is>
      </c>
      <c r="F26" s="33" t="inlineStr">
        <is>
          <t>Dr. Paulo Andrade</t>
        </is>
      </c>
      <c r="G26" s="40" t="n">
        <v>105</v>
      </c>
      <c r="H26" s="35" t="n"/>
      <c r="I26" s="35" t="n"/>
      <c r="J26" s="30">
        <f>IF(B26="","",DATE(YEAR(B26),MONTH(B26),1))</f>
        <v>46174.0</v>
      </c>
      <c r="K26" s="41" t="str">
        <f>IF(OR(B26="",D26=""),"",D26&amp;"|"&amp;TEXT(J26,"yyyy-mm"))</f>
        <v>Saúde Total|2026-06</v>
      </c>
      <c r="L26" s="24" t="str">
        <f>IF(K26="","",IFERROR(INDEX(Lotes!$N$5:$N$154,MATCH(K26,Lotes!$P$5:$P$154,0)),"Sem lote cadastrado"))</f>
        <v>Em recurso</v>
      </c>
      <c r="M26" s="25">
        <f>IF(H26="Sim",G26,0)</f>
        <v>0</v>
      </c>
      <c r="N26" s="42">
        <f>IF(AND(H26="Sim",I26&lt;&gt;"Aceito"),G26+ROW()/100000,0)</f>
        <v>0</v>
      </c>
    </row>
    <row r="27">
      <c r="A27" s="35" t="inlineStr">
        <is>
          <t>G2026-0453</t>
        </is>
      </c>
      <c r="B27" s="39" t="n">
        <v>46181</v>
      </c>
      <c r="C27" s="33" t="inlineStr">
        <is>
          <t>Débora Machado</t>
        </is>
      </c>
      <c r="D27" s="35" t="inlineStr">
        <is>
          <t>Saúde Total</t>
        </is>
      </c>
      <c r="E27" s="33" t="inlineStr">
        <is>
          <t>Holter</t>
        </is>
      </c>
      <c r="F27" s="33" t="inlineStr">
        <is>
          <t>Dr. Paulo Andrade</t>
        </is>
      </c>
      <c r="G27" s="40" t="n">
        <v>105</v>
      </c>
      <c r="H27" s="35" t="n"/>
      <c r="I27" s="35" t="n"/>
      <c r="J27" s="30">
        <f>IF(B27="","",DATE(YEAR(B27),MONTH(B27),1))</f>
        <v>46174.0</v>
      </c>
      <c r="K27" s="41" t="str">
        <f>IF(OR(B27="",D27=""),"",D27&amp;"|"&amp;TEXT(J27,"yyyy-mm"))</f>
        <v>Saúde Total|2026-06</v>
      </c>
      <c r="L27" s="24" t="str">
        <f>IF(K27="","",IFERROR(INDEX(Lotes!$N$5:$N$154,MATCH(K27,Lotes!$P$5:$P$154,0)),"Sem lote cadastrado"))</f>
        <v>Em recurso</v>
      </c>
      <c r="M27" s="25">
        <f>IF(H27="Sim",G27,0)</f>
        <v>0</v>
      </c>
      <c r="N27" s="42">
        <f>IF(AND(H27="Sim",I27&lt;&gt;"Aceito"),G27+ROW()/100000,0)</f>
        <v>0</v>
      </c>
    </row>
    <row r="28">
      <c r="A28" s="35" t="inlineStr">
        <is>
          <t>G2026-0454</t>
        </is>
      </c>
      <c r="B28" s="39" t="n">
        <v>46181</v>
      </c>
      <c r="C28" s="33" t="inlineStr">
        <is>
          <t>Cláudia Castro</t>
        </is>
      </c>
      <c r="D28" s="35" t="inlineStr">
        <is>
          <t>Vida Care</t>
        </is>
      </c>
      <c r="E28" s="33" t="inlineStr">
        <is>
          <t>Consulta</t>
        </is>
      </c>
      <c r="F28" s="33" t="inlineStr">
        <is>
          <t>Dr. Paulo Andrade</t>
        </is>
      </c>
      <c r="G28" s="40" t="n">
        <v>90</v>
      </c>
      <c r="H28" s="35" t="n"/>
      <c r="I28" s="35" t="n"/>
      <c r="J28" s="30">
        <f>IF(B28="","",DATE(YEAR(B28),MONTH(B28),1))</f>
        <v>46174.0</v>
      </c>
      <c r="K28" s="41" t="str">
        <f>IF(OR(B28="",D28=""),"",D28&amp;"|"&amp;TEXT(J28,"yyyy-mm"))</f>
        <v>Vida Care|2026-06</v>
      </c>
      <c r="L28" s="24" t="str">
        <f>IF(K28="","",IFERROR(INDEX(Lotes!$N$5:$N$154,MATCH(K28,Lotes!$P$5:$P$154,0)),"Sem lote cadastrado"))</f>
        <v>Atrasada</v>
      </c>
      <c r="M28" s="25">
        <f>IF(H28="Sim",G28,0)</f>
        <v>0</v>
      </c>
      <c r="N28" s="42">
        <f>IF(AND(H28="Sim",I28&lt;&gt;"Aceito"),G28+ROW()/100000,0)</f>
        <v>0</v>
      </c>
    </row>
    <row r="29">
      <c r="A29" s="35" t="inlineStr">
        <is>
          <t>G2026-0455</t>
        </is>
      </c>
      <c r="B29" s="39" t="n">
        <v>46181</v>
      </c>
      <c r="C29" s="33" t="inlineStr">
        <is>
          <t>Ricardo Melo</t>
        </is>
      </c>
      <c r="D29" s="35" t="inlineStr">
        <is>
          <t>Saúde Total</t>
        </is>
      </c>
      <c r="E29" s="33" t="inlineStr">
        <is>
          <t>ECG</t>
        </is>
      </c>
      <c r="F29" s="33" t="inlineStr">
        <is>
          <t>Dr. Paulo Andrade</t>
        </is>
      </c>
      <c r="G29" s="40" t="n">
        <v>40</v>
      </c>
      <c r="H29" s="35" t="n"/>
      <c r="I29" s="35" t="n"/>
      <c r="J29" s="30">
        <f>IF(B29="","",DATE(YEAR(B29),MONTH(B29),1))</f>
        <v>46174.0</v>
      </c>
      <c r="K29" s="41" t="str">
        <f>IF(OR(B29="",D29=""),"",D29&amp;"|"&amp;TEXT(J29,"yyyy-mm"))</f>
        <v>Saúde Total|2026-06</v>
      </c>
      <c r="L29" s="24" t="str">
        <f>IF(K29="","",IFERROR(INDEX(Lotes!$N$5:$N$154,MATCH(K29,Lotes!$P$5:$P$154,0)),"Sem lote cadastrado"))</f>
        <v>Em recurso</v>
      </c>
      <c r="M29" s="25">
        <f>IF(H29="Sim",G29,0)</f>
        <v>0</v>
      </c>
      <c r="N29" s="42">
        <f>IF(AND(H29="Sim",I29&lt;&gt;"Aceito"),G29+ROW()/100000,0)</f>
        <v>0</v>
      </c>
    </row>
    <row r="30">
      <c r="A30" s="35" t="inlineStr">
        <is>
          <t>G2026-0456</t>
        </is>
      </c>
      <c r="B30" s="39" t="n">
        <v>46181</v>
      </c>
      <c r="C30" s="33" t="inlineStr">
        <is>
          <t>Gustavo Barbosa</t>
        </is>
      </c>
      <c r="D30" s="35" t="inlineStr">
        <is>
          <t>Saúde Total</t>
        </is>
      </c>
      <c r="E30" s="33" t="inlineStr">
        <is>
          <t>ECG</t>
        </is>
      </c>
      <c r="F30" s="33" t="inlineStr">
        <is>
          <t>Dr. Paulo Andrade</t>
        </is>
      </c>
      <c r="G30" s="40" t="n">
        <v>40</v>
      </c>
      <c r="H30" s="35" t="n"/>
      <c r="I30" s="35" t="n"/>
      <c r="J30" s="30">
        <f>IF(B30="","",DATE(YEAR(B30),MONTH(B30),1))</f>
        <v>46174.0</v>
      </c>
      <c r="K30" s="41" t="str">
        <f>IF(OR(B30="",D30=""),"",D30&amp;"|"&amp;TEXT(J30,"yyyy-mm"))</f>
        <v>Saúde Total|2026-06</v>
      </c>
      <c r="L30" s="24" t="str">
        <f>IF(K30="","",IFERROR(INDEX(Lotes!$N$5:$N$154,MATCH(K30,Lotes!$P$5:$P$154,0)),"Sem lote cadastrado"))</f>
        <v>Em recurso</v>
      </c>
      <c r="M30" s="25">
        <f>IF(H30="Sim",G30,0)</f>
        <v>0</v>
      </c>
      <c r="N30" s="42">
        <f>IF(AND(H30="Sim",I30&lt;&gt;"Aceito"),G30+ROW()/100000,0)</f>
        <v>0</v>
      </c>
    </row>
    <row r="31">
      <c r="A31" s="35" t="inlineStr">
        <is>
          <t>G2026-0457</t>
        </is>
      </c>
      <c r="B31" s="39" t="n">
        <v>46182</v>
      </c>
      <c r="C31" s="33" t="inlineStr">
        <is>
          <t>Juliana Ribeiro</t>
        </is>
      </c>
      <c r="D31" s="35" t="inlineStr">
        <is>
          <t>Saúde Total</t>
        </is>
      </c>
      <c r="E31" s="33" t="inlineStr">
        <is>
          <t>Consulta</t>
        </is>
      </c>
      <c r="F31" s="33" t="inlineStr">
        <is>
          <t>Dra. Carolina Mendes</t>
        </is>
      </c>
      <c r="G31" s="40" t="n">
        <v>120</v>
      </c>
      <c r="H31" s="35" t="n"/>
      <c r="I31" s="35" t="n"/>
      <c r="J31" s="30">
        <f>IF(B31="","",DATE(YEAR(B31),MONTH(B31),1))</f>
        <v>46174.0</v>
      </c>
      <c r="K31" s="41" t="str">
        <f>IF(OR(B31="",D31=""),"",D31&amp;"|"&amp;TEXT(J31,"yyyy-mm"))</f>
        <v>Saúde Total|2026-06</v>
      </c>
      <c r="L31" s="24" t="str">
        <f>IF(K31="","",IFERROR(INDEX(Lotes!$N$5:$N$154,MATCH(K31,Lotes!$P$5:$P$154,0)),"Sem lote cadastrado"))</f>
        <v>Em recurso</v>
      </c>
      <c r="M31" s="25">
        <f>IF(H31="Sim",G31,0)</f>
        <v>0</v>
      </c>
      <c r="N31" s="42">
        <f>IF(AND(H31="Sim",I31&lt;&gt;"Aceito"),G31+ROW()/100000,0)</f>
        <v>0</v>
      </c>
    </row>
    <row r="32">
      <c r="A32" s="35" t="inlineStr">
        <is>
          <t>G2026-0458</t>
        </is>
      </c>
      <c r="B32" s="39" t="n">
        <v>46182</v>
      </c>
      <c r="C32" s="33" t="inlineStr">
        <is>
          <t>Simone Monteiro</t>
        </is>
      </c>
      <c r="D32" s="35" t="inlineStr">
        <is>
          <t>Vida Care</t>
        </is>
      </c>
      <c r="E32" s="33" t="inlineStr">
        <is>
          <t>Consulta</t>
        </is>
      </c>
      <c r="F32" s="33" t="inlineStr">
        <is>
          <t>Dra. Carolina Mendes</t>
        </is>
      </c>
      <c r="G32" s="40" t="n">
        <v>90</v>
      </c>
      <c r="H32" s="35" t="n"/>
      <c r="I32" s="35" t="n"/>
      <c r="J32" s="30">
        <f>IF(B32="","",DATE(YEAR(B32),MONTH(B32),1))</f>
        <v>46174.0</v>
      </c>
      <c r="K32" s="41" t="str">
        <f>IF(OR(B32="",D32=""),"",D32&amp;"|"&amp;TEXT(J32,"yyyy-mm"))</f>
        <v>Vida Care|2026-06</v>
      </c>
      <c r="L32" s="24" t="str">
        <f>IF(K32="","",IFERROR(INDEX(Lotes!$N$5:$N$154,MATCH(K32,Lotes!$P$5:$P$154,0)),"Sem lote cadastrado"))</f>
        <v>Atrasada</v>
      </c>
      <c r="M32" s="25">
        <f>IF(H32="Sim",G32,0)</f>
        <v>0</v>
      </c>
      <c r="N32" s="42">
        <f>IF(AND(H32="Sim",I32&lt;&gt;"Aceito"),G32+ROW()/100000,0)</f>
        <v>0</v>
      </c>
    </row>
    <row r="33">
      <c r="A33" s="35" t="inlineStr">
        <is>
          <t>G2026-0459</t>
        </is>
      </c>
      <c r="B33" s="39" t="n">
        <v>46182</v>
      </c>
      <c r="C33" s="33" t="inlineStr">
        <is>
          <t>Leandro Gomes</t>
        </is>
      </c>
      <c r="D33" s="35" t="inlineStr">
        <is>
          <t>Saúde Total</t>
        </is>
      </c>
      <c r="E33" s="33" t="inlineStr">
        <is>
          <t>Consulta</t>
        </is>
      </c>
      <c r="F33" s="33" t="inlineStr">
        <is>
          <t>Dra. Carolina Mendes</t>
        </is>
      </c>
      <c r="G33" s="40" t="n">
        <v>120</v>
      </c>
      <c r="H33" s="35" t="n"/>
      <c r="I33" s="35" t="n"/>
      <c r="J33" s="30">
        <f>IF(B33="","",DATE(YEAR(B33),MONTH(B33),1))</f>
        <v>46174.0</v>
      </c>
      <c r="K33" s="41" t="str">
        <f>IF(OR(B33="",D33=""),"",D33&amp;"|"&amp;TEXT(J33,"yyyy-mm"))</f>
        <v>Saúde Total|2026-06</v>
      </c>
      <c r="L33" s="24" t="str">
        <f>IF(K33="","",IFERROR(INDEX(Lotes!$N$5:$N$154,MATCH(K33,Lotes!$P$5:$P$154,0)),"Sem lote cadastrado"))</f>
        <v>Em recurso</v>
      </c>
      <c r="M33" s="25">
        <f>IF(H33="Sim",G33,0)</f>
        <v>0</v>
      </c>
      <c r="N33" s="42">
        <f>IF(AND(H33="Sim",I33&lt;&gt;"Aceito"),G33+ROW()/100000,0)</f>
        <v>0</v>
      </c>
    </row>
    <row r="34">
      <c r="A34" s="35" t="inlineStr">
        <is>
          <t>G2026-0460</t>
        </is>
      </c>
      <c r="B34" s="39" t="n">
        <v>46182</v>
      </c>
      <c r="C34" s="33" t="inlineStr">
        <is>
          <t>Eduardo Reis</t>
        </is>
      </c>
      <c r="D34" s="35" t="inlineStr">
        <is>
          <t>Vida Care</t>
        </is>
      </c>
      <c r="E34" s="33" t="inlineStr">
        <is>
          <t>Teste ergométrico</t>
        </is>
      </c>
      <c r="F34" s="33" t="inlineStr">
        <is>
          <t>Dr. Paulo Andrade</t>
        </is>
      </c>
      <c r="G34" s="40" t="n">
        <v>110</v>
      </c>
      <c r="H34" s="35" t="n"/>
      <c r="I34" s="35" t="n"/>
      <c r="J34" s="30">
        <f>IF(B34="","",DATE(YEAR(B34),MONTH(B34),1))</f>
        <v>46174.0</v>
      </c>
      <c r="K34" s="41" t="str">
        <f>IF(OR(B34="",D34=""),"",D34&amp;"|"&amp;TEXT(J34,"yyyy-mm"))</f>
        <v>Vida Care|2026-06</v>
      </c>
      <c r="L34" s="24" t="str">
        <f>IF(K34="","",IFERROR(INDEX(Lotes!$N$5:$N$154,MATCH(K34,Lotes!$P$5:$P$154,0)),"Sem lote cadastrado"))</f>
        <v>Atrasada</v>
      </c>
      <c r="M34" s="25">
        <f>IF(H34="Sim",G34,0)</f>
        <v>0</v>
      </c>
      <c r="N34" s="42">
        <f>IF(AND(H34="Sim",I34&lt;&gt;"Aceito"),G34+ROW()/100000,0)</f>
        <v>0</v>
      </c>
    </row>
    <row r="35">
      <c r="A35" s="35" t="inlineStr">
        <is>
          <t>G2026-0461</t>
        </is>
      </c>
      <c r="B35" s="39" t="n">
        <v>46182</v>
      </c>
      <c r="C35" s="33" t="inlineStr">
        <is>
          <t>Vanessa Carvalho</t>
        </is>
      </c>
      <c r="D35" s="35" t="inlineStr">
        <is>
          <t>Saúde Total</t>
        </is>
      </c>
      <c r="E35" s="33" t="inlineStr">
        <is>
          <t>Consulta</t>
        </is>
      </c>
      <c r="F35" s="33" t="inlineStr">
        <is>
          <t>Dr. Paulo Andrade</t>
        </is>
      </c>
      <c r="G35" s="40" t="n">
        <v>120</v>
      </c>
      <c r="H35" s="35" t="n"/>
      <c r="I35" s="35" t="n"/>
      <c r="J35" s="30">
        <f>IF(B35="","",DATE(YEAR(B35),MONTH(B35),1))</f>
        <v>46174.0</v>
      </c>
      <c r="K35" s="41" t="str">
        <f>IF(OR(B35="",D35=""),"",D35&amp;"|"&amp;TEXT(J35,"yyyy-mm"))</f>
        <v>Saúde Total|2026-06</v>
      </c>
      <c r="L35" s="24" t="str">
        <f>IF(K35="","",IFERROR(INDEX(Lotes!$N$5:$N$154,MATCH(K35,Lotes!$P$5:$P$154,0)),"Sem lote cadastrado"))</f>
        <v>Em recurso</v>
      </c>
      <c r="M35" s="25">
        <f>IF(H35="Sim",G35,0)</f>
        <v>0</v>
      </c>
      <c r="N35" s="42">
        <f>IF(AND(H35="Sim",I35&lt;&gt;"Aceito"),G35+ROW()/100000,0)</f>
        <v>0</v>
      </c>
    </row>
    <row r="36">
      <c r="A36" s="35" t="inlineStr">
        <is>
          <t>G2026-0462</t>
        </is>
      </c>
      <c r="B36" s="39" t="n">
        <v>46182</v>
      </c>
      <c r="C36" s="33" t="inlineStr">
        <is>
          <t>Bruno Carvalho</t>
        </is>
      </c>
      <c r="D36" s="35" t="inlineStr">
        <is>
          <t>Saúde Total</t>
        </is>
      </c>
      <c r="E36" s="33" t="inlineStr">
        <is>
          <t>Consulta</t>
        </is>
      </c>
      <c r="F36" s="33" t="inlineStr">
        <is>
          <t>Dr. Paulo Andrade</t>
        </is>
      </c>
      <c r="G36" s="40" t="n">
        <v>120</v>
      </c>
      <c r="H36" s="35" t="n"/>
      <c r="I36" s="35" t="n"/>
      <c r="J36" s="30">
        <f>IF(B36="","",DATE(YEAR(B36),MONTH(B36),1))</f>
        <v>46174.0</v>
      </c>
      <c r="K36" s="41" t="str">
        <f>IF(OR(B36="",D36=""),"",D36&amp;"|"&amp;TEXT(J36,"yyyy-mm"))</f>
        <v>Saúde Total|2026-06</v>
      </c>
      <c r="L36" s="24" t="str">
        <f>IF(K36="","",IFERROR(INDEX(Lotes!$N$5:$N$154,MATCH(K36,Lotes!$P$5:$P$154,0)),"Sem lote cadastrado"))</f>
        <v>Em recurso</v>
      </c>
      <c r="M36" s="25">
        <f>IF(H36="Sim",G36,0)</f>
        <v>0</v>
      </c>
      <c r="N36" s="42">
        <f>IF(AND(H36="Sim",I36&lt;&gt;"Aceito"),G36+ROW()/100000,0)</f>
        <v>0</v>
      </c>
    </row>
    <row r="37">
      <c r="A37" s="35" t="inlineStr">
        <is>
          <t>G2026-0463</t>
        </is>
      </c>
      <c r="B37" s="39" t="n">
        <v>46182</v>
      </c>
      <c r="C37" s="33" t="inlineStr">
        <is>
          <t>Paulo Ribeiro</t>
        </is>
      </c>
      <c r="D37" s="35" t="inlineStr">
        <is>
          <t>Saúde Total</t>
        </is>
      </c>
      <c r="E37" s="33" t="inlineStr">
        <is>
          <t>Consulta</t>
        </is>
      </c>
      <c r="F37" s="33" t="inlineStr">
        <is>
          <t>Dr. Paulo Andrade</t>
        </is>
      </c>
      <c r="G37" s="40" t="n">
        <v>120</v>
      </c>
      <c r="H37" s="35" t="n"/>
      <c r="I37" s="35" t="n"/>
      <c r="J37" s="30">
        <f>IF(B37="","",DATE(YEAR(B37),MONTH(B37),1))</f>
        <v>46174.0</v>
      </c>
      <c r="K37" s="41" t="str">
        <f>IF(OR(B37="",D37=""),"",D37&amp;"|"&amp;TEXT(J37,"yyyy-mm"))</f>
        <v>Saúde Total|2026-06</v>
      </c>
      <c r="L37" s="24" t="str">
        <f>IF(K37="","",IFERROR(INDEX(Lotes!$N$5:$N$154,MATCH(K37,Lotes!$P$5:$P$154,0)),"Sem lote cadastrado"))</f>
        <v>Em recurso</v>
      </c>
      <c r="M37" s="25">
        <f>IF(H37="Sim",G37,0)</f>
        <v>0</v>
      </c>
      <c r="N37" s="42">
        <f>IF(AND(H37="Sim",I37&lt;&gt;"Aceito"),G37+ROW()/100000,0)</f>
        <v>0</v>
      </c>
    </row>
    <row r="38">
      <c r="A38" s="35" t="inlineStr">
        <is>
          <t>G2026-0464</t>
        </is>
      </c>
      <c r="B38" s="39" t="n">
        <v>46183</v>
      </c>
      <c r="C38" s="33" t="inlineStr">
        <is>
          <t>Débora Machado</t>
        </is>
      </c>
      <c r="D38" s="35" t="inlineStr">
        <is>
          <t>Saúde Total</t>
        </is>
      </c>
      <c r="E38" s="33" t="inlineStr">
        <is>
          <t>Consulta</t>
        </is>
      </c>
      <c r="F38" s="33" t="inlineStr">
        <is>
          <t>Dra. Carolina Mendes</t>
        </is>
      </c>
      <c r="G38" s="40" t="n">
        <v>120</v>
      </c>
      <c r="H38" s="35" t="n"/>
      <c r="I38" s="35" t="n"/>
      <c r="J38" s="30">
        <f>IF(B38="","",DATE(YEAR(B38),MONTH(B38),1))</f>
        <v>46174.0</v>
      </c>
      <c r="K38" s="41" t="str">
        <f>IF(OR(B38="",D38=""),"",D38&amp;"|"&amp;TEXT(J38,"yyyy-mm"))</f>
        <v>Saúde Total|2026-06</v>
      </c>
      <c r="L38" s="24" t="str">
        <f>IF(K38="","",IFERROR(INDEX(Lotes!$N$5:$N$154,MATCH(K38,Lotes!$P$5:$P$154,0)),"Sem lote cadastrado"))</f>
        <v>Em recurso</v>
      </c>
      <c r="M38" s="25">
        <f>IF(H38="Sim",G38,0)</f>
        <v>0</v>
      </c>
      <c r="N38" s="42">
        <f>IF(AND(H38="Sim",I38&lt;&gt;"Aceito"),G38+ROW()/100000,0)</f>
        <v>0</v>
      </c>
    </row>
    <row r="39">
      <c r="A39" s="35" t="inlineStr">
        <is>
          <t>G2026-0465</t>
        </is>
      </c>
      <c r="B39" s="39" t="n">
        <v>46184</v>
      </c>
      <c r="C39" s="33" t="inlineStr">
        <is>
          <t>Ricardo Melo</t>
        </is>
      </c>
      <c r="D39" s="35" t="inlineStr">
        <is>
          <t>Saúde Total</t>
        </is>
      </c>
      <c r="E39" s="33" t="inlineStr">
        <is>
          <t>Consulta</t>
        </is>
      </c>
      <c r="F39" s="33" t="inlineStr">
        <is>
          <t>Dra. Carolina Mendes</t>
        </is>
      </c>
      <c r="G39" s="40" t="n">
        <v>120</v>
      </c>
      <c r="H39" s="35" t="n"/>
      <c r="I39" s="35" t="n"/>
      <c r="J39" s="30">
        <f>IF(B39="","",DATE(YEAR(B39),MONTH(B39),1))</f>
        <v>46174.0</v>
      </c>
      <c r="K39" s="41" t="str">
        <f>IF(OR(B39="",D39=""),"",D39&amp;"|"&amp;TEXT(J39,"yyyy-mm"))</f>
        <v>Saúde Total|2026-06</v>
      </c>
      <c r="L39" s="24" t="str">
        <f>IF(K39="","",IFERROR(INDEX(Lotes!$N$5:$N$154,MATCH(K39,Lotes!$P$5:$P$154,0)),"Sem lote cadastrado"))</f>
        <v>Em recurso</v>
      </c>
      <c r="M39" s="25">
        <f>IF(H39="Sim",G39,0)</f>
        <v>0</v>
      </c>
      <c r="N39" s="42">
        <f>IF(AND(H39="Sim",I39&lt;&gt;"Aceito"),G39+ROW()/100000,0)</f>
        <v>0</v>
      </c>
    </row>
    <row r="40">
      <c r="A40" s="35" t="inlineStr">
        <is>
          <t>G2026-0466</t>
        </is>
      </c>
      <c r="B40" s="39" t="n">
        <v>46184</v>
      </c>
      <c r="C40" s="33" t="inlineStr">
        <is>
          <t>Daniel Melo</t>
        </is>
      </c>
      <c r="D40" s="35" t="inlineStr">
        <is>
          <t>Saúde Total</t>
        </is>
      </c>
      <c r="E40" s="33" t="inlineStr">
        <is>
          <t>Consulta</t>
        </is>
      </c>
      <c r="F40" s="33" t="inlineStr">
        <is>
          <t>Dra. Carolina Mendes</t>
        </is>
      </c>
      <c r="G40" s="40" t="n">
        <v>120</v>
      </c>
      <c r="H40" s="35" t="n"/>
      <c r="I40" s="35" t="n"/>
      <c r="J40" s="30">
        <f>IF(B40="","",DATE(YEAR(B40),MONTH(B40),1))</f>
        <v>46174.0</v>
      </c>
      <c r="K40" s="41" t="str">
        <f>IF(OR(B40="",D40=""),"",D40&amp;"|"&amp;TEXT(J40,"yyyy-mm"))</f>
        <v>Saúde Total|2026-06</v>
      </c>
      <c r="L40" s="24" t="str">
        <f>IF(K40="","",IFERROR(INDEX(Lotes!$N$5:$N$154,MATCH(K40,Lotes!$P$5:$P$154,0)),"Sem lote cadastrado"))</f>
        <v>Em recurso</v>
      </c>
      <c r="M40" s="25">
        <f>IF(H40="Sim",G40,0)</f>
        <v>0</v>
      </c>
      <c r="N40" s="42">
        <f>IF(AND(H40="Sim",I40&lt;&gt;"Aceito"),G40+ROW()/100000,0)</f>
        <v>0</v>
      </c>
    </row>
    <row r="41">
      <c r="A41" s="35" t="inlineStr">
        <is>
          <t>G2026-0467</t>
        </is>
      </c>
      <c r="B41" s="39" t="n">
        <v>46184</v>
      </c>
      <c r="C41" s="33" t="inlineStr">
        <is>
          <t>Isabela Pinto</t>
        </is>
      </c>
      <c r="D41" s="35" t="inlineStr">
        <is>
          <t>Saúde Total</t>
        </is>
      </c>
      <c r="E41" s="33" t="inlineStr">
        <is>
          <t>Consulta</t>
        </is>
      </c>
      <c r="F41" s="33" t="inlineStr">
        <is>
          <t>Dra. Carolina Mendes</t>
        </is>
      </c>
      <c r="G41" s="40" t="n">
        <v>120</v>
      </c>
      <c r="H41" s="35" t="n"/>
      <c r="I41" s="35" t="n"/>
      <c r="J41" s="30">
        <f>IF(B41="","",DATE(YEAR(B41),MONTH(B41),1))</f>
        <v>46174.0</v>
      </c>
      <c r="K41" s="41" t="str">
        <f>IF(OR(B41="",D41=""),"",D41&amp;"|"&amp;TEXT(J41,"yyyy-mm"))</f>
        <v>Saúde Total|2026-06</v>
      </c>
      <c r="L41" s="24" t="str">
        <f>IF(K41="","",IFERROR(INDEX(Lotes!$N$5:$N$154,MATCH(K41,Lotes!$P$5:$P$154,0)),"Sem lote cadastrado"))</f>
        <v>Em recurso</v>
      </c>
      <c r="M41" s="25">
        <f>IF(H41="Sim",G41,0)</f>
        <v>0</v>
      </c>
      <c r="N41" s="42">
        <f>IF(AND(H41="Sim",I41&lt;&gt;"Aceito"),G41+ROW()/100000,0)</f>
        <v>0</v>
      </c>
    </row>
    <row r="42">
      <c r="A42" s="35" t="inlineStr">
        <is>
          <t>G2026-0468</t>
        </is>
      </c>
      <c r="B42" s="39" t="n">
        <v>46184</v>
      </c>
      <c r="C42" s="33" t="inlineStr">
        <is>
          <t>Daniel Moreira</t>
        </is>
      </c>
      <c r="D42" s="35" t="inlineStr">
        <is>
          <t>Saúde Total</t>
        </is>
      </c>
      <c r="E42" s="33" t="inlineStr">
        <is>
          <t>Avaliação endócrina</t>
        </is>
      </c>
      <c r="F42" s="33" t="inlineStr">
        <is>
          <t>Dra. Renata Sousa</t>
        </is>
      </c>
      <c r="G42" s="40" t="n">
        <v>130</v>
      </c>
      <c r="H42" s="35" t="n"/>
      <c r="I42" s="35" t="n"/>
      <c r="J42" s="30">
        <f>IF(B42="","",DATE(YEAR(B42),MONTH(B42),1))</f>
        <v>46174.0</v>
      </c>
      <c r="K42" s="41" t="str">
        <f>IF(OR(B42="",D42=""),"",D42&amp;"|"&amp;TEXT(J42,"yyyy-mm"))</f>
        <v>Saúde Total|2026-06</v>
      </c>
      <c r="L42" s="24" t="str">
        <f>IF(K42="","",IFERROR(INDEX(Lotes!$N$5:$N$154,MATCH(K42,Lotes!$P$5:$P$154,0)),"Sem lote cadastrado"))</f>
        <v>Em recurso</v>
      </c>
      <c r="M42" s="25">
        <f>IF(H42="Sim",G42,0)</f>
        <v>0</v>
      </c>
      <c r="N42" s="42">
        <f>IF(AND(H42="Sim",I42&lt;&gt;"Aceito"),G42+ROW()/100000,0)</f>
        <v>0</v>
      </c>
    </row>
    <row r="43">
      <c r="A43" s="35" t="inlineStr">
        <is>
          <t>G2026-0469</t>
        </is>
      </c>
      <c r="B43" s="39" t="n">
        <v>46184</v>
      </c>
      <c r="C43" s="33" t="inlineStr">
        <is>
          <t>Priscila Pinto</t>
        </is>
      </c>
      <c r="D43" s="35" t="inlineStr">
        <is>
          <t>Saúde Total</t>
        </is>
      </c>
      <c r="E43" s="33" t="inlineStr">
        <is>
          <t>Consulta</t>
        </is>
      </c>
      <c r="F43" s="33" t="inlineStr">
        <is>
          <t>Dr. Paulo Andrade</t>
        </is>
      </c>
      <c r="G43" s="40" t="n">
        <v>120</v>
      </c>
      <c r="H43" s="35" t="n"/>
      <c r="I43" s="35" t="n"/>
      <c r="J43" s="30">
        <f>IF(B43="","",DATE(YEAR(B43),MONTH(B43),1))</f>
        <v>46174.0</v>
      </c>
      <c r="K43" s="41" t="str">
        <f>IF(OR(B43="",D43=""),"",D43&amp;"|"&amp;TEXT(J43,"yyyy-mm"))</f>
        <v>Saúde Total|2026-06</v>
      </c>
      <c r="L43" s="24" t="str">
        <f>IF(K43="","",IFERROR(INDEX(Lotes!$N$5:$N$154,MATCH(K43,Lotes!$P$5:$P$154,0)),"Sem lote cadastrado"))</f>
        <v>Em recurso</v>
      </c>
      <c r="M43" s="25">
        <f>IF(H43="Sim",G43,0)</f>
        <v>0</v>
      </c>
      <c r="N43" s="42">
        <f>IF(AND(H43="Sim",I43&lt;&gt;"Aceito"),G43+ROW()/100000,0)</f>
        <v>0</v>
      </c>
    </row>
    <row r="44">
      <c r="A44" s="35" t="inlineStr">
        <is>
          <t>G2026-0470</t>
        </is>
      </c>
      <c r="B44" s="39" t="n">
        <v>46184</v>
      </c>
      <c r="C44" s="33" t="inlineStr">
        <is>
          <t>Fábio Martins</t>
        </is>
      </c>
      <c r="D44" s="35" t="inlineStr">
        <is>
          <t>MediPlan</t>
        </is>
      </c>
      <c r="E44" s="33" t="inlineStr">
        <is>
          <t>ECG</t>
        </is>
      </c>
      <c r="F44" s="33" t="inlineStr">
        <is>
          <t>Dr. Paulo Andrade</t>
        </is>
      </c>
      <c r="G44" s="40" t="n">
        <v>35</v>
      </c>
      <c r="H44" s="35" t="n"/>
      <c r="I44" s="35" t="n"/>
      <c r="J44" s="30">
        <f>IF(B44="","",DATE(YEAR(B44),MONTH(B44),1))</f>
        <v>46174.0</v>
      </c>
      <c r="K44" s="41" t="str">
        <f>IF(OR(B44="",D44=""),"",D44&amp;"|"&amp;TEXT(J44,"yyyy-mm"))</f>
        <v>MediPlan|2026-06</v>
      </c>
      <c r="L44" s="24" t="str">
        <f>IF(K44="","",IFERROR(INDEX(Lotes!$N$5:$N$154,MATCH(K44,Lotes!$P$5:$P$154,0)),"Sem lote cadastrado"))</f>
        <v>Paga com glosa</v>
      </c>
      <c r="M44" s="25">
        <f>IF(H44="Sim",G44,0)</f>
        <v>0</v>
      </c>
      <c r="N44" s="42">
        <f>IF(AND(H44="Sim",I44&lt;&gt;"Aceito"),G44+ROW()/100000,0)</f>
        <v>0</v>
      </c>
    </row>
    <row r="45">
      <c r="A45" s="35" t="inlineStr">
        <is>
          <t>G2026-0471</t>
        </is>
      </c>
      <c r="B45" s="39" t="n">
        <v>46184</v>
      </c>
      <c r="C45" s="33" t="inlineStr">
        <is>
          <t>Helena Ribeiro</t>
        </is>
      </c>
      <c r="D45" s="35" t="inlineStr">
        <is>
          <t>MediPlan</t>
        </is>
      </c>
      <c r="E45" s="33" t="inlineStr">
        <is>
          <t>Consulta</t>
        </is>
      </c>
      <c r="F45" s="33" t="inlineStr">
        <is>
          <t>Dr. Paulo Andrade</t>
        </is>
      </c>
      <c r="G45" s="40" t="n">
        <v>100</v>
      </c>
      <c r="H45" s="35" t="n"/>
      <c r="I45" s="35" t="n"/>
      <c r="J45" s="30">
        <f>IF(B45="","",DATE(YEAR(B45),MONTH(B45),1))</f>
        <v>46174.0</v>
      </c>
      <c r="K45" s="41" t="str">
        <f>IF(OR(B45="",D45=""),"",D45&amp;"|"&amp;TEXT(J45,"yyyy-mm"))</f>
        <v>MediPlan|2026-06</v>
      </c>
      <c r="L45" s="24" t="str">
        <f>IF(K45="","",IFERROR(INDEX(Lotes!$N$5:$N$154,MATCH(K45,Lotes!$P$5:$P$154,0)),"Sem lote cadastrado"))</f>
        <v>Paga com glosa</v>
      </c>
      <c r="M45" s="25">
        <f>IF(H45="Sim",G45,0)</f>
        <v>0</v>
      </c>
      <c r="N45" s="42">
        <f>IF(AND(H45="Sim",I45&lt;&gt;"Aceito"),G45+ROW()/100000,0)</f>
        <v>0</v>
      </c>
    </row>
    <row r="46">
      <c r="A46" s="35" t="inlineStr">
        <is>
          <t>G2026-0472</t>
        </is>
      </c>
      <c r="B46" s="39" t="n">
        <v>46184</v>
      </c>
      <c r="C46" s="33" t="inlineStr">
        <is>
          <t>Rafael Batista</t>
        </is>
      </c>
      <c r="D46" s="35" t="inlineStr">
        <is>
          <t>Saúde Total</t>
        </is>
      </c>
      <c r="E46" s="33" t="inlineStr">
        <is>
          <t>Holter</t>
        </is>
      </c>
      <c r="F46" s="33" t="inlineStr">
        <is>
          <t>Dr. Paulo Andrade</t>
        </is>
      </c>
      <c r="G46" s="40" t="n">
        <v>105</v>
      </c>
      <c r="H46" s="35" t="n"/>
      <c r="I46" s="35" t="n"/>
      <c r="J46" s="30">
        <f>IF(B46="","",DATE(YEAR(B46),MONTH(B46),1))</f>
        <v>46174.0</v>
      </c>
      <c r="K46" s="41" t="str">
        <f>IF(OR(B46="",D46=""),"",D46&amp;"|"&amp;TEXT(J46,"yyyy-mm"))</f>
        <v>Saúde Total|2026-06</v>
      </c>
      <c r="L46" s="24" t="str">
        <f>IF(K46="","",IFERROR(INDEX(Lotes!$N$5:$N$154,MATCH(K46,Lotes!$P$5:$P$154,0)),"Sem lote cadastrado"))</f>
        <v>Em recurso</v>
      </c>
      <c r="M46" s="25">
        <f>IF(H46="Sim",G46,0)</f>
        <v>0</v>
      </c>
      <c r="N46" s="42">
        <f>IF(AND(H46="Sim",I46&lt;&gt;"Aceito"),G46+ROW()/100000,0)</f>
        <v>0</v>
      </c>
    </row>
    <row r="47">
      <c r="A47" s="35" t="inlineStr">
        <is>
          <t>G2026-0473</t>
        </is>
      </c>
      <c r="B47" s="39" t="n">
        <v>46185</v>
      </c>
      <c r="C47" s="33" t="inlineStr">
        <is>
          <t>Leandro Cardoso</t>
        </is>
      </c>
      <c r="D47" s="35" t="inlineStr">
        <is>
          <t>MediPlan</t>
        </is>
      </c>
      <c r="E47" s="33" t="inlineStr">
        <is>
          <t>Consulta</t>
        </is>
      </c>
      <c r="F47" s="33" t="inlineStr">
        <is>
          <t>Dr. Paulo Andrade</t>
        </is>
      </c>
      <c r="G47" s="40" t="n">
        <v>100</v>
      </c>
      <c r="H47" s="35" t="n"/>
      <c r="I47" s="35" t="n"/>
      <c r="J47" s="30">
        <f>IF(B47="","",DATE(YEAR(B47),MONTH(B47),1))</f>
        <v>46174.0</v>
      </c>
      <c r="K47" s="41" t="str">
        <f>IF(OR(B47="",D47=""),"",D47&amp;"|"&amp;TEXT(J47,"yyyy-mm"))</f>
        <v>MediPlan|2026-06</v>
      </c>
      <c r="L47" s="24" t="str">
        <f>IF(K47="","",IFERROR(INDEX(Lotes!$N$5:$N$154,MATCH(K47,Lotes!$P$5:$P$154,0)),"Sem lote cadastrado"))</f>
        <v>Paga com glosa</v>
      </c>
      <c r="M47" s="25">
        <f>IF(H47="Sim",G47,0)</f>
        <v>0</v>
      </c>
      <c r="N47" s="42">
        <f>IF(AND(H47="Sim",I47&lt;&gt;"Aceito"),G47+ROW()/100000,0)</f>
        <v>0</v>
      </c>
    </row>
    <row r="48">
      <c r="A48" s="35" t="inlineStr">
        <is>
          <t>G2026-0474</t>
        </is>
      </c>
      <c r="B48" s="39" t="n">
        <v>46185</v>
      </c>
      <c r="C48" s="33" t="inlineStr">
        <is>
          <t>Daniel Almeida</t>
        </is>
      </c>
      <c r="D48" s="35" t="inlineStr">
        <is>
          <t>Saúde Total</t>
        </is>
      </c>
      <c r="E48" s="33" t="inlineStr">
        <is>
          <t>Holter</t>
        </is>
      </c>
      <c r="F48" s="33" t="inlineStr">
        <is>
          <t>Dr. Paulo Andrade</t>
        </is>
      </c>
      <c r="G48" s="40" t="n">
        <v>105</v>
      </c>
      <c r="H48" s="35" t="n"/>
      <c r="I48" s="35" t="n"/>
      <c r="J48" s="30">
        <f>IF(B48="","",DATE(YEAR(B48),MONTH(B48),1))</f>
        <v>46174.0</v>
      </c>
      <c r="K48" s="41" t="str">
        <f>IF(OR(B48="",D48=""),"",D48&amp;"|"&amp;TEXT(J48,"yyyy-mm"))</f>
        <v>Saúde Total|2026-06</v>
      </c>
      <c r="L48" s="24" t="str">
        <f>IF(K48="","",IFERROR(INDEX(Lotes!$N$5:$N$154,MATCH(K48,Lotes!$P$5:$P$154,0)),"Sem lote cadastrado"))</f>
        <v>Em recurso</v>
      </c>
      <c r="M48" s="25">
        <f>IF(H48="Sim",G48,0)</f>
        <v>0</v>
      </c>
      <c r="N48" s="42">
        <f>IF(AND(H48="Sim",I48&lt;&gt;"Aceito"),G48+ROW()/100000,0)</f>
        <v>0</v>
      </c>
    </row>
    <row r="49">
      <c r="A49" s="35" t="inlineStr">
        <is>
          <t>G2026-0475</t>
        </is>
      </c>
      <c r="B49" s="39" t="n">
        <v>46188</v>
      </c>
      <c r="C49" s="33" t="inlineStr">
        <is>
          <t>Priscila Carvalho</t>
        </is>
      </c>
      <c r="D49" s="35" t="inlineStr">
        <is>
          <t>Vida Care</t>
        </is>
      </c>
      <c r="E49" s="33" t="inlineStr">
        <is>
          <t>Consulta</t>
        </is>
      </c>
      <c r="F49" s="33" t="inlineStr">
        <is>
          <t>Dra. Carolina Mendes</t>
        </is>
      </c>
      <c r="G49" s="40" t="n">
        <v>90</v>
      </c>
      <c r="H49" s="35" t="n"/>
      <c r="I49" s="35" t="n"/>
      <c r="J49" s="30">
        <f>IF(B49="","",DATE(YEAR(B49),MONTH(B49),1))</f>
        <v>46174.0</v>
      </c>
      <c r="K49" s="41" t="str">
        <f>IF(OR(B49="",D49=""),"",D49&amp;"|"&amp;TEXT(J49,"yyyy-mm"))</f>
        <v>Vida Care|2026-06</v>
      </c>
      <c r="L49" s="24" t="str">
        <f>IF(K49="","",IFERROR(INDEX(Lotes!$N$5:$N$154,MATCH(K49,Lotes!$P$5:$P$154,0)),"Sem lote cadastrado"))</f>
        <v>Atrasada</v>
      </c>
      <c r="M49" s="25">
        <f>IF(H49="Sim",G49,0)</f>
        <v>0</v>
      </c>
      <c r="N49" s="42">
        <f>IF(AND(H49="Sim",I49&lt;&gt;"Aceito"),G49+ROW()/100000,0)</f>
        <v>0</v>
      </c>
    </row>
    <row r="50">
      <c r="A50" s="35" t="inlineStr">
        <is>
          <t>G2026-0476</t>
        </is>
      </c>
      <c r="B50" s="39" t="n">
        <v>46188</v>
      </c>
      <c r="C50" s="33" t="inlineStr">
        <is>
          <t>Rodrigo Gomes</t>
        </is>
      </c>
      <c r="D50" s="35" t="inlineStr">
        <is>
          <t>Vida Care</t>
        </is>
      </c>
      <c r="E50" s="33" t="inlineStr">
        <is>
          <t>Consulta</t>
        </is>
      </c>
      <c r="F50" s="33" t="inlineStr">
        <is>
          <t>Dra. Carolina Mendes</t>
        </is>
      </c>
      <c r="G50" s="40" t="n">
        <v>90</v>
      </c>
      <c r="H50" s="35" t="n"/>
      <c r="I50" s="35" t="n"/>
      <c r="J50" s="30">
        <f>IF(B50="","",DATE(YEAR(B50),MONTH(B50),1))</f>
        <v>46174.0</v>
      </c>
      <c r="K50" s="41" t="str">
        <f>IF(OR(B50="",D50=""),"",D50&amp;"|"&amp;TEXT(J50,"yyyy-mm"))</f>
        <v>Vida Care|2026-06</v>
      </c>
      <c r="L50" s="24" t="str">
        <f>IF(K50="","",IFERROR(INDEX(Lotes!$N$5:$N$154,MATCH(K50,Lotes!$P$5:$P$154,0)),"Sem lote cadastrado"))</f>
        <v>Atrasada</v>
      </c>
      <c r="M50" s="25">
        <f>IF(H50="Sim",G50,0)</f>
        <v>0</v>
      </c>
      <c r="N50" s="42">
        <f>IF(AND(H50="Sim",I50&lt;&gt;"Aceito"),G50+ROW()/100000,0)</f>
        <v>0</v>
      </c>
    </row>
    <row r="51">
      <c r="A51" s="35" t="inlineStr">
        <is>
          <t>G2026-0477</t>
        </is>
      </c>
      <c r="B51" s="39" t="n">
        <v>46188</v>
      </c>
      <c r="C51" s="33" t="inlineStr">
        <is>
          <t>Isabela Pinto</t>
        </is>
      </c>
      <c r="D51" s="35" t="inlineStr">
        <is>
          <t>Saúde Total</t>
        </is>
      </c>
      <c r="E51" s="33" t="inlineStr">
        <is>
          <t>ECG</t>
        </is>
      </c>
      <c r="F51" s="33" t="inlineStr">
        <is>
          <t>Dr. Paulo Andrade</t>
        </is>
      </c>
      <c r="G51" s="40" t="n">
        <v>40</v>
      </c>
      <c r="H51" s="35" t="n"/>
      <c r="I51" s="35" t="n"/>
      <c r="J51" s="30">
        <f>IF(B51="","",DATE(YEAR(B51),MONTH(B51),1))</f>
        <v>46174.0</v>
      </c>
      <c r="K51" s="41" t="str">
        <f>IF(OR(B51="",D51=""),"",D51&amp;"|"&amp;TEXT(J51,"yyyy-mm"))</f>
        <v>Saúde Total|2026-06</v>
      </c>
      <c r="L51" s="24" t="str">
        <f>IF(K51="","",IFERROR(INDEX(Lotes!$N$5:$N$154,MATCH(K51,Lotes!$P$5:$P$154,0)),"Sem lote cadastrado"))</f>
        <v>Em recurso</v>
      </c>
      <c r="M51" s="25">
        <f>IF(H51="Sim",G51,0)</f>
        <v>0</v>
      </c>
      <c r="N51" s="42">
        <f>IF(AND(H51="Sim",I51&lt;&gt;"Aceito"),G51+ROW()/100000,0)</f>
        <v>0</v>
      </c>
    </row>
    <row r="52">
      <c r="A52" s="35" t="inlineStr">
        <is>
          <t>G2026-0478</t>
        </is>
      </c>
      <c r="B52" s="39" t="n">
        <v>46188</v>
      </c>
      <c r="C52" s="33" t="inlineStr">
        <is>
          <t>Paulo Nascimento</t>
        </is>
      </c>
      <c r="D52" s="35" t="inlineStr">
        <is>
          <t>MediPlan</t>
        </is>
      </c>
      <c r="E52" s="33" t="inlineStr">
        <is>
          <t>Consulta</t>
        </is>
      </c>
      <c r="F52" s="33" t="inlineStr">
        <is>
          <t>Dr. Paulo Andrade</t>
        </is>
      </c>
      <c r="G52" s="40" t="n">
        <v>100</v>
      </c>
      <c r="H52" s="35" t="n"/>
      <c r="I52" s="35" t="n"/>
      <c r="J52" s="30">
        <f>IF(B52="","",DATE(YEAR(B52),MONTH(B52),1))</f>
        <v>46174.0</v>
      </c>
      <c r="K52" s="41" t="str">
        <f>IF(OR(B52="",D52=""),"",D52&amp;"|"&amp;TEXT(J52,"yyyy-mm"))</f>
        <v>MediPlan|2026-06</v>
      </c>
      <c r="L52" s="24" t="str">
        <f>IF(K52="","",IFERROR(INDEX(Lotes!$N$5:$N$154,MATCH(K52,Lotes!$P$5:$P$154,0)),"Sem lote cadastrado"))</f>
        <v>Paga com glosa</v>
      </c>
      <c r="M52" s="25">
        <f>IF(H52="Sim",G52,0)</f>
        <v>0</v>
      </c>
      <c r="N52" s="42">
        <f>IF(AND(H52="Sim",I52&lt;&gt;"Aceito"),G52+ROW()/100000,0)</f>
        <v>0</v>
      </c>
    </row>
    <row r="53">
      <c r="A53" s="35" t="inlineStr">
        <is>
          <t>G2026-0479</t>
        </is>
      </c>
      <c r="B53" s="39" t="n">
        <v>46189</v>
      </c>
      <c r="C53" s="33" t="inlineStr">
        <is>
          <t>Sandra Barros</t>
        </is>
      </c>
      <c r="D53" s="35" t="inlineStr">
        <is>
          <t>Saúde Total</t>
        </is>
      </c>
      <c r="E53" s="33" t="inlineStr">
        <is>
          <t>Consulta</t>
        </is>
      </c>
      <c r="F53" s="33" t="inlineStr">
        <is>
          <t>Dra. Carolina Mendes</t>
        </is>
      </c>
      <c r="G53" s="40" t="n">
        <v>120</v>
      </c>
      <c r="H53" s="35" t="n"/>
      <c r="I53" s="35" t="n"/>
      <c r="J53" s="30">
        <f>IF(B53="","",DATE(YEAR(B53),MONTH(B53),1))</f>
        <v>46174.0</v>
      </c>
      <c r="K53" s="41" t="str">
        <f>IF(OR(B53="",D53=""),"",D53&amp;"|"&amp;TEXT(J53,"yyyy-mm"))</f>
        <v>Saúde Total|2026-06</v>
      </c>
      <c r="L53" s="24" t="str">
        <f>IF(K53="","",IFERROR(INDEX(Lotes!$N$5:$N$154,MATCH(K53,Lotes!$P$5:$P$154,0)),"Sem lote cadastrado"))</f>
        <v>Em recurso</v>
      </c>
      <c r="M53" s="25">
        <f>IF(H53="Sim",G53,0)</f>
        <v>0</v>
      </c>
      <c r="N53" s="42">
        <f>IF(AND(H53="Sim",I53&lt;&gt;"Aceito"),G53+ROW()/100000,0)</f>
        <v>0</v>
      </c>
    </row>
    <row r="54">
      <c r="A54" s="35" t="inlineStr">
        <is>
          <t>G2026-0480</t>
        </is>
      </c>
      <c r="B54" s="39" t="n">
        <v>46189</v>
      </c>
      <c r="C54" s="33" t="inlineStr">
        <is>
          <t>Juliana Silva</t>
        </is>
      </c>
      <c r="D54" s="35" t="inlineStr">
        <is>
          <t>Vida Care</t>
        </is>
      </c>
      <c r="E54" s="33" t="inlineStr">
        <is>
          <t>Consulta</t>
        </is>
      </c>
      <c r="F54" s="33" t="inlineStr">
        <is>
          <t>Dra. Carolina Mendes</t>
        </is>
      </c>
      <c r="G54" s="40" t="n">
        <v>90</v>
      </c>
      <c r="H54" s="35" t="n"/>
      <c r="I54" s="35" t="n"/>
      <c r="J54" s="30">
        <f>IF(B54="","",DATE(YEAR(B54),MONTH(B54),1))</f>
        <v>46174.0</v>
      </c>
      <c r="K54" s="41" t="str">
        <f>IF(OR(B54="",D54=""),"",D54&amp;"|"&amp;TEXT(J54,"yyyy-mm"))</f>
        <v>Vida Care|2026-06</v>
      </c>
      <c r="L54" s="24" t="str">
        <f>IF(K54="","",IFERROR(INDEX(Lotes!$N$5:$N$154,MATCH(K54,Lotes!$P$5:$P$154,0)),"Sem lote cadastrado"))</f>
        <v>Atrasada</v>
      </c>
      <c r="M54" s="25">
        <f>IF(H54="Sim",G54,0)</f>
        <v>0</v>
      </c>
      <c r="N54" s="42">
        <f>IF(AND(H54="Sim",I54&lt;&gt;"Aceito"),G54+ROW()/100000,0)</f>
        <v>0</v>
      </c>
    </row>
    <row r="55">
      <c r="A55" s="35" t="inlineStr">
        <is>
          <t>G2026-0481</t>
        </is>
      </c>
      <c r="B55" s="39" t="n">
        <v>46189</v>
      </c>
      <c r="C55" s="33" t="inlineStr">
        <is>
          <t>Carlos Castro</t>
        </is>
      </c>
      <c r="D55" s="35" t="inlineStr">
        <is>
          <t>Saúde Total</t>
        </is>
      </c>
      <c r="E55" s="33" t="inlineStr">
        <is>
          <t>Consulta</t>
        </is>
      </c>
      <c r="F55" s="33" t="inlineStr">
        <is>
          <t>Dra. Carolina Mendes</t>
        </is>
      </c>
      <c r="G55" s="40" t="n">
        <v>120</v>
      </c>
      <c r="H55" s="35" t="inlineStr">
        <is>
          <t>Sim</t>
        </is>
      </c>
      <c r="I55" s="35" t="inlineStr">
        <is>
          <t>Em recurso</t>
        </is>
      </c>
      <c r="J55" s="30">
        <f>IF(B55="","",DATE(YEAR(B55),MONTH(B55),1))</f>
        <v>46174.0</v>
      </c>
      <c r="K55" s="41" t="str">
        <f>IF(OR(B55="",D55=""),"",D55&amp;"|"&amp;TEXT(J55,"yyyy-mm"))</f>
        <v>Saúde Total|2026-06</v>
      </c>
      <c r="L55" s="24" t="str">
        <f>IF(K55="","",IFERROR(INDEX(Lotes!$N$5:$N$154,MATCH(K55,Lotes!$P$5:$P$154,0)),"Sem lote cadastrado"))</f>
        <v>Em recurso</v>
      </c>
      <c r="M55" s="25">
        <f>IF(H55="Sim",G55,0)</f>
        <v>120</v>
      </c>
      <c r="N55" s="42">
        <f>IF(AND(H55="Sim",I55&lt;&gt;"Aceito"),G55+ROW()/100000,0)</f>
        <v>120.00055</v>
      </c>
    </row>
    <row r="56">
      <c r="A56" s="35" t="inlineStr">
        <is>
          <t>G2026-0482</t>
        </is>
      </c>
      <c r="B56" s="39" t="n">
        <v>46189</v>
      </c>
      <c r="C56" s="33" t="inlineStr">
        <is>
          <t>Paulo Freitas</t>
        </is>
      </c>
      <c r="D56" s="35" t="inlineStr">
        <is>
          <t>Saúde Total</t>
        </is>
      </c>
      <c r="E56" s="33" t="inlineStr">
        <is>
          <t>Avaliação endócrina</t>
        </is>
      </c>
      <c r="F56" s="33" t="inlineStr">
        <is>
          <t>Dra. Renata Sousa</t>
        </is>
      </c>
      <c r="G56" s="40" t="n">
        <v>130</v>
      </c>
      <c r="H56" s="35" t="n"/>
      <c r="I56" s="35" t="n"/>
      <c r="J56" s="30">
        <f>IF(B56="","",DATE(YEAR(B56),MONTH(B56),1))</f>
        <v>46174.0</v>
      </c>
      <c r="K56" s="41" t="str">
        <f>IF(OR(B56="",D56=""),"",D56&amp;"|"&amp;TEXT(J56,"yyyy-mm"))</f>
        <v>Saúde Total|2026-06</v>
      </c>
      <c r="L56" s="24" t="str">
        <f>IF(K56="","",IFERROR(INDEX(Lotes!$N$5:$N$154,MATCH(K56,Lotes!$P$5:$P$154,0)),"Sem lote cadastrado"))</f>
        <v>Em recurso</v>
      </c>
      <c r="M56" s="25">
        <f>IF(H56="Sim",G56,0)</f>
        <v>0</v>
      </c>
      <c r="N56" s="42">
        <f>IF(AND(H56="Sim",I56&lt;&gt;"Aceito"),G56+ROW()/100000,0)</f>
        <v>0</v>
      </c>
    </row>
    <row r="57">
      <c r="A57" s="35" t="inlineStr">
        <is>
          <t>G2026-0483</t>
        </is>
      </c>
      <c r="B57" s="39" t="n">
        <v>46189</v>
      </c>
      <c r="C57" s="33" t="inlineStr">
        <is>
          <t>Sérgio Teixeira</t>
        </is>
      </c>
      <c r="D57" s="35" t="inlineStr">
        <is>
          <t>MediPlan</t>
        </is>
      </c>
      <c r="E57" s="33" t="inlineStr">
        <is>
          <t>Consulta</t>
        </is>
      </c>
      <c r="F57" s="33" t="inlineStr">
        <is>
          <t>Dr. Paulo Andrade</t>
        </is>
      </c>
      <c r="G57" s="40" t="n">
        <v>100</v>
      </c>
      <c r="H57" s="35" t="inlineStr">
        <is>
          <t>Sim</t>
        </is>
      </c>
      <c r="I57" s="35" t="n"/>
      <c r="J57" s="30">
        <f>IF(B57="","",DATE(YEAR(B57),MONTH(B57),1))</f>
        <v>46174.0</v>
      </c>
      <c r="K57" s="41" t="str">
        <f>IF(OR(B57="",D57=""),"",D57&amp;"|"&amp;TEXT(J57,"yyyy-mm"))</f>
        <v>MediPlan|2026-06</v>
      </c>
      <c r="L57" s="24" t="str">
        <f>IF(K57="","",IFERROR(INDEX(Lotes!$N$5:$N$154,MATCH(K57,Lotes!$P$5:$P$154,0)),"Sem lote cadastrado"))</f>
        <v>Paga com glosa</v>
      </c>
      <c r="M57" s="25">
        <f>IF(H57="Sim",G57,0)</f>
        <v>100</v>
      </c>
      <c r="N57" s="42">
        <f>IF(AND(H57="Sim",I57&lt;&gt;"Aceito"),G57+ROW()/100000,0)</f>
        <v>100.00057</v>
      </c>
    </row>
    <row r="58">
      <c r="A58" s="35" t="inlineStr">
        <is>
          <t>G2026-0484</t>
        </is>
      </c>
      <c r="B58" s="39" t="n">
        <v>46189</v>
      </c>
      <c r="C58" s="33" t="inlineStr">
        <is>
          <t>Beatriz Gonçalves</t>
        </is>
      </c>
      <c r="D58" s="35" t="inlineStr">
        <is>
          <t>Saúde Total</t>
        </is>
      </c>
      <c r="E58" s="33" t="inlineStr">
        <is>
          <t>Consulta</t>
        </is>
      </c>
      <c r="F58" s="33" t="inlineStr">
        <is>
          <t>Dr. Paulo Andrade</t>
        </is>
      </c>
      <c r="G58" s="40" t="n">
        <v>120</v>
      </c>
      <c r="H58" s="35" t="n"/>
      <c r="I58" s="35" t="n"/>
      <c r="J58" s="30">
        <f>IF(B58="","",DATE(YEAR(B58),MONTH(B58),1))</f>
        <v>46174.0</v>
      </c>
      <c r="K58" s="41" t="str">
        <f>IF(OR(B58="",D58=""),"",D58&amp;"|"&amp;TEXT(J58,"yyyy-mm"))</f>
        <v>Saúde Total|2026-06</v>
      </c>
      <c r="L58" s="24" t="str">
        <f>IF(K58="","",IFERROR(INDEX(Lotes!$N$5:$N$154,MATCH(K58,Lotes!$P$5:$P$154,0)),"Sem lote cadastrado"))</f>
        <v>Em recurso</v>
      </c>
      <c r="M58" s="25">
        <f>IF(H58="Sim",G58,0)</f>
        <v>0</v>
      </c>
      <c r="N58" s="42">
        <f>IF(AND(H58="Sim",I58&lt;&gt;"Aceito"),G58+ROW()/100000,0)</f>
        <v>0</v>
      </c>
    </row>
    <row r="59">
      <c r="A59" s="35" t="inlineStr">
        <is>
          <t>G2026-0485</t>
        </is>
      </c>
      <c r="B59" s="39" t="n">
        <v>46189</v>
      </c>
      <c r="C59" s="33" t="inlineStr">
        <is>
          <t>Gisele Lima</t>
        </is>
      </c>
      <c r="D59" s="35" t="inlineStr">
        <is>
          <t>Saúde Total</t>
        </is>
      </c>
      <c r="E59" s="33" t="inlineStr">
        <is>
          <t>ECG</t>
        </is>
      </c>
      <c r="F59" s="33" t="inlineStr">
        <is>
          <t>Dr. Paulo Andrade</t>
        </is>
      </c>
      <c r="G59" s="40" t="n">
        <v>40</v>
      </c>
      <c r="H59" s="35" t="n"/>
      <c r="I59" s="35" t="n"/>
      <c r="J59" s="30">
        <f>IF(B59="","",DATE(YEAR(B59),MONTH(B59),1))</f>
        <v>46174.0</v>
      </c>
      <c r="K59" s="41" t="str">
        <f>IF(OR(B59="",D59=""),"",D59&amp;"|"&amp;TEXT(J59,"yyyy-mm"))</f>
        <v>Saúde Total|2026-06</v>
      </c>
      <c r="L59" s="24" t="str">
        <f>IF(K59="","",IFERROR(INDEX(Lotes!$N$5:$N$154,MATCH(K59,Lotes!$P$5:$P$154,0)),"Sem lote cadastrado"))</f>
        <v>Em recurso</v>
      </c>
      <c r="M59" s="25">
        <f>IF(H59="Sim",G59,0)</f>
        <v>0</v>
      </c>
      <c r="N59" s="42">
        <f>IF(AND(H59="Sim",I59&lt;&gt;"Aceito"),G59+ROW()/100000,0)</f>
        <v>0</v>
      </c>
    </row>
    <row r="60">
      <c r="A60" s="35" t="inlineStr">
        <is>
          <t>G2026-0486</t>
        </is>
      </c>
      <c r="B60" s="39" t="n">
        <v>46189</v>
      </c>
      <c r="C60" s="33" t="inlineStr">
        <is>
          <t>Roberta Fernandes</t>
        </is>
      </c>
      <c r="D60" s="35" t="inlineStr">
        <is>
          <t>Saúde Total</t>
        </is>
      </c>
      <c r="E60" s="33" t="inlineStr">
        <is>
          <t>ECG</t>
        </is>
      </c>
      <c r="F60" s="33" t="inlineStr">
        <is>
          <t>Dr. Paulo Andrade</t>
        </is>
      </c>
      <c r="G60" s="40" t="n">
        <v>40</v>
      </c>
      <c r="H60" s="35" t="n"/>
      <c r="I60" s="35" t="n"/>
      <c r="J60" s="30">
        <f>IF(B60="","",DATE(YEAR(B60),MONTH(B60),1))</f>
        <v>46174.0</v>
      </c>
      <c r="K60" s="41" t="str">
        <f>IF(OR(B60="",D60=""),"",D60&amp;"|"&amp;TEXT(J60,"yyyy-mm"))</f>
        <v>Saúde Total|2026-06</v>
      </c>
      <c r="L60" s="24" t="str">
        <f>IF(K60="","",IFERROR(INDEX(Lotes!$N$5:$N$154,MATCH(K60,Lotes!$P$5:$P$154,0)),"Sem lote cadastrado"))</f>
        <v>Em recurso</v>
      </c>
      <c r="M60" s="25">
        <f>IF(H60="Sim",G60,0)</f>
        <v>0</v>
      </c>
      <c r="N60" s="42">
        <f>IF(AND(H60="Sim",I60&lt;&gt;"Aceito"),G60+ROW()/100000,0)</f>
        <v>0</v>
      </c>
    </row>
    <row r="61">
      <c r="A61" s="35" t="inlineStr">
        <is>
          <t>G2026-0487</t>
        </is>
      </c>
      <c r="B61" s="39" t="n">
        <v>46189</v>
      </c>
      <c r="C61" s="33" t="inlineStr">
        <is>
          <t>Tatiana Gonçalves</t>
        </is>
      </c>
      <c r="D61" s="35" t="inlineStr">
        <is>
          <t>Saúde Total</t>
        </is>
      </c>
      <c r="E61" s="33" t="inlineStr">
        <is>
          <t>Consulta</t>
        </is>
      </c>
      <c r="F61" s="33" t="inlineStr">
        <is>
          <t>Dr. Paulo Andrade</t>
        </is>
      </c>
      <c r="G61" s="40" t="n">
        <v>120</v>
      </c>
      <c r="H61" s="35" t="n"/>
      <c r="I61" s="35" t="n"/>
      <c r="J61" s="30">
        <f>IF(B61="","",DATE(YEAR(B61),MONTH(B61),1))</f>
        <v>46174.0</v>
      </c>
      <c r="K61" s="41" t="str">
        <f>IF(OR(B61="",D61=""),"",D61&amp;"|"&amp;TEXT(J61,"yyyy-mm"))</f>
        <v>Saúde Total|2026-06</v>
      </c>
      <c r="L61" s="24" t="str">
        <f>IF(K61="","",IFERROR(INDEX(Lotes!$N$5:$N$154,MATCH(K61,Lotes!$P$5:$P$154,0)),"Sem lote cadastrado"))</f>
        <v>Em recurso</v>
      </c>
      <c r="M61" s="25">
        <f>IF(H61="Sim",G61,0)</f>
        <v>0</v>
      </c>
      <c r="N61" s="42">
        <f>IF(AND(H61="Sim",I61&lt;&gt;"Aceito"),G61+ROW()/100000,0)</f>
        <v>0</v>
      </c>
    </row>
    <row r="62">
      <c r="A62" s="35" t="inlineStr">
        <is>
          <t>G2026-0488</t>
        </is>
      </c>
      <c r="B62" s="39" t="n">
        <v>46190</v>
      </c>
      <c r="C62" s="33" t="inlineStr">
        <is>
          <t>Mônica Batista</t>
        </is>
      </c>
      <c r="D62" s="35" t="inlineStr">
        <is>
          <t>MediPlan</t>
        </is>
      </c>
      <c r="E62" s="33" t="inlineStr">
        <is>
          <t>Consulta</t>
        </is>
      </c>
      <c r="F62" s="33" t="inlineStr">
        <is>
          <t>Dra. Carolina Mendes</t>
        </is>
      </c>
      <c r="G62" s="40" t="n">
        <v>100</v>
      </c>
      <c r="H62" s="35" t="n"/>
      <c r="I62" s="35" t="n"/>
      <c r="J62" s="30">
        <f>IF(B62="","",DATE(YEAR(B62),MONTH(B62),1))</f>
        <v>46174.0</v>
      </c>
      <c r="K62" s="41" t="str">
        <f>IF(OR(B62="",D62=""),"",D62&amp;"|"&amp;TEXT(J62,"yyyy-mm"))</f>
        <v>MediPlan|2026-06</v>
      </c>
      <c r="L62" s="24" t="str">
        <f>IF(K62="","",IFERROR(INDEX(Lotes!$N$5:$N$154,MATCH(K62,Lotes!$P$5:$P$154,0)),"Sem lote cadastrado"))</f>
        <v>Paga com glosa</v>
      </c>
      <c r="M62" s="25">
        <f>IF(H62="Sim",G62,0)</f>
        <v>0</v>
      </c>
      <c r="N62" s="42">
        <f>IF(AND(H62="Sim",I62&lt;&gt;"Aceito"),G62+ROW()/100000,0)</f>
        <v>0</v>
      </c>
    </row>
    <row r="63">
      <c r="A63" s="35" t="inlineStr">
        <is>
          <t>G2026-0489</t>
        </is>
      </c>
      <c r="B63" s="39" t="n">
        <v>46190</v>
      </c>
      <c r="C63" s="33" t="inlineStr">
        <is>
          <t>Tatiana Cunha</t>
        </is>
      </c>
      <c r="D63" s="35" t="inlineStr">
        <is>
          <t>Saúde Total</t>
        </is>
      </c>
      <c r="E63" s="33" t="inlineStr">
        <is>
          <t>Consulta</t>
        </is>
      </c>
      <c r="F63" s="33" t="inlineStr">
        <is>
          <t>Dra. Carolina Mendes</t>
        </is>
      </c>
      <c r="G63" s="40" t="n">
        <v>120</v>
      </c>
      <c r="H63" s="35" t="n"/>
      <c r="I63" s="35" t="n"/>
      <c r="J63" s="30">
        <f>IF(B63="","",DATE(YEAR(B63),MONTH(B63),1))</f>
        <v>46174.0</v>
      </c>
      <c r="K63" s="41" t="str">
        <f>IF(OR(B63="",D63=""),"",D63&amp;"|"&amp;TEXT(J63,"yyyy-mm"))</f>
        <v>Saúde Total|2026-06</v>
      </c>
      <c r="L63" s="24" t="str">
        <f>IF(K63="","",IFERROR(INDEX(Lotes!$N$5:$N$154,MATCH(K63,Lotes!$P$5:$P$154,0)),"Sem lote cadastrado"))</f>
        <v>Em recurso</v>
      </c>
      <c r="M63" s="25">
        <f>IF(H63="Sim",G63,0)</f>
        <v>0</v>
      </c>
      <c r="N63" s="42">
        <f>IF(AND(H63="Sim",I63&lt;&gt;"Aceito"),G63+ROW()/100000,0)</f>
        <v>0</v>
      </c>
    </row>
    <row r="64">
      <c r="A64" s="35" t="inlineStr">
        <is>
          <t>G2026-0490</t>
        </is>
      </c>
      <c r="B64" s="39" t="n">
        <v>46190</v>
      </c>
      <c r="C64" s="33" t="inlineStr">
        <is>
          <t>Priscila Castro</t>
        </is>
      </c>
      <c r="D64" s="35" t="inlineStr">
        <is>
          <t>Saúde Total</t>
        </is>
      </c>
      <c r="E64" s="33" t="inlineStr">
        <is>
          <t>Consulta</t>
        </is>
      </c>
      <c r="F64" s="33" t="inlineStr">
        <is>
          <t>Dra. Carolina Mendes</t>
        </is>
      </c>
      <c r="G64" s="40" t="n">
        <v>120</v>
      </c>
      <c r="H64" s="35" t="n"/>
      <c r="I64" s="35" t="n"/>
      <c r="J64" s="30">
        <f>IF(B64="","",DATE(YEAR(B64),MONTH(B64),1))</f>
        <v>46174.0</v>
      </c>
      <c r="K64" s="41" t="str">
        <f>IF(OR(B64="",D64=""),"",D64&amp;"|"&amp;TEXT(J64,"yyyy-mm"))</f>
        <v>Saúde Total|2026-06</v>
      </c>
      <c r="L64" s="24" t="str">
        <f>IF(K64="","",IFERROR(INDEX(Lotes!$N$5:$N$154,MATCH(K64,Lotes!$P$5:$P$154,0)),"Sem lote cadastrado"))</f>
        <v>Em recurso</v>
      </c>
      <c r="M64" s="25">
        <f>IF(H64="Sim",G64,0)</f>
        <v>0</v>
      </c>
      <c r="N64" s="42">
        <f>IF(AND(H64="Sim",I64&lt;&gt;"Aceito"),G64+ROW()/100000,0)</f>
        <v>0</v>
      </c>
    </row>
    <row r="65">
      <c r="A65" s="35" t="inlineStr">
        <is>
          <t>G2026-0491</t>
        </is>
      </c>
      <c r="B65" s="39" t="n">
        <v>46190</v>
      </c>
      <c r="C65" s="33" t="inlineStr">
        <is>
          <t>Débora Machado</t>
        </is>
      </c>
      <c r="D65" s="35" t="inlineStr">
        <is>
          <t>Saúde Total</t>
        </is>
      </c>
      <c r="E65" s="33" t="inlineStr">
        <is>
          <t>Consulta</t>
        </is>
      </c>
      <c r="F65" s="33" t="inlineStr">
        <is>
          <t>Dra. Carolina Mendes</t>
        </is>
      </c>
      <c r="G65" s="40" t="n">
        <v>120</v>
      </c>
      <c r="H65" s="35" t="n"/>
      <c r="I65" s="35" t="n"/>
      <c r="J65" s="30">
        <f>IF(B65="","",DATE(YEAR(B65),MONTH(B65),1))</f>
        <v>46174.0</v>
      </c>
      <c r="K65" s="41" t="str">
        <f>IF(OR(B65="",D65=""),"",D65&amp;"|"&amp;TEXT(J65,"yyyy-mm"))</f>
        <v>Saúde Total|2026-06</v>
      </c>
      <c r="L65" s="24" t="str">
        <f>IF(K65="","",IFERROR(INDEX(Lotes!$N$5:$N$154,MATCH(K65,Lotes!$P$5:$P$154,0)),"Sem lote cadastrado"))</f>
        <v>Em recurso</v>
      </c>
      <c r="M65" s="25">
        <f>IF(H65="Sim",G65,0)</f>
        <v>0</v>
      </c>
      <c r="N65" s="42">
        <f>IF(AND(H65="Sim",I65&lt;&gt;"Aceito"),G65+ROW()/100000,0)</f>
        <v>0</v>
      </c>
    </row>
    <row r="66">
      <c r="A66" s="35" t="inlineStr">
        <is>
          <t>G2026-0492</t>
        </is>
      </c>
      <c r="B66" s="39" t="n">
        <v>46191</v>
      </c>
      <c r="C66" s="33" t="inlineStr">
        <is>
          <t>Letícia Vieira</t>
        </is>
      </c>
      <c r="D66" s="35" t="inlineStr">
        <is>
          <t>Saúde Total</t>
        </is>
      </c>
      <c r="E66" s="33" t="inlineStr">
        <is>
          <t>Consulta</t>
        </is>
      </c>
      <c r="F66" s="33" t="inlineStr">
        <is>
          <t>Dra. Carolina Mendes</t>
        </is>
      </c>
      <c r="G66" s="40" t="n">
        <v>120</v>
      </c>
      <c r="H66" s="35" t="n"/>
      <c r="I66" s="35" t="n"/>
      <c r="J66" s="30">
        <f>IF(B66="","",DATE(YEAR(B66),MONTH(B66),1))</f>
        <v>46174.0</v>
      </c>
      <c r="K66" s="41" t="str">
        <f>IF(OR(B66="",D66=""),"",D66&amp;"|"&amp;TEXT(J66,"yyyy-mm"))</f>
        <v>Saúde Total|2026-06</v>
      </c>
      <c r="L66" s="24" t="str">
        <f>IF(K66="","",IFERROR(INDEX(Lotes!$N$5:$N$154,MATCH(K66,Lotes!$P$5:$P$154,0)),"Sem lote cadastrado"))</f>
        <v>Em recurso</v>
      </c>
      <c r="M66" s="25">
        <f>IF(H66="Sim",G66,0)</f>
        <v>0</v>
      </c>
      <c r="N66" s="42">
        <f>IF(AND(H66="Sim",I66&lt;&gt;"Aceito"),G66+ROW()/100000,0)</f>
        <v>0</v>
      </c>
    </row>
    <row r="67">
      <c r="A67" s="35" t="inlineStr">
        <is>
          <t>G2026-0493</t>
        </is>
      </c>
      <c r="B67" s="39" t="n">
        <v>46191</v>
      </c>
      <c r="C67" s="33" t="inlineStr">
        <is>
          <t>Eduardo Nunes</t>
        </is>
      </c>
      <c r="D67" s="35" t="inlineStr">
        <is>
          <t>MediPlan</t>
        </is>
      </c>
      <c r="E67" s="33" t="inlineStr">
        <is>
          <t>Consulta</t>
        </is>
      </c>
      <c r="F67" s="33" t="inlineStr">
        <is>
          <t>Dra. Carolina Mendes</t>
        </is>
      </c>
      <c r="G67" s="40" t="n">
        <v>100</v>
      </c>
      <c r="H67" s="35" t="n"/>
      <c r="I67" s="35" t="n"/>
      <c r="J67" s="30">
        <f>IF(B67="","",DATE(YEAR(B67),MONTH(B67),1))</f>
        <v>46174.0</v>
      </c>
      <c r="K67" s="41" t="str">
        <f>IF(OR(B67="",D67=""),"",D67&amp;"|"&amp;TEXT(J67,"yyyy-mm"))</f>
        <v>MediPlan|2026-06</v>
      </c>
      <c r="L67" s="24" t="str">
        <f>IF(K67="","",IFERROR(INDEX(Lotes!$N$5:$N$154,MATCH(K67,Lotes!$P$5:$P$154,0)),"Sem lote cadastrado"))</f>
        <v>Paga com glosa</v>
      </c>
      <c r="M67" s="25">
        <f>IF(H67="Sim",G67,0)</f>
        <v>0</v>
      </c>
      <c r="N67" s="42">
        <f>IF(AND(H67="Sim",I67&lt;&gt;"Aceito"),G67+ROW()/100000,0)</f>
        <v>0</v>
      </c>
    </row>
    <row r="68">
      <c r="A68" s="35" t="inlineStr">
        <is>
          <t>G2026-0494</t>
        </is>
      </c>
      <c r="B68" s="39" t="n">
        <v>46191</v>
      </c>
      <c r="C68" s="33" t="inlineStr">
        <is>
          <t>Simone Monteiro</t>
        </is>
      </c>
      <c r="D68" s="35" t="inlineStr">
        <is>
          <t>Vida Care</t>
        </is>
      </c>
      <c r="E68" s="33" t="inlineStr">
        <is>
          <t>Consulta</t>
        </is>
      </c>
      <c r="F68" s="33" t="inlineStr">
        <is>
          <t>Dra. Carolina Mendes</t>
        </is>
      </c>
      <c r="G68" s="40" t="n">
        <v>90</v>
      </c>
      <c r="H68" s="35" t="n"/>
      <c r="I68" s="35" t="n"/>
      <c r="J68" s="30">
        <f>IF(B68="","",DATE(YEAR(B68),MONTH(B68),1))</f>
        <v>46174.0</v>
      </c>
      <c r="K68" s="41" t="str">
        <f>IF(OR(B68="",D68=""),"",D68&amp;"|"&amp;TEXT(J68,"yyyy-mm"))</f>
        <v>Vida Care|2026-06</v>
      </c>
      <c r="L68" s="24" t="str">
        <f>IF(K68="","",IFERROR(INDEX(Lotes!$N$5:$N$154,MATCH(K68,Lotes!$P$5:$P$154,0)),"Sem lote cadastrado"))</f>
        <v>Atrasada</v>
      </c>
      <c r="M68" s="25">
        <f>IF(H68="Sim",G68,0)</f>
        <v>0</v>
      </c>
      <c r="N68" s="42">
        <f>IF(AND(H68="Sim",I68&lt;&gt;"Aceito"),G68+ROW()/100000,0)</f>
        <v>0</v>
      </c>
    </row>
    <row r="69">
      <c r="A69" s="35" t="inlineStr">
        <is>
          <t>G2026-0495</t>
        </is>
      </c>
      <c r="B69" s="39" t="n">
        <v>46191</v>
      </c>
      <c r="C69" s="33" t="inlineStr">
        <is>
          <t>Daniel Melo</t>
        </is>
      </c>
      <c r="D69" s="35" t="inlineStr">
        <is>
          <t>Saúde Total</t>
        </is>
      </c>
      <c r="E69" s="33" t="inlineStr">
        <is>
          <t>Consulta</t>
        </is>
      </c>
      <c r="F69" s="33" t="inlineStr">
        <is>
          <t>Dra. Carolina Mendes</t>
        </is>
      </c>
      <c r="G69" s="40" t="n">
        <v>120</v>
      </c>
      <c r="H69" s="35" t="inlineStr">
        <is>
          <t>Sim</t>
        </is>
      </c>
      <c r="I69" s="35" t="inlineStr">
        <is>
          <t>Em recurso</t>
        </is>
      </c>
      <c r="J69" s="30">
        <f>IF(B69="","",DATE(YEAR(B69),MONTH(B69),1))</f>
        <v>46174.0</v>
      </c>
      <c r="K69" s="41" t="str">
        <f>IF(OR(B69="",D69=""),"",D69&amp;"|"&amp;TEXT(J69,"yyyy-mm"))</f>
        <v>Saúde Total|2026-06</v>
      </c>
      <c r="L69" s="24" t="str">
        <f>IF(K69="","",IFERROR(INDEX(Lotes!$N$5:$N$154,MATCH(K69,Lotes!$P$5:$P$154,0)),"Sem lote cadastrado"))</f>
        <v>Em recurso</v>
      </c>
      <c r="M69" s="25">
        <f>IF(H69="Sim",G69,0)</f>
        <v>120</v>
      </c>
      <c r="N69" s="42">
        <f>IF(AND(H69="Sim",I69&lt;&gt;"Aceito"),G69+ROW()/100000,0)</f>
        <v>120.00069</v>
      </c>
    </row>
    <row r="70">
      <c r="A70" s="35" t="inlineStr">
        <is>
          <t>G2026-0496</t>
        </is>
      </c>
      <c r="B70" s="39" t="n">
        <v>46191</v>
      </c>
      <c r="C70" s="33" t="inlineStr">
        <is>
          <t>Juliana Ribeiro</t>
        </is>
      </c>
      <c r="D70" s="35" t="inlineStr">
        <is>
          <t>Saúde Total</t>
        </is>
      </c>
      <c r="E70" s="33" t="inlineStr">
        <is>
          <t>Consulta</t>
        </is>
      </c>
      <c r="F70" s="33" t="inlineStr">
        <is>
          <t>Dra. Carolina Mendes</t>
        </is>
      </c>
      <c r="G70" s="40" t="n">
        <v>120</v>
      </c>
      <c r="H70" s="35" t="n"/>
      <c r="I70" s="35" t="n"/>
      <c r="J70" s="30">
        <f>IF(B70="","",DATE(YEAR(B70),MONTH(B70),1))</f>
        <v>46174.0</v>
      </c>
      <c r="K70" s="41" t="str">
        <f>IF(OR(B70="",D70=""),"",D70&amp;"|"&amp;TEXT(J70,"yyyy-mm"))</f>
        <v>Saúde Total|2026-06</v>
      </c>
      <c r="L70" s="24" t="str">
        <f>IF(K70="","",IFERROR(INDEX(Lotes!$N$5:$N$154,MATCH(K70,Lotes!$P$5:$P$154,0)),"Sem lote cadastrado"))</f>
        <v>Em recurso</v>
      </c>
      <c r="M70" s="25">
        <f>IF(H70="Sim",G70,0)</f>
        <v>0</v>
      </c>
      <c r="N70" s="42">
        <f>IF(AND(H70="Sim",I70&lt;&gt;"Aceito"),G70+ROW()/100000,0)</f>
        <v>0</v>
      </c>
    </row>
    <row r="71">
      <c r="A71" s="35" t="inlineStr">
        <is>
          <t>G2026-0497</t>
        </is>
      </c>
      <c r="B71" s="39" t="n">
        <v>46191</v>
      </c>
      <c r="C71" s="33" t="inlineStr">
        <is>
          <t>Priscila Pinto</t>
        </is>
      </c>
      <c r="D71" s="35" t="inlineStr">
        <is>
          <t>Saúde Total</t>
        </is>
      </c>
      <c r="E71" s="33" t="inlineStr">
        <is>
          <t>Consulta</t>
        </is>
      </c>
      <c r="F71" s="33" t="inlineStr">
        <is>
          <t>Dr. Paulo Andrade</t>
        </is>
      </c>
      <c r="G71" s="40" t="n">
        <v>120</v>
      </c>
      <c r="H71" s="35" t="n"/>
      <c r="I71" s="35" t="n"/>
      <c r="J71" s="30">
        <f>IF(B71="","",DATE(YEAR(B71),MONTH(B71),1))</f>
        <v>46174.0</v>
      </c>
      <c r="K71" s="41" t="str">
        <f>IF(OR(B71="",D71=""),"",D71&amp;"|"&amp;TEXT(J71,"yyyy-mm"))</f>
        <v>Saúde Total|2026-06</v>
      </c>
      <c r="L71" s="24" t="str">
        <f>IF(K71="","",IFERROR(INDEX(Lotes!$N$5:$N$154,MATCH(K71,Lotes!$P$5:$P$154,0)),"Sem lote cadastrado"))</f>
        <v>Em recurso</v>
      </c>
      <c r="M71" s="25">
        <f>IF(H71="Sim",G71,0)</f>
        <v>0</v>
      </c>
      <c r="N71" s="42">
        <f>IF(AND(H71="Sim",I71&lt;&gt;"Aceito"),G71+ROW()/100000,0)</f>
        <v>0</v>
      </c>
    </row>
    <row r="72">
      <c r="A72" s="35" t="inlineStr">
        <is>
          <t>G2026-0498</t>
        </is>
      </c>
      <c r="B72" s="39" t="n">
        <v>46191</v>
      </c>
      <c r="C72" s="33" t="inlineStr">
        <is>
          <t>Fernanda Gonçalves</t>
        </is>
      </c>
      <c r="D72" s="35" t="inlineStr">
        <is>
          <t>Saúde Total</t>
        </is>
      </c>
      <c r="E72" s="33" t="inlineStr">
        <is>
          <t>Avaliação endócrina</t>
        </is>
      </c>
      <c r="F72" s="33" t="inlineStr">
        <is>
          <t>Dra. Renata Sousa</t>
        </is>
      </c>
      <c r="G72" s="40" t="n">
        <v>130</v>
      </c>
      <c r="H72" s="35" t="n"/>
      <c r="I72" s="35" t="n"/>
      <c r="J72" s="30">
        <f>IF(B72="","",DATE(YEAR(B72),MONTH(B72),1))</f>
        <v>46174.0</v>
      </c>
      <c r="K72" s="41" t="str">
        <f>IF(OR(B72="",D72=""),"",D72&amp;"|"&amp;TEXT(J72,"yyyy-mm"))</f>
        <v>Saúde Total|2026-06</v>
      </c>
      <c r="L72" s="24" t="str">
        <f>IF(K72="","",IFERROR(INDEX(Lotes!$N$5:$N$154,MATCH(K72,Lotes!$P$5:$P$154,0)),"Sem lote cadastrado"))</f>
        <v>Em recurso</v>
      </c>
      <c r="M72" s="25">
        <f>IF(H72="Sim",G72,0)</f>
        <v>0</v>
      </c>
      <c r="N72" s="42">
        <f>IF(AND(H72="Sim",I72&lt;&gt;"Aceito"),G72+ROW()/100000,0)</f>
        <v>0</v>
      </c>
    </row>
    <row r="73">
      <c r="A73" s="35" t="inlineStr">
        <is>
          <t>G2026-0499</t>
        </is>
      </c>
      <c r="B73" s="39" t="n">
        <v>46191</v>
      </c>
      <c r="C73" s="33" t="inlineStr">
        <is>
          <t>Priscila Rocha</t>
        </is>
      </c>
      <c r="D73" s="35" t="inlineStr">
        <is>
          <t>MediPlan</t>
        </is>
      </c>
      <c r="E73" s="33" t="inlineStr">
        <is>
          <t>Consulta</t>
        </is>
      </c>
      <c r="F73" s="33" t="inlineStr">
        <is>
          <t>Dr. Paulo Andrade</t>
        </is>
      </c>
      <c r="G73" s="40" t="n">
        <v>100</v>
      </c>
      <c r="H73" s="35" t="n"/>
      <c r="I73" s="35" t="n"/>
      <c r="J73" s="30">
        <f>IF(B73="","",DATE(YEAR(B73),MONTH(B73),1))</f>
        <v>46174.0</v>
      </c>
      <c r="K73" s="41" t="str">
        <f>IF(OR(B73="",D73=""),"",D73&amp;"|"&amp;TEXT(J73,"yyyy-mm"))</f>
        <v>MediPlan|2026-06</v>
      </c>
      <c r="L73" s="24" t="str">
        <f>IF(K73="","",IFERROR(INDEX(Lotes!$N$5:$N$154,MATCH(K73,Lotes!$P$5:$P$154,0)),"Sem lote cadastrado"))</f>
        <v>Paga com glosa</v>
      </c>
      <c r="M73" s="25">
        <f>IF(H73="Sim",G73,0)</f>
        <v>0</v>
      </c>
      <c r="N73" s="42">
        <f>IF(AND(H73="Sim",I73&lt;&gt;"Aceito"),G73+ROW()/100000,0)</f>
        <v>0</v>
      </c>
    </row>
    <row r="74">
      <c r="A74" s="35" t="inlineStr">
        <is>
          <t>G2026-0500</t>
        </is>
      </c>
      <c r="B74" s="39" t="n">
        <v>46191</v>
      </c>
      <c r="C74" s="33" t="inlineStr">
        <is>
          <t>Helena Ribeiro</t>
        </is>
      </c>
      <c r="D74" s="35" t="inlineStr">
        <is>
          <t>MediPlan</t>
        </is>
      </c>
      <c r="E74" s="33" t="inlineStr">
        <is>
          <t>Consulta</t>
        </is>
      </c>
      <c r="F74" s="33" t="inlineStr">
        <is>
          <t>Dr. Paulo Andrade</t>
        </is>
      </c>
      <c r="G74" s="40" t="n">
        <v>100</v>
      </c>
      <c r="H74" s="35" t="n"/>
      <c r="I74" s="35" t="n"/>
      <c r="J74" s="30">
        <f>IF(B74="","",DATE(YEAR(B74),MONTH(B74),1))</f>
        <v>46174.0</v>
      </c>
      <c r="K74" s="41" t="str">
        <f>IF(OR(B74="",D74=""),"",D74&amp;"|"&amp;TEXT(J74,"yyyy-mm"))</f>
        <v>MediPlan|2026-06</v>
      </c>
      <c r="L74" s="24" t="str">
        <f>IF(K74="","",IFERROR(INDEX(Lotes!$N$5:$N$154,MATCH(K74,Lotes!$P$5:$P$154,0)),"Sem lote cadastrado"))</f>
        <v>Paga com glosa</v>
      </c>
      <c r="M74" s="25">
        <f>IF(H74="Sim",G74,0)</f>
        <v>0</v>
      </c>
      <c r="N74" s="42">
        <f>IF(AND(H74="Sim",I74&lt;&gt;"Aceito"),G74+ROW()/100000,0)</f>
        <v>0</v>
      </c>
    </row>
    <row r="75">
      <c r="A75" s="35" t="inlineStr">
        <is>
          <t>G2026-0501</t>
        </is>
      </c>
      <c r="B75" s="39" t="n">
        <v>46191</v>
      </c>
      <c r="C75" s="33" t="inlineStr">
        <is>
          <t>Camila Martins</t>
        </is>
      </c>
      <c r="D75" s="35" t="inlineStr">
        <is>
          <t>Vida Care</t>
        </is>
      </c>
      <c r="E75" s="33" t="inlineStr">
        <is>
          <t>Teste ergométrico</t>
        </is>
      </c>
      <c r="F75" s="33" t="inlineStr">
        <is>
          <t>Dr. Paulo Andrade</t>
        </is>
      </c>
      <c r="G75" s="40" t="n">
        <v>110</v>
      </c>
      <c r="H75" s="35" t="n"/>
      <c r="I75" s="35" t="n"/>
      <c r="J75" s="30">
        <f>IF(B75="","",DATE(YEAR(B75),MONTH(B75),1))</f>
        <v>46174.0</v>
      </c>
      <c r="K75" s="41" t="str">
        <f>IF(OR(B75="",D75=""),"",D75&amp;"|"&amp;TEXT(J75,"yyyy-mm"))</f>
        <v>Vida Care|2026-06</v>
      </c>
      <c r="L75" s="24" t="str">
        <f>IF(K75="","",IFERROR(INDEX(Lotes!$N$5:$N$154,MATCH(K75,Lotes!$P$5:$P$154,0)),"Sem lote cadastrado"))</f>
        <v>Atrasada</v>
      </c>
      <c r="M75" s="25">
        <f>IF(H75="Sim",G75,0)</f>
        <v>0</v>
      </c>
      <c r="N75" s="42">
        <f>IF(AND(H75="Sim",I75&lt;&gt;"Aceito"),G75+ROW()/100000,0)</f>
        <v>0</v>
      </c>
    </row>
    <row r="76">
      <c r="A76" s="35" t="inlineStr">
        <is>
          <t>G2026-0502</t>
        </is>
      </c>
      <c r="B76" s="39" t="n">
        <v>46191</v>
      </c>
      <c r="C76" s="33" t="inlineStr">
        <is>
          <t>Rafael Araújo</t>
        </is>
      </c>
      <c r="D76" s="35" t="inlineStr">
        <is>
          <t>MediPlan</t>
        </is>
      </c>
      <c r="E76" s="33" t="inlineStr">
        <is>
          <t>Consulta</t>
        </is>
      </c>
      <c r="F76" s="33" t="inlineStr">
        <is>
          <t>Dr. Paulo Andrade</t>
        </is>
      </c>
      <c r="G76" s="40" t="n">
        <v>100</v>
      </c>
      <c r="H76" s="35" t="n"/>
      <c r="I76" s="35" t="n"/>
      <c r="J76" s="30">
        <f>IF(B76="","",DATE(YEAR(B76),MONTH(B76),1))</f>
        <v>46174.0</v>
      </c>
      <c r="K76" s="41" t="str">
        <f>IF(OR(B76="",D76=""),"",D76&amp;"|"&amp;TEXT(J76,"yyyy-mm"))</f>
        <v>MediPlan|2026-06</v>
      </c>
      <c r="L76" s="24" t="str">
        <f>IF(K76="","",IFERROR(INDEX(Lotes!$N$5:$N$154,MATCH(K76,Lotes!$P$5:$P$154,0)),"Sem lote cadastrado"))</f>
        <v>Paga com glosa</v>
      </c>
      <c r="M76" s="25">
        <f>IF(H76="Sim",G76,0)</f>
        <v>0</v>
      </c>
      <c r="N76" s="42">
        <f>IF(AND(H76="Sim",I76&lt;&gt;"Aceito"),G76+ROW()/100000,0)</f>
        <v>0</v>
      </c>
    </row>
    <row r="77">
      <c r="A77" s="35" t="inlineStr">
        <is>
          <t>G2026-0503</t>
        </is>
      </c>
      <c r="B77" s="39" t="n">
        <v>46191</v>
      </c>
      <c r="C77" s="33" t="inlineStr">
        <is>
          <t>Ricardo Melo</t>
        </is>
      </c>
      <c r="D77" s="35" t="inlineStr">
        <is>
          <t>Saúde Total</t>
        </is>
      </c>
      <c r="E77" s="33" t="inlineStr">
        <is>
          <t>MAPA</t>
        </is>
      </c>
      <c r="F77" s="33" t="inlineStr">
        <is>
          <t>Dr. Paulo Andrade</t>
        </is>
      </c>
      <c r="G77" s="40" t="n">
        <v>95</v>
      </c>
      <c r="H77" s="35" t="n"/>
      <c r="I77" s="35" t="n"/>
      <c r="J77" s="30">
        <f>IF(B77="","",DATE(YEAR(B77),MONTH(B77),1))</f>
        <v>46174.0</v>
      </c>
      <c r="K77" s="41" t="str">
        <f>IF(OR(B77="",D77=""),"",D77&amp;"|"&amp;TEXT(J77,"yyyy-mm"))</f>
        <v>Saúde Total|2026-06</v>
      </c>
      <c r="L77" s="24" t="str">
        <f>IF(K77="","",IFERROR(INDEX(Lotes!$N$5:$N$154,MATCH(K77,Lotes!$P$5:$P$154,0)),"Sem lote cadastrado"))</f>
        <v>Em recurso</v>
      </c>
      <c r="M77" s="25">
        <f>IF(H77="Sim",G77,0)</f>
        <v>0</v>
      </c>
      <c r="N77" s="42">
        <f>IF(AND(H77="Sim",I77&lt;&gt;"Aceito"),G77+ROW()/100000,0)</f>
        <v>0</v>
      </c>
    </row>
    <row r="78">
      <c r="A78" s="35" t="inlineStr">
        <is>
          <t>G2026-0504</t>
        </is>
      </c>
      <c r="B78" s="39" t="n">
        <v>46192</v>
      </c>
      <c r="C78" s="33" t="inlineStr">
        <is>
          <t>Gabriel Vieira</t>
        </is>
      </c>
      <c r="D78" s="35" t="inlineStr">
        <is>
          <t>Vida Care</t>
        </is>
      </c>
      <c r="E78" s="33" t="inlineStr">
        <is>
          <t>Consulta</t>
        </is>
      </c>
      <c r="F78" s="33" t="inlineStr">
        <is>
          <t>Dr. Paulo Andrade</t>
        </is>
      </c>
      <c r="G78" s="40" t="n">
        <v>90</v>
      </c>
      <c r="H78" s="35" t="n"/>
      <c r="I78" s="35" t="n"/>
      <c r="J78" s="30">
        <f>IF(B78="","",DATE(YEAR(B78),MONTH(B78),1))</f>
        <v>46174.0</v>
      </c>
      <c r="K78" s="41" t="str">
        <f>IF(OR(B78="",D78=""),"",D78&amp;"|"&amp;TEXT(J78,"yyyy-mm"))</f>
        <v>Vida Care|2026-06</v>
      </c>
      <c r="L78" s="24" t="str">
        <f>IF(K78="","",IFERROR(INDEX(Lotes!$N$5:$N$154,MATCH(K78,Lotes!$P$5:$P$154,0)),"Sem lote cadastrado"))</f>
        <v>Atrasada</v>
      </c>
      <c r="M78" s="25">
        <f>IF(H78="Sim",G78,0)</f>
        <v>0</v>
      </c>
      <c r="N78" s="42">
        <f>IF(AND(H78="Sim",I78&lt;&gt;"Aceito"),G78+ROW()/100000,0)</f>
        <v>0</v>
      </c>
    </row>
    <row r="79">
      <c r="A79" s="35" t="inlineStr">
        <is>
          <t>G2026-0505</t>
        </is>
      </c>
      <c r="B79" s="39" t="n">
        <v>46192</v>
      </c>
      <c r="C79" s="33" t="inlineStr">
        <is>
          <t>Regina Castro</t>
        </is>
      </c>
      <c r="D79" s="35" t="inlineStr">
        <is>
          <t>Vida Care</t>
        </is>
      </c>
      <c r="E79" s="33" t="inlineStr">
        <is>
          <t>Teste ergométrico</t>
        </is>
      </c>
      <c r="F79" s="33" t="inlineStr">
        <is>
          <t>Dr. Paulo Andrade</t>
        </is>
      </c>
      <c r="G79" s="40" t="n">
        <v>110</v>
      </c>
      <c r="H79" s="35" t="n"/>
      <c r="I79" s="35" t="n"/>
      <c r="J79" s="30">
        <f>IF(B79="","",DATE(YEAR(B79),MONTH(B79),1))</f>
        <v>46174.0</v>
      </c>
      <c r="K79" s="41" t="str">
        <f>IF(OR(B79="",D79=""),"",D79&amp;"|"&amp;TEXT(J79,"yyyy-mm"))</f>
        <v>Vida Care|2026-06</v>
      </c>
      <c r="L79" s="24" t="str">
        <f>IF(K79="","",IFERROR(INDEX(Lotes!$N$5:$N$154,MATCH(K79,Lotes!$P$5:$P$154,0)),"Sem lote cadastrado"))</f>
        <v>Atrasada</v>
      </c>
      <c r="M79" s="25">
        <f>IF(H79="Sim",G79,0)</f>
        <v>0</v>
      </c>
      <c r="N79" s="42">
        <f>IF(AND(H79="Sim",I79&lt;&gt;"Aceito"),G79+ROW()/100000,0)</f>
        <v>0</v>
      </c>
    </row>
    <row r="80">
      <c r="A80" s="35" t="inlineStr">
        <is>
          <t>G2026-0506</t>
        </is>
      </c>
      <c r="B80" s="39" t="n">
        <v>46195</v>
      </c>
      <c r="C80" s="33" t="inlineStr">
        <is>
          <t>Isabela Pinto</t>
        </is>
      </c>
      <c r="D80" s="35" t="inlineStr">
        <is>
          <t>Saúde Total</t>
        </is>
      </c>
      <c r="E80" s="33" t="inlineStr">
        <is>
          <t>Consulta</t>
        </is>
      </c>
      <c r="F80" s="33" t="inlineStr">
        <is>
          <t>Dra. Carolina Mendes</t>
        </is>
      </c>
      <c r="G80" s="40" t="n">
        <v>120</v>
      </c>
      <c r="H80" s="35" t="n"/>
      <c r="I80" s="35" t="n"/>
      <c r="J80" s="30">
        <f>IF(B80="","",DATE(YEAR(B80),MONTH(B80),1))</f>
        <v>46174.0</v>
      </c>
      <c r="K80" s="41" t="str">
        <f>IF(OR(B80="",D80=""),"",D80&amp;"|"&amp;TEXT(J80,"yyyy-mm"))</f>
        <v>Saúde Total|2026-06</v>
      </c>
      <c r="L80" s="24" t="str">
        <f>IF(K80="","",IFERROR(INDEX(Lotes!$N$5:$N$154,MATCH(K80,Lotes!$P$5:$P$154,0)),"Sem lote cadastrado"))</f>
        <v>Em recurso</v>
      </c>
      <c r="M80" s="25">
        <f>IF(H80="Sim",G80,0)</f>
        <v>0</v>
      </c>
      <c r="N80" s="42">
        <f>IF(AND(H80="Sim",I80&lt;&gt;"Aceito"),G80+ROW()/100000,0)</f>
        <v>0</v>
      </c>
    </row>
    <row r="81">
      <c r="A81" s="35" t="inlineStr">
        <is>
          <t>G2026-0507</t>
        </is>
      </c>
      <c r="B81" s="39" t="n">
        <v>46195</v>
      </c>
      <c r="C81" s="33" t="inlineStr">
        <is>
          <t>Paulo Ribeiro</t>
        </is>
      </c>
      <c r="D81" s="35" t="inlineStr">
        <is>
          <t>Saúde Total</t>
        </is>
      </c>
      <c r="E81" s="33" t="inlineStr">
        <is>
          <t>Consulta</t>
        </is>
      </c>
      <c r="F81" s="33" t="inlineStr">
        <is>
          <t>Dr. Paulo Andrade</t>
        </is>
      </c>
      <c r="G81" s="40" t="n">
        <v>120</v>
      </c>
      <c r="H81" s="35" t="n"/>
      <c r="I81" s="35" t="n"/>
      <c r="J81" s="30">
        <f>IF(B81="","",DATE(YEAR(B81),MONTH(B81),1))</f>
        <v>46174.0</v>
      </c>
      <c r="K81" s="41" t="str">
        <f>IF(OR(B81="",D81=""),"",D81&amp;"|"&amp;TEXT(J81,"yyyy-mm"))</f>
        <v>Saúde Total|2026-06</v>
      </c>
      <c r="L81" s="24" t="str">
        <f>IF(K81="","",IFERROR(INDEX(Lotes!$N$5:$N$154,MATCH(K81,Lotes!$P$5:$P$154,0)),"Sem lote cadastrado"))</f>
        <v>Em recurso</v>
      </c>
      <c r="M81" s="25">
        <f>IF(H81="Sim",G81,0)</f>
        <v>0</v>
      </c>
      <c r="N81" s="42">
        <f>IF(AND(H81="Sim",I81&lt;&gt;"Aceito"),G81+ROW()/100000,0)</f>
        <v>0</v>
      </c>
    </row>
    <row r="82">
      <c r="A82" s="35" t="inlineStr">
        <is>
          <t>G2026-0508</t>
        </is>
      </c>
      <c r="B82" s="39" t="n">
        <v>46196</v>
      </c>
      <c r="C82" s="33" t="inlineStr">
        <is>
          <t>Camila Batista</t>
        </is>
      </c>
      <c r="D82" s="35" t="inlineStr">
        <is>
          <t>MediPlan</t>
        </is>
      </c>
      <c r="E82" s="33" t="inlineStr">
        <is>
          <t>Consulta</t>
        </is>
      </c>
      <c r="F82" s="33" t="inlineStr">
        <is>
          <t>Dra. Carolina Mendes</t>
        </is>
      </c>
      <c r="G82" s="40" t="n">
        <v>100</v>
      </c>
      <c r="H82" s="35" t="n"/>
      <c r="I82" s="35" t="n"/>
      <c r="J82" s="30">
        <f>IF(B82="","",DATE(YEAR(B82),MONTH(B82),1))</f>
        <v>46174.0</v>
      </c>
      <c r="K82" s="41" t="str">
        <f>IF(OR(B82="",D82=""),"",D82&amp;"|"&amp;TEXT(J82,"yyyy-mm"))</f>
        <v>MediPlan|2026-06</v>
      </c>
      <c r="L82" s="24" t="str">
        <f>IF(K82="","",IFERROR(INDEX(Lotes!$N$5:$N$154,MATCH(K82,Lotes!$P$5:$P$154,0)),"Sem lote cadastrado"))</f>
        <v>Paga com glosa</v>
      </c>
      <c r="M82" s="25">
        <f>IF(H82="Sim",G82,0)</f>
        <v>0</v>
      </c>
      <c r="N82" s="42">
        <f>IF(AND(H82="Sim",I82&lt;&gt;"Aceito"),G82+ROW()/100000,0)</f>
        <v>0</v>
      </c>
    </row>
    <row r="83">
      <c r="A83" s="35" t="inlineStr">
        <is>
          <t>G2026-0509</t>
        </is>
      </c>
      <c r="B83" s="39" t="n">
        <v>46196</v>
      </c>
      <c r="C83" s="33" t="inlineStr">
        <is>
          <t>Priscila Carvalho</t>
        </is>
      </c>
      <c r="D83" s="35" t="inlineStr">
        <is>
          <t>Vida Care</t>
        </is>
      </c>
      <c r="E83" s="33" t="inlineStr">
        <is>
          <t>Consulta</t>
        </is>
      </c>
      <c r="F83" s="33" t="inlineStr">
        <is>
          <t>Dra. Carolina Mendes</t>
        </is>
      </c>
      <c r="G83" s="40" t="n">
        <v>90</v>
      </c>
      <c r="H83" s="35" t="n"/>
      <c r="I83" s="35" t="n"/>
      <c r="J83" s="30">
        <f>IF(B83="","",DATE(YEAR(B83),MONTH(B83),1))</f>
        <v>46174.0</v>
      </c>
      <c r="K83" s="41" t="str">
        <f>IF(OR(B83="",D83=""),"",D83&amp;"|"&amp;TEXT(J83,"yyyy-mm"))</f>
        <v>Vida Care|2026-06</v>
      </c>
      <c r="L83" s="24" t="str">
        <f>IF(K83="","",IFERROR(INDEX(Lotes!$N$5:$N$154,MATCH(K83,Lotes!$P$5:$P$154,0)),"Sem lote cadastrado"))</f>
        <v>Atrasada</v>
      </c>
      <c r="M83" s="25">
        <f>IF(H83="Sim",G83,0)</f>
        <v>0</v>
      </c>
      <c r="N83" s="42">
        <f>IF(AND(H83="Sim",I83&lt;&gt;"Aceito"),G83+ROW()/100000,0)</f>
        <v>0</v>
      </c>
    </row>
    <row r="84">
      <c r="A84" s="35" t="inlineStr">
        <is>
          <t>G2026-0510</t>
        </is>
      </c>
      <c r="B84" s="39" t="n">
        <v>46196</v>
      </c>
      <c r="C84" s="33" t="inlineStr">
        <is>
          <t>Ricardo Melo</t>
        </is>
      </c>
      <c r="D84" s="35" t="inlineStr">
        <is>
          <t>Saúde Total</t>
        </is>
      </c>
      <c r="E84" s="33" t="inlineStr">
        <is>
          <t>Consulta</t>
        </is>
      </c>
      <c r="F84" s="33" t="inlineStr">
        <is>
          <t>Dra. Carolina Mendes</t>
        </is>
      </c>
      <c r="G84" s="40" t="n">
        <v>120</v>
      </c>
      <c r="H84" s="35" t="n"/>
      <c r="I84" s="35" t="n"/>
      <c r="J84" s="30">
        <f>IF(B84="","",DATE(YEAR(B84),MONTH(B84),1))</f>
        <v>46174.0</v>
      </c>
      <c r="K84" s="41" t="str">
        <f>IF(OR(B84="",D84=""),"",D84&amp;"|"&amp;TEXT(J84,"yyyy-mm"))</f>
        <v>Saúde Total|2026-06</v>
      </c>
      <c r="L84" s="24" t="str">
        <f>IF(K84="","",IFERROR(INDEX(Lotes!$N$5:$N$154,MATCH(K84,Lotes!$P$5:$P$154,0)),"Sem lote cadastrado"))</f>
        <v>Em recurso</v>
      </c>
      <c r="M84" s="25">
        <f>IF(H84="Sim",G84,0)</f>
        <v>0</v>
      </c>
      <c r="N84" s="42">
        <f>IF(AND(H84="Sim",I84&lt;&gt;"Aceito"),G84+ROW()/100000,0)</f>
        <v>0</v>
      </c>
    </row>
    <row r="85">
      <c r="A85" s="35" t="inlineStr">
        <is>
          <t>G2026-0511</t>
        </is>
      </c>
      <c r="B85" s="39" t="n">
        <v>46196</v>
      </c>
      <c r="C85" s="33" t="inlineStr">
        <is>
          <t>Sandra Barros</t>
        </is>
      </c>
      <c r="D85" s="35" t="inlineStr">
        <is>
          <t>Saúde Total</t>
        </is>
      </c>
      <c r="E85" s="33" t="inlineStr">
        <is>
          <t>ECG</t>
        </is>
      </c>
      <c r="F85" s="33" t="inlineStr">
        <is>
          <t>Dr. Paulo Andrade</t>
        </is>
      </c>
      <c r="G85" s="40" t="n">
        <v>40</v>
      </c>
      <c r="H85" s="35" t="n"/>
      <c r="I85" s="35" t="n"/>
      <c r="J85" s="30">
        <f>IF(B85="","",DATE(YEAR(B85),MONTH(B85),1))</f>
        <v>46174.0</v>
      </c>
      <c r="K85" s="41" t="str">
        <f>IF(OR(B85="",D85=""),"",D85&amp;"|"&amp;TEXT(J85,"yyyy-mm"))</f>
        <v>Saúde Total|2026-06</v>
      </c>
      <c r="L85" s="24" t="str">
        <f>IF(K85="","",IFERROR(INDEX(Lotes!$N$5:$N$154,MATCH(K85,Lotes!$P$5:$P$154,0)),"Sem lote cadastrado"))</f>
        <v>Em recurso</v>
      </c>
      <c r="M85" s="25">
        <f>IF(H85="Sim",G85,0)</f>
        <v>0</v>
      </c>
      <c r="N85" s="42">
        <f>IF(AND(H85="Sim",I85&lt;&gt;"Aceito"),G85+ROW()/100000,0)</f>
        <v>0</v>
      </c>
    </row>
    <row r="86">
      <c r="A86" s="35" t="inlineStr">
        <is>
          <t>G2026-0512</t>
        </is>
      </c>
      <c r="B86" s="39" t="n">
        <v>46196</v>
      </c>
      <c r="C86" s="33" t="inlineStr">
        <is>
          <t>Mateus Dias</t>
        </is>
      </c>
      <c r="D86" s="35" t="inlineStr">
        <is>
          <t>Saúde Total</t>
        </is>
      </c>
      <c r="E86" s="33" t="inlineStr">
        <is>
          <t>ECG</t>
        </is>
      </c>
      <c r="F86" s="33" t="inlineStr">
        <is>
          <t>Dr. Paulo Andrade</t>
        </is>
      </c>
      <c r="G86" s="40" t="n">
        <v>40</v>
      </c>
      <c r="H86" s="35" t="n"/>
      <c r="I86" s="35" t="n"/>
      <c r="J86" s="30">
        <f>IF(B86="","",DATE(YEAR(B86),MONTH(B86),1))</f>
        <v>46174.0</v>
      </c>
      <c r="K86" s="41" t="str">
        <f>IF(OR(B86="",D86=""),"",D86&amp;"|"&amp;TEXT(J86,"yyyy-mm"))</f>
        <v>Saúde Total|2026-06</v>
      </c>
      <c r="L86" s="24" t="str">
        <f>IF(K86="","",IFERROR(INDEX(Lotes!$N$5:$N$154,MATCH(K86,Lotes!$P$5:$P$154,0)),"Sem lote cadastrado"))</f>
        <v>Em recurso</v>
      </c>
      <c r="M86" s="25">
        <f>IF(H86="Sim",G86,0)</f>
        <v>0</v>
      </c>
      <c r="N86" s="42">
        <f>IF(AND(H86="Sim",I86&lt;&gt;"Aceito"),G86+ROW()/100000,0)</f>
        <v>0</v>
      </c>
    </row>
    <row r="87">
      <c r="A87" s="35" t="inlineStr">
        <is>
          <t>G2026-0513</t>
        </is>
      </c>
      <c r="B87" s="39" t="n">
        <v>46196</v>
      </c>
      <c r="C87" s="33" t="inlineStr">
        <is>
          <t>Mônica Teixeira</t>
        </is>
      </c>
      <c r="D87" s="35" t="inlineStr">
        <is>
          <t>Vida Care</t>
        </is>
      </c>
      <c r="E87" s="33" t="inlineStr">
        <is>
          <t>Teste ergométrico</t>
        </is>
      </c>
      <c r="F87" s="33" t="inlineStr">
        <is>
          <t>Dr. Paulo Andrade</t>
        </is>
      </c>
      <c r="G87" s="40" t="n">
        <v>110</v>
      </c>
      <c r="H87" s="35" t="n"/>
      <c r="I87" s="35" t="n"/>
      <c r="J87" s="30">
        <f>IF(B87="","",DATE(YEAR(B87),MONTH(B87),1))</f>
        <v>46174.0</v>
      </c>
      <c r="K87" s="41" t="str">
        <f>IF(OR(B87="",D87=""),"",D87&amp;"|"&amp;TEXT(J87,"yyyy-mm"))</f>
        <v>Vida Care|2026-06</v>
      </c>
      <c r="L87" s="24" t="str">
        <f>IF(K87="","",IFERROR(INDEX(Lotes!$N$5:$N$154,MATCH(K87,Lotes!$P$5:$P$154,0)),"Sem lote cadastrado"))</f>
        <v>Atrasada</v>
      </c>
      <c r="M87" s="25">
        <f>IF(H87="Sim",G87,0)</f>
        <v>0</v>
      </c>
      <c r="N87" s="42">
        <f>IF(AND(H87="Sim",I87&lt;&gt;"Aceito"),G87+ROW()/100000,0)</f>
        <v>0</v>
      </c>
    </row>
    <row r="88">
      <c r="A88" s="35" t="inlineStr">
        <is>
          <t>G2026-0514</t>
        </is>
      </c>
      <c r="B88" s="39" t="n">
        <v>46196</v>
      </c>
      <c r="C88" s="33" t="inlineStr">
        <is>
          <t>Paulo Freitas</t>
        </is>
      </c>
      <c r="D88" s="35" t="inlineStr">
        <is>
          <t>Saúde Total</t>
        </is>
      </c>
      <c r="E88" s="33" t="inlineStr">
        <is>
          <t>Avaliação endócrina</t>
        </is>
      </c>
      <c r="F88" s="33" t="inlineStr">
        <is>
          <t>Dra. Renata Sousa</t>
        </is>
      </c>
      <c r="G88" s="40" t="n">
        <v>130</v>
      </c>
      <c r="H88" s="35" t="n"/>
      <c r="I88" s="35" t="n"/>
      <c r="J88" s="30">
        <f>IF(B88="","",DATE(YEAR(B88),MONTH(B88),1))</f>
        <v>46174.0</v>
      </c>
      <c r="K88" s="41" t="str">
        <f>IF(OR(B88="",D88=""),"",D88&amp;"|"&amp;TEXT(J88,"yyyy-mm"))</f>
        <v>Saúde Total|2026-06</v>
      </c>
      <c r="L88" s="24" t="str">
        <f>IF(K88="","",IFERROR(INDEX(Lotes!$N$5:$N$154,MATCH(K88,Lotes!$P$5:$P$154,0)),"Sem lote cadastrado"))</f>
        <v>Em recurso</v>
      </c>
      <c r="M88" s="25">
        <f>IF(H88="Sim",G88,0)</f>
        <v>0</v>
      </c>
      <c r="N88" s="42">
        <f>IF(AND(H88="Sim",I88&lt;&gt;"Aceito"),G88+ROW()/100000,0)</f>
        <v>0</v>
      </c>
    </row>
    <row r="89">
      <c r="A89" s="35" t="inlineStr">
        <is>
          <t>G2026-0515</t>
        </is>
      </c>
      <c r="B89" s="39" t="n">
        <v>46196</v>
      </c>
      <c r="C89" s="33" t="inlineStr">
        <is>
          <t>Vanessa Moreira</t>
        </is>
      </c>
      <c r="D89" s="35" t="inlineStr">
        <is>
          <t>Saúde Total</t>
        </is>
      </c>
      <c r="E89" s="33" t="inlineStr">
        <is>
          <t>Consulta</t>
        </is>
      </c>
      <c r="F89" s="33" t="inlineStr">
        <is>
          <t>Dr. Paulo Andrade</t>
        </is>
      </c>
      <c r="G89" s="40" t="n">
        <v>120</v>
      </c>
      <c r="H89" s="35" t="n"/>
      <c r="I89" s="35" t="n"/>
      <c r="J89" s="30">
        <f>IF(B89="","",DATE(YEAR(B89),MONTH(B89),1))</f>
        <v>46174.0</v>
      </c>
      <c r="K89" s="41" t="str">
        <f>IF(OR(B89="",D89=""),"",D89&amp;"|"&amp;TEXT(J89,"yyyy-mm"))</f>
        <v>Saúde Total|2026-06</v>
      </c>
      <c r="L89" s="24" t="str">
        <f>IF(K89="","",IFERROR(INDEX(Lotes!$N$5:$N$154,MATCH(K89,Lotes!$P$5:$P$154,0)),"Sem lote cadastrado"))</f>
        <v>Em recurso</v>
      </c>
      <c r="M89" s="25">
        <f>IF(H89="Sim",G89,0)</f>
        <v>0</v>
      </c>
      <c r="N89" s="42">
        <f>IF(AND(H89="Sim",I89&lt;&gt;"Aceito"),G89+ROW()/100000,0)</f>
        <v>0</v>
      </c>
    </row>
    <row r="90">
      <c r="A90" s="35" t="inlineStr">
        <is>
          <t>G2026-0516</t>
        </is>
      </c>
      <c r="B90" s="39" t="n">
        <v>46197</v>
      </c>
      <c r="C90" s="33" t="inlineStr">
        <is>
          <t>Juliana Silva</t>
        </is>
      </c>
      <c r="D90" s="35" t="inlineStr">
        <is>
          <t>Vida Care</t>
        </is>
      </c>
      <c r="E90" s="33" t="inlineStr">
        <is>
          <t>Consulta</t>
        </is>
      </c>
      <c r="F90" s="33" t="inlineStr">
        <is>
          <t>Dra. Carolina Mendes</t>
        </is>
      </c>
      <c r="G90" s="40" t="n">
        <v>90</v>
      </c>
      <c r="H90" s="35" t="n"/>
      <c r="I90" s="35" t="n"/>
      <c r="J90" s="30">
        <f>IF(B90="","",DATE(YEAR(B90),MONTH(B90),1))</f>
        <v>46174.0</v>
      </c>
      <c r="K90" s="41" t="str">
        <f>IF(OR(B90="",D90=""),"",D90&amp;"|"&amp;TEXT(J90,"yyyy-mm"))</f>
        <v>Vida Care|2026-06</v>
      </c>
      <c r="L90" s="24" t="str">
        <f>IF(K90="","",IFERROR(INDEX(Lotes!$N$5:$N$154,MATCH(K90,Lotes!$P$5:$P$154,0)),"Sem lote cadastrado"))</f>
        <v>Atrasada</v>
      </c>
      <c r="M90" s="25">
        <f>IF(H90="Sim",G90,0)</f>
        <v>0</v>
      </c>
      <c r="N90" s="42">
        <f>IF(AND(H90="Sim",I90&lt;&gt;"Aceito"),G90+ROW()/100000,0)</f>
        <v>0</v>
      </c>
    </row>
    <row r="91">
      <c r="A91" s="35" t="inlineStr">
        <is>
          <t>G2026-0517</t>
        </is>
      </c>
      <c r="B91" s="39" t="n">
        <v>46197</v>
      </c>
      <c r="C91" s="33" t="inlineStr">
        <is>
          <t>Priscila Castro</t>
        </is>
      </c>
      <c r="D91" s="35" t="inlineStr">
        <is>
          <t>Saúde Total</t>
        </is>
      </c>
      <c r="E91" s="33" t="inlineStr">
        <is>
          <t>Consulta</t>
        </is>
      </c>
      <c r="F91" s="33" t="inlineStr">
        <is>
          <t>Dra. Carolina Mendes</t>
        </is>
      </c>
      <c r="G91" s="40" t="n">
        <v>120</v>
      </c>
      <c r="H91" s="35" t="n"/>
      <c r="I91" s="35" t="n"/>
      <c r="J91" s="30">
        <f>IF(B91="","",DATE(YEAR(B91),MONTH(B91),1))</f>
        <v>46174.0</v>
      </c>
      <c r="K91" s="41" t="str">
        <f>IF(OR(B91="",D91=""),"",D91&amp;"|"&amp;TEXT(J91,"yyyy-mm"))</f>
        <v>Saúde Total|2026-06</v>
      </c>
      <c r="L91" s="24" t="str">
        <f>IF(K91="","",IFERROR(INDEX(Lotes!$N$5:$N$154,MATCH(K91,Lotes!$P$5:$P$154,0)),"Sem lote cadastrado"))</f>
        <v>Em recurso</v>
      </c>
      <c r="M91" s="25">
        <f>IF(H91="Sim",G91,0)</f>
        <v>0</v>
      </c>
      <c r="N91" s="42">
        <f>IF(AND(H91="Sim",I91&lt;&gt;"Aceito"),G91+ROW()/100000,0)</f>
        <v>0</v>
      </c>
    </row>
    <row r="92">
      <c r="A92" s="35" t="inlineStr">
        <is>
          <t>G2026-0518</t>
        </is>
      </c>
      <c r="B92" s="39" t="n">
        <v>46197</v>
      </c>
      <c r="C92" s="33" t="inlineStr">
        <is>
          <t>Tatiana Cunha</t>
        </is>
      </c>
      <c r="D92" s="35" t="inlineStr">
        <is>
          <t>Saúde Total</t>
        </is>
      </c>
      <c r="E92" s="33" t="inlineStr">
        <is>
          <t>Consulta</t>
        </is>
      </c>
      <c r="F92" s="33" t="inlineStr">
        <is>
          <t>Dra. Carolina Mendes</t>
        </is>
      </c>
      <c r="G92" s="40" t="n">
        <v>120</v>
      </c>
      <c r="H92" s="35" t="n"/>
      <c r="I92" s="35" t="n"/>
      <c r="J92" s="30">
        <f>IF(B92="","",DATE(YEAR(B92),MONTH(B92),1))</f>
        <v>46174.0</v>
      </c>
      <c r="K92" s="41" t="str">
        <f>IF(OR(B92="",D92=""),"",D92&amp;"|"&amp;TEXT(J92,"yyyy-mm"))</f>
        <v>Saúde Total|2026-06</v>
      </c>
      <c r="L92" s="24" t="str">
        <f>IF(K92="","",IFERROR(INDEX(Lotes!$N$5:$N$154,MATCH(K92,Lotes!$P$5:$P$154,0)),"Sem lote cadastrado"))</f>
        <v>Em recurso</v>
      </c>
      <c r="M92" s="25">
        <f>IF(H92="Sim",G92,0)</f>
        <v>0</v>
      </c>
      <c r="N92" s="42">
        <f>IF(AND(H92="Sim",I92&lt;&gt;"Aceito"),G92+ROW()/100000,0)</f>
        <v>0</v>
      </c>
    </row>
    <row r="93">
      <c r="A93" s="35" t="inlineStr">
        <is>
          <t>G2026-0519</t>
        </is>
      </c>
      <c r="B93" s="39" t="n">
        <v>46197</v>
      </c>
      <c r="C93" s="33" t="inlineStr">
        <is>
          <t>Débora Machado</t>
        </is>
      </c>
      <c r="D93" s="35" t="inlineStr">
        <is>
          <t>Saúde Total</t>
        </is>
      </c>
      <c r="E93" s="33" t="inlineStr">
        <is>
          <t>Consulta</t>
        </is>
      </c>
      <c r="F93" s="33" t="inlineStr">
        <is>
          <t>Dra. Carolina Mendes</t>
        </is>
      </c>
      <c r="G93" s="40" t="n">
        <v>120</v>
      </c>
      <c r="H93" s="35" t="n"/>
      <c r="I93" s="35" t="n"/>
      <c r="J93" s="30">
        <f>IF(B93="","",DATE(YEAR(B93),MONTH(B93),1))</f>
        <v>46174.0</v>
      </c>
      <c r="K93" s="41" t="str">
        <f>IF(OR(B93="",D93=""),"",D93&amp;"|"&amp;TEXT(J93,"yyyy-mm"))</f>
        <v>Saúde Total|2026-06</v>
      </c>
      <c r="L93" s="24" t="str">
        <f>IF(K93="","",IFERROR(INDEX(Lotes!$N$5:$N$154,MATCH(K93,Lotes!$P$5:$P$154,0)),"Sem lote cadastrado"))</f>
        <v>Em recurso</v>
      </c>
      <c r="M93" s="25">
        <f>IF(H93="Sim",G93,0)</f>
        <v>0</v>
      </c>
      <c r="N93" s="42">
        <f>IF(AND(H93="Sim",I93&lt;&gt;"Aceito"),G93+ROW()/100000,0)</f>
        <v>0</v>
      </c>
    </row>
    <row r="94">
      <c r="A94" s="35" t="inlineStr">
        <is>
          <t>G2026-0520</t>
        </is>
      </c>
      <c r="B94" s="39" t="n">
        <v>46198</v>
      </c>
      <c r="C94" s="33" t="inlineStr">
        <is>
          <t>Mônica Batista</t>
        </is>
      </c>
      <c r="D94" s="35" t="inlineStr">
        <is>
          <t>MediPlan</t>
        </is>
      </c>
      <c r="E94" s="33" t="inlineStr">
        <is>
          <t>Consulta</t>
        </is>
      </c>
      <c r="F94" s="33" t="inlineStr">
        <is>
          <t>Dra. Carolina Mendes</t>
        </is>
      </c>
      <c r="G94" s="40" t="n">
        <v>100</v>
      </c>
      <c r="H94" s="35" t="n"/>
      <c r="I94" s="35" t="n"/>
      <c r="J94" s="30">
        <f>IF(B94="","",DATE(YEAR(B94),MONTH(B94),1))</f>
        <v>46174.0</v>
      </c>
      <c r="K94" s="41" t="str">
        <f>IF(OR(B94="",D94=""),"",D94&amp;"|"&amp;TEXT(J94,"yyyy-mm"))</f>
        <v>MediPlan|2026-06</v>
      </c>
      <c r="L94" s="24" t="str">
        <f>IF(K94="","",IFERROR(INDEX(Lotes!$N$5:$N$154,MATCH(K94,Lotes!$P$5:$P$154,0)),"Sem lote cadastrado"))</f>
        <v>Paga com glosa</v>
      </c>
      <c r="M94" s="25">
        <f>IF(H94="Sim",G94,0)</f>
        <v>0</v>
      </c>
      <c r="N94" s="42">
        <f>IF(AND(H94="Sim",I94&lt;&gt;"Aceito"),G94+ROW()/100000,0)</f>
        <v>0</v>
      </c>
    </row>
    <row r="95">
      <c r="A95" s="35" t="inlineStr">
        <is>
          <t>G2026-0521</t>
        </is>
      </c>
      <c r="B95" s="39" t="n">
        <v>46198</v>
      </c>
      <c r="C95" s="33" t="inlineStr">
        <is>
          <t>Letícia Vieira</t>
        </is>
      </c>
      <c r="D95" s="35" t="inlineStr">
        <is>
          <t>Saúde Total</t>
        </is>
      </c>
      <c r="E95" s="33" t="inlineStr">
        <is>
          <t>Consulta</t>
        </is>
      </c>
      <c r="F95" s="33" t="inlineStr">
        <is>
          <t>Dra. Carolina Mendes</t>
        </is>
      </c>
      <c r="G95" s="40" t="n">
        <v>120</v>
      </c>
      <c r="H95" s="35" t="n"/>
      <c r="I95" s="35" t="n"/>
      <c r="J95" s="30">
        <f>IF(B95="","",DATE(YEAR(B95),MONTH(B95),1))</f>
        <v>46174.0</v>
      </c>
      <c r="K95" s="41" t="str">
        <f>IF(OR(B95="",D95=""),"",D95&amp;"|"&amp;TEXT(J95,"yyyy-mm"))</f>
        <v>Saúde Total|2026-06</v>
      </c>
      <c r="L95" s="24" t="str">
        <f>IF(K95="","",IFERROR(INDEX(Lotes!$N$5:$N$154,MATCH(K95,Lotes!$P$5:$P$154,0)),"Sem lote cadastrado"))</f>
        <v>Em recurso</v>
      </c>
      <c r="M95" s="25">
        <f>IF(H95="Sim",G95,0)</f>
        <v>0</v>
      </c>
      <c r="N95" s="42">
        <f>IF(AND(H95="Sim",I95&lt;&gt;"Aceito"),G95+ROW()/100000,0)</f>
        <v>0</v>
      </c>
    </row>
    <row r="96">
      <c r="A96" s="35" t="inlineStr">
        <is>
          <t>G2026-0522</t>
        </is>
      </c>
      <c r="B96" s="39" t="n">
        <v>46198</v>
      </c>
      <c r="C96" s="33" t="inlineStr">
        <is>
          <t>Juliana Ribeiro</t>
        </is>
      </c>
      <c r="D96" s="35" t="inlineStr">
        <is>
          <t>Saúde Total</t>
        </is>
      </c>
      <c r="E96" s="33" t="inlineStr">
        <is>
          <t>Teste ergométrico</t>
        </is>
      </c>
      <c r="F96" s="33" t="inlineStr">
        <is>
          <t>Dr. Paulo Andrade</t>
        </is>
      </c>
      <c r="G96" s="40" t="n">
        <v>140</v>
      </c>
      <c r="H96" s="35" t="n"/>
      <c r="I96" s="35" t="n"/>
      <c r="J96" s="30">
        <f>IF(B96="","",DATE(YEAR(B96),MONTH(B96),1))</f>
        <v>46174.0</v>
      </c>
      <c r="K96" s="41" t="str">
        <f>IF(OR(B96="",D96=""),"",D96&amp;"|"&amp;TEXT(J96,"yyyy-mm"))</f>
        <v>Saúde Total|2026-06</v>
      </c>
      <c r="L96" s="24" t="str">
        <f>IF(K96="","",IFERROR(INDEX(Lotes!$N$5:$N$154,MATCH(K96,Lotes!$P$5:$P$154,0)),"Sem lote cadastrado"))</f>
        <v>Em recurso</v>
      </c>
      <c r="M96" s="25">
        <f>IF(H96="Sim",G96,0)</f>
        <v>0</v>
      </c>
      <c r="N96" s="42">
        <f>IF(AND(H96="Sim",I96&lt;&gt;"Aceito"),G96+ROW()/100000,0)</f>
        <v>0</v>
      </c>
    </row>
    <row r="97">
      <c r="A97" s="35" t="inlineStr">
        <is>
          <t>G2026-0523</t>
        </is>
      </c>
      <c r="B97" s="39" t="n">
        <v>46198</v>
      </c>
      <c r="C97" s="33" t="inlineStr">
        <is>
          <t>Priscila Nunes</t>
        </is>
      </c>
      <c r="D97" s="35" t="inlineStr">
        <is>
          <t>MediPlan</t>
        </is>
      </c>
      <c r="E97" s="33" t="inlineStr">
        <is>
          <t>ECG</t>
        </is>
      </c>
      <c r="F97" s="33" t="inlineStr">
        <is>
          <t>Dr. Paulo Andrade</t>
        </is>
      </c>
      <c r="G97" s="40" t="n">
        <v>35</v>
      </c>
      <c r="H97" s="35" t="n"/>
      <c r="I97" s="35" t="n"/>
      <c r="J97" s="30">
        <f>IF(B97="","",DATE(YEAR(B97),MONTH(B97),1))</f>
        <v>46174.0</v>
      </c>
      <c r="K97" s="41" t="str">
        <f>IF(OR(B97="",D97=""),"",D97&amp;"|"&amp;TEXT(J97,"yyyy-mm"))</f>
        <v>MediPlan|2026-06</v>
      </c>
      <c r="L97" s="24" t="str">
        <f>IF(K97="","",IFERROR(INDEX(Lotes!$N$5:$N$154,MATCH(K97,Lotes!$P$5:$P$154,0)),"Sem lote cadastrado"))</f>
        <v>Paga com glosa</v>
      </c>
      <c r="M97" s="25">
        <f>IF(H97="Sim",G97,0)</f>
        <v>0</v>
      </c>
      <c r="N97" s="42">
        <f>IF(AND(H97="Sim",I97&lt;&gt;"Aceito"),G97+ROW()/100000,0)</f>
        <v>0</v>
      </c>
    </row>
    <row r="98">
      <c r="A98" s="35" t="inlineStr">
        <is>
          <t>G2026-0524</t>
        </is>
      </c>
      <c r="B98" s="39" t="n">
        <v>46198</v>
      </c>
      <c r="C98" s="33" t="inlineStr">
        <is>
          <t>Leandro Ferreira</t>
        </is>
      </c>
      <c r="D98" s="35" t="inlineStr">
        <is>
          <t>Saúde Total</t>
        </is>
      </c>
      <c r="E98" s="33" t="inlineStr">
        <is>
          <t>Consulta</t>
        </is>
      </c>
      <c r="F98" s="33" t="inlineStr">
        <is>
          <t>Dr. Paulo Andrade</t>
        </is>
      </c>
      <c r="G98" s="40" t="n">
        <v>120</v>
      </c>
      <c r="H98" s="35" t="n"/>
      <c r="I98" s="35" t="n"/>
      <c r="J98" s="30">
        <f>IF(B98="","",DATE(YEAR(B98),MONTH(B98),1))</f>
        <v>46174.0</v>
      </c>
      <c r="K98" s="41" t="str">
        <f>IF(OR(B98="",D98=""),"",D98&amp;"|"&amp;TEXT(J98,"yyyy-mm"))</f>
        <v>Saúde Total|2026-06</v>
      </c>
      <c r="L98" s="24" t="str">
        <f>IF(K98="","",IFERROR(INDEX(Lotes!$N$5:$N$154,MATCH(K98,Lotes!$P$5:$P$154,0)),"Sem lote cadastrado"))</f>
        <v>Em recurso</v>
      </c>
      <c r="M98" s="25">
        <f>IF(H98="Sim",G98,0)</f>
        <v>0</v>
      </c>
      <c r="N98" s="42">
        <f>IF(AND(H98="Sim",I98&lt;&gt;"Aceito"),G98+ROW()/100000,0)</f>
        <v>0</v>
      </c>
    </row>
    <row r="99">
      <c r="A99" s="35" t="inlineStr">
        <is>
          <t>G2026-0525</t>
        </is>
      </c>
      <c r="B99" s="39" t="n">
        <v>46198</v>
      </c>
      <c r="C99" s="33" t="inlineStr">
        <is>
          <t>Fernanda Gonçalves</t>
        </is>
      </c>
      <c r="D99" s="35" t="inlineStr">
        <is>
          <t>Saúde Total</t>
        </is>
      </c>
      <c r="E99" s="33" t="inlineStr">
        <is>
          <t>Avaliação endócrina</t>
        </is>
      </c>
      <c r="F99" s="33" t="inlineStr">
        <is>
          <t>Dra. Renata Sousa</t>
        </is>
      </c>
      <c r="G99" s="40" t="n">
        <v>130</v>
      </c>
      <c r="H99" s="35" t="n"/>
      <c r="I99" s="35" t="n"/>
      <c r="J99" s="30">
        <f>IF(B99="","",DATE(YEAR(B99),MONTH(B99),1))</f>
        <v>46174.0</v>
      </c>
      <c r="K99" s="41" t="str">
        <f>IF(OR(B99="",D99=""),"",D99&amp;"|"&amp;TEXT(J99,"yyyy-mm"))</f>
        <v>Saúde Total|2026-06</v>
      </c>
      <c r="L99" s="24" t="str">
        <f>IF(K99="","",IFERROR(INDEX(Lotes!$N$5:$N$154,MATCH(K99,Lotes!$P$5:$P$154,0)),"Sem lote cadastrado"))</f>
        <v>Em recurso</v>
      </c>
      <c r="M99" s="25">
        <f>IF(H99="Sim",G99,0)</f>
        <v>0</v>
      </c>
      <c r="N99" s="42">
        <f>IF(AND(H99="Sim",I99&lt;&gt;"Aceito"),G99+ROW()/100000,0)</f>
        <v>0</v>
      </c>
    </row>
    <row r="100">
      <c r="A100" s="35" t="inlineStr">
        <is>
          <t>G2026-0526</t>
        </is>
      </c>
      <c r="B100" s="39" t="n">
        <v>46198</v>
      </c>
      <c r="C100" s="33" t="inlineStr">
        <is>
          <t>Priscila Carvalho</t>
        </is>
      </c>
      <c r="D100" s="35" t="inlineStr">
        <is>
          <t>Vida Care</t>
        </is>
      </c>
      <c r="E100" s="33" t="inlineStr">
        <is>
          <t>ECG</t>
        </is>
      </c>
      <c r="F100" s="33" t="inlineStr">
        <is>
          <t>Dr. Paulo Andrade</t>
        </is>
      </c>
      <c r="G100" s="40" t="n">
        <v>32</v>
      </c>
      <c r="H100" s="35" t="n"/>
      <c r="I100" s="35" t="n"/>
      <c r="J100" s="30">
        <f>IF(B100="","",DATE(YEAR(B100),MONTH(B100),1))</f>
        <v>46174.0</v>
      </c>
      <c r="K100" s="41" t="str">
        <f>IF(OR(B100="",D100=""),"",D100&amp;"|"&amp;TEXT(J100,"yyyy-mm"))</f>
        <v>Vida Care|2026-06</v>
      </c>
      <c r="L100" s="24" t="str">
        <f>IF(K100="","",IFERROR(INDEX(Lotes!$N$5:$N$154,MATCH(K100,Lotes!$P$5:$P$154,0)),"Sem lote cadastrado"))</f>
        <v>Atrasada</v>
      </c>
      <c r="M100" s="25">
        <f>IF(H100="Sim",G100,0)</f>
        <v>0</v>
      </c>
      <c r="N100" s="42">
        <f>IF(AND(H100="Sim",I100&lt;&gt;"Aceito"),G100+ROW()/100000,0)</f>
        <v>0</v>
      </c>
    </row>
    <row r="101">
      <c r="A101" s="35" t="inlineStr">
        <is>
          <t>G2026-0527</t>
        </is>
      </c>
      <c r="B101" s="39" t="n">
        <v>46198</v>
      </c>
      <c r="C101" s="33" t="inlineStr">
        <is>
          <t>Sérgio Batista</t>
        </is>
      </c>
      <c r="D101" s="35" t="inlineStr">
        <is>
          <t>MediPlan</t>
        </is>
      </c>
      <c r="E101" s="33" t="inlineStr">
        <is>
          <t>ECG</t>
        </is>
      </c>
      <c r="F101" s="33" t="inlineStr">
        <is>
          <t>Dr. Paulo Andrade</t>
        </is>
      </c>
      <c r="G101" s="40" t="n">
        <v>35</v>
      </c>
      <c r="H101" s="35" t="inlineStr">
        <is>
          <t>Sim</t>
        </is>
      </c>
      <c r="I101" s="35" t="n"/>
      <c r="J101" s="30">
        <f>IF(B101="","",DATE(YEAR(B101),MONTH(B101),1))</f>
        <v>46174.0</v>
      </c>
      <c r="K101" s="41" t="str">
        <f>IF(OR(B101="",D101=""),"",D101&amp;"|"&amp;TEXT(J101,"yyyy-mm"))</f>
        <v>MediPlan|2026-06</v>
      </c>
      <c r="L101" s="24" t="str">
        <f>IF(K101="","",IFERROR(INDEX(Lotes!$N$5:$N$154,MATCH(K101,Lotes!$P$5:$P$154,0)),"Sem lote cadastrado"))</f>
        <v>Paga com glosa</v>
      </c>
      <c r="M101" s="25">
        <f>IF(H101="Sim",G101,0)</f>
        <v>35</v>
      </c>
      <c r="N101" s="42">
        <f>IF(AND(H101="Sim",I101&lt;&gt;"Aceito"),G101+ROW()/100000,0)</f>
        <v>35.00101</v>
      </c>
    </row>
    <row r="102">
      <c r="A102" s="35" t="inlineStr">
        <is>
          <t>G2026-0528</t>
        </is>
      </c>
      <c r="B102" s="39" t="n">
        <v>46198</v>
      </c>
      <c r="C102" s="33" t="inlineStr">
        <is>
          <t>Gisele Lopes</t>
        </is>
      </c>
      <c r="D102" s="35" t="inlineStr">
        <is>
          <t>Saúde Total</t>
        </is>
      </c>
      <c r="E102" s="33" t="inlineStr">
        <is>
          <t>Avaliação endócrina</t>
        </is>
      </c>
      <c r="F102" s="33" t="inlineStr">
        <is>
          <t>Dra. Renata Sousa</t>
        </is>
      </c>
      <c r="G102" s="40" t="n">
        <v>130</v>
      </c>
      <c r="H102" s="35" t="n"/>
      <c r="I102" s="35" t="n"/>
      <c r="J102" s="30">
        <f>IF(B102="","",DATE(YEAR(B102),MONTH(B102),1))</f>
        <v>46174.0</v>
      </c>
      <c r="K102" s="41" t="str">
        <f>IF(OR(B102="",D102=""),"",D102&amp;"|"&amp;TEXT(J102,"yyyy-mm"))</f>
        <v>Saúde Total|2026-06</v>
      </c>
      <c r="L102" s="24" t="str">
        <f>IF(K102="","",IFERROR(INDEX(Lotes!$N$5:$N$154,MATCH(K102,Lotes!$P$5:$P$154,0)),"Sem lote cadastrado"))</f>
        <v>Em recurso</v>
      </c>
      <c r="M102" s="25">
        <f>IF(H102="Sim",G102,0)</f>
        <v>0</v>
      </c>
      <c r="N102" s="42">
        <f>IF(AND(H102="Sim",I102&lt;&gt;"Aceito"),G102+ROW()/100000,0)</f>
        <v>0</v>
      </c>
    </row>
    <row r="103">
      <c r="A103" s="35" t="inlineStr">
        <is>
          <t>G2026-0529</t>
        </is>
      </c>
      <c r="B103" s="39" t="n">
        <v>46199</v>
      </c>
      <c r="C103" s="33" t="inlineStr">
        <is>
          <t>Beatriz Gonçalves</t>
        </is>
      </c>
      <c r="D103" s="35" t="inlineStr">
        <is>
          <t>Saúde Total</t>
        </is>
      </c>
      <c r="E103" s="33" t="inlineStr">
        <is>
          <t>Consulta</t>
        </is>
      </c>
      <c r="F103" s="33" t="inlineStr">
        <is>
          <t>Dr. Paulo Andrade</t>
        </is>
      </c>
      <c r="G103" s="40" t="n">
        <v>120</v>
      </c>
      <c r="H103" s="35" t="n"/>
      <c r="I103" s="35" t="n"/>
      <c r="J103" s="30">
        <f>IF(B103="","",DATE(YEAR(B103),MONTH(B103),1))</f>
        <v>46174.0</v>
      </c>
      <c r="K103" s="41" t="str">
        <f>IF(OR(B103="",D103=""),"",D103&amp;"|"&amp;TEXT(J103,"yyyy-mm"))</f>
        <v>Saúde Total|2026-06</v>
      </c>
      <c r="L103" s="24" t="str">
        <f>IF(K103="","",IFERROR(INDEX(Lotes!$N$5:$N$154,MATCH(K103,Lotes!$P$5:$P$154,0)),"Sem lote cadastrado"))</f>
        <v>Em recurso</v>
      </c>
      <c r="M103" s="25">
        <f>IF(H103="Sim",G103,0)</f>
        <v>0</v>
      </c>
      <c r="N103" s="42">
        <f>IF(AND(H103="Sim",I103&lt;&gt;"Aceito"),G103+ROW()/100000,0)</f>
        <v>0</v>
      </c>
    </row>
    <row r="104">
      <c r="A104" s="35" t="inlineStr">
        <is>
          <t>G2026-0530</t>
        </is>
      </c>
      <c r="B104" s="39" t="n">
        <v>46199</v>
      </c>
      <c r="C104" s="33" t="inlineStr">
        <is>
          <t>Leandro Cardoso</t>
        </is>
      </c>
      <c r="D104" s="35" t="inlineStr">
        <is>
          <t>MediPlan</t>
        </is>
      </c>
      <c r="E104" s="33" t="inlineStr">
        <is>
          <t>Consulta</t>
        </is>
      </c>
      <c r="F104" s="33" t="inlineStr">
        <is>
          <t>Dr. Paulo Andrade</t>
        </is>
      </c>
      <c r="G104" s="40" t="n">
        <v>100</v>
      </c>
      <c r="H104" s="35" t="n"/>
      <c r="I104" s="35" t="n"/>
      <c r="J104" s="30">
        <f>IF(B104="","",DATE(YEAR(B104),MONTH(B104),1))</f>
        <v>46174.0</v>
      </c>
      <c r="K104" s="41" t="str">
        <f>IF(OR(B104="",D104=""),"",D104&amp;"|"&amp;TEXT(J104,"yyyy-mm"))</f>
        <v>MediPlan|2026-06</v>
      </c>
      <c r="L104" s="24" t="str">
        <f>IF(K104="","",IFERROR(INDEX(Lotes!$N$5:$N$154,MATCH(K104,Lotes!$P$5:$P$154,0)),"Sem lote cadastrado"))</f>
        <v>Paga com glosa</v>
      </c>
      <c r="M104" s="25">
        <f>IF(H104="Sim",G104,0)</f>
        <v>0</v>
      </c>
      <c r="N104" s="42">
        <f>IF(AND(H104="Sim",I104&lt;&gt;"Aceito"),G104+ROW()/100000,0)</f>
        <v>0</v>
      </c>
    </row>
    <row r="105">
      <c r="A105" s="35" t="inlineStr">
        <is>
          <t>G2026-0531</t>
        </is>
      </c>
      <c r="B105" s="39" t="n">
        <v>46199</v>
      </c>
      <c r="C105" s="33" t="inlineStr">
        <is>
          <t>Carlos Castro</t>
        </is>
      </c>
      <c r="D105" s="35" t="inlineStr">
        <is>
          <t>Saúde Total</t>
        </is>
      </c>
      <c r="E105" s="33" t="inlineStr">
        <is>
          <t>ECG</t>
        </is>
      </c>
      <c r="F105" s="33" t="inlineStr">
        <is>
          <t>Dr. Paulo Andrade</t>
        </is>
      </c>
      <c r="G105" s="40" t="n">
        <v>40</v>
      </c>
      <c r="H105" s="35" t="n"/>
      <c r="I105" s="35" t="n"/>
      <c r="J105" s="30">
        <f>IF(B105="","",DATE(YEAR(B105),MONTH(B105),1))</f>
        <v>46174.0</v>
      </c>
      <c r="K105" s="41" t="str">
        <f>IF(OR(B105="",D105=""),"",D105&amp;"|"&amp;TEXT(J105,"yyyy-mm"))</f>
        <v>Saúde Total|2026-06</v>
      </c>
      <c r="L105" s="24" t="str">
        <f>IF(K105="","",IFERROR(INDEX(Lotes!$N$5:$N$154,MATCH(K105,Lotes!$P$5:$P$154,0)),"Sem lote cadastrado"))</f>
        <v>Em recurso</v>
      </c>
      <c r="M105" s="25">
        <f>IF(H105="Sim",G105,0)</f>
        <v>0</v>
      </c>
      <c r="N105" s="42">
        <f>IF(AND(H105="Sim",I105&lt;&gt;"Aceito"),G105+ROW()/100000,0)</f>
        <v>0</v>
      </c>
    </row>
    <row r="106">
      <c r="A106" s="35" t="inlineStr">
        <is>
          <t>G2026-0532</t>
        </is>
      </c>
      <c r="B106" s="39" t="n">
        <v>46199</v>
      </c>
      <c r="C106" s="33" t="inlineStr">
        <is>
          <t>Otávio Martins</t>
        </is>
      </c>
      <c r="D106" s="35" t="inlineStr">
        <is>
          <t>MediPlan</t>
        </is>
      </c>
      <c r="E106" s="33" t="inlineStr">
        <is>
          <t>Consulta</t>
        </is>
      </c>
      <c r="F106" s="33" t="inlineStr">
        <is>
          <t>Dr. Paulo Andrade</t>
        </is>
      </c>
      <c r="G106" s="40" t="n">
        <v>100</v>
      </c>
      <c r="H106" s="35" t="n"/>
      <c r="I106" s="35" t="n"/>
      <c r="J106" s="30">
        <f>IF(B106="","",DATE(YEAR(B106),MONTH(B106),1))</f>
        <v>46174.0</v>
      </c>
      <c r="K106" s="41" t="str">
        <f>IF(OR(B106="",D106=""),"",D106&amp;"|"&amp;TEXT(J106,"yyyy-mm"))</f>
        <v>MediPlan|2026-06</v>
      </c>
      <c r="L106" s="24" t="str">
        <f>IF(K106="","",IFERROR(INDEX(Lotes!$N$5:$N$154,MATCH(K106,Lotes!$P$5:$P$154,0)),"Sem lote cadastrado"))</f>
        <v>Paga com glosa</v>
      </c>
      <c r="M106" s="25">
        <f>IF(H106="Sim",G106,0)</f>
        <v>0</v>
      </c>
      <c r="N106" s="42">
        <f>IF(AND(H106="Sim",I106&lt;&gt;"Aceito"),G106+ROW()/100000,0)</f>
        <v>0</v>
      </c>
    </row>
    <row r="107">
      <c r="A107" s="35" t="inlineStr">
        <is>
          <t>G2026-0533</t>
        </is>
      </c>
      <c r="B107" s="39" t="n">
        <v>46199</v>
      </c>
      <c r="C107" s="33" t="inlineStr">
        <is>
          <t>Rafael Araújo</t>
        </is>
      </c>
      <c r="D107" s="35" t="inlineStr">
        <is>
          <t>MediPlan</t>
        </is>
      </c>
      <c r="E107" s="33" t="inlineStr">
        <is>
          <t>Consulta</t>
        </is>
      </c>
      <c r="F107" s="33" t="inlineStr">
        <is>
          <t>Dr. Paulo Andrade</t>
        </is>
      </c>
      <c r="G107" s="40" t="n">
        <v>100</v>
      </c>
      <c r="H107" s="35" t="n"/>
      <c r="I107" s="35" t="n"/>
      <c r="J107" s="30">
        <f>IF(B107="","",DATE(YEAR(B107),MONTH(B107),1))</f>
        <v>46174.0</v>
      </c>
      <c r="K107" s="41" t="str">
        <f>IF(OR(B107="",D107=""),"",D107&amp;"|"&amp;TEXT(J107,"yyyy-mm"))</f>
        <v>MediPlan|2026-06</v>
      </c>
      <c r="L107" s="24" t="str">
        <f>IF(K107="","",IFERROR(INDEX(Lotes!$N$5:$N$154,MATCH(K107,Lotes!$P$5:$P$154,0)),"Sem lote cadastrado"))</f>
        <v>Paga com glosa</v>
      </c>
      <c r="M107" s="25">
        <f>IF(H107="Sim",G107,0)</f>
        <v>0</v>
      </c>
      <c r="N107" s="42">
        <f>IF(AND(H107="Sim",I107&lt;&gt;"Aceito"),G107+ROW()/100000,0)</f>
        <v>0</v>
      </c>
    </row>
    <row r="108">
      <c r="A108" s="35" t="inlineStr">
        <is>
          <t>G2026-0534</t>
        </is>
      </c>
      <c r="B108" s="39" t="n">
        <v>46202</v>
      </c>
      <c r="C108" s="33" t="inlineStr">
        <is>
          <t>Tatiana Cunha</t>
        </is>
      </c>
      <c r="D108" s="35" t="inlineStr">
        <is>
          <t>Saúde Total</t>
        </is>
      </c>
      <c r="E108" s="33" t="inlineStr">
        <is>
          <t>Holter</t>
        </is>
      </c>
      <c r="F108" s="33" t="inlineStr">
        <is>
          <t>Dr. Paulo Andrade</t>
        </is>
      </c>
      <c r="G108" s="40" t="n">
        <v>105</v>
      </c>
      <c r="H108" s="35" t="n"/>
      <c r="I108" s="35" t="n"/>
      <c r="J108" s="30">
        <f>IF(B108="","",DATE(YEAR(B108),MONTH(B108),1))</f>
        <v>46174.0</v>
      </c>
      <c r="K108" s="41" t="str">
        <f>IF(OR(B108="",D108=""),"",D108&amp;"|"&amp;TEXT(J108,"yyyy-mm"))</f>
        <v>Saúde Total|2026-06</v>
      </c>
      <c r="L108" s="24" t="str">
        <f>IF(K108="","",IFERROR(INDEX(Lotes!$N$5:$N$154,MATCH(K108,Lotes!$P$5:$P$154,0)),"Sem lote cadastrado"))</f>
        <v>Em recurso</v>
      </c>
      <c r="M108" s="25">
        <f>IF(H108="Sim",G108,0)</f>
        <v>0</v>
      </c>
      <c r="N108" s="42">
        <f>IF(AND(H108="Sim",I108&lt;&gt;"Aceito"),G108+ROW()/100000,0)</f>
        <v>0</v>
      </c>
    </row>
    <row r="109">
      <c r="A109" s="35" t="inlineStr">
        <is>
          <t>G2026-0535</t>
        </is>
      </c>
      <c r="B109" s="39" t="n">
        <v>46202</v>
      </c>
      <c r="C109" s="33" t="inlineStr">
        <is>
          <t>Sandra Cardoso</t>
        </is>
      </c>
      <c r="D109" s="35" t="inlineStr">
        <is>
          <t>Saúde Total</t>
        </is>
      </c>
      <c r="E109" s="33" t="inlineStr">
        <is>
          <t>ECG</t>
        </is>
      </c>
      <c r="F109" s="33" t="inlineStr">
        <is>
          <t>Dr. Paulo Andrade</t>
        </is>
      </c>
      <c r="G109" s="40" t="n">
        <v>40</v>
      </c>
      <c r="H109" s="35" t="n"/>
      <c r="I109" s="35" t="n"/>
      <c r="J109" s="30">
        <f>IF(B109="","",DATE(YEAR(B109),MONTH(B109),1))</f>
        <v>46174.0</v>
      </c>
      <c r="K109" s="41" t="str">
        <f>IF(OR(B109="",D109=""),"",D109&amp;"|"&amp;TEXT(J109,"yyyy-mm"))</f>
        <v>Saúde Total|2026-06</v>
      </c>
      <c r="L109" s="24" t="str">
        <f>IF(K109="","",IFERROR(INDEX(Lotes!$N$5:$N$154,MATCH(K109,Lotes!$P$5:$P$154,0)),"Sem lote cadastrado"))</f>
        <v>Em recurso</v>
      </c>
      <c r="M109" s="25">
        <f>IF(H109="Sim",G109,0)</f>
        <v>0</v>
      </c>
      <c r="N109" s="42">
        <f>IF(AND(H109="Sim",I109&lt;&gt;"Aceito"),G109+ROW()/100000,0)</f>
        <v>0</v>
      </c>
    </row>
    <row r="110">
      <c r="A110" s="35" t="inlineStr">
        <is>
          <t>G2026-0536</t>
        </is>
      </c>
      <c r="B110" s="39" t="n">
        <v>46202</v>
      </c>
      <c r="C110" s="33" t="inlineStr">
        <is>
          <t>Camila Martins</t>
        </is>
      </c>
      <c r="D110" s="35" t="inlineStr">
        <is>
          <t>Vida Care</t>
        </is>
      </c>
      <c r="E110" s="33" t="inlineStr">
        <is>
          <t>Consulta</t>
        </is>
      </c>
      <c r="F110" s="33" t="inlineStr">
        <is>
          <t>Dr. Paulo Andrade</t>
        </is>
      </c>
      <c r="G110" s="40" t="n">
        <v>90</v>
      </c>
      <c r="H110" s="35" t="n"/>
      <c r="I110" s="35" t="n"/>
      <c r="J110" s="30">
        <f>IF(B110="","",DATE(YEAR(B110),MONTH(B110),1))</f>
        <v>46174.0</v>
      </c>
      <c r="K110" s="41" t="str">
        <f>IF(OR(B110="",D110=""),"",D110&amp;"|"&amp;TEXT(J110,"yyyy-mm"))</f>
        <v>Vida Care|2026-06</v>
      </c>
      <c r="L110" s="24" t="str">
        <f>IF(K110="","",IFERROR(INDEX(Lotes!$N$5:$N$154,MATCH(K110,Lotes!$P$5:$P$154,0)),"Sem lote cadastrado"))</f>
        <v>Atrasada</v>
      </c>
      <c r="M110" s="25">
        <f>IF(H110="Sim",G110,0)</f>
        <v>0</v>
      </c>
      <c r="N110" s="42">
        <f>IF(AND(H110="Sim",I110&lt;&gt;"Aceito"),G110+ROW()/100000,0)</f>
        <v>0</v>
      </c>
    </row>
    <row r="111">
      <c r="A111" s="35" t="inlineStr">
        <is>
          <t>G2026-0537</t>
        </is>
      </c>
      <c r="B111" s="39" t="n">
        <v>46202</v>
      </c>
      <c r="C111" s="33" t="inlineStr">
        <is>
          <t>Priscila Rocha</t>
        </is>
      </c>
      <c r="D111" s="35" t="inlineStr">
        <is>
          <t>MediPlan</t>
        </is>
      </c>
      <c r="E111" s="33" t="inlineStr">
        <is>
          <t>Consulta</t>
        </is>
      </c>
      <c r="F111" s="33" t="inlineStr">
        <is>
          <t>Dr. Paulo Andrade</t>
        </is>
      </c>
      <c r="G111" s="40" t="n">
        <v>100</v>
      </c>
      <c r="H111" s="35" t="n"/>
      <c r="I111" s="35" t="n"/>
      <c r="J111" s="30">
        <f>IF(B111="","",DATE(YEAR(B111),MONTH(B111),1))</f>
        <v>46174.0</v>
      </c>
      <c r="K111" s="41" t="str">
        <f>IF(OR(B111="",D111=""),"",D111&amp;"|"&amp;TEXT(J111,"yyyy-mm"))</f>
        <v>MediPlan|2026-06</v>
      </c>
      <c r="L111" s="24" t="str">
        <f>IF(K111="","",IFERROR(INDEX(Lotes!$N$5:$N$154,MATCH(K111,Lotes!$P$5:$P$154,0)),"Sem lote cadastrado"))</f>
        <v>Paga com glosa</v>
      </c>
      <c r="M111" s="25">
        <f>IF(H111="Sim",G111,0)</f>
        <v>0</v>
      </c>
      <c r="N111" s="42">
        <f>IF(AND(H111="Sim",I111&lt;&gt;"Aceito"),G111+ROW()/100000,0)</f>
        <v>0</v>
      </c>
    </row>
    <row r="112">
      <c r="A112" s="35" t="inlineStr">
        <is>
          <t>G2026-0538</t>
        </is>
      </c>
      <c r="B112" s="39" t="n">
        <v>46202</v>
      </c>
      <c r="C112" s="33" t="inlineStr">
        <is>
          <t>Lucas Xavier</t>
        </is>
      </c>
      <c r="D112" s="35" t="inlineStr">
        <is>
          <t>Saúde Total</t>
        </is>
      </c>
      <c r="E112" s="33" t="inlineStr">
        <is>
          <t>MAPA</t>
        </is>
      </c>
      <c r="F112" s="33" t="inlineStr">
        <is>
          <t>Dr. Paulo Andrade</t>
        </is>
      </c>
      <c r="G112" s="40" t="n">
        <v>95</v>
      </c>
      <c r="H112" s="35" t="n"/>
      <c r="I112" s="35" t="n"/>
      <c r="J112" s="30">
        <f>IF(B112="","",DATE(YEAR(B112),MONTH(B112),1))</f>
        <v>46174.0</v>
      </c>
      <c r="K112" s="41" t="str">
        <f>IF(OR(B112="",D112=""),"",D112&amp;"|"&amp;TEXT(J112,"yyyy-mm"))</f>
        <v>Saúde Total|2026-06</v>
      </c>
      <c r="L112" s="24" t="str">
        <f>IF(K112="","",IFERROR(INDEX(Lotes!$N$5:$N$154,MATCH(K112,Lotes!$P$5:$P$154,0)),"Sem lote cadastrado"))</f>
        <v>Em recurso</v>
      </c>
      <c r="M112" s="25">
        <f>IF(H112="Sim",G112,0)</f>
        <v>0</v>
      </c>
      <c r="N112" s="42">
        <f>IF(AND(H112="Sim",I112&lt;&gt;"Aceito"),G112+ROW()/100000,0)</f>
        <v>0</v>
      </c>
    </row>
    <row r="113">
      <c r="A113" s="35" t="inlineStr">
        <is>
          <t>G2026-0539</t>
        </is>
      </c>
      <c r="B113" s="39" t="n">
        <v>46203</v>
      </c>
      <c r="C113" s="33" t="inlineStr">
        <is>
          <t>Daniel Melo</t>
        </is>
      </c>
      <c r="D113" s="35" t="inlineStr">
        <is>
          <t>Saúde Total</t>
        </is>
      </c>
      <c r="E113" s="33" t="inlineStr">
        <is>
          <t>Consulta</t>
        </is>
      </c>
      <c r="F113" s="33" t="inlineStr">
        <is>
          <t>Dra. Carolina Mendes</t>
        </is>
      </c>
      <c r="G113" s="40" t="n">
        <v>120</v>
      </c>
      <c r="H113" s="35" t="n"/>
      <c r="I113" s="35" t="n"/>
      <c r="J113" s="30">
        <f>IF(B113="","",DATE(YEAR(B113),MONTH(B113),1))</f>
        <v>46174.0</v>
      </c>
      <c r="K113" s="41" t="str">
        <f>IF(OR(B113="",D113=""),"",D113&amp;"|"&amp;TEXT(J113,"yyyy-mm"))</f>
        <v>Saúde Total|2026-06</v>
      </c>
      <c r="L113" s="24" t="str">
        <f>IF(K113="","",IFERROR(INDEX(Lotes!$N$5:$N$154,MATCH(K113,Lotes!$P$5:$P$154,0)),"Sem lote cadastrado"))</f>
        <v>Em recurso</v>
      </c>
      <c r="M113" s="25">
        <f>IF(H113="Sim",G113,0)</f>
        <v>0</v>
      </c>
      <c r="N113" s="42">
        <f>IF(AND(H113="Sim",I113&lt;&gt;"Aceito"),G113+ROW()/100000,0)</f>
        <v>0</v>
      </c>
    </row>
    <row r="114">
      <c r="A114" s="35" t="inlineStr">
        <is>
          <t>G2026-0540</t>
        </is>
      </c>
      <c r="B114" s="39" t="n">
        <v>46203</v>
      </c>
      <c r="C114" s="33" t="inlineStr">
        <is>
          <t>Camila Batista</t>
        </is>
      </c>
      <c r="D114" s="35" t="inlineStr">
        <is>
          <t>MediPlan</t>
        </is>
      </c>
      <c r="E114" s="33" t="inlineStr">
        <is>
          <t>Consulta</t>
        </is>
      </c>
      <c r="F114" s="33" t="inlineStr">
        <is>
          <t>Dra. Carolina Mendes</t>
        </is>
      </c>
      <c r="G114" s="40" t="n">
        <v>100</v>
      </c>
      <c r="H114" s="35" t="n"/>
      <c r="I114" s="35" t="n"/>
      <c r="J114" s="30">
        <f>IF(B114="","",DATE(YEAR(B114),MONTH(B114),1))</f>
        <v>46174.0</v>
      </c>
      <c r="K114" s="41" t="str">
        <f>IF(OR(B114="",D114=""),"",D114&amp;"|"&amp;TEXT(J114,"yyyy-mm"))</f>
        <v>MediPlan|2026-06</v>
      </c>
      <c r="L114" s="24" t="str">
        <f>IF(K114="","",IFERROR(INDEX(Lotes!$N$5:$N$154,MATCH(K114,Lotes!$P$5:$P$154,0)),"Sem lote cadastrado"))</f>
        <v>Paga com glosa</v>
      </c>
      <c r="M114" s="25">
        <f>IF(H114="Sim",G114,0)</f>
        <v>0</v>
      </c>
      <c r="N114" s="42">
        <f>IF(AND(H114="Sim",I114&lt;&gt;"Aceito"),G114+ROW()/100000,0)</f>
        <v>0</v>
      </c>
    </row>
    <row r="115">
      <c r="A115" s="35" t="inlineStr">
        <is>
          <t>G2026-0541</t>
        </is>
      </c>
      <c r="B115" s="39" t="n">
        <v>46203</v>
      </c>
      <c r="C115" s="33" t="inlineStr">
        <is>
          <t>Gabriel Vieira</t>
        </is>
      </c>
      <c r="D115" s="35" t="inlineStr">
        <is>
          <t>Vida Care</t>
        </is>
      </c>
      <c r="E115" s="33" t="inlineStr">
        <is>
          <t>Consulta</t>
        </is>
      </c>
      <c r="F115" s="33" t="inlineStr">
        <is>
          <t>Dr. Paulo Andrade</t>
        </is>
      </c>
      <c r="G115" s="40" t="n">
        <v>90</v>
      </c>
      <c r="H115" s="35" t="n"/>
      <c r="I115" s="35" t="n"/>
      <c r="J115" s="30">
        <f>IF(B115="","",DATE(YEAR(B115),MONTH(B115),1))</f>
        <v>46174.0</v>
      </c>
      <c r="K115" s="41" t="str">
        <f>IF(OR(B115="",D115=""),"",D115&amp;"|"&amp;TEXT(J115,"yyyy-mm"))</f>
        <v>Vida Care|2026-06</v>
      </c>
      <c r="L115" s="24" t="str">
        <f>IF(K115="","",IFERROR(INDEX(Lotes!$N$5:$N$154,MATCH(K115,Lotes!$P$5:$P$154,0)),"Sem lote cadastrado"))</f>
        <v>Atrasada</v>
      </c>
      <c r="M115" s="25">
        <f>IF(H115="Sim",G115,0)</f>
        <v>0</v>
      </c>
      <c r="N115" s="42">
        <f>IF(AND(H115="Sim",I115&lt;&gt;"Aceito"),G115+ROW()/100000,0)</f>
        <v>0</v>
      </c>
    </row>
    <row r="116">
      <c r="A116" s="35" t="inlineStr">
        <is>
          <t>G2026-0542</t>
        </is>
      </c>
      <c r="B116" s="39" t="n">
        <v>46203</v>
      </c>
      <c r="C116" s="33" t="inlineStr">
        <is>
          <t>Mateus Dias</t>
        </is>
      </c>
      <c r="D116" s="35" t="inlineStr">
        <is>
          <t>Saúde Total</t>
        </is>
      </c>
      <c r="E116" s="33" t="inlineStr">
        <is>
          <t>Consulta</t>
        </is>
      </c>
      <c r="F116" s="33" t="inlineStr">
        <is>
          <t>Dr. Paulo Andrade</t>
        </is>
      </c>
      <c r="G116" s="40" t="n">
        <v>120</v>
      </c>
      <c r="H116" s="35" t="n"/>
      <c r="I116" s="35" t="n"/>
      <c r="J116" s="30">
        <f>IF(B116="","",DATE(YEAR(B116),MONTH(B116),1))</f>
        <v>46174.0</v>
      </c>
      <c r="K116" s="41" t="str">
        <f>IF(OR(B116="",D116=""),"",D116&amp;"|"&amp;TEXT(J116,"yyyy-mm"))</f>
        <v>Saúde Total|2026-06</v>
      </c>
      <c r="L116" s="24" t="str">
        <f>IF(K116="","",IFERROR(INDEX(Lotes!$N$5:$N$154,MATCH(K116,Lotes!$P$5:$P$154,0)),"Sem lote cadastrado"))</f>
        <v>Em recurso</v>
      </c>
      <c r="M116" s="25">
        <f>IF(H116="Sim",G116,0)</f>
        <v>0</v>
      </c>
      <c r="N116" s="42">
        <f>IF(AND(H116="Sim",I116&lt;&gt;"Aceito"),G116+ROW()/100000,0)</f>
        <v>0</v>
      </c>
    </row>
    <row r="117">
      <c r="A117" s="35" t="inlineStr">
        <is>
          <t>G2026-0543</t>
        </is>
      </c>
      <c r="B117" s="39" t="n">
        <v>46203</v>
      </c>
      <c r="C117" s="33" t="inlineStr">
        <is>
          <t>Vanessa Moreira</t>
        </is>
      </c>
      <c r="D117" s="35" t="inlineStr">
        <is>
          <t>Saúde Total</t>
        </is>
      </c>
      <c r="E117" s="33" t="inlineStr">
        <is>
          <t>Consulta</t>
        </is>
      </c>
      <c r="F117" s="33" t="inlineStr">
        <is>
          <t>Dr. Paulo Andrade</t>
        </is>
      </c>
      <c r="G117" s="40" t="n">
        <v>120</v>
      </c>
      <c r="H117" s="35" t="n"/>
      <c r="I117" s="35" t="n"/>
      <c r="J117" s="30">
        <f>IF(B117="","",DATE(YEAR(B117),MONTH(B117),1))</f>
        <v>46174.0</v>
      </c>
      <c r="K117" s="41" t="str">
        <f>IF(OR(B117="",D117=""),"",D117&amp;"|"&amp;TEXT(J117,"yyyy-mm"))</f>
        <v>Saúde Total|2026-06</v>
      </c>
      <c r="L117" s="24" t="str">
        <f>IF(K117="","",IFERROR(INDEX(Lotes!$N$5:$N$154,MATCH(K117,Lotes!$P$5:$P$154,0)),"Sem lote cadastrado"))</f>
        <v>Em recurso</v>
      </c>
      <c r="M117" s="25">
        <f>IF(H117="Sim",G117,0)</f>
        <v>0</v>
      </c>
      <c r="N117" s="42">
        <f>IF(AND(H117="Sim",I117&lt;&gt;"Aceito"),G117+ROW()/100000,0)</f>
        <v>0</v>
      </c>
    </row>
    <row r="118">
      <c r="A118" s="35" t="inlineStr">
        <is>
          <t>G2026-0544</t>
        </is>
      </c>
      <c r="B118" s="39" t="n">
        <v>46203</v>
      </c>
      <c r="C118" s="33" t="inlineStr">
        <is>
          <t>Paulo Ribeiro</t>
        </is>
      </c>
      <c r="D118" s="35" t="inlineStr">
        <is>
          <t>Saúde Total</t>
        </is>
      </c>
      <c r="E118" s="33" t="inlineStr">
        <is>
          <t>Consulta</t>
        </is>
      </c>
      <c r="F118" s="33" t="inlineStr">
        <is>
          <t>Dr. Paulo Andrade</t>
        </is>
      </c>
      <c r="G118" s="40" t="n">
        <v>120</v>
      </c>
      <c r="H118" s="35" t="n"/>
      <c r="I118" s="35" t="n"/>
      <c r="J118" s="30">
        <f>IF(B118="","",DATE(YEAR(B118),MONTH(B118),1))</f>
        <v>46174.0</v>
      </c>
      <c r="K118" s="41" t="str">
        <f>IF(OR(B118="",D118=""),"",D118&amp;"|"&amp;TEXT(J118,"yyyy-mm"))</f>
        <v>Saúde Total|2026-06</v>
      </c>
      <c r="L118" s="24" t="str">
        <f>IF(K118="","",IFERROR(INDEX(Lotes!$N$5:$N$154,MATCH(K118,Lotes!$P$5:$P$154,0)),"Sem lote cadastrado"))</f>
        <v>Em recurso</v>
      </c>
      <c r="M118" s="25">
        <f>IF(H118="Sim",G118,0)</f>
        <v>0</v>
      </c>
      <c r="N118" s="42">
        <f>IF(AND(H118="Sim",I118&lt;&gt;"Aceito"),G118+ROW()/100000,0)</f>
        <v>0</v>
      </c>
    </row>
    <row r="119">
      <c r="A119" s="35" t="inlineStr">
        <is>
          <t>G2026-0545</t>
        </is>
      </c>
      <c r="B119" s="39" t="n">
        <v>46204</v>
      </c>
      <c r="C119" s="33" t="inlineStr">
        <is>
          <t>Eduardo Nunes</t>
        </is>
      </c>
      <c r="D119" s="35" t="inlineStr">
        <is>
          <t>MediPlan</t>
        </is>
      </c>
      <c r="E119" s="33" t="inlineStr">
        <is>
          <t>Consulta</t>
        </is>
      </c>
      <c r="F119" s="33" t="inlineStr">
        <is>
          <t>Dra. Carolina Mendes</t>
        </is>
      </c>
      <c r="G119" s="40" t="n">
        <v>100</v>
      </c>
      <c r="H119" s="35" t="n"/>
      <c r="I119" s="35" t="n"/>
      <c r="J119" s="30">
        <f>IF(B119="","",DATE(YEAR(B119),MONTH(B119),1))</f>
        <v>46204.0</v>
      </c>
      <c r="K119" s="41" t="str">
        <f>IF(OR(B119="",D119=""),"",D119&amp;"|"&amp;TEXT(J119,"yyyy-mm"))</f>
        <v>MediPlan|2026-07</v>
      </c>
      <c r="L119" s="24" t="str">
        <f>IF(K119="","",IFERROR(INDEX(Lotes!$N$5:$N$154,MATCH(K119,Lotes!$P$5:$P$154,0)),"Sem lote cadastrado"))</f>
        <v>Aguardando</v>
      </c>
      <c r="M119" s="25">
        <f>IF(H119="Sim",G119,0)</f>
        <v>0</v>
      </c>
      <c r="N119" s="42">
        <f>IF(AND(H119="Sim",I119&lt;&gt;"Aceito"),G119+ROW()/100000,0)</f>
        <v>0</v>
      </c>
    </row>
    <row r="120">
      <c r="A120" s="35" t="inlineStr">
        <is>
          <t>G2026-0546</t>
        </is>
      </c>
      <c r="B120" s="39" t="n">
        <v>46204</v>
      </c>
      <c r="C120" s="33" t="inlineStr">
        <is>
          <t>Tatiana Cunha</t>
        </is>
      </c>
      <c r="D120" s="35" t="inlineStr">
        <is>
          <t>Saúde Total</t>
        </is>
      </c>
      <c r="E120" s="33" t="inlineStr">
        <is>
          <t>Consulta</t>
        </is>
      </c>
      <c r="F120" s="33" t="inlineStr">
        <is>
          <t>Dra. Carolina Mendes</t>
        </is>
      </c>
      <c r="G120" s="40" t="n">
        <v>120</v>
      </c>
      <c r="H120" s="35" t="n"/>
      <c r="I120" s="35" t="n"/>
      <c r="J120" s="30">
        <f>IF(B120="","",DATE(YEAR(B120),MONTH(B120),1))</f>
        <v>46204.0</v>
      </c>
      <c r="K120" s="41" t="str">
        <f>IF(OR(B120="",D120=""),"",D120&amp;"|"&amp;TEXT(J120,"yyyy-mm"))</f>
        <v>Saúde Total|2026-07</v>
      </c>
      <c r="L120" s="24" t="str">
        <f>IF(K120="","",IFERROR(INDEX(Lotes!$N$5:$N$154,MATCH(K120,Lotes!$P$5:$P$154,0)),"Sem lote cadastrado"))</f>
        <v>Paga com glosa</v>
      </c>
      <c r="M120" s="25">
        <f>IF(H120="Sim",G120,0)</f>
        <v>0</v>
      </c>
      <c r="N120" s="42">
        <f>IF(AND(H120="Sim",I120&lt;&gt;"Aceito"),G120+ROW()/100000,0)</f>
        <v>0</v>
      </c>
    </row>
    <row r="121">
      <c r="A121" s="35" t="inlineStr">
        <is>
          <t>G2026-0547</t>
        </is>
      </c>
      <c r="B121" s="39" t="n">
        <v>46204</v>
      </c>
      <c r="C121" s="33" t="inlineStr">
        <is>
          <t>Débora Machado</t>
        </is>
      </c>
      <c r="D121" s="35" t="inlineStr">
        <is>
          <t>Saúde Total</t>
        </is>
      </c>
      <c r="E121" s="33" t="inlineStr">
        <is>
          <t>Consulta</t>
        </is>
      </c>
      <c r="F121" s="33" t="inlineStr">
        <is>
          <t>Dra. Carolina Mendes</t>
        </is>
      </c>
      <c r="G121" s="40" t="n">
        <v>120</v>
      </c>
      <c r="H121" s="35" t="n"/>
      <c r="I121" s="35" t="n"/>
      <c r="J121" s="30">
        <f>IF(B121="","",DATE(YEAR(B121),MONTH(B121),1))</f>
        <v>46204.0</v>
      </c>
      <c r="K121" s="41" t="str">
        <f>IF(OR(B121="",D121=""),"",D121&amp;"|"&amp;TEXT(J121,"yyyy-mm"))</f>
        <v>Saúde Total|2026-07</v>
      </c>
      <c r="L121" s="24" t="str">
        <f>IF(K121="","",IFERROR(INDEX(Lotes!$N$5:$N$154,MATCH(K121,Lotes!$P$5:$P$154,0)),"Sem lote cadastrado"))</f>
        <v>Paga com glosa</v>
      </c>
      <c r="M121" s="25">
        <f>IF(H121="Sim",G121,0)</f>
        <v>0</v>
      </c>
      <c r="N121" s="42">
        <f>IF(AND(H121="Sim",I121&lt;&gt;"Aceito"),G121+ROW()/100000,0)</f>
        <v>0</v>
      </c>
    </row>
    <row r="122">
      <c r="A122" s="35" t="inlineStr">
        <is>
          <t>G2026-0548</t>
        </is>
      </c>
      <c r="B122" s="39" t="n">
        <v>46205</v>
      </c>
      <c r="C122" s="33" t="inlineStr">
        <is>
          <t>Priscila Castro</t>
        </is>
      </c>
      <c r="D122" s="35" t="inlineStr">
        <is>
          <t>Saúde Total</t>
        </is>
      </c>
      <c r="E122" s="33" t="inlineStr">
        <is>
          <t>Consulta</t>
        </is>
      </c>
      <c r="F122" s="33" t="inlineStr">
        <is>
          <t>Dra. Carolina Mendes</t>
        </is>
      </c>
      <c r="G122" s="40" t="n">
        <v>120</v>
      </c>
      <c r="H122" s="35" t="n"/>
      <c r="I122" s="35" t="n"/>
      <c r="J122" s="30">
        <f>IF(B122="","",DATE(YEAR(B122),MONTH(B122),1))</f>
        <v>46204.0</v>
      </c>
      <c r="K122" s="41" t="str">
        <f>IF(OR(B122="",D122=""),"",D122&amp;"|"&amp;TEXT(J122,"yyyy-mm"))</f>
        <v>Saúde Total|2026-07</v>
      </c>
      <c r="L122" s="24" t="str">
        <f>IF(K122="","",IFERROR(INDEX(Lotes!$N$5:$N$154,MATCH(K122,Lotes!$P$5:$P$154,0)),"Sem lote cadastrado"))</f>
        <v>Paga com glosa</v>
      </c>
      <c r="M122" s="25">
        <f>IF(H122="Sim",G122,0)</f>
        <v>0</v>
      </c>
      <c r="N122" s="42">
        <f>IF(AND(H122="Sim",I122&lt;&gt;"Aceito"),G122+ROW()/100000,0)</f>
        <v>0</v>
      </c>
    </row>
    <row r="123">
      <c r="A123" s="35" t="inlineStr">
        <is>
          <t>G2026-0549</t>
        </is>
      </c>
      <c r="B123" s="39" t="n">
        <v>46205</v>
      </c>
      <c r="C123" s="33" t="inlineStr">
        <is>
          <t>Letícia Vieira</t>
        </is>
      </c>
      <c r="D123" s="35" t="inlineStr">
        <is>
          <t>Saúde Total</t>
        </is>
      </c>
      <c r="E123" s="33" t="inlineStr">
        <is>
          <t>Consulta</t>
        </is>
      </c>
      <c r="F123" s="33" t="inlineStr">
        <is>
          <t>Dra. Carolina Mendes</t>
        </is>
      </c>
      <c r="G123" s="40" t="n">
        <v>120</v>
      </c>
      <c r="H123" s="35" t="n"/>
      <c r="I123" s="35" t="n"/>
      <c r="J123" s="30">
        <f>IF(B123="","",DATE(YEAR(B123),MONTH(B123),1))</f>
        <v>46204.0</v>
      </c>
      <c r="K123" s="41" t="str">
        <f>IF(OR(B123="",D123=""),"",D123&amp;"|"&amp;TEXT(J123,"yyyy-mm"))</f>
        <v>Saúde Total|2026-07</v>
      </c>
      <c r="L123" s="24" t="str">
        <f>IF(K123="","",IFERROR(INDEX(Lotes!$N$5:$N$154,MATCH(K123,Lotes!$P$5:$P$154,0)),"Sem lote cadastrado"))</f>
        <v>Paga com glosa</v>
      </c>
      <c r="M123" s="25">
        <f>IF(H123="Sim",G123,0)</f>
        <v>0</v>
      </c>
      <c r="N123" s="42">
        <f>IF(AND(H123="Sim",I123&lt;&gt;"Aceito"),G123+ROW()/100000,0)</f>
        <v>0</v>
      </c>
    </row>
    <row r="124">
      <c r="A124" s="35" t="inlineStr">
        <is>
          <t>G2026-0550</t>
        </is>
      </c>
      <c r="B124" s="39" t="n">
        <v>46205</v>
      </c>
      <c r="C124" s="33" t="inlineStr">
        <is>
          <t>Mônica Batista</t>
        </is>
      </c>
      <c r="D124" s="35" t="inlineStr">
        <is>
          <t>MediPlan</t>
        </is>
      </c>
      <c r="E124" s="33" t="inlineStr">
        <is>
          <t>Consulta</t>
        </is>
      </c>
      <c r="F124" s="33" t="inlineStr">
        <is>
          <t>Dra. Carolina Mendes</t>
        </is>
      </c>
      <c r="G124" s="40" t="n">
        <v>100</v>
      </c>
      <c r="H124" s="35" t="n"/>
      <c r="I124" s="35" t="n"/>
      <c r="J124" s="30">
        <f>IF(B124="","",DATE(YEAR(B124),MONTH(B124),1))</f>
        <v>46204.0</v>
      </c>
      <c r="K124" s="41" t="str">
        <f>IF(OR(B124="",D124=""),"",D124&amp;"|"&amp;TEXT(J124,"yyyy-mm"))</f>
        <v>MediPlan|2026-07</v>
      </c>
      <c r="L124" s="24" t="str">
        <f>IF(K124="","",IFERROR(INDEX(Lotes!$N$5:$N$154,MATCH(K124,Lotes!$P$5:$P$154,0)),"Sem lote cadastrado"))</f>
        <v>Aguardando</v>
      </c>
      <c r="M124" s="25">
        <f>IF(H124="Sim",G124,0)</f>
        <v>0</v>
      </c>
      <c r="N124" s="42">
        <f>IF(AND(H124="Sim",I124&lt;&gt;"Aceito"),G124+ROW()/100000,0)</f>
        <v>0</v>
      </c>
    </row>
    <row r="125">
      <c r="A125" s="35" t="inlineStr">
        <is>
          <t>G2026-0551</t>
        </is>
      </c>
      <c r="B125" s="39" t="n">
        <v>46205</v>
      </c>
      <c r="C125" s="33" t="inlineStr">
        <is>
          <t>Gisele Lopes</t>
        </is>
      </c>
      <c r="D125" s="35" t="inlineStr">
        <is>
          <t>Saúde Total</t>
        </is>
      </c>
      <c r="E125" s="33" t="inlineStr">
        <is>
          <t>Avaliação endócrina</t>
        </is>
      </c>
      <c r="F125" s="33" t="inlineStr">
        <is>
          <t>Dra. Renata Sousa</t>
        </is>
      </c>
      <c r="G125" s="40" t="n">
        <v>130</v>
      </c>
      <c r="H125" s="35" t="n"/>
      <c r="I125" s="35" t="n"/>
      <c r="J125" s="30">
        <f>IF(B125="","",DATE(YEAR(B125),MONTH(B125),1))</f>
        <v>46204.0</v>
      </c>
      <c r="K125" s="41" t="str">
        <f>IF(OR(B125="",D125=""),"",D125&amp;"|"&amp;TEXT(J125,"yyyy-mm"))</f>
        <v>Saúde Total|2026-07</v>
      </c>
      <c r="L125" s="24" t="str">
        <f>IF(K125="","",IFERROR(INDEX(Lotes!$N$5:$N$154,MATCH(K125,Lotes!$P$5:$P$154,0)),"Sem lote cadastrado"))</f>
        <v>Paga com glosa</v>
      </c>
      <c r="M125" s="25">
        <f>IF(H125="Sim",G125,0)</f>
        <v>0</v>
      </c>
      <c r="N125" s="42">
        <f>IF(AND(H125="Sim",I125&lt;&gt;"Aceito"),G125+ROW()/100000,0)</f>
        <v>0</v>
      </c>
    </row>
    <row r="126">
      <c r="A126" s="35" t="inlineStr">
        <is>
          <t>G2026-0552</t>
        </is>
      </c>
      <c r="B126" s="39" t="n">
        <v>46205</v>
      </c>
      <c r="C126" s="33" t="inlineStr">
        <is>
          <t>Helena Ribeiro</t>
        </is>
      </c>
      <c r="D126" s="35" t="inlineStr">
        <is>
          <t>MediPlan</t>
        </is>
      </c>
      <c r="E126" s="33" t="inlineStr">
        <is>
          <t>Consulta</t>
        </is>
      </c>
      <c r="F126" s="33" t="inlineStr">
        <is>
          <t>Dr. Paulo Andrade</t>
        </is>
      </c>
      <c r="G126" s="40" t="n">
        <v>100</v>
      </c>
      <c r="H126" s="35" t="n"/>
      <c r="I126" s="35" t="n"/>
      <c r="J126" s="30">
        <f>IF(B126="","",DATE(YEAR(B126),MONTH(B126),1))</f>
        <v>46204.0</v>
      </c>
      <c r="K126" s="41" t="str">
        <f>IF(OR(B126="",D126=""),"",D126&amp;"|"&amp;TEXT(J126,"yyyy-mm"))</f>
        <v>MediPlan|2026-07</v>
      </c>
      <c r="L126" s="24" t="str">
        <f>IF(K126="","",IFERROR(INDEX(Lotes!$N$5:$N$154,MATCH(K126,Lotes!$P$5:$P$154,0)),"Sem lote cadastrado"))</f>
        <v>Aguardando</v>
      </c>
      <c r="M126" s="25">
        <f>IF(H126="Sim",G126,0)</f>
        <v>0</v>
      </c>
      <c r="N126" s="42">
        <f>IF(AND(H126="Sim",I126&lt;&gt;"Aceito"),G126+ROW()/100000,0)</f>
        <v>0</v>
      </c>
    </row>
    <row r="127">
      <c r="A127" s="35" t="inlineStr">
        <is>
          <t>G2026-0553</t>
        </is>
      </c>
      <c r="B127" s="39" t="n">
        <v>46205</v>
      </c>
      <c r="C127" s="33" t="inlineStr">
        <is>
          <t>Eduardo Nunes</t>
        </is>
      </c>
      <c r="D127" s="35" t="inlineStr">
        <is>
          <t>MediPlan</t>
        </is>
      </c>
      <c r="E127" s="33" t="inlineStr">
        <is>
          <t>ECG</t>
        </is>
      </c>
      <c r="F127" s="33" t="inlineStr">
        <is>
          <t>Dr. Paulo Andrade</t>
        </is>
      </c>
      <c r="G127" s="40" t="n">
        <v>35</v>
      </c>
      <c r="H127" s="35" t="n"/>
      <c r="I127" s="35" t="n"/>
      <c r="J127" s="30">
        <f>IF(B127="","",DATE(YEAR(B127),MONTH(B127),1))</f>
        <v>46204.0</v>
      </c>
      <c r="K127" s="41" t="str">
        <f>IF(OR(B127="",D127=""),"",D127&amp;"|"&amp;TEXT(J127,"yyyy-mm"))</f>
        <v>MediPlan|2026-07</v>
      </c>
      <c r="L127" s="24" t="str">
        <f>IF(K127="","",IFERROR(INDEX(Lotes!$N$5:$N$154,MATCH(K127,Lotes!$P$5:$P$154,0)),"Sem lote cadastrado"))</f>
        <v>Aguardando</v>
      </c>
      <c r="M127" s="25">
        <f>IF(H127="Sim",G127,0)</f>
        <v>0</v>
      </c>
      <c r="N127" s="42">
        <f>IF(AND(H127="Sim",I127&lt;&gt;"Aceito"),G127+ROW()/100000,0)</f>
        <v>0</v>
      </c>
    </row>
    <row r="128">
      <c r="A128" s="35" t="inlineStr">
        <is>
          <t>G2026-0554</t>
        </is>
      </c>
      <c r="B128" s="39" t="n">
        <v>46205</v>
      </c>
      <c r="C128" s="33" t="inlineStr">
        <is>
          <t>Patrícia Vieira</t>
        </is>
      </c>
      <c r="D128" s="35" t="inlineStr">
        <is>
          <t>Saúde Total</t>
        </is>
      </c>
      <c r="E128" s="33" t="inlineStr">
        <is>
          <t>Consulta</t>
        </is>
      </c>
      <c r="F128" s="33" t="inlineStr">
        <is>
          <t>Dr. Paulo Andrade</t>
        </is>
      </c>
      <c r="G128" s="40" t="n">
        <v>120</v>
      </c>
      <c r="H128" s="35" t="n"/>
      <c r="I128" s="35" t="n"/>
      <c r="J128" s="30">
        <f>IF(B128="","",DATE(YEAR(B128),MONTH(B128),1))</f>
        <v>46204.0</v>
      </c>
      <c r="K128" s="41" t="str">
        <f>IF(OR(B128="",D128=""),"",D128&amp;"|"&amp;TEXT(J128,"yyyy-mm"))</f>
        <v>Saúde Total|2026-07</v>
      </c>
      <c r="L128" s="24" t="str">
        <f>IF(K128="","",IFERROR(INDEX(Lotes!$N$5:$N$154,MATCH(K128,Lotes!$P$5:$P$154,0)),"Sem lote cadastrado"))</f>
        <v>Paga com glosa</v>
      </c>
      <c r="M128" s="25">
        <f>IF(H128="Sim",G128,0)</f>
        <v>0</v>
      </c>
      <c r="N128" s="42">
        <f>IF(AND(H128="Sim",I128&lt;&gt;"Aceito"),G128+ROW()/100000,0)</f>
        <v>0</v>
      </c>
    </row>
    <row r="129">
      <c r="A129" s="35" t="inlineStr">
        <is>
          <t>G2026-0555</t>
        </is>
      </c>
      <c r="B129" s="39" t="n">
        <v>46205</v>
      </c>
      <c r="C129" s="33" t="inlineStr">
        <is>
          <t>Daniel Moreira</t>
        </is>
      </c>
      <c r="D129" s="35" t="inlineStr">
        <is>
          <t>Saúde Total</t>
        </is>
      </c>
      <c r="E129" s="33" t="inlineStr">
        <is>
          <t>Avaliação endócrina</t>
        </is>
      </c>
      <c r="F129" s="33" t="inlineStr">
        <is>
          <t>Dra. Renata Sousa</t>
        </is>
      </c>
      <c r="G129" s="40" t="n">
        <v>130</v>
      </c>
      <c r="H129" s="35" t="n"/>
      <c r="I129" s="35" t="n"/>
      <c r="J129" s="30">
        <f>IF(B129="","",DATE(YEAR(B129),MONTH(B129),1))</f>
        <v>46204.0</v>
      </c>
      <c r="K129" s="41" t="str">
        <f>IF(OR(B129="",D129=""),"",D129&amp;"|"&amp;TEXT(J129,"yyyy-mm"))</f>
        <v>Saúde Total|2026-07</v>
      </c>
      <c r="L129" s="24" t="str">
        <f>IF(K129="","",IFERROR(INDEX(Lotes!$N$5:$N$154,MATCH(K129,Lotes!$P$5:$P$154,0)),"Sem lote cadastrado"))</f>
        <v>Paga com glosa</v>
      </c>
      <c r="M129" s="25">
        <f>IF(H129="Sim",G129,0)</f>
        <v>0</v>
      </c>
      <c r="N129" s="42">
        <f>IF(AND(H129="Sim",I129&lt;&gt;"Aceito"),G129+ROW()/100000,0)</f>
        <v>0</v>
      </c>
    </row>
    <row r="130">
      <c r="A130" s="35" t="inlineStr">
        <is>
          <t>G2026-0556</t>
        </is>
      </c>
      <c r="B130" s="39" t="n">
        <v>46206</v>
      </c>
      <c r="C130" s="33" t="inlineStr">
        <is>
          <t>Fábio Martins</t>
        </is>
      </c>
      <c r="D130" s="35" t="inlineStr">
        <is>
          <t>MediPlan</t>
        </is>
      </c>
      <c r="E130" s="33" t="inlineStr">
        <is>
          <t>Consulta</t>
        </is>
      </c>
      <c r="F130" s="33" t="inlineStr">
        <is>
          <t>Dr. Paulo Andrade</t>
        </is>
      </c>
      <c r="G130" s="40" t="n">
        <v>100</v>
      </c>
      <c r="H130" s="35" t="n"/>
      <c r="I130" s="35" t="n"/>
      <c r="J130" s="30">
        <f>IF(B130="","",DATE(YEAR(B130),MONTH(B130),1))</f>
        <v>46204.0</v>
      </c>
      <c r="K130" s="41" t="str">
        <f>IF(OR(B130="",D130=""),"",D130&amp;"|"&amp;TEXT(J130,"yyyy-mm"))</f>
        <v>MediPlan|2026-07</v>
      </c>
      <c r="L130" s="24" t="str">
        <f>IF(K130="","",IFERROR(INDEX(Lotes!$N$5:$N$154,MATCH(K130,Lotes!$P$5:$P$154,0)),"Sem lote cadastrado"))</f>
        <v>Aguardando</v>
      </c>
      <c r="M130" s="25">
        <f>IF(H130="Sim",G130,0)</f>
        <v>0</v>
      </c>
      <c r="N130" s="42">
        <f>IF(AND(H130="Sim",I130&lt;&gt;"Aceito"),G130+ROW()/100000,0)</f>
        <v>0</v>
      </c>
    </row>
    <row r="131">
      <c r="A131" s="35" t="inlineStr">
        <is>
          <t>G2026-0557</t>
        </is>
      </c>
      <c r="B131" s="39" t="n">
        <v>46206</v>
      </c>
      <c r="C131" s="33" t="inlineStr">
        <is>
          <t>Rafael Araújo</t>
        </is>
      </c>
      <c r="D131" s="35" t="inlineStr">
        <is>
          <t>MediPlan</t>
        </is>
      </c>
      <c r="E131" s="33" t="inlineStr">
        <is>
          <t>Consulta</t>
        </is>
      </c>
      <c r="F131" s="33" t="inlineStr">
        <is>
          <t>Dr. Paulo Andrade</t>
        </is>
      </c>
      <c r="G131" s="40" t="n">
        <v>100</v>
      </c>
      <c r="H131" s="35" t="n"/>
      <c r="I131" s="35" t="n"/>
      <c r="J131" s="30">
        <f>IF(B131="","",DATE(YEAR(B131),MONTH(B131),1))</f>
        <v>46204.0</v>
      </c>
      <c r="K131" s="41" t="str">
        <f>IF(OR(B131="",D131=""),"",D131&amp;"|"&amp;TEXT(J131,"yyyy-mm"))</f>
        <v>MediPlan|2026-07</v>
      </c>
      <c r="L131" s="24" t="str">
        <f>IF(K131="","",IFERROR(INDEX(Lotes!$N$5:$N$154,MATCH(K131,Lotes!$P$5:$P$154,0)),"Sem lote cadastrado"))</f>
        <v>Aguardando</v>
      </c>
      <c r="M131" s="25">
        <f>IF(H131="Sim",G131,0)</f>
        <v>0</v>
      </c>
      <c r="N131" s="42">
        <f>IF(AND(H131="Sim",I131&lt;&gt;"Aceito"),G131+ROW()/100000,0)</f>
        <v>0</v>
      </c>
    </row>
    <row r="132">
      <c r="A132" s="35" t="inlineStr">
        <is>
          <t>G2026-0558</t>
        </is>
      </c>
      <c r="B132" s="39" t="n">
        <v>46206</v>
      </c>
      <c r="C132" s="33" t="inlineStr">
        <is>
          <t>Mônica Teixeira</t>
        </is>
      </c>
      <c r="D132" s="35" t="inlineStr">
        <is>
          <t>Vida Care</t>
        </is>
      </c>
      <c r="E132" s="33" t="inlineStr">
        <is>
          <t>ECG</t>
        </is>
      </c>
      <c r="F132" s="33" t="inlineStr">
        <is>
          <t>Dr. Paulo Andrade</t>
        </is>
      </c>
      <c r="G132" s="40" t="n">
        <v>32</v>
      </c>
      <c r="H132" s="35" t="n"/>
      <c r="I132" s="35" t="n"/>
      <c r="J132" s="30">
        <f>IF(B132="","",DATE(YEAR(B132),MONTH(B132),1))</f>
        <v>46204.0</v>
      </c>
      <c r="K132" s="41" t="str">
        <f>IF(OR(B132="",D132=""),"",D132&amp;"|"&amp;TEXT(J132,"yyyy-mm"))</f>
        <v>Vida Care|2026-07</v>
      </c>
      <c r="L132" s="24" t="str">
        <f>IF(K132="","",IFERROR(INDEX(Lotes!$N$5:$N$154,MATCH(K132,Lotes!$P$5:$P$154,0)),"Sem lote cadastrado"))</f>
        <v>Aguardando</v>
      </c>
      <c r="M132" s="25">
        <f>IF(H132="Sim",G132,0)</f>
        <v>0</v>
      </c>
      <c r="N132" s="42">
        <f>IF(AND(H132="Sim",I132&lt;&gt;"Aceito"),G132+ROW()/100000,0)</f>
        <v>0</v>
      </c>
    </row>
    <row r="133">
      <c r="A133" s="35" t="inlineStr">
        <is>
          <t>G2026-0559</t>
        </is>
      </c>
      <c r="B133" s="39" t="n">
        <v>46206</v>
      </c>
      <c r="C133" s="33" t="inlineStr">
        <is>
          <t>Natália Xavier</t>
        </is>
      </c>
      <c r="D133" s="35" t="inlineStr">
        <is>
          <t>MediPlan</t>
        </is>
      </c>
      <c r="E133" s="33" t="inlineStr">
        <is>
          <t>Consulta</t>
        </is>
      </c>
      <c r="F133" s="33" t="inlineStr">
        <is>
          <t>Dr. Paulo Andrade</t>
        </is>
      </c>
      <c r="G133" s="40" t="n">
        <v>100</v>
      </c>
      <c r="H133" s="35" t="n"/>
      <c r="I133" s="35" t="n"/>
      <c r="J133" s="30">
        <f>IF(B133="","",DATE(YEAR(B133),MONTH(B133),1))</f>
        <v>46204.0</v>
      </c>
      <c r="K133" s="41" t="str">
        <f>IF(OR(B133="",D133=""),"",D133&amp;"|"&amp;TEXT(J133,"yyyy-mm"))</f>
        <v>MediPlan|2026-07</v>
      </c>
      <c r="L133" s="24" t="str">
        <f>IF(K133="","",IFERROR(INDEX(Lotes!$N$5:$N$154,MATCH(K133,Lotes!$P$5:$P$154,0)),"Sem lote cadastrado"))</f>
        <v>Aguardando</v>
      </c>
      <c r="M133" s="25">
        <f>IF(H133="Sim",G133,0)</f>
        <v>0</v>
      </c>
      <c r="N133" s="42">
        <f>IF(AND(H133="Sim",I133&lt;&gt;"Aceito"),G133+ROW()/100000,0)</f>
        <v>0</v>
      </c>
    </row>
    <row r="134">
      <c r="A134" s="35" t="inlineStr">
        <is>
          <t>G2026-0560</t>
        </is>
      </c>
      <c r="B134" s="39" t="n">
        <v>46209</v>
      </c>
      <c r="C134" s="33" t="inlineStr">
        <is>
          <t>Priscila Carvalho</t>
        </is>
      </c>
      <c r="D134" s="35" t="inlineStr">
        <is>
          <t>Vida Care</t>
        </is>
      </c>
      <c r="E134" s="33" t="inlineStr">
        <is>
          <t>Consulta</t>
        </is>
      </c>
      <c r="F134" s="33" t="inlineStr">
        <is>
          <t>Dra. Carolina Mendes</t>
        </is>
      </c>
      <c r="G134" s="40" t="n">
        <v>90</v>
      </c>
      <c r="H134" s="35" t="n"/>
      <c r="I134" s="35" t="n"/>
      <c r="J134" s="30">
        <f>IF(B134="","",DATE(YEAR(B134),MONTH(B134),1))</f>
        <v>46204.0</v>
      </c>
      <c r="K134" s="41" t="str">
        <f>IF(OR(B134="",D134=""),"",D134&amp;"|"&amp;TEXT(J134,"yyyy-mm"))</f>
        <v>Vida Care|2026-07</v>
      </c>
      <c r="L134" s="24" t="str">
        <f>IF(K134="","",IFERROR(INDEX(Lotes!$N$5:$N$154,MATCH(K134,Lotes!$P$5:$P$154,0)),"Sem lote cadastrado"))</f>
        <v>Aguardando</v>
      </c>
      <c r="M134" s="25">
        <f>IF(H134="Sim",G134,0)</f>
        <v>0</v>
      </c>
      <c r="N134" s="42">
        <f>IF(AND(H134="Sim",I134&lt;&gt;"Aceito"),G134+ROW()/100000,0)</f>
        <v>0</v>
      </c>
    </row>
    <row r="135">
      <c r="A135" s="35" t="inlineStr">
        <is>
          <t>G2026-0561</t>
        </is>
      </c>
      <c r="B135" s="39" t="n">
        <v>46209</v>
      </c>
      <c r="C135" s="33" t="inlineStr">
        <is>
          <t>Leandro Cardoso</t>
        </is>
      </c>
      <c r="D135" s="35" t="inlineStr">
        <is>
          <t>MediPlan</t>
        </is>
      </c>
      <c r="E135" s="33" t="inlineStr">
        <is>
          <t>Consulta</t>
        </is>
      </c>
      <c r="F135" s="33" t="inlineStr">
        <is>
          <t>Dr. Paulo Andrade</t>
        </is>
      </c>
      <c r="G135" s="40" t="n">
        <v>100</v>
      </c>
      <c r="H135" s="35" t="n"/>
      <c r="I135" s="35" t="n"/>
      <c r="J135" s="30">
        <f>IF(B135="","",DATE(YEAR(B135),MONTH(B135),1))</f>
        <v>46204.0</v>
      </c>
      <c r="K135" s="41" t="str">
        <f>IF(OR(B135="",D135=""),"",D135&amp;"|"&amp;TEXT(J135,"yyyy-mm"))</f>
        <v>MediPlan|2026-07</v>
      </c>
      <c r="L135" s="24" t="str">
        <f>IF(K135="","",IFERROR(INDEX(Lotes!$N$5:$N$154,MATCH(K135,Lotes!$P$5:$P$154,0)),"Sem lote cadastrado"))</f>
        <v>Aguardando</v>
      </c>
      <c r="M135" s="25">
        <f>IF(H135="Sim",G135,0)</f>
        <v>0</v>
      </c>
      <c r="N135" s="42">
        <f>IF(AND(H135="Sim",I135&lt;&gt;"Aceito"),G135+ROW()/100000,0)</f>
        <v>0</v>
      </c>
    </row>
    <row r="136">
      <c r="A136" s="35" t="inlineStr">
        <is>
          <t>G2026-0562</t>
        </is>
      </c>
      <c r="B136" s="39" t="n">
        <v>46209</v>
      </c>
      <c r="C136" s="33" t="inlineStr">
        <is>
          <t>Tatiana Rocha</t>
        </is>
      </c>
      <c r="D136" s="35" t="inlineStr">
        <is>
          <t>Vida Care</t>
        </is>
      </c>
      <c r="E136" s="33" t="inlineStr">
        <is>
          <t>Holter</t>
        </is>
      </c>
      <c r="F136" s="33" t="inlineStr">
        <is>
          <t>Dr. Paulo Andrade</t>
        </is>
      </c>
      <c r="G136" s="40" t="n">
        <v>85</v>
      </c>
      <c r="H136" s="35" t="n"/>
      <c r="I136" s="35" t="n"/>
      <c r="J136" s="30">
        <f>IF(B136="","",DATE(YEAR(B136),MONTH(B136),1))</f>
        <v>46204.0</v>
      </c>
      <c r="K136" s="41" t="str">
        <f>IF(OR(B136="",D136=""),"",D136&amp;"|"&amp;TEXT(J136,"yyyy-mm"))</f>
        <v>Vida Care|2026-07</v>
      </c>
      <c r="L136" s="24" t="str">
        <f>IF(K136="","",IFERROR(INDEX(Lotes!$N$5:$N$154,MATCH(K136,Lotes!$P$5:$P$154,0)),"Sem lote cadastrado"))</f>
        <v>Aguardando</v>
      </c>
      <c r="M136" s="25">
        <f>IF(H136="Sim",G136,0)</f>
        <v>0</v>
      </c>
      <c r="N136" s="42">
        <f>IF(AND(H136="Sim",I136&lt;&gt;"Aceito"),G136+ROW()/100000,0)</f>
        <v>0</v>
      </c>
    </row>
    <row r="137">
      <c r="A137" s="35" t="inlineStr">
        <is>
          <t>G2026-0563</t>
        </is>
      </c>
      <c r="B137" s="39" t="n">
        <v>46209</v>
      </c>
      <c r="C137" s="33" t="inlineStr">
        <is>
          <t>Otávio Martins</t>
        </is>
      </c>
      <c r="D137" s="35" t="inlineStr">
        <is>
          <t>MediPlan</t>
        </is>
      </c>
      <c r="E137" s="33" t="inlineStr">
        <is>
          <t>Consulta</t>
        </is>
      </c>
      <c r="F137" s="33" t="inlineStr">
        <is>
          <t>Dr. Paulo Andrade</t>
        </is>
      </c>
      <c r="G137" s="40" t="n">
        <v>100</v>
      </c>
      <c r="H137" s="35" t="n"/>
      <c r="I137" s="35" t="n"/>
      <c r="J137" s="30">
        <f>IF(B137="","",DATE(YEAR(B137),MONTH(B137),1))</f>
        <v>46204.0</v>
      </c>
      <c r="K137" s="41" t="str">
        <f>IF(OR(B137="",D137=""),"",D137&amp;"|"&amp;TEXT(J137,"yyyy-mm"))</f>
        <v>MediPlan|2026-07</v>
      </c>
      <c r="L137" s="24" t="str">
        <f>IF(K137="","",IFERROR(INDEX(Lotes!$N$5:$N$154,MATCH(K137,Lotes!$P$5:$P$154,0)),"Sem lote cadastrado"))</f>
        <v>Aguardando</v>
      </c>
      <c r="M137" s="25">
        <f>IF(H137="Sim",G137,0)</f>
        <v>0</v>
      </c>
      <c r="N137" s="42">
        <f>IF(AND(H137="Sim",I137&lt;&gt;"Aceito"),G137+ROW()/100000,0)</f>
        <v>0</v>
      </c>
    </row>
    <row r="138">
      <c r="A138" s="35" t="inlineStr">
        <is>
          <t>G2026-0564</t>
        </is>
      </c>
      <c r="B138" s="39" t="n">
        <v>46209</v>
      </c>
      <c r="C138" s="33" t="inlineStr">
        <is>
          <t>Ricardo Melo</t>
        </is>
      </c>
      <c r="D138" s="35" t="inlineStr">
        <is>
          <t>Saúde Total</t>
        </is>
      </c>
      <c r="E138" s="33" t="inlineStr">
        <is>
          <t>Teste ergométrico</t>
        </is>
      </c>
      <c r="F138" s="33" t="inlineStr">
        <is>
          <t>Dr. Paulo Andrade</t>
        </is>
      </c>
      <c r="G138" s="40" t="n">
        <v>140</v>
      </c>
      <c r="H138" s="35" t="n"/>
      <c r="I138" s="35" t="n"/>
      <c r="J138" s="30">
        <f>IF(B138="","",DATE(YEAR(B138),MONTH(B138),1))</f>
        <v>46204.0</v>
      </c>
      <c r="K138" s="41" t="str">
        <f>IF(OR(B138="",D138=""),"",D138&amp;"|"&amp;TEXT(J138,"yyyy-mm"))</f>
        <v>Saúde Total|2026-07</v>
      </c>
      <c r="L138" s="24" t="str">
        <f>IF(K138="","",IFERROR(INDEX(Lotes!$N$5:$N$154,MATCH(K138,Lotes!$P$5:$P$154,0)),"Sem lote cadastrado"))</f>
        <v>Paga com glosa</v>
      </c>
      <c r="M138" s="25">
        <f>IF(H138="Sim",G138,0)</f>
        <v>0</v>
      </c>
      <c r="N138" s="42">
        <f>IF(AND(H138="Sim",I138&lt;&gt;"Aceito"),G138+ROW()/100000,0)</f>
        <v>0</v>
      </c>
    </row>
    <row r="139">
      <c r="A139" s="35" t="inlineStr">
        <is>
          <t>G2026-0565</t>
        </is>
      </c>
      <c r="B139" s="39" t="n">
        <v>46209</v>
      </c>
      <c r="C139" s="33" t="inlineStr">
        <is>
          <t>Camila Martins</t>
        </is>
      </c>
      <c r="D139" s="35" t="inlineStr">
        <is>
          <t>Vida Care</t>
        </is>
      </c>
      <c r="E139" s="33" t="inlineStr">
        <is>
          <t>Consulta</t>
        </is>
      </c>
      <c r="F139" s="33" t="inlineStr">
        <is>
          <t>Dr. Paulo Andrade</t>
        </is>
      </c>
      <c r="G139" s="40" t="n">
        <v>90</v>
      </c>
      <c r="H139" s="35" t="n"/>
      <c r="I139" s="35" t="n"/>
      <c r="J139" s="30">
        <f>IF(B139="","",DATE(YEAR(B139),MONTH(B139),1))</f>
        <v>46204.0</v>
      </c>
      <c r="K139" s="41" t="str">
        <f>IF(OR(B139="",D139=""),"",D139&amp;"|"&amp;TEXT(J139,"yyyy-mm"))</f>
        <v>Vida Care|2026-07</v>
      </c>
      <c r="L139" s="24" t="str">
        <f>IF(K139="","",IFERROR(INDEX(Lotes!$N$5:$N$154,MATCH(K139,Lotes!$P$5:$P$154,0)),"Sem lote cadastrado"))</f>
        <v>Aguardando</v>
      </c>
      <c r="M139" s="25">
        <f>IF(H139="Sim",G139,0)</f>
        <v>0</v>
      </c>
      <c r="N139" s="42">
        <f>IF(AND(H139="Sim",I139&lt;&gt;"Aceito"),G139+ROW()/100000,0)</f>
        <v>0</v>
      </c>
    </row>
    <row r="140">
      <c r="A140" s="35" t="inlineStr">
        <is>
          <t>G2026-0566</t>
        </is>
      </c>
      <c r="B140" s="39" t="n">
        <v>46209</v>
      </c>
      <c r="C140" s="33" t="inlineStr">
        <is>
          <t>Gisele Lima</t>
        </is>
      </c>
      <c r="D140" s="35" t="inlineStr">
        <is>
          <t>Saúde Total</t>
        </is>
      </c>
      <c r="E140" s="33" t="inlineStr">
        <is>
          <t>Consulta</t>
        </is>
      </c>
      <c r="F140" s="33" t="inlineStr">
        <is>
          <t>Dr. Paulo Andrade</t>
        </is>
      </c>
      <c r="G140" s="40" t="n">
        <v>120</v>
      </c>
      <c r="H140" s="35" t="n"/>
      <c r="I140" s="35" t="n"/>
      <c r="J140" s="30">
        <f>IF(B140="","",DATE(YEAR(B140),MONTH(B140),1))</f>
        <v>46204.0</v>
      </c>
      <c r="K140" s="41" t="str">
        <f>IF(OR(B140="",D140=""),"",D140&amp;"|"&amp;TEXT(J140,"yyyy-mm"))</f>
        <v>Saúde Total|2026-07</v>
      </c>
      <c r="L140" s="24" t="str">
        <f>IF(K140="","",IFERROR(INDEX(Lotes!$N$5:$N$154,MATCH(K140,Lotes!$P$5:$P$154,0)),"Sem lote cadastrado"))</f>
        <v>Paga com glosa</v>
      </c>
      <c r="M140" s="25">
        <f>IF(H140="Sim",G140,0)</f>
        <v>0</v>
      </c>
      <c r="N140" s="42">
        <f>IF(AND(H140="Sim",I140&lt;&gt;"Aceito"),G140+ROW()/100000,0)</f>
        <v>0</v>
      </c>
    </row>
    <row r="141">
      <c r="A141" s="35" t="inlineStr">
        <is>
          <t>G2026-0567</t>
        </is>
      </c>
      <c r="B141" s="39" t="n">
        <v>46210</v>
      </c>
      <c r="C141" s="33" t="inlineStr">
        <is>
          <t>Daniel Melo</t>
        </is>
      </c>
      <c r="D141" s="35" t="inlineStr">
        <is>
          <t>Saúde Total</t>
        </is>
      </c>
      <c r="E141" s="33" t="inlineStr">
        <is>
          <t>Consulta</t>
        </is>
      </c>
      <c r="F141" s="33" t="inlineStr">
        <is>
          <t>Dra. Carolina Mendes</t>
        </is>
      </c>
      <c r="G141" s="40" t="n">
        <v>120</v>
      </c>
      <c r="H141" s="35" t="n"/>
      <c r="I141" s="35" t="n"/>
      <c r="J141" s="30">
        <f>IF(B141="","",DATE(YEAR(B141),MONTH(B141),1))</f>
        <v>46204.0</v>
      </c>
      <c r="K141" s="41" t="str">
        <f>IF(OR(B141="",D141=""),"",D141&amp;"|"&amp;TEXT(J141,"yyyy-mm"))</f>
        <v>Saúde Total|2026-07</v>
      </c>
      <c r="L141" s="24" t="str">
        <f>IF(K141="","",IFERROR(INDEX(Lotes!$N$5:$N$154,MATCH(K141,Lotes!$P$5:$P$154,0)),"Sem lote cadastrado"))</f>
        <v>Paga com glosa</v>
      </c>
      <c r="M141" s="25">
        <f>IF(H141="Sim",G141,0)</f>
        <v>0</v>
      </c>
      <c r="N141" s="42">
        <f>IF(AND(H141="Sim",I141&lt;&gt;"Aceito"),G141+ROW()/100000,0)</f>
        <v>0</v>
      </c>
    </row>
    <row r="142">
      <c r="A142" s="35" t="inlineStr">
        <is>
          <t>G2026-0568</t>
        </is>
      </c>
      <c r="B142" s="39" t="n">
        <v>46210</v>
      </c>
      <c r="C142" s="33" t="inlineStr">
        <is>
          <t>Eduardo Reis</t>
        </is>
      </c>
      <c r="D142" s="35" t="inlineStr">
        <is>
          <t>Vida Care</t>
        </is>
      </c>
      <c r="E142" s="33" t="inlineStr">
        <is>
          <t>Teste ergométrico</t>
        </is>
      </c>
      <c r="F142" s="33" t="inlineStr">
        <is>
          <t>Dr. Paulo Andrade</t>
        </is>
      </c>
      <c r="G142" s="40" t="n">
        <v>110</v>
      </c>
      <c r="H142" s="35" t="n"/>
      <c r="I142" s="35" t="n"/>
      <c r="J142" s="30">
        <f>IF(B142="","",DATE(YEAR(B142),MONTH(B142),1))</f>
        <v>46204.0</v>
      </c>
      <c r="K142" s="41" t="str">
        <f>IF(OR(B142="",D142=""),"",D142&amp;"|"&amp;TEXT(J142,"yyyy-mm"))</f>
        <v>Vida Care|2026-07</v>
      </c>
      <c r="L142" s="24" t="str">
        <f>IF(K142="","",IFERROR(INDEX(Lotes!$N$5:$N$154,MATCH(K142,Lotes!$P$5:$P$154,0)),"Sem lote cadastrado"))</f>
        <v>Aguardando</v>
      </c>
      <c r="M142" s="25">
        <f>IF(H142="Sim",G142,0)</f>
        <v>0</v>
      </c>
      <c r="N142" s="42">
        <f>IF(AND(H142="Sim",I142&lt;&gt;"Aceito"),G142+ROW()/100000,0)</f>
        <v>0</v>
      </c>
    </row>
    <row r="143">
      <c r="A143" s="35" t="inlineStr">
        <is>
          <t>G2026-0569</t>
        </is>
      </c>
      <c r="B143" s="39" t="n">
        <v>46210</v>
      </c>
      <c r="C143" s="33" t="inlineStr">
        <is>
          <t>Fernanda Gonçalves</t>
        </is>
      </c>
      <c r="D143" s="35" t="inlineStr">
        <is>
          <t>Saúde Total</t>
        </is>
      </c>
      <c r="E143" s="33" t="inlineStr">
        <is>
          <t>Avaliação endócrina</t>
        </is>
      </c>
      <c r="F143" s="33" t="inlineStr">
        <is>
          <t>Dra. Renata Sousa</t>
        </is>
      </c>
      <c r="G143" s="40" t="n">
        <v>130</v>
      </c>
      <c r="H143" s="35" t="n"/>
      <c r="I143" s="35" t="n"/>
      <c r="J143" s="30">
        <f>IF(B143="","",DATE(YEAR(B143),MONTH(B143),1))</f>
        <v>46204.0</v>
      </c>
      <c r="K143" s="41" t="str">
        <f>IF(OR(B143="",D143=""),"",D143&amp;"|"&amp;TEXT(J143,"yyyy-mm"))</f>
        <v>Saúde Total|2026-07</v>
      </c>
      <c r="L143" s="24" t="str">
        <f>IF(K143="","",IFERROR(INDEX(Lotes!$N$5:$N$154,MATCH(K143,Lotes!$P$5:$P$154,0)),"Sem lote cadastrado"))</f>
        <v>Paga com glosa</v>
      </c>
      <c r="M143" s="25">
        <f>IF(H143="Sim",G143,0)</f>
        <v>0</v>
      </c>
      <c r="N143" s="42">
        <f>IF(AND(H143="Sim",I143&lt;&gt;"Aceito"),G143+ROW()/100000,0)</f>
        <v>0</v>
      </c>
    </row>
    <row r="144">
      <c r="A144" s="35" t="inlineStr">
        <is>
          <t>G2026-0570</t>
        </is>
      </c>
      <c r="B144" s="39" t="n">
        <v>46210</v>
      </c>
      <c r="C144" s="33" t="inlineStr">
        <is>
          <t>Priscila Rocha</t>
        </is>
      </c>
      <c r="D144" s="35" t="inlineStr">
        <is>
          <t>MediPlan</t>
        </is>
      </c>
      <c r="E144" s="33" t="inlineStr">
        <is>
          <t>Consulta</t>
        </is>
      </c>
      <c r="F144" s="33" t="inlineStr">
        <is>
          <t>Dr. Paulo Andrade</t>
        </is>
      </c>
      <c r="G144" s="40" t="n">
        <v>100</v>
      </c>
      <c r="H144" s="35" t="n"/>
      <c r="I144" s="35" t="n"/>
      <c r="J144" s="30">
        <f>IF(B144="","",DATE(YEAR(B144),MONTH(B144),1))</f>
        <v>46204.0</v>
      </c>
      <c r="K144" s="41" t="str">
        <f>IF(OR(B144="",D144=""),"",D144&amp;"|"&amp;TEXT(J144,"yyyy-mm"))</f>
        <v>MediPlan|2026-07</v>
      </c>
      <c r="L144" s="24" t="str">
        <f>IF(K144="","",IFERROR(INDEX(Lotes!$N$5:$N$154,MATCH(K144,Lotes!$P$5:$P$154,0)),"Sem lote cadastrado"))</f>
        <v>Aguardando</v>
      </c>
      <c r="M144" s="25">
        <f>IF(H144="Sim",G144,0)</f>
        <v>0</v>
      </c>
      <c r="N144" s="42">
        <f>IF(AND(H144="Sim",I144&lt;&gt;"Aceito"),G144+ROW()/100000,0)</f>
        <v>0</v>
      </c>
    </row>
    <row r="145">
      <c r="A145" s="35" t="inlineStr">
        <is>
          <t>G2026-0571</t>
        </is>
      </c>
      <c r="B145" s="39" t="n">
        <v>46210</v>
      </c>
      <c r="C145" s="33" t="inlineStr">
        <is>
          <t>Carlos Gonçalves</t>
        </is>
      </c>
      <c r="D145" s="35" t="inlineStr">
        <is>
          <t>Saúde Total</t>
        </is>
      </c>
      <c r="E145" s="33" t="inlineStr">
        <is>
          <t>Avaliação endócrina</t>
        </is>
      </c>
      <c r="F145" s="33" t="inlineStr">
        <is>
          <t>Dra. Renata Sousa</t>
        </is>
      </c>
      <c r="G145" s="40" t="n">
        <v>130</v>
      </c>
      <c r="H145" s="35" t="n"/>
      <c r="I145" s="35" t="n"/>
      <c r="J145" s="30">
        <f>IF(B145="","",DATE(YEAR(B145),MONTH(B145),1))</f>
        <v>46204.0</v>
      </c>
      <c r="K145" s="41" t="str">
        <f>IF(OR(B145="",D145=""),"",D145&amp;"|"&amp;TEXT(J145,"yyyy-mm"))</f>
        <v>Saúde Total|2026-07</v>
      </c>
      <c r="L145" s="24" t="str">
        <f>IF(K145="","",IFERROR(INDEX(Lotes!$N$5:$N$154,MATCH(K145,Lotes!$P$5:$P$154,0)),"Sem lote cadastrado"))</f>
        <v>Paga com glosa</v>
      </c>
      <c r="M145" s="25">
        <f>IF(H145="Sim",G145,0)</f>
        <v>0</v>
      </c>
      <c r="N145" s="42">
        <f>IF(AND(H145="Sim",I145&lt;&gt;"Aceito"),G145+ROW()/100000,0)</f>
        <v>0</v>
      </c>
    </row>
    <row r="146">
      <c r="A146" s="35" t="inlineStr">
        <is>
          <t>G2026-0572</t>
        </is>
      </c>
      <c r="B146" s="39" t="n">
        <v>46211</v>
      </c>
      <c r="C146" s="33" t="inlineStr">
        <is>
          <t>Regina Castro</t>
        </is>
      </c>
      <c r="D146" s="35" t="inlineStr">
        <is>
          <t>Vida Care</t>
        </is>
      </c>
      <c r="E146" s="33" t="inlineStr">
        <is>
          <t>Consulta</t>
        </is>
      </c>
      <c r="F146" s="33" t="inlineStr">
        <is>
          <t>Dra. Carolina Mendes</t>
        </is>
      </c>
      <c r="G146" s="40" t="n">
        <v>90</v>
      </c>
      <c r="H146" s="35" t="n"/>
      <c r="I146" s="35" t="n"/>
      <c r="J146" s="30">
        <f>IF(B146="","",DATE(YEAR(B146),MONTH(B146),1))</f>
        <v>46204.0</v>
      </c>
      <c r="K146" s="41" t="str">
        <f>IF(OR(B146="",D146=""),"",D146&amp;"|"&amp;TEXT(J146,"yyyy-mm"))</f>
        <v>Vida Care|2026-07</v>
      </c>
      <c r="L146" s="24" t="str">
        <f>IF(K146="","",IFERROR(INDEX(Lotes!$N$5:$N$154,MATCH(K146,Lotes!$P$5:$P$154,0)),"Sem lote cadastrado"))</f>
        <v>Aguardando</v>
      </c>
      <c r="M146" s="25">
        <f>IF(H146="Sim",G146,0)</f>
        <v>0</v>
      </c>
      <c r="N146" s="42">
        <f>IF(AND(H146="Sim",I146&lt;&gt;"Aceito"),G146+ROW()/100000,0)</f>
        <v>0</v>
      </c>
    </row>
    <row r="147">
      <c r="A147" s="35" t="inlineStr">
        <is>
          <t>G2026-0573</t>
        </is>
      </c>
      <c r="B147" s="39" t="n">
        <v>46212</v>
      </c>
      <c r="C147" s="33" t="inlineStr">
        <is>
          <t>Priscila Castro</t>
        </is>
      </c>
      <c r="D147" s="35" t="inlineStr">
        <is>
          <t>Saúde Total</t>
        </is>
      </c>
      <c r="E147" s="33" t="inlineStr">
        <is>
          <t>Consulta</t>
        </is>
      </c>
      <c r="F147" s="33" t="inlineStr">
        <is>
          <t>Dra. Carolina Mendes</t>
        </is>
      </c>
      <c r="G147" s="40" t="n">
        <v>120</v>
      </c>
      <c r="H147" s="35" t="n"/>
      <c r="I147" s="35" t="n"/>
      <c r="J147" s="30">
        <f>IF(B147="","",DATE(YEAR(B147),MONTH(B147),1))</f>
        <v>46204.0</v>
      </c>
      <c r="K147" s="41" t="str">
        <f>IF(OR(B147="",D147=""),"",D147&amp;"|"&amp;TEXT(J147,"yyyy-mm"))</f>
        <v>Saúde Total|2026-07</v>
      </c>
      <c r="L147" s="24" t="str">
        <f>IF(K147="","",IFERROR(INDEX(Lotes!$N$5:$N$154,MATCH(K147,Lotes!$P$5:$P$154,0)),"Sem lote cadastrado"))</f>
        <v>Paga com glosa</v>
      </c>
      <c r="M147" s="25">
        <f>IF(H147="Sim",G147,0)</f>
        <v>0</v>
      </c>
      <c r="N147" s="42">
        <f>IF(AND(H147="Sim",I147&lt;&gt;"Aceito"),G147+ROW()/100000,0)</f>
        <v>0</v>
      </c>
    </row>
    <row r="148">
      <c r="A148" s="35" t="inlineStr">
        <is>
          <t>G2026-0574</t>
        </is>
      </c>
      <c r="B148" s="39" t="n">
        <v>46212</v>
      </c>
      <c r="C148" s="33" t="inlineStr">
        <is>
          <t>Tatiana Cunha</t>
        </is>
      </c>
      <c r="D148" s="35" t="inlineStr">
        <is>
          <t>Saúde Total</t>
        </is>
      </c>
      <c r="E148" s="33" t="inlineStr">
        <is>
          <t>Consulta</t>
        </is>
      </c>
      <c r="F148" s="33" t="inlineStr">
        <is>
          <t>Dra. Carolina Mendes</t>
        </is>
      </c>
      <c r="G148" s="40" t="n">
        <v>120</v>
      </c>
      <c r="H148" s="35" t="n"/>
      <c r="I148" s="35" t="n"/>
      <c r="J148" s="30">
        <f>IF(B148="","",DATE(YEAR(B148),MONTH(B148),1))</f>
        <v>46204.0</v>
      </c>
      <c r="K148" s="41" t="str">
        <f>IF(OR(B148="",D148=""),"",D148&amp;"|"&amp;TEXT(J148,"yyyy-mm"))</f>
        <v>Saúde Total|2026-07</v>
      </c>
      <c r="L148" s="24" t="str">
        <f>IF(K148="","",IFERROR(INDEX(Lotes!$N$5:$N$154,MATCH(K148,Lotes!$P$5:$P$154,0)),"Sem lote cadastrado"))</f>
        <v>Paga com glosa</v>
      </c>
      <c r="M148" s="25">
        <f>IF(H148="Sim",G148,0)</f>
        <v>0</v>
      </c>
      <c r="N148" s="42">
        <f>IF(AND(H148="Sim",I148&lt;&gt;"Aceito"),G148+ROW()/100000,0)</f>
        <v>0</v>
      </c>
    </row>
    <row r="149">
      <c r="A149" s="35" t="inlineStr">
        <is>
          <t>G2026-0575</t>
        </is>
      </c>
      <c r="B149" s="39" t="n">
        <v>46212</v>
      </c>
      <c r="C149" s="33" t="inlineStr">
        <is>
          <t>Gabriel Vieira</t>
        </is>
      </c>
      <c r="D149" s="35" t="inlineStr">
        <is>
          <t>Vida Care</t>
        </is>
      </c>
      <c r="E149" s="33" t="inlineStr">
        <is>
          <t>Consulta</t>
        </is>
      </c>
      <c r="F149" s="33" t="inlineStr">
        <is>
          <t>Dr. Paulo Andrade</t>
        </is>
      </c>
      <c r="G149" s="40" t="n">
        <v>90</v>
      </c>
      <c r="H149" s="35" t="n"/>
      <c r="I149" s="35" t="n"/>
      <c r="J149" s="30">
        <f>IF(B149="","",DATE(YEAR(B149),MONTH(B149),1))</f>
        <v>46204.0</v>
      </c>
      <c r="K149" s="41" t="str">
        <f>IF(OR(B149="",D149=""),"",D149&amp;"|"&amp;TEXT(J149,"yyyy-mm"))</f>
        <v>Vida Care|2026-07</v>
      </c>
      <c r="L149" s="24" t="str">
        <f>IF(K149="","",IFERROR(INDEX(Lotes!$N$5:$N$154,MATCH(K149,Lotes!$P$5:$P$154,0)),"Sem lote cadastrado"))</f>
        <v>Aguardando</v>
      </c>
      <c r="M149" s="25">
        <f>IF(H149="Sim",G149,0)</f>
        <v>0</v>
      </c>
      <c r="N149" s="42">
        <f>IF(AND(H149="Sim",I149&lt;&gt;"Aceito"),G149+ROW()/100000,0)</f>
        <v>0</v>
      </c>
    </row>
    <row r="150">
      <c r="A150" s="35" t="inlineStr">
        <is>
          <t>G2026-0576</t>
        </is>
      </c>
      <c r="B150" s="39" t="n">
        <v>46212</v>
      </c>
      <c r="C150" s="33" t="inlineStr">
        <is>
          <t>Paulo Nascimento</t>
        </is>
      </c>
      <c r="D150" s="35" t="inlineStr">
        <is>
          <t>MediPlan</t>
        </is>
      </c>
      <c r="E150" s="33" t="inlineStr">
        <is>
          <t>Consulta</t>
        </is>
      </c>
      <c r="F150" s="33" t="inlineStr">
        <is>
          <t>Dr. Paulo Andrade</t>
        </is>
      </c>
      <c r="G150" s="40" t="n">
        <v>100</v>
      </c>
      <c r="H150" s="35" t="n"/>
      <c r="I150" s="35" t="n"/>
      <c r="J150" s="30">
        <f>IF(B150="","",DATE(YEAR(B150),MONTH(B150),1))</f>
        <v>46204.0</v>
      </c>
      <c r="K150" s="41" t="str">
        <f>IF(OR(B150="",D150=""),"",D150&amp;"|"&amp;TEXT(J150,"yyyy-mm"))</f>
        <v>MediPlan|2026-07</v>
      </c>
      <c r="L150" s="24" t="str">
        <f>IF(K150="","",IFERROR(INDEX(Lotes!$N$5:$N$154,MATCH(K150,Lotes!$P$5:$P$154,0)),"Sem lote cadastrado"))</f>
        <v>Aguardando</v>
      </c>
      <c r="M150" s="25">
        <f>IF(H150="Sim",G150,0)</f>
        <v>0</v>
      </c>
      <c r="N150" s="42">
        <f>IF(AND(H150="Sim",I150&lt;&gt;"Aceito"),G150+ROW()/100000,0)</f>
        <v>0</v>
      </c>
    </row>
    <row r="151">
      <c r="A151" s="35" t="inlineStr">
        <is>
          <t>G2026-0577</t>
        </is>
      </c>
      <c r="B151" s="39" t="n">
        <v>46212</v>
      </c>
      <c r="C151" s="33" t="inlineStr">
        <is>
          <t>Isabela Barbosa</t>
        </is>
      </c>
      <c r="D151" s="35" t="inlineStr">
        <is>
          <t>Saúde Total</t>
        </is>
      </c>
      <c r="E151" s="33" t="inlineStr">
        <is>
          <t>Avaliação endócrina</t>
        </is>
      </c>
      <c r="F151" s="33" t="inlineStr">
        <is>
          <t>Dra. Renata Sousa</t>
        </is>
      </c>
      <c r="G151" s="40" t="n">
        <v>130</v>
      </c>
      <c r="H151" s="35" t="inlineStr">
        <is>
          <t>Sim</t>
        </is>
      </c>
      <c r="I151" s="35" t="n"/>
      <c r="J151" s="30">
        <f>IF(B151="","",DATE(YEAR(B151),MONTH(B151),1))</f>
        <v>46204.0</v>
      </c>
      <c r="K151" s="41" t="str">
        <f>IF(OR(B151="",D151=""),"",D151&amp;"|"&amp;TEXT(J151,"yyyy-mm"))</f>
        <v>Saúde Total|2026-07</v>
      </c>
      <c r="L151" s="24" t="str">
        <f>IF(K151="","",IFERROR(INDEX(Lotes!$N$5:$N$154,MATCH(K151,Lotes!$P$5:$P$154,0)),"Sem lote cadastrado"))</f>
        <v>Paga com glosa</v>
      </c>
      <c r="M151" s="25">
        <f>IF(H151="Sim",G151,0)</f>
        <v>130</v>
      </c>
      <c r="N151" s="42">
        <f>IF(AND(H151="Sim",I151&lt;&gt;"Aceito"),G151+ROW()/100000,0)</f>
        <v>130.00151</v>
      </c>
    </row>
    <row r="152">
      <c r="A152" s="35" t="inlineStr">
        <is>
          <t>G2026-0578</t>
        </is>
      </c>
      <c r="B152" s="39" t="n">
        <v>46212</v>
      </c>
      <c r="C152" s="33" t="inlineStr">
        <is>
          <t>Priscila Pinto</t>
        </is>
      </c>
      <c r="D152" s="35" t="inlineStr">
        <is>
          <t>Saúde Total</t>
        </is>
      </c>
      <c r="E152" s="33" t="inlineStr">
        <is>
          <t>Consulta</t>
        </is>
      </c>
      <c r="F152" s="33" t="inlineStr">
        <is>
          <t>Dr. Paulo Andrade</t>
        </is>
      </c>
      <c r="G152" s="40" t="n">
        <v>120</v>
      </c>
      <c r="H152" s="35" t="n"/>
      <c r="I152" s="35" t="n"/>
      <c r="J152" s="30">
        <f>IF(B152="","",DATE(YEAR(B152),MONTH(B152),1))</f>
        <v>46204.0</v>
      </c>
      <c r="K152" s="41" t="str">
        <f>IF(OR(B152="",D152=""),"",D152&amp;"|"&amp;TEXT(J152,"yyyy-mm"))</f>
        <v>Saúde Total|2026-07</v>
      </c>
      <c r="L152" s="24" t="str">
        <f>IF(K152="","",IFERROR(INDEX(Lotes!$N$5:$N$154,MATCH(K152,Lotes!$P$5:$P$154,0)),"Sem lote cadastrado"))</f>
        <v>Paga com glosa</v>
      </c>
      <c r="M152" s="25">
        <f>IF(H152="Sim",G152,0)</f>
        <v>0</v>
      </c>
      <c r="N152" s="42">
        <f>IF(AND(H152="Sim",I152&lt;&gt;"Aceito"),G152+ROW()/100000,0)</f>
        <v>0</v>
      </c>
    </row>
    <row r="153">
      <c r="A153" s="35" t="inlineStr">
        <is>
          <t>G2026-0579</t>
        </is>
      </c>
      <c r="B153" s="39" t="n">
        <v>46212</v>
      </c>
      <c r="C153" s="33" t="inlineStr">
        <is>
          <t>Vanessa Moreira</t>
        </is>
      </c>
      <c r="D153" s="35" t="inlineStr">
        <is>
          <t>Saúde Total</t>
        </is>
      </c>
      <c r="E153" s="33" t="inlineStr">
        <is>
          <t>Consulta</t>
        </is>
      </c>
      <c r="F153" s="33" t="inlineStr">
        <is>
          <t>Dr. Paulo Andrade</t>
        </is>
      </c>
      <c r="G153" s="40" t="n">
        <v>120</v>
      </c>
      <c r="H153" s="35" t="n"/>
      <c r="I153" s="35" t="n"/>
      <c r="J153" s="30">
        <f>IF(B153="","",DATE(YEAR(B153),MONTH(B153),1))</f>
        <v>46204.0</v>
      </c>
      <c r="K153" s="41" t="str">
        <f>IF(OR(B153="",D153=""),"",D153&amp;"|"&amp;TEXT(J153,"yyyy-mm"))</f>
        <v>Saúde Total|2026-07</v>
      </c>
      <c r="L153" s="24" t="str">
        <f>IF(K153="","",IFERROR(INDEX(Lotes!$N$5:$N$154,MATCH(K153,Lotes!$P$5:$P$154,0)),"Sem lote cadastrado"))</f>
        <v>Paga com glosa</v>
      </c>
      <c r="M153" s="25">
        <f>IF(H153="Sim",G153,0)</f>
        <v>0</v>
      </c>
      <c r="N153" s="42">
        <f>IF(AND(H153="Sim",I153&lt;&gt;"Aceito"),G153+ROW()/100000,0)</f>
        <v>0</v>
      </c>
    </row>
    <row r="154">
      <c r="A154" s="35" t="inlineStr">
        <is>
          <t>G2026-0580</t>
        </is>
      </c>
      <c r="B154" s="39" t="n">
        <v>46212</v>
      </c>
      <c r="C154" s="33" t="inlineStr">
        <is>
          <t>Patrícia Vieira</t>
        </is>
      </c>
      <c r="D154" s="35" t="inlineStr">
        <is>
          <t>Saúde Total</t>
        </is>
      </c>
      <c r="E154" s="33" t="inlineStr">
        <is>
          <t>Consulta</t>
        </is>
      </c>
      <c r="F154" s="33" t="inlineStr">
        <is>
          <t>Dr. Paulo Andrade</t>
        </is>
      </c>
      <c r="G154" s="40" t="n">
        <v>120</v>
      </c>
      <c r="H154" s="35" t="n"/>
      <c r="I154" s="35" t="n"/>
      <c r="J154" s="30">
        <f>IF(B154="","",DATE(YEAR(B154),MONTH(B154),1))</f>
        <v>46204.0</v>
      </c>
      <c r="K154" s="41" t="str">
        <f>IF(OR(B154="",D154=""),"",D154&amp;"|"&amp;TEXT(J154,"yyyy-mm"))</f>
        <v>Saúde Total|2026-07</v>
      </c>
      <c r="L154" s="24" t="str">
        <f>IF(K154="","",IFERROR(INDEX(Lotes!$N$5:$N$154,MATCH(K154,Lotes!$P$5:$P$154,0)),"Sem lote cadastrado"))</f>
        <v>Paga com glosa</v>
      </c>
      <c r="M154" s="25">
        <f>IF(H154="Sim",G154,0)</f>
        <v>0</v>
      </c>
      <c r="N154" s="42">
        <f>IF(AND(H154="Sim",I154&lt;&gt;"Aceito"),G154+ROW()/100000,0)</f>
        <v>0</v>
      </c>
    </row>
    <row r="155">
      <c r="A155" s="35" t="inlineStr">
        <is>
          <t>G2026-0581</t>
        </is>
      </c>
      <c r="B155" s="39" t="n">
        <v>46212</v>
      </c>
      <c r="C155" s="33" t="inlineStr">
        <is>
          <t>Gisele Lopes</t>
        </is>
      </c>
      <c r="D155" s="35" t="inlineStr">
        <is>
          <t>Saúde Total</t>
        </is>
      </c>
      <c r="E155" s="33" t="inlineStr">
        <is>
          <t>Avaliação endócrina</t>
        </is>
      </c>
      <c r="F155" s="33" t="inlineStr">
        <is>
          <t>Dra. Renata Sousa</t>
        </is>
      </c>
      <c r="G155" s="40" t="n">
        <v>130</v>
      </c>
      <c r="H155" s="35" t="n"/>
      <c r="I155" s="35" t="n"/>
      <c r="J155" s="30">
        <f>IF(B155="","",DATE(YEAR(B155),MONTH(B155),1))</f>
        <v>46204.0</v>
      </c>
      <c r="K155" s="41" t="str">
        <f>IF(OR(B155="",D155=""),"",D155&amp;"|"&amp;TEXT(J155,"yyyy-mm"))</f>
        <v>Saúde Total|2026-07</v>
      </c>
      <c r="L155" s="24" t="str">
        <f>IF(K155="","",IFERROR(INDEX(Lotes!$N$5:$N$154,MATCH(K155,Lotes!$P$5:$P$154,0)),"Sem lote cadastrado"))</f>
        <v>Paga com glosa</v>
      </c>
      <c r="M155" s="25">
        <f>IF(H155="Sim",G155,0)</f>
        <v>0</v>
      </c>
      <c r="N155" s="42">
        <f>IF(AND(H155="Sim",I155&lt;&gt;"Aceito"),G155+ROW()/100000,0)</f>
        <v>0</v>
      </c>
    </row>
    <row r="156">
      <c r="A156" s="35" t="inlineStr">
        <is>
          <t>G2026-0582</t>
        </is>
      </c>
      <c r="B156" s="39" t="n">
        <v>46213</v>
      </c>
      <c r="C156" s="33" t="inlineStr">
        <is>
          <t>Débora Machado</t>
        </is>
      </c>
      <c r="D156" s="35" t="inlineStr">
        <is>
          <t>Saúde Total</t>
        </is>
      </c>
      <c r="E156" s="33" t="inlineStr">
        <is>
          <t>ECG</t>
        </is>
      </c>
      <c r="F156" s="33" t="inlineStr">
        <is>
          <t>Dr. Paulo Andrade</t>
        </is>
      </c>
      <c r="G156" s="40" t="n">
        <v>40</v>
      </c>
      <c r="H156" s="35" t="inlineStr">
        <is>
          <t>Sim</t>
        </is>
      </c>
      <c r="I156" s="35" t="n"/>
      <c r="J156" s="30">
        <f>IF(B156="","",DATE(YEAR(B156),MONTH(B156),1))</f>
        <v>46204.0</v>
      </c>
      <c r="K156" s="41" t="str">
        <f>IF(OR(B156="",D156=""),"",D156&amp;"|"&amp;TEXT(J156,"yyyy-mm"))</f>
        <v>Saúde Total|2026-07</v>
      </c>
      <c r="L156" s="24" t="str">
        <f>IF(K156="","",IFERROR(INDEX(Lotes!$N$5:$N$154,MATCH(K156,Lotes!$P$5:$P$154,0)),"Sem lote cadastrado"))</f>
        <v>Paga com glosa</v>
      </c>
      <c r="M156" s="25">
        <f>IF(H156="Sim",G156,0)</f>
        <v>40</v>
      </c>
      <c r="N156" s="42">
        <f>IF(AND(H156="Sim",I156&lt;&gt;"Aceito"),G156+ROW()/100000,0)</f>
        <v>40.00156</v>
      </c>
    </row>
    <row r="157">
      <c r="A157" s="35" t="inlineStr">
        <is>
          <t>G2026-0583</t>
        </is>
      </c>
      <c r="B157" s="39" t="n">
        <v>46213</v>
      </c>
      <c r="C157" s="33" t="inlineStr">
        <is>
          <t>Patrícia Correia</t>
        </is>
      </c>
      <c r="D157" s="35" t="inlineStr">
        <is>
          <t>Saúde Total</t>
        </is>
      </c>
      <c r="E157" s="33" t="inlineStr">
        <is>
          <t>Consulta</t>
        </is>
      </c>
      <c r="F157" s="33" t="inlineStr">
        <is>
          <t>Dr. Paulo Andrade</t>
        </is>
      </c>
      <c r="G157" s="40" t="n">
        <v>120</v>
      </c>
      <c r="H157" s="35" t="n"/>
      <c r="I157" s="35" t="n"/>
      <c r="J157" s="30">
        <f>IF(B157="","",DATE(YEAR(B157),MONTH(B157),1))</f>
        <v>46204.0</v>
      </c>
      <c r="K157" s="41" t="str">
        <f>IF(OR(B157="",D157=""),"",D157&amp;"|"&amp;TEXT(J157,"yyyy-mm"))</f>
        <v>Saúde Total|2026-07</v>
      </c>
      <c r="L157" s="24" t="str">
        <f>IF(K157="","",IFERROR(INDEX(Lotes!$N$5:$N$154,MATCH(K157,Lotes!$P$5:$P$154,0)),"Sem lote cadastrado"))</f>
        <v>Paga com glosa</v>
      </c>
      <c r="M157" s="25">
        <f>IF(H157="Sim",G157,0)</f>
        <v>0</v>
      </c>
      <c r="N157" s="42">
        <f>IF(AND(H157="Sim",I157&lt;&gt;"Aceito"),G157+ROW()/100000,0)</f>
        <v>0</v>
      </c>
    </row>
    <row r="158">
      <c r="A158" s="35" t="inlineStr">
        <is>
          <t>G2026-0584</t>
        </is>
      </c>
      <c r="B158" s="39" t="n">
        <v>46213</v>
      </c>
      <c r="C158" s="33" t="inlineStr">
        <is>
          <t>Mônica Batista</t>
        </is>
      </c>
      <c r="D158" s="35" t="inlineStr">
        <is>
          <t>MediPlan</t>
        </is>
      </c>
      <c r="E158" s="33" t="inlineStr">
        <is>
          <t>ECG</t>
        </is>
      </c>
      <c r="F158" s="33" t="inlineStr">
        <is>
          <t>Dr. Paulo Andrade</t>
        </is>
      </c>
      <c r="G158" s="40" t="n">
        <v>35</v>
      </c>
      <c r="H158" s="35" t="n"/>
      <c r="I158" s="35" t="n"/>
      <c r="J158" s="30">
        <f>IF(B158="","",DATE(YEAR(B158),MONTH(B158),1))</f>
        <v>46204.0</v>
      </c>
      <c r="K158" s="41" t="str">
        <f>IF(OR(B158="",D158=""),"",D158&amp;"|"&amp;TEXT(J158,"yyyy-mm"))</f>
        <v>MediPlan|2026-07</v>
      </c>
      <c r="L158" s="24" t="str">
        <f>IF(K158="","",IFERROR(INDEX(Lotes!$N$5:$N$154,MATCH(K158,Lotes!$P$5:$P$154,0)),"Sem lote cadastrado"))</f>
        <v>Aguardando</v>
      </c>
      <c r="M158" s="25">
        <f>IF(H158="Sim",G158,0)</f>
        <v>0</v>
      </c>
      <c r="N158" s="42">
        <f>IF(AND(H158="Sim",I158&lt;&gt;"Aceito"),G158+ROW()/100000,0)</f>
        <v>0</v>
      </c>
    </row>
    <row r="159">
      <c r="A159" s="35" t="inlineStr">
        <is>
          <t>G2026-0585</t>
        </is>
      </c>
      <c r="B159" s="39" t="n">
        <v>46213</v>
      </c>
      <c r="C159" s="33" t="inlineStr">
        <is>
          <t>Mateus Dias</t>
        </is>
      </c>
      <c r="D159" s="35" t="inlineStr">
        <is>
          <t>Saúde Total</t>
        </is>
      </c>
      <c r="E159" s="33" t="inlineStr">
        <is>
          <t>Consulta</t>
        </is>
      </c>
      <c r="F159" s="33" t="inlineStr">
        <is>
          <t>Dr. Paulo Andrade</t>
        </is>
      </c>
      <c r="G159" s="40" t="n">
        <v>120</v>
      </c>
      <c r="H159" s="35" t="n"/>
      <c r="I159" s="35" t="n"/>
      <c r="J159" s="30">
        <f>IF(B159="","",DATE(YEAR(B159),MONTH(B159),1))</f>
        <v>46204.0</v>
      </c>
      <c r="K159" s="41" t="str">
        <f>IF(OR(B159="",D159=""),"",D159&amp;"|"&amp;TEXT(J159,"yyyy-mm"))</f>
        <v>Saúde Total|2026-07</v>
      </c>
      <c r="L159" s="24" t="str">
        <f>IF(K159="","",IFERROR(INDEX(Lotes!$N$5:$N$154,MATCH(K159,Lotes!$P$5:$P$154,0)),"Sem lote cadastrado"))</f>
        <v>Paga com glosa</v>
      </c>
      <c r="M159" s="25">
        <f>IF(H159="Sim",G159,0)</f>
        <v>0</v>
      </c>
      <c r="N159" s="42">
        <f>IF(AND(H159="Sim",I159&lt;&gt;"Aceito"),G159+ROW()/100000,0)</f>
        <v>0</v>
      </c>
    </row>
    <row r="160">
      <c r="A160" s="35" t="inlineStr">
        <is>
          <t>G2026-0586</t>
        </is>
      </c>
      <c r="B160" s="39" t="n">
        <v>46213</v>
      </c>
      <c r="C160" s="33" t="inlineStr">
        <is>
          <t>Helena Ribeiro</t>
        </is>
      </c>
      <c r="D160" s="35" t="inlineStr">
        <is>
          <t>MediPlan</t>
        </is>
      </c>
      <c r="E160" s="33" t="inlineStr">
        <is>
          <t>Consulta</t>
        </is>
      </c>
      <c r="F160" s="33" t="inlineStr">
        <is>
          <t>Dr. Paulo Andrade</t>
        </is>
      </c>
      <c r="G160" s="40" t="n">
        <v>100</v>
      </c>
      <c r="H160" s="35" t="n"/>
      <c r="I160" s="35" t="n"/>
      <c r="J160" s="30">
        <f>IF(B160="","",DATE(YEAR(B160),MONTH(B160),1))</f>
        <v>46204.0</v>
      </c>
      <c r="K160" s="41" t="str">
        <f>IF(OR(B160="",D160=""),"",D160&amp;"|"&amp;TEXT(J160,"yyyy-mm"))</f>
        <v>MediPlan|2026-07</v>
      </c>
      <c r="L160" s="24" t="str">
        <f>IF(K160="","",IFERROR(INDEX(Lotes!$N$5:$N$154,MATCH(K160,Lotes!$P$5:$P$154,0)),"Sem lote cadastrado"))</f>
        <v>Aguardando</v>
      </c>
      <c r="M160" s="25">
        <f>IF(H160="Sim",G160,0)</f>
        <v>0</v>
      </c>
      <c r="N160" s="42">
        <f>IF(AND(H160="Sim",I160&lt;&gt;"Aceito"),G160+ROW()/100000,0)</f>
        <v>0</v>
      </c>
    </row>
    <row r="161">
      <c r="A161" s="35" t="inlineStr">
        <is>
          <t>G2026-0587</t>
        </is>
      </c>
      <c r="B161" s="39" t="n">
        <v>46213</v>
      </c>
      <c r="C161" s="33" t="inlineStr">
        <is>
          <t>Sandra Cardoso</t>
        </is>
      </c>
      <c r="D161" s="35" t="inlineStr">
        <is>
          <t>Saúde Total</t>
        </is>
      </c>
      <c r="E161" s="33" t="inlineStr">
        <is>
          <t>Consulta</t>
        </is>
      </c>
      <c r="F161" s="33" t="inlineStr">
        <is>
          <t>Dr. Paulo Andrade</t>
        </is>
      </c>
      <c r="G161" s="40" t="n">
        <v>120</v>
      </c>
      <c r="H161" s="35" t="n"/>
      <c r="I161" s="35" t="n"/>
      <c r="J161" s="30">
        <f>IF(B161="","",DATE(YEAR(B161),MONTH(B161),1))</f>
        <v>46204.0</v>
      </c>
      <c r="K161" s="41" t="str">
        <f>IF(OR(B161="",D161=""),"",D161&amp;"|"&amp;TEXT(J161,"yyyy-mm"))</f>
        <v>Saúde Total|2026-07</v>
      </c>
      <c r="L161" s="24" t="str">
        <f>IF(K161="","",IFERROR(INDEX(Lotes!$N$5:$N$154,MATCH(K161,Lotes!$P$5:$P$154,0)),"Sem lote cadastrado"))</f>
        <v>Paga com glosa</v>
      </c>
      <c r="M161" s="25">
        <f>IF(H161="Sim",G161,0)</f>
        <v>0</v>
      </c>
      <c r="N161" s="42">
        <f>IF(AND(H161="Sim",I161&lt;&gt;"Aceito"),G161+ROW()/100000,0)</f>
        <v>0</v>
      </c>
    </row>
    <row r="162">
      <c r="A162" s="35" t="inlineStr">
        <is>
          <t>G2026-0588</t>
        </is>
      </c>
      <c r="B162" s="39" t="n">
        <v>46213</v>
      </c>
      <c r="C162" s="33" t="inlineStr">
        <is>
          <t>Natália Xavier</t>
        </is>
      </c>
      <c r="D162" s="35" t="inlineStr">
        <is>
          <t>MediPlan</t>
        </is>
      </c>
      <c r="E162" s="33" t="inlineStr">
        <is>
          <t>Consulta</t>
        </is>
      </c>
      <c r="F162" s="33" t="inlineStr">
        <is>
          <t>Dr. Paulo Andrade</t>
        </is>
      </c>
      <c r="G162" s="40" t="n">
        <v>100</v>
      </c>
      <c r="H162" s="35" t="n"/>
      <c r="I162" s="35" t="n"/>
      <c r="J162" s="30">
        <f>IF(B162="","",DATE(YEAR(B162),MONTH(B162),1))</f>
        <v>46204.0</v>
      </c>
      <c r="K162" s="41" t="str">
        <f>IF(OR(B162="",D162=""),"",D162&amp;"|"&amp;TEXT(J162,"yyyy-mm"))</f>
        <v>MediPlan|2026-07</v>
      </c>
      <c r="L162" s="24" t="str">
        <f>IF(K162="","",IFERROR(INDEX(Lotes!$N$5:$N$154,MATCH(K162,Lotes!$P$5:$P$154,0)),"Sem lote cadastrado"))</f>
        <v>Aguardando</v>
      </c>
      <c r="M162" s="25">
        <f>IF(H162="Sim",G162,0)</f>
        <v>0</v>
      </c>
      <c r="N162" s="42">
        <f>IF(AND(H162="Sim",I162&lt;&gt;"Aceito"),G162+ROW()/100000,0)</f>
        <v>0</v>
      </c>
    </row>
    <row r="163">
      <c r="A163" s="35" t="inlineStr">
        <is>
          <t>G2026-0589</t>
        </is>
      </c>
      <c r="B163" s="39" t="n">
        <v>46216</v>
      </c>
      <c r="C163" s="33" t="inlineStr">
        <is>
          <t>Paulo Ribeiro</t>
        </is>
      </c>
      <c r="D163" s="35" t="inlineStr">
        <is>
          <t>Saúde Total</t>
        </is>
      </c>
      <c r="E163" s="33" t="inlineStr">
        <is>
          <t>Consulta</t>
        </is>
      </c>
      <c r="F163" s="33" t="inlineStr">
        <is>
          <t>Dr. Paulo Andrade</t>
        </is>
      </c>
      <c r="G163" s="40" t="n">
        <v>120</v>
      </c>
      <c r="H163" s="35" t="n"/>
      <c r="I163" s="35" t="n"/>
      <c r="J163" s="30">
        <f>IF(B163="","",DATE(YEAR(B163),MONTH(B163),1))</f>
        <v>46204.0</v>
      </c>
      <c r="K163" s="41" t="str">
        <f>IF(OR(B163="",D163=""),"",D163&amp;"|"&amp;TEXT(J163,"yyyy-mm"))</f>
        <v>Saúde Total|2026-07</v>
      </c>
      <c r="L163" s="24" t="str">
        <f>IF(K163="","",IFERROR(INDEX(Lotes!$N$5:$N$154,MATCH(K163,Lotes!$P$5:$P$154,0)),"Sem lote cadastrado"))</f>
        <v>Paga com glosa</v>
      </c>
      <c r="M163" s="25">
        <f>IF(H163="Sim",G163,0)</f>
        <v>0</v>
      </c>
      <c r="N163" s="42">
        <f>IF(AND(H163="Sim",I163&lt;&gt;"Aceito"),G163+ROW()/100000,0)</f>
        <v>0</v>
      </c>
    </row>
    <row r="164">
      <c r="A164" s="35" t="inlineStr">
        <is>
          <t>G2026-0590</t>
        </is>
      </c>
      <c r="B164" s="39" t="n">
        <v>46216</v>
      </c>
      <c r="C164" s="33" t="inlineStr">
        <is>
          <t>Gisele Lima</t>
        </is>
      </c>
      <c r="D164" s="35" t="inlineStr">
        <is>
          <t>Saúde Total</t>
        </is>
      </c>
      <c r="E164" s="33" t="inlineStr">
        <is>
          <t>Consulta</t>
        </is>
      </c>
      <c r="F164" s="33" t="inlineStr">
        <is>
          <t>Dr. Paulo Andrade</t>
        </is>
      </c>
      <c r="G164" s="40" t="n">
        <v>120</v>
      </c>
      <c r="H164" s="35" t="n"/>
      <c r="I164" s="35" t="n"/>
      <c r="J164" s="30">
        <f>IF(B164="","",DATE(YEAR(B164),MONTH(B164),1))</f>
        <v>46204.0</v>
      </c>
      <c r="K164" s="41" t="str">
        <f>IF(OR(B164="",D164=""),"",D164&amp;"|"&amp;TEXT(J164,"yyyy-mm"))</f>
        <v>Saúde Total|2026-07</v>
      </c>
      <c r="L164" s="24" t="str">
        <f>IF(K164="","",IFERROR(INDEX(Lotes!$N$5:$N$154,MATCH(K164,Lotes!$P$5:$P$154,0)),"Sem lote cadastrado"))</f>
        <v>Paga com glosa</v>
      </c>
      <c r="M164" s="25">
        <f>IF(H164="Sim",G164,0)</f>
        <v>0</v>
      </c>
      <c r="N164" s="42">
        <f>IF(AND(H164="Sim",I164&lt;&gt;"Aceito"),G164+ROW()/100000,0)</f>
        <v>0</v>
      </c>
    </row>
    <row r="165">
      <c r="A165" s="35" t="inlineStr">
        <is>
          <t>G2026-0591</t>
        </is>
      </c>
      <c r="B165" s="39" t="n">
        <v>46216</v>
      </c>
      <c r="C165" s="33" t="inlineStr">
        <is>
          <t>Camila Martins</t>
        </is>
      </c>
      <c r="D165" s="35" t="inlineStr">
        <is>
          <t>Vida Care</t>
        </is>
      </c>
      <c r="E165" s="33" t="inlineStr">
        <is>
          <t>Consulta</t>
        </is>
      </c>
      <c r="F165" s="33" t="inlineStr">
        <is>
          <t>Dr. Paulo Andrade</t>
        </is>
      </c>
      <c r="G165" s="40" t="n">
        <v>90</v>
      </c>
      <c r="H165" s="35" t="n"/>
      <c r="I165" s="35" t="n"/>
      <c r="J165" s="30">
        <f>IF(B165="","",DATE(YEAR(B165),MONTH(B165),1))</f>
        <v>46204.0</v>
      </c>
      <c r="K165" s="41" t="str">
        <f>IF(OR(B165="",D165=""),"",D165&amp;"|"&amp;TEXT(J165,"yyyy-mm"))</f>
        <v>Vida Care|2026-07</v>
      </c>
      <c r="L165" s="24" t="str">
        <f>IF(K165="","",IFERROR(INDEX(Lotes!$N$5:$N$154,MATCH(K165,Lotes!$P$5:$P$154,0)),"Sem lote cadastrado"))</f>
        <v>Aguardando</v>
      </c>
      <c r="M165" s="25">
        <f>IF(H165="Sim",G165,0)</f>
        <v>0</v>
      </c>
      <c r="N165" s="42">
        <f>IF(AND(H165="Sim",I165&lt;&gt;"Aceito"),G165+ROW()/100000,0)</f>
        <v>0</v>
      </c>
    </row>
    <row r="166">
      <c r="A166" s="35" t="inlineStr">
        <is>
          <t>G2026-0592</t>
        </is>
      </c>
      <c r="B166" s="39" t="n">
        <v>46217</v>
      </c>
      <c r="C166" s="33" t="inlineStr">
        <is>
          <t>Daniel Almeida</t>
        </is>
      </c>
      <c r="D166" s="35" t="inlineStr">
        <is>
          <t>Saúde Total</t>
        </is>
      </c>
      <c r="E166" s="33" t="inlineStr">
        <is>
          <t>Consulta</t>
        </is>
      </c>
      <c r="F166" s="33" t="inlineStr">
        <is>
          <t>Dra. Carolina Mendes</t>
        </is>
      </c>
      <c r="G166" s="40" t="n">
        <v>120</v>
      </c>
      <c r="H166" s="35" t="n"/>
      <c r="I166" s="35" t="n"/>
      <c r="J166" s="30">
        <f>IF(B166="","",DATE(YEAR(B166),MONTH(B166),1))</f>
        <v>46204.0</v>
      </c>
      <c r="K166" s="41" t="str">
        <f>IF(OR(B166="",D166=""),"",D166&amp;"|"&amp;TEXT(J166,"yyyy-mm"))</f>
        <v>Saúde Total|2026-07</v>
      </c>
      <c r="L166" s="24" t="str">
        <f>IF(K166="","",IFERROR(INDEX(Lotes!$N$5:$N$154,MATCH(K166,Lotes!$P$5:$P$154,0)),"Sem lote cadastrado"))</f>
        <v>Paga com glosa</v>
      </c>
      <c r="M166" s="25">
        <f>IF(H166="Sim",G166,0)</f>
        <v>0</v>
      </c>
      <c r="N166" s="42">
        <f>IF(AND(H166="Sim",I166&lt;&gt;"Aceito"),G166+ROW()/100000,0)</f>
        <v>0</v>
      </c>
    </row>
    <row r="167">
      <c r="A167" s="35" t="inlineStr">
        <is>
          <t>G2026-0593</t>
        </is>
      </c>
      <c r="B167" s="39" t="n">
        <v>46217</v>
      </c>
      <c r="C167" s="33" t="inlineStr">
        <is>
          <t>Eduardo Reis</t>
        </is>
      </c>
      <c r="D167" s="35" t="inlineStr">
        <is>
          <t>Vida Care</t>
        </is>
      </c>
      <c r="E167" s="33" t="inlineStr">
        <is>
          <t>Consulta</t>
        </is>
      </c>
      <c r="F167" s="33" t="inlineStr">
        <is>
          <t>Dra. Carolina Mendes</t>
        </is>
      </c>
      <c r="G167" s="40" t="n">
        <v>90</v>
      </c>
      <c r="H167" s="35" t="n"/>
      <c r="I167" s="35" t="n"/>
      <c r="J167" s="30">
        <f>IF(B167="","",DATE(YEAR(B167),MONTH(B167),1))</f>
        <v>46204.0</v>
      </c>
      <c r="K167" s="41" t="str">
        <f>IF(OR(B167="",D167=""),"",D167&amp;"|"&amp;TEXT(J167,"yyyy-mm"))</f>
        <v>Vida Care|2026-07</v>
      </c>
      <c r="L167" s="24" t="str">
        <f>IF(K167="","",IFERROR(INDEX(Lotes!$N$5:$N$154,MATCH(K167,Lotes!$P$5:$P$154,0)),"Sem lote cadastrado"))</f>
        <v>Aguardando</v>
      </c>
      <c r="M167" s="25">
        <f>IF(H167="Sim",G167,0)</f>
        <v>0</v>
      </c>
      <c r="N167" s="42">
        <f>IF(AND(H167="Sim",I167&lt;&gt;"Aceito"),G167+ROW()/100000,0)</f>
        <v>0</v>
      </c>
    </row>
    <row r="168">
      <c r="A168" s="35" t="inlineStr">
        <is>
          <t>G2026-0594</t>
        </is>
      </c>
      <c r="B168" s="39" t="n">
        <v>46217</v>
      </c>
      <c r="C168" s="33" t="inlineStr">
        <is>
          <t>Priscila Carvalho</t>
        </is>
      </c>
      <c r="D168" s="35" t="inlineStr">
        <is>
          <t>Vida Care</t>
        </is>
      </c>
      <c r="E168" s="33" t="inlineStr">
        <is>
          <t>Consulta</t>
        </is>
      </c>
      <c r="F168" s="33" t="inlineStr">
        <is>
          <t>Dra. Carolina Mendes</t>
        </is>
      </c>
      <c r="G168" s="40" t="n">
        <v>90</v>
      </c>
      <c r="H168" s="35" t="n"/>
      <c r="I168" s="35" t="n"/>
      <c r="J168" s="30">
        <f>IF(B168="","",DATE(YEAR(B168),MONTH(B168),1))</f>
        <v>46204.0</v>
      </c>
      <c r="K168" s="41" t="str">
        <f>IF(OR(B168="",D168=""),"",D168&amp;"|"&amp;TEXT(J168,"yyyy-mm"))</f>
        <v>Vida Care|2026-07</v>
      </c>
      <c r="L168" s="24" t="str">
        <f>IF(K168="","",IFERROR(INDEX(Lotes!$N$5:$N$154,MATCH(K168,Lotes!$P$5:$P$154,0)),"Sem lote cadastrado"))</f>
        <v>Aguardando</v>
      </c>
      <c r="M168" s="25">
        <f>IF(H168="Sim",G168,0)</f>
        <v>0</v>
      </c>
      <c r="N168" s="42">
        <f>IF(AND(H168="Sim",I168&lt;&gt;"Aceito"),G168+ROW()/100000,0)</f>
        <v>0</v>
      </c>
    </row>
    <row r="169">
      <c r="A169" s="35" t="inlineStr">
        <is>
          <t>G2026-0595</t>
        </is>
      </c>
      <c r="B169" s="39" t="n">
        <v>46217</v>
      </c>
      <c r="C169" s="33" t="inlineStr">
        <is>
          <t>Priscila Rocha</t>
        </is>
      </c>
      <c r="D169" s="35" t="inlineStr">
        <is>
          <t>MediPlan</t>
        </is>
      </c>
      <c r="E169" s="33" t="inlineStr">
        <is>
          <t>Consulta</t>
        </is>
      </c>
      <c r="F169" s="33" t="inlineStr">
        <is>
          <t>Dr. Paulo Andrade</t>
        </is>
      </c>
      <c r="G169" s="40" t="n">
        <v>100</v>
      </c>
      <c r="H169" s="35" t="n"/>
      <c r="I169" s="35" t="n"/>
      <c r="J169" s="30">
        <f>IF(B169="","",DATE(YEAR(B169),MONTH(B169),1))</f>
        <v>46204.0</v>
      </c>
      <c r="K169" s="41" t="str">
        <f>IF(OR(B169="",D169=""),"",D169&amp;"|"&amp;TEXT(J169,"yyyy-mm"))</f>
        <v>MediPlan|2026-07</v>
      </c>
      <c r="L169" s="24" t="str">
        <f>IF(K169="","",IFERROR(INDEX(Lotes!$N$5:$N$154,MATCH(K169,Lotes!$P$5:$P$154,0)),"Sem lote cadastrado"))</f>
        <v>Aguardando</v>
      </c>
      <c r="M169" s="25">
        <f>IF(H169="Sim",G169,0)</f>
        <v>0</v>
      </c>
      <c r="N169" s="42">
        <f>IF(AND(H169="Sim",I169&lt;&gt;"Aceito"),G169+ROW()/100000,0)</f>
        <v>0</v>
      </c>
    </row>
    <row r="170">
      <c r="A170" s="35" t="inlineStr">
        <is>
          <t>G2026-0596</t>
        </is>
      </c>
      <c r="B170" s="39" t="n">
        <v>46218</v>
      </c>
      <c r="C170" s="33" t="inlineStr">
        <is>
          <t>Eduardo Nunes</t>
        </is>
      </c>
      <c r="D170" s="35" t="inlineStr">
        <is>
          <t>MediPlan</t>
        </is>
      </c>
      <c r="E170" s="33" t="inlineStr">
        <is>
          <t>Consulta</t>
        </is>
      </c>
      <c r="F170" s="33" t="inlineStr">
        <is>
          <t>Dra. Carolina Mendes</t>
        </is>
      </c>
      <c r="G170" s="40" t="n">
        <v>100</v>
      </c>
      <c r="H170" s="35" t="n"/>
      <c r="I170" s="35" t="n"/>
      <c r="J170" s="30">
        <f>IF(B170="","",DATE(YEAR(B170),MONTH(B170),1))</f>
        <v>46204.0</v>
      </c>
      <c r="K170" s="41" t="str">
        <f>IF(OR(B170="",D170=""),"",D170&amp;"|"&amp;TEXT(J170,"yyyy-mm"))</f>
        <v>MediPlan|2026-07</v>
      </c>
      <c r="L170" s="24" t="str">
        <f>IF(K170="","",IFERROR(INDEX(Lotes!$N$5:$N$154,MATCH(K170,Lotes!$P$5:$P$154,0)),"Sem lote cadastrado"))</f>
        <v>Aguardando</v>
      </c>
      <c r="M170" s="25">
        <f>IF(H170="Sim",G170,0)</f>
        <v>0</v>
      </c>
      <c r="N170" s="42">
        <f>IF(AND(H170="Sim",I170&lt;&gt;"Aceito"),G170+ROW()/100000,0)</f>
        <v>0</v>
      </c>
    </row>
    <row r="171">
      <c r="A171" s="35" t="inlineStr">
        <is>
          <t>G2026-0597</t>
        </is>
      </c>
      <c r="B171" s="39" t="n">
        <v>46218</v>
      </c>
      <c r="C171" s="33" t="inlineStr">
        <is>
          <t>Letícia Vieira</t>
        </is>
      </c>
      <c r="D171" s="35" t="inlineStr">
        <is>
          <t>Saúde Total</t>
        </is>
      </c>
      <c r="E171" s="33" t="inlineStr">
        <is>
          <t>Consulta</t>
        </is>
      </c>
      <c r="F171" s="33" t="inlineStr">
        <is>
          <t>Dra. Carolina Mendes</t>
        </is>
      </c>
      <c r="G171" s="40" t="n">
        <v>120</v>
      </c>
      <c r="H171" s="35" t="n"/>
      <c r="I171" s="35" t="n"/>
      <c r="J171" s="30">
        <f>IF(B171="","",DATE(YEAR(B171),MONTH(B171),1))</f>
        <v>46204.0</v>
      </c>
      <c r="K171" s="41" t="str">
        <f>IF(OR(B171="",D171=""),"",D171&amp;"|"&amp;TEXT(J171,"yyyy-mm"))</f>
        <v>Saúde Total|2026-07</v>
      </c>
      <c r="L171" s="24" t="str">
        <f>IF(K171="","",IFERROR(INDEX(Lotes!$N$5:$N$154,MATCH(K171,Lotes!$P$5:$P$154,0)),"Sem lote cadastrado"))</f>
        <v>Paga com glosa</v>
      </c>
      <c r="M171" s="25">
        <f>IF(H171="Sim",G171,0)</f>
        <v>0</v>
      </c>
      <c r="N171" s="42">
        <f>IF(AND(H171="Sim",I171&lt;&gt;"Aceito"),G171+ROW()/100000,0)</f>
        <v>0</v>
      </c>
    </row>
    <row r="172">
      <c r="A172" s="35" t="inlineStr">
        <is>
          <t>G2026-0598</t>
        </is>
      </c>
      <c r="B172" s="39" t="n">
        <v>46219</v>
      </c>
      <c r="C172" s="33" t="inlineStr">
        <is>
          <t>Regina Castro</t>
        </is>
      </c>
      <c r="D172" s="35" t="inlineStr">
        <is>
          <t>Vida Care</t>
        </is>
      </c>
      <c r="E172" s="33" t="inlineStr">
        <is>
          <t>Consulta</t>
        </is>
      </c>
      <c r="F172" s="33" t="inlineStr">
        <is>
          <t>Dra. Carolina Mendes</t>
        </is>
      </c>
      <c r="G172" s="40" t="n">
        <v>90</v>
      </c>
      <c r="H172" s="35" t="n"/>
      <c r="I172" s="35" t="n"/>
      <c r="J172" s="30">
        <f>IF(B172="","",DATE(YEAR(B172),MONTH(B172),1))</f>
        <v>46204.0</v>
      </c>
      <c r="K172" s="41" t="str">
        <f>IF(OR(B172="",D172=""),"",D172&amp;"|"&amp;TEXT(J172,"yyyy-mm"))</f>
        <v>Vida Care|2026-07</v>
      </c>
      <c r="L172" s="24" t="str">
        <f>IF(K172="","",IFERROR(INDEX(Lotes!$N$5:$N$154,MATCH(K172,Lotes!$P$5:$P$154,0)),"Sem lote cadastrado"))</f>
        <v>Aguardando</v>
      </c>
      <c r="M172" s="25">
        <f>IF(H172="Sim",G172,0)</f>
        <v>0</v>
      </c>
      <c r="N172" s="42">
        <f>IF(AND(H172="Sim",I172&lt;&gt;"Aceito"),G172+ROW()/100000,0)</f>
        <v>0</v>
      </c>
    </row>
    <row r="173">
      <c r="A173" s="35" t="inlineStr">
        <is>
          <t>G2026-0599</t>
        </is>
      </c>
      <c r="B173" s="39" t="n">
        <v>46219</v>
      </c>
      <c r="C173" s="33" t="inlineStr">
        <is>
          <t>Juliana Ribeiro</t>
        </is>
      </c>
      <c r="D173" s="35" t="inlineStr">
        <is>
          <t>Saúde Total</t>
        </is>
      </c>
      <c r="E173" s="33" t="inlineStr">
        <is>
          <t>Consulta</t>
        </is>
      </c>
      <c r="F173" s="33" t="inlineStr">
        <is>
          <t>Dra. Carolina Mendes</t>
        </is>
      </c>
      <c r="G173" s="40" t="n">
        <v>120</v>
      </c>
      <c r="H173" s="35" t="n"/>
      <c r="I173" s="35" t="n"/>
      <c r="J173" s="30">
        <f>IF(B173="","",DATE(YEAR(B173),MONTH(B173),1))</f>
        <v>46204.0</v>
      </c>
      <c r="K173" s="41" t="str">
        <f>IF(OR(B173="",D173=""),"",D173&amp;"|"&amp;TEXT(J173,"yyyy-mm"))</f>
        <v>Saúde Total|2026-07</v>
      </c>
      <c r="L173" s="24" t="str">
        <f>IF(K173="","",IFERROR(INDEX(Lotes!$N$5:$N$154,MATCH(K173,Lotes!$P$5:$P$154,0)),"Sem lote cadastrado"))</f>
        <v>Paga com glosa</v>
      </c>
      <c r="M173" s="25">
        <f>IF(H173="Sim",G173,0)</f>
        <v>0</v>
      </c>
      <c r="N173" s="42">
        <f>IF(AND(H173="Sim",I173&lt;&gt;"Aceito"),G173+ROW()/100000,0)</f>
        <v>0</v>
      </c>
    </row>
    <row r="174">
      <c r="A174" s="35" t="inlineStr">
        <is>
          <t>G2026-0600</t>
        </is>
      </c>
      <c r="B174" s="39" t="n">
        <v>46219</v>
      </c>
      <c r="C174" s="33" t="inlineStr">
        <is>
          <t>Priscila Castro</t>
        </is>
      </c>
      <c r="D174" s="35" t="inlineStr">
        <is>
          <t>Saúde Total</t>
        </is>
      </c>
      <c r="E174" s="33" t="inlineStr">
        <is>
          <t>Consulta</t>
        </is>
      </c>
      <c r="F174" s="33" t="inlineStr">
        <is>
          <t>Dra. Carolina Mendes</t>
        </is>
      </c>
      <c r="G174" s="40" t="n">
        <v>120</v>
      </c>
      <c r="H174" s="35" t="n"/>
      <c r="I174" s="35" t="n"/>
      <c r="J174" s="30">
        <f>IF(B174="","",DATE(YEAR(B174),MONTH(B174),1))</f>
        <v>46204.0</v>
      </c>
      <c r="K174" s="41" t="str">
        <f>IF(OR(B174="",D174=""),"",D174&amp;"|"&amp;TEXT(J174,"yyyy-mm"))</f>
        <v>Saúde Total|2026-07</v>
      </c>
      <c r="L174" s="24" t="str">
        <f>IF(K174="","",IFERROR(INDEX(Lotes!$N$5:$N$154,MATCH(K174,Lotes!$P$5:$P$154,0)),"Sem lote cadastrado"))</f>
        <v>Paga com glosa</v>
      </c>
      <c r="M174" s="25">
        <f>IF(H174="Sim",G174,0)</f>
        <v>0</v>
      </c>
      <c r="N174" s="42">
        <f>IF(AND(H174="Sim",I174&lt;&gt;"Aceito"),G174+ROW()/100000,0)</f>
        <v>0</v>
      </c>
    </row>
    <row r="175">
      <c r="A175" s="35" t="inlineStr">
        <is>
          <t>G2026-0601</t>
        </is>
      </c>
      <c r="B175" s="39" t="n">
        <v>46219</v>
      </c>
      <c r="C175" s="33" t="inlineStr">
        <is>
          <t>Fernanda Gonçalves</t>
        </is>
      </c>
      <c r="D175" s="35" t="inlineStr">
        <is>
          <t>Saúde Total</t>
        </is>
      </c>
      <c r="E175" s="33" t="inlineStr">
        <is>
          <t>Avaliação endócrina</t>
        </is>
      </c>
      <c r="F175" s="33" t="inlineStr">
        <is>
          <t>Dra. Renata Sousa</t>
        </is>
      </c>
      <c r="G175" s="40" t="n">
        <v>130</v>
      </c>
      <c r="H175" s="35" t="n"/>
      <c r="I175" s="35" t="n"/>
      <c r="J175" s="30">
        <f>IF(B175="","",DATE(YEAR(B175),MONTH(B175),1))</f>
        <v>46204.0</v>
      </c>
      <c r="K175" s="41" t="str">
        <f>IF(OR(B175="",D175=""),"",D175&amp;"|"&amp;TEXT(J175,"yyyy-mm"))</f>
        <v>Saúde Total|2026-07</v>
      </c>
      <c r="L175" s="24" t="str">
        <f>IF(K175="","",IFERROR(INDEX(Lotes!$N$5:$N$154,MATCH(K175,Lotes!$P$5:$P$154,0)),"Sem lote cadastrado"))</f>
        <v>Paga com glosa</v>
      </c>
      <c r="M175" s="25">
        <f>IF(H175="Sim",G175,0)</f>
        <v>0</v>
      </c>
      <c r="N175" s="42">
        <f>IF(AND(H175="Sim",I175&lt;&gt;"Aceito"),G175+ROW()/100000,0)</f>
        <v>0</v>
      </c>
    </row>
    <row r="176">
      <c r="A176" s="35" t="inlineStr">
        <is>
          <t>G2026-0602</t>
        </is>
      </c>
      <c r="B176" s="39" t="n">
        <v>46219</v>
      </c>
      <c r="C176" s="33" t="inlineStr">
        <is>
          <t>Daniel Moreira</t>
        </is>
      </c>
      <c r="D176" s="35" t="inlineStr">
        <is>
          <t>Saúde Total</t>
        </is>
      </c>
      <c r="E176" s="33" t="inlineStr">
        <is>
          <t>Avaliação endócrina</t>
        </is>
      </c>
      <c r="F176" s="33" t="inlineStr">
        <is>
          <t>Dra. Renata Sousa</t>
        </is>
      </c>
      <c r="G176" s="40" t="n">
        <v>130</v>
      </c>
      <c r="H176" s="35" t="n"/>
      <c r="I176" s="35" t="n"/>
      <c r="J176" s="30">
        <f>IF(B176="","",DATE(YEAR(B176),MONTH(B176),1))</f>
        <v>46204.0</v>
      </c>
      <c r="K176" s="41" t="str">
        <f>IF(OR(B176="",D176=""),"",D176&amp;"|"&amp;TEXT(J176,"yyyy-mm"))</f>
        <v>Saúde Total|2026-07</v>
      </c>
      <c r="L176" s="24" t="str">
        <f>IF(K176="","",IFERROR(INDEX(Lotes!$N$5:$N$154,MATCH(K176,Lotes!$P$5:$P$154,0)),"Sem lote cadastrado"))</f>
        <v>Paga com glosa</v>
      </c>
      <c r="M176" s="25">
        <f>IF(H176="Sim",G176,0)</f>
        <v>0</v>
      </c>
      <c r="N176" s="42">
        <f>IF(AND(H176="Sim",I176&lt;&gt;"Aceito"),G176+ROW()/100000,0)</f>
        <v>0</v>
      </c>
    </row>
    <row r="177">
      <c r="A177" s="35" t="inlineStr">
        <is>
          <t>G2026-0603</t>
        </is>
      </c>
      <c r="B177" s="39" t="n">
        <v>46219</v>
      </c>
      <c r="C177" s="33" t="inlineStr">
        <is>
          <t>Otávio Martins</t>
        </is>
      </c>
      <c r="D177" s="35" t="inlineStr">
        <is>
          <t>MediPlan</t>
        </is>
      </c>
      <c r="E177" s="33" t="inlineStr">
        <is>
          <t>Consulta</t>
        </is>
      </c>
      <c r="F177" s="33" t="inlineStr">
        <is>
          <t>Dr. Paulo Andrade</t>
        </is>
      </c>
      <c r="G177" s="40" t="n">
        <v>100</v>
      </c>
      <c r="H177" s="35" t="n"/>
      <c r="I177" s="35" t="n"/>
      <c r="J177" s="30">
        <f>IF(B177="","",DATE(YEAR(B177),MONTH(B177),1))</f>
        <v>46204.0</v>
      </c>
      <c r="K177" s="41" t="str">
        <f>IF(OR(B177="",D177=""),"",D177&amp;"|"&amp;TEXT(J177,"yyyy-mm"))</f>
        <v>MediPlan|2026-07</v>
      </c>
      <c r="L177" s="24" t="str">
        <f>IF(K177="","",IFERROR(INDEX(Lotes!$N$5:$N$154,MATCH(K177,Lotes!$P$5:$P$154,0)),"Sem lote cadastrado"))</f>
        <v>Aguardando</v>
      </c>
      <c r="M177" s="25">
        <f>IF(H177="Sim",G177,0)</f>
        <v>0</v>
      </c>
      <c r="N177" s="42">
        <f>IF(AND(H177="Sim",I177&lt;&gt;"Aceito"),G177+ROW()/100000,0)</f>
        <v>0</v>
      </c>
    </row>
    <row r="178">
      <c r="A178" s="35" t="inlineStr">
        <is>
          <t>G2026-0604</t>
        </is>
      </c>
      <c r="B178" s="39" t="n">
        <v>46219</v>
      </c>
      <c r="C178" s="33" t="inlineStr">
        <is>
          <t>Wagner Carvalho</t>
        </is>
      </c>
      <c r="D178" s="35" t="inlineStr">
        <is>
          <t>Vida Care</t>
        </is>
      </c>
      <c r="E178" s="33" t="inlineStr">
        <is>
          <t>Consulta</t>
        </is>
      </c>
      <c r="F178" s="33" t="inlineStr">
        <is>
          <t>Dr. Paulo Andrade</t>
        </is>
      </c>
      <c r="G178" s="40" t="n">
        <v>90</v>
      </c>
      <c r="H178" s="35" t="n"/>
      <c r="I178" s="35" t="n"/>
      <c r="J178" s="30">
        <f>IF(B178="","",DATE(YEAR(B178),MONTH(B178),1))</f>
        <v>46204.0</v>
      </c>
      <c r="K178" s="41" t="str">
        <f>IF(OR(B178="",D178=""),"",D178&amp;"|"&amp;TEXT(J178,"yyyy-mm"))</f>
        <v>Vida Care|2026-07</v>
      </c>
      <c r="L178" s="24" t="str">
        <f>IF(K178="","",IFERROR(INDEX(Lotes!$N$5:$N$154,MATCH(K178,Lotes!$P$5:$P$154,0)),"Sem lote cadastrado"))</f>
        <v>Aguardando</v>
      </c>
      <c r="M178" s="25">
        <f>IF(H178="Sim",G178,0)</f>
        <v>0</v>
      </c>
      <c r="N178" s="42">
        <f>IF(AND(H178="Sim",I178&lt;&gt;"Aceito"),G178+ROW()/100000,0)</f>
        <v>0</v>
      </c>
    </row>
    <row r="179">
      <c r="A179" s="35" t="inlineStr">
        <is>
          <t>G2026-0605</t>
        </is>
      </c>
      <c r="B179" s="39" t="n">
        <v>46219</v>
      </c>
      <c r="C179" s="33" t="inlineStr">
        <is>
          <t>Sérgio Teixeira</t>
        </is>
      </c>
      <c r="D179" s="35" t="inlineStr">
        <is>
          <t>MediPlan</t>
        </is>
      </c>
      <c r="E179" s="33" t="inlineStr">
        <is>
          <t>Consulta</t>
        </is>
      </c>
      <c r="F179" s="33" t="inlineStr">
        <is>
          <t>Dr. Paulo Andrade</t>
        </is>
      </c>
      <c r="G179" s="40" t="n">
        <v>100</v>
      </c>
      <c r="H179" s="35" t="n"/>
      <c r="I179" s="35" t="n"/>
      <c r="J179" s="30">
        <f>IF(B179="","",DATE(YEAR(B179),MONTH(B179),1))</f>
        <v>46204.0</v>
      </c>
      <c r="K179" s="41" t="str">
        <f>IF(OR(B179="",D179=""),"",D179&amp;"|"&amp;TEXT(J179,"yyyy-mm"))</f>
        <v>MediPlan|2026-07</v>
      </c>
      <c r="L179" s="24" t="str">
        <f>IF(K179="","",IFERROR(INDEX(Lotes!$N$5:$N$154,MATCH(K179,Lotes!$P$5:$P$154,0)),"Sem lote cadastrado"))</f>
        <v>Aguardando</v>
      </c>
      <c r="M179" s="25">
        <f>IF(H179="Sim",G179,0)</f>
        <v>0</v>
      </c>
      <c r="N179" s="42">
        <f>IF(AND(H179="Sim",I179&lt;&gt;"Aceito"),G179+ROW()/100000,0)</f>
        <v>0</v>
      </c>
    </row>
    <row r="180">
      <c r="A180" s="35" t="inlineStr">
        <is>
          <t>G2026-0606</t>
        </is>
      </c>
      <c r="B180" s="39" t="n">
        <v>46220</v>
      </c>
      <c r="C180" s="33" t="inlineStr">
        <is>
          <t>Renato Pereira</t>
        </is>
      </c>
      <c r="D180" s="35" t="inlineStr">
        <is>
          <t>MediPlan</t>
        </is>
      </c>
      <c r="E180" s="33" t="inlineStr">
        <is>
          <t>Consulta</t>
        </is>
      </c>
      <c r="F180" s="33" t="inlineStr">
        <is>
          <t>Dr. Paulo Andrade</t>
        </is>
      </c>
      <c r="G180" s="40" t="n">
        <v>100</v>
      </c>
      <c r="H180" s="35" t="n"/>
      <c r="I180" s="35" t="n"/>
      <c r="J180" s="30">
        <f>IF(B180="","",DATE(YEAR(B180),MONTH(B180),1))</f>
        <v>46204.0</v>
      </c>
      <c r="K180" s="41" t="str">
        <f>IF(OR(B180="",D180=""),"",D180&amp;"|"&amp;TEXT(J180,"yyyy-mm"))</f>
        <v>MediPlan|2026-07</v>
      </c>
      <c r="L180" s="24" t="str">
        <f>IF(K180="","",IFERROR(INDEX(Lotes!$N$5:$N$154,MATCH(K180,Lotes!$P$5:$P$154,0)),"Sem lote cadastrado"))</f>
        <v>Aguardando</v>
      </c>
      <c r="M180" s="25">
        <f>IF(H180="Sim",G180,0)</f>
        <v>0</v>
      </c>
      <c r="N180" s="42">
        <f>IF(AND(H180="Sim",I180&lt;&gt;"Aceito"),G180+ROW()/100000,0)</f>
        <v>0</v>
      </c>
    </row>
    <row r="181">
      <c r="A181" s="35" t="inlineStr">
        <is>
          <t>G2026-0607</t>
        </is>
      </c>
      <c r="B181" s="39" t="n">
        <v>46220</v>
      </c>
      <c r="C181" s="33" t="inlineStr">
        <is>
          <t>Mônica Teixeira</t>
        </is>
      </c>
      <c r="D181" s="35" t="inlineStr">
        <is>
          <t>Vida Care</t>
        </is>
      </c>
      <c r="E181" s="33" t="inlineStr">
        <is>
          <t>ECG</t>
        </is>
      </c>
      <c r="F181" s="33" t="inlineStr">
        <is>
          <t>Dr. Paulo Andrade</t>
        </is>
      </c>
      <c r="G181" s="40" t="n">
        <v>32</v>
      </c>
      <c r="H181" s="35" t="n"/>
      <c r="I181" s="35" t="n"/>
      <c r="J181" s="30">
        <f>IF(B181="","",DATE(YEAR(B181),MONTH(B181),1))</f>
        <v>46204.0</v>
      </c>
      <c r="K181" s="41" t="str">
        <f>IF(OR(B181="",D181=""),"",D181&amp;"|"&amp;TEXT(J181,"yyyy-mm"))</f>
        <v>Vida Care|2026-07</v>
      </c>
      <c r="L181" s="24" t="str">
        <f>IF(K181="","",IFERROR(INDEX(Lotes!$N$5:$N$154,MATCH(K181,Lotes!$P$5:$P$154,0)),"Sem lote cadastrado"))</f>
        <v>Aguardando</v>
      </c>
      <c r="M181" s="25">
        <f>IF(H181="Sim",G181,0)</f>
        <v>0</v>
      </c>
      <c r="N181" s="42">
        <f>IF(AND(H181="Sim",I181&lt;&gt;"Aceito"),G181+ROW()/100000,0)</f>
        <v>0</v>
      </c>
    </row>
    <row r="182">
      <c r="A182" s="35" t="inlineStr">
        <is>
          <t>G2026-0608</t>
        </is>
      </c>
      <c r="B182" s="39" t="n">
        <v>46223</v>
      </c>
      <c r="C182" s="33" t="inlineStr">
        <is>
          <t>Gustavo Barbosa</t>
        </is>
      </c>
      <c r="D182" s="35" t="inlineStr">
        <is>
          <t>Saúde Total</t>
        </is>
      </c>
      <c r="E182" s="33" t="inlineStr">
        <is>
          <t>Consulta</t>
        </is>
      </c>
      <c r="F182" s="33" t="inlineStr">
        <is>
          <t>Dra. Carolina Mendes</t>
        </is>
      </c>
      <c r="G182" s="40" t="n">
        <v>120</v>
      </c>
      <c r="H182" s="35" t="n"/>
      <c r="I182" s="35" t="n"/>
      <c r="J182" s="30">
        <f>IF(B182="","",DATE(YEAR(B182),MONTH(B182),1))</f>
        <v>46204.0</v>
      </c>
      <c r="K182" s="41" t="str">
        <f>IF(OR(B182="",D182=""),"",D182&amp;"|"&amp;TEXT(J182,"yyyy-mm"))</f>
        <v>Saúde Total|2026-07</v>
      </c>
      <c r="L182" s="24" t="str">
        <f>IF(K182="","",IFERROR(INDEX(Lotes!$N$5:$N$154,MATCH(K182,Lotes!$P$5:$P$154,0)),"Sem lote cadastrado"))</f>
        <v>Paga com glosa</v>
      </c>
      <c r="M182" s="25">
        <f>IF(H182="Sim",G182,0)</f>
        <v>0</v>
      </c>
      <c r="N182" s="42">
        <f>IF(AND(H182="Sim",I182&lt;&gt;"Aceito"),G182+ROW()/100000,0)</f>
        <v>0</v>
      </c>
    </row>
    <row r="183">
      <c r="A183" s="35" t="inlineStr">
        <is>
          <t>G2026-0609</t>
        </is>
      </c>
      <c r="B183" s="39" t="n">
        <v>46223</v>
      </c>
      <c r="C183" s="33" t="inlineStr">
        <is>
          <t>Isabela Pinto</t>
        </is>
      </c>
      <c r="D183" s="35" t="inlineStr">
        <is>
          <t>Saúde Total</t>
        </is>
      </c>
      <c r="E183" s="33" t="inlineStr">
        <is>
          <t>Consulta</t>
        </is>
      </c>
      <c r="F183" s="33" t="inlineStr">
        <is>
          <t>Dra. Carolina Mendes</t>
        </is>
      </c>
      <c r="G183" s="40" t="n">
        <v>120</v>
      </c>
      <c r="H183" s="35" t="n"/>
      <c r="I183" s="35" t="n"/>
      <c r="J183" s="30">
        <f>IF(B183="","",DATE(YEAR(B183),MONTH(B183),1))</f>
        <v>46204.0</v>
      </c>
      <c r="K183" s="41" t="str">
        <f>IF(OR(B183="",D183=""),"",D183&amp;"|"&amp;TEXT(J183,"yyyy-mm"))</f>
        <v>Saúde Total|2026-07</v>
      </c>
      <c r="L183" s="24" t="str">
        <f>IF(K183="","",IFERROR(INDEX(Lotes!$N$5:$N$154,MATCH(K183,Lotes!$P$5:$P$154,0)),"Sem lote cadastrado"))</f>
        <v>Paga com glosa</v>
      </c>
      <c r="M183" s="25">
        <f>IF(H183="Sim",G183,0)</f>
        <v>0</v>
      </c>
      <c r="N183" s="42">
        <f>IF(AND(H183="Sim",I183&lt;&gt;"Aceito"),G183+ROW()/100000,0)</f>
        <v>0</v>
      </c>
    </row>
    <row r="184">
      <c r="A184" s="35" t="inlineStr">
        <is>
          <t>G2026-0610</t>
        </is>
      </c>
      <c r="B184" s="39" t="n">
        <v>46223</v>
      </c>
      <c r="C184" s="33" t="inlineStr">
        <is>
          <t>Henrique Santos</t>
        </is>
      </c>
      <c r="D184" s="35" t="inlineStr">
        <is>
          <t>Vida Care</t>
        </is>
      </c>
      <c r="E184" s="33" t="inlineStr">
        <is>
          <t>Consulta</t>
        </is>
      </c>
      <c r="F184" s="33" t="inlineStr">
        <is>
          <t>Dr. Paulo Andrade</t>
        </is>
      </c>
      <c r="G184" s="40" t="n">
        <v>90</v>
      </c>
      <c r="H184" s="35" t="n"/>
      <c r="I184" s="35" t="n"/>
      <c r="J184" s="30">
        <f>IF(B184="","",DATE(YEAR(B184),MONTH(B184),1))</f>
        <v>46204.0</v>
      </c>
      <c r="K184" s="41" t="str">
        <f>IF(OR(B184="",D184=""),"",D184&amp;"|"&amp;TEXT(J184,"yyyy-mm"))</f>
        <v>Vida Care|2026-07</v>
      </c>
      <c r="L184" s="24" t="str">
        <f>IF(K184="","",IFERROR(INDEX(Lotes!$N$5:$N$154,MATCH(K184,Lotes!$P$5:$P$154,0)),"Sem lote cadastrado"))</f>
        <v>Aguardando</v>
      </c>
      <c r="M184" s="25">
        <f>IF(H184="Sim",G184,0)</f>
        <v>0</v>
      </c>
      <c r="N184" s="42">
        <f>IF(AND(H184="Sim",I184&lt;&gt;"Aceito"),G184+ROW()/100000,0)</f>
        <v>0</v>
      </c>
    </row>
    <row r="185">
      <c r="A185" s="35" t="inlineStr">
        <is>
          <t>G2026-0611</t>
        </is>
      </c>
      <c r="B185" s="39" t="n">
        <v>46223</v>
      </c>
      <c r="C185" s="33" t="inlineStr">
        <is>
          <t>Natália Xavier</t>
        </is>
      </c>
      <c r="D185" s="35" t="inlineStr">
        <is>
          <t>MediPlan</t>
        </is>
      </c>
      <c r="E185" s="33" t="inlineStr">
        <is>
          <t>Consulta</t>
        </is>
      </c>
      <c r="F185" s="33" t="inlineStr">
        <is>
          <t>Dr. Paulo Andrade</t>
        </is>
      </c>
      <c r="G185" s="40" t="n">
        <v>100</v>
      </c>
      <c r="H185" s="35" t="n"/>
      <c r="I185" s="35" t="n"/>
      <c r="J185" s="30">
        <f>IF(B185="","",DATE(YEAR(B185),MONTH(B185),1))</f>
        <v>46204.0</v>
      </c>
      <c r="K185" s="41" t="str">
        <f>IF(OR(B185="",D185=""),"",D185&amp;"|"&amp;TEXT(J185,"yyyy-mm"))</f>
        <v>MediPlan|2026-07</v>
      </c>
      <c r="L185" s="24" t="str">
        <f>IF(K185="","",IFERROR(INDEX(Lotes!$N$5:$N$154,MATCH(K185,Lotes!$P$5:$P$154,0)),"Sem lote cadastrado"))</f>
        <v>Aguardando</v>
      </c>
      <c r="M185" s="25">
        <f>IF(H185="Sim",G185,0)</f>
        <v>0</v>
      </c>
      <c r="N185" s="42">
        <f>IF(AND(H185="Sim",I185&lt;&gt;"Aceito"),G185+ROW()/100000,0)</f>
        <v>0</v>
      </c>
    </row>
    <row r="186">
      <c r="A186" s="35" t="inlineStr">
        <is>
          <t>G2026-0612</t>
        </is>
      </c>
      <c r="B186" s="39" t="n">
        <v>46224</v>
      </c>
      <c r="C186" s="33" t="inlineStr">
        <is>
          <t>Sandra Martins</t>
        </is>
      </c>
      <c r="D186" s="35" t="inlineStr">
        <is>
          <t>MediPlan</t>
        </is>
      </c>
      <c r="E186" s="33" t="inlineStr">
        <is>
          <t>Consulta</t>
        </is>
      </c>
      <c r="F186" s="33" t="inlineStr">
        <is>
          <t>Dr. Paulo Andrade</t>
        </is>
      </c>
      <c r="G186" s="40" t="n">
        <v>100</v>
      </c>
      <c r="H186" s="35" t="n"/>
      <c r="I186" s="35" t="n"/>
      <c r="J186" s="30">
        <f>IF(B186="","",DATE(YEAR(B186),MONTH(B186),1))</f>
        <v>46204.0</v>
      </c>
      <c r="K186" s="41" t="str">
        <f>IF(OR(B186="",D186=""),"",D186&amp;"|"&amp;TEXT(J186,"yyyy-mm"))</f>
        <v>MediPlan|2026-07</v>
      </c>
      <c r="L186" s="24" t="str">
        <f>IF(K186="","",IFERROR(INDEX(Lotes!$N$5:$N$154,MATCH(K186,Lotes!$P$5:$P$154,0)),"Sem lote cadastrado"))</f>
        <v>Aguardando</v>
      </c>
      <c r="M186" s="25">
        <f>IF(H186="Sim",G186,0)</f>
        <v>0</v>
      </c>
      <c r="N186" s="42">
        <f>IF(AND(H186="Sim",I186&lt;&gt;"Aceito"),G186+ROW()/100000,0)</f>
        <v>0</v>
      </c>
    </row>
    <row r="187">
      <c r="A187" s="35" t="inlineStr">
        <is>
          <t>G2026-0613</t>
        </is>
      </c>
      <c r="B187" s="39" t="n">
        <v>46224</v>
      </c>
      <c r="C187" s="33" t="inlineStr">
        <is>
          <t>Paulo Ribeiro</t>
        </is>
      </c>
      <c r="D187" s="35" t="inlineStr">
        <is>
          <t>Saúde Total</t>
        </is>
      </c>
      <c r="E187" s="33" t="inlineStr">
        <is>
          <t>Consulta</t>
        </is>
      </c>
      <c r="F187" s="33" t="inlineStr">
        <is>
          <t>Dr. Paulo Andrade</t>
        </is>
      </c>
      <c r="G187" s="40" t="n">
        <v>120</v>
      </c>
      <c r="H187" s="35" t="n"/>
      <c r="I187" s="35" t="n"/>
      <c r="J187" s="30">
        <f>IF(B187="","",DATE(YEAR(B187),MONTH(B187),1))</f>
        <v>46204.0</v>
      </c>
      <c r="K187" s="41" t="str">
        <f>IF(OR(B187="",D187=""),"",D187&amp;"|"&amp;TEXT(J187,"yyyy-mm"))</f>
        <v>Saúde Total|2026-07</v>
      </c>
      <c r="L187" s="24" t="str">
        <f>IF(K187="","",IFERROR(INDEX(Lotes!$N$5:$N$154,MATCH(K187,Lotes!$P$5:$P$154,0)),"Sem lote cadastrado"))</f>
        <v>Paga com glosa</v>
      </c>
      <c r="M187" s="25">
        <f>IF(H187="Sim",G187,0)</f>
        <v>0</v>
      </c>
      <c r="N187" s="42">
        <f>IF(AND(H187="Sim",I187&lt;&gt;"Aceito"),G187+ROW()/100000,0)</f>
        <v>0</v>
      </c>
    </row>
    <row r="188">
      <c r="A188" s="35" t="inlineStr">
        <is>
          <t>G2026-0614</t>
        </is>
      </c>
      <c r="B188" s="39" t="n">
        <v>46224</v>
      </c>
      <c r="C188" s="33" t="inlineStr">
        <is>
          <t>Cláudia Vieira</t>
        </is>
      </c>
      <c r="D188" s="35" t="inlineStr">
        <is>
          <t>Saúde Total</t>
        </is>
      </c>
      <c r="E188" s="33" t="inlineStr">
        <is>
          <t>Avaliação endócrina</t>
        </is>
      </c>
      <c r="F188" s="33" t="inlineStr">
        <is>
          <t>Dra. Renata Sousa</t>
        </is>
      </c>
      <c r="G188" s="40" t="n">
        <v>130</v>
      </c>
      <c r="H188" s="35" t="n"/>
      <c r="I188" s="35" t="n"/>
      <c r="J188" s="30">
        <f>IF(B188="","",DATE(YEAR(B188),MONTH(B188),1))</f>
        <v>46204.0</v>
      </c>
      <c r="K188" s="41" t="str">
        <f>IF(OR(B188="",D188=""),"",D188&amp;"|"&amp;TEXT(J188,"yyyy-mm"))</f>
        <v>Saúde Total|2026-07</v>
      </c>
      <c r="L188" s="24" t="str">
        <f>IF(K188="","",IFERROR(INDEX(Lotes!$N$5:$N$154,MATCH(K188,Lotes!$P$5:$P$154,0)),"Sem lote cadastrado"))</f>
        <v>Paga com glosa</v>
      </c>
      <c r="M188" s="25">
        <f>IF(H188="Sim",G188,0)</f>
        <v>0</v>
      </c>
      <c r="N188" s="42">
        <f>IF(AND(H188="Sim",I188&lt;&gt;"Aceito"),G188+ROW()/100000,0)</f>
        <v>0</v>
      </c>
    </row>
    <row r="189">
      <c r="A189" s="35" t="inlineStr">
        <is>
          <t>G2026-0615</t>
        </is>
      </c>
      <c r="B189" s="39" t="n">
        <v>46224</v>
      </c>
      <c r="C189" s="33" t="inlineStr">
        <is>
          <t>Vanessa Moreira</t>
        </is>
      </c>
      <c r="D189" s="35" t="inlineStr">
        <is>
          <t>Saúde Total</t>
        </is>
      </c>
      <c r="E189" s="33" t="inlineStr">
        <is>
          <t>Consulta</t>
        </is>
      </c>
      <c r="F189" s="33" t="inlineStr">
        <is>
          <t>Dr. Paulo Andrade</t>
        </is>
      </c>
      <c r="G189" s="40" t="n">
        <v>120</v>
      </c>
      <c r="H189" s="35" t="n"/>
      <c r="I189" s="35" t="n"/>
      <c r="J189" s="30">
        <f>IF(B189="","",DATE(YEAR(B189),MONTH(B189),1))</f>
        <v>46204.0</v>
      </c>
      <c r="K189" s="41" t="str">
        <f>IF(OR(B189="",D189=""),"",D189&amp;"|"&amp;TEXT(J189,"yyyy-mm"))</f>
        <v>Saúde Total|2026-07</v>
      </c>
      <c r="L189" s="24" t="str">
        <f>IF(K189="","",IFERROR(INDEX(Lotes!$N$5:$N$154,MATCH(K189,Lotes!$P$5:$P$154,0)),"Sem lote cadastrado"))</f>
        <v>Paga com glosa</v>
      </c>
      <c r="M189" s="25">
        <f>IF(H189="Sim",G189,0)</f>
        <v>0</v>
      </c>
      <c r="N189" s="42">
        <f>IF(AND(H189="Sim",I189&lt;&gt;"Aceito"),G189+ROW()/100000,0)</f>
        <v>0</v>
      </c>
    </row>
    <row r="190">
      <c r="A190" s="35" t="inlineStr">
        <is>
          <t>G2026-0616</t>
        </is>
      </c>
      <c r="B190" s="39" t="n">
        <v>46224</v>
      </c>
      <c r="C190" s="33" t="inlineStr">
        <is>
          <t>Sandra Cardoso</t>
        </is>
      </c>
      <c r="D190" s="35" t="inlineStr">
        <is>
          <t>Saúde Total</t>
        </is>
      </c>
      <c r="E190" s="33" t="inlineStr">
        <is>
          <t>Consulta</t>
        </is>
      </c>
      <c r="F190" s="33" t="inlineStr">
        <is>
          <t>Dr. Paulo Andrade</t>
        </is>
      </c>
      <c r="G190" s="40" t="n">
        <v>120</v>
      </c>
      <c r="H190" s="35" t="n"/>
      <c r="I190" s="35" t="n"/>
      <c r="J190" s="30">
        <f>IF(B190="","",DATE(YEAR(B190),MONTH(B190),1))</f>
        <v>46204.0</v>
      </c>
      <c r="K190" s="41" t="str">
        <f>IF(OR(B190="",D190=""),"",D190&amp;"|"&amp;TEXT(J190,"yyyy-mm"))</f>
        <v>Saúde Total|2026-07</v>
      </c>
      <c r="L190" s="24" t="str">
        <f>IF(K190="","",IFERROR(INDEX(Lotes!$N$5:$N$154,MATCH(K190,Lotes!$P$5:$P$154,0)),"Sem lote cadastrado"))</f>
        <v>Paga com glosa</v>
      </c>
      <c r="M190" s="25">
        <f>IF(H190="Sim",G190,0)</f>
        <v>0</v>
      </c>
      <c r="N190" s="42">
        <f>IF(AND(H190="Sim",I190&lt;&gt;"Aceito"),G190+ROW()/100000,0)</f>
        <v>0</v>
      </c>
    </row>
    <row r="191">
      <c r="A191" s="35" t="inlineStr">
        <is>
          <t>G2026-0617</t>
        </is>
      </c>
      <c r="B191" s="39" t="n">
        <v>46224</v>
      </c>
      <c r="C191" s="33" t="inlineStr">
        <is>
          <t>Carlos Gonçalves</t>
        </is>
      </c>
      <c r="D191" s="35" t="inlineStr">
        <is>
          <t>Saúde Total</t>
        </is>
      </c>
      <c r="E191" s="33" t="inlineStr">
        <is>
          <t>Avaliação endócrina</t>
        </is>
      </c>
      <c r="F191" s="33" t="inlineStr">
        <is>
          <t>Dra. Renata Sousa</t>
        </is>
      </c>
      <c r="G191" s="40" t="n">
        <v>130</v>
      </c>
      <c r="H191" s="35" t="n"/>
      <c r="I191" s="35" t="n"/>
      <c r="J191" s="30">
        <f>IF(B191="","",DATE(YEAR(B191),MONTH(B191),1))</f>
        <v>46204.0</v>
      </c>
      <c r="K191" s="41" t="str">
        <f>IF(OR(B191="",D191=""),"",D191&amp;"|"&amp;TEXT(J191,"yyyy-mm"))</f>
        <v>Saúde Total|2026-07</v>
      </c>
      <c r="L191" s="24" t="str">
        <f>IF(K191="","",IFERROR(INDEX(Lotes!$N$5:$N$154,MATCH(K191,Lotes!$P$5:$P$154,0)),"Sem lote cadastrado"))</f>
        <v>Paga com glosa</v>
      </c>
      <c r="M191" s="25">
        <f>IF(H191="Sim",G191,0)</f>
        <v>0</v>
      </c>
      <c r="N191" s="42">
        <f>IF(AND(H191="Sim",I191&lt;&gt;"Aceito"),G191+ROW()/100000,0)</f>
        <v>0</v>
      </c>
    </row>
    <row r="192">
      <c r="A192" s="35" t="inlineStr">
        <is>
          <t>G2026-0618</t>
        </is>
      </c>
      <c r="B192" s="39" t="n">
        <v>46224</v>
      </c>
      <c r="C192" s="33" t="inlineStr">
        <is>
          <t>Mateus Dias</t>
        </is>
      </c>
      <c r="D192" s="35" t="inlineStr">
        <is>
          <t>Saúde Total</t>
        </is>
      </c>
      <c r="E192" s="33" t="inlineStr">
        <is>
          <t>Consulta</t>
        </is>
      </c>
      <c r="F192" s="33" t="inlineStr">
        <is>
          <t>Dr. Paulo Andrade</t>
        </is>
      </c>
      <c r="G192" s="40" t="n">
        <v>120</v>
      </c>
      <c r="H192" s="35" t="n"/>
      <c r="I192" s="35" t="n"/>
      <c r="J192" s="30">
        <f>IF(B192="","",DATE(YEAR(B192),MONTH(B192),1))</f>
        <v>46204.0</v>
      </c>
      <c r="K192" s="41" t="str">
        <f>IF(OR(B192="",D192=""),"",D192&amp;"|"&amp;TEXT(J192,"yyyy-mm"))</f>
        <v>Saúde Total|2026-07</v>
      </c>
      <c r="L192" s="24" t="str">
        <f>IF(K192="","",IFERROR(INDEX(Lotes!$N$5:$N$154,MATCH(K192,Lotes!$P$5:$P$154,0)),"Sem lote cadastrado"))</f>
        <v>Paga com glosa</v>
      </c>
      <c r="M192" s="25">
        <f>IF(H192="Sim",G192,0)</f>
        <v>0</v>
      </c>
      <c r="N192" s="42">
        <f>IF(AND(H192="Sim",I192&lt;&gt;"Aceito"),G192+ROW()/100000,0)</f>
        <v>0</v>
      </c>
    </row>
    <row r="193">
      <c r="A193" s="35" t="inlineStr">
        <is>
          <t>G2026-0619</t>
        </is>
      </c>
      <c r="B193" s="39" t="n">
        <v>46225</v>
      </c>
      <c r="C193" s="33" t="inlineStr">
        <is>
          <t>Eduardo Nunes</t>
        </is>
      </c>
      <c r="D193" s="35" t="inlineStr">
        <is>
          <t>MediPlan</t>
        </is>
      </c>
      <c r="E193" s="33" t="inlineStr">
        <is>
          <t>Consulta</t>
        </is>
      </c>
      <c r="F193" s="33" t="inlineStr">
        <is>
          <t>Dra. Carolina Mendes</t>
        </is>
      </c>
      <c r="G193" s="40" t="n">
        <v>100</v>
      </c>
      <c r="H193" s="35" t="n"/>
      <c r="I193" s="35" t="n"/>
      <c r="J193" s="30">
        <f>IF(B193="","",DATE(YEAR(B193),MONTH(B193),1))</f>
        <v>46204.0</v>
      </c>
      <c r="K193" s="41" t="str">
        <f>IF(OR(B193="",D193=""),"",D193&amp;"|"&amp;TEXT(J193,"yyyy-mm"))</f>
        <v>MediPlan|2026-07</v>
      </c>
      <c r="L193" s="24" t="str">
        <f>IF(K193="","",IFERROR(INDEX(Lotes!$N$5:$N$154,MATCH(K193,Lotes!$P$5:$P$154,0)),"Sem lote cadastrado"))</f>
        <v>Aguardando</v>
      </c>
      <c r="M193" s="25">
        <f>IF(H193="Sim",G193,0)</f>
        <v>0</v>
      </c>
      <c r="N193" s="42">
        <f>IF(AND(H193="Sim",I193&lt;&gt;"Aceito"),G193+ROW()/100000,0)</f>
        <v>0</v>
      </c>
    </row>
    <row r="194">
      <c r="A194" s="35" t="inlineStr">
        <is>
          <t>G2026-0620</t>
        </is>
      </c>
      <c r="B194" s="39" t="n">
        <v>46226</v>
      </c>
      <c r="C194" s="33" t="inlineStr">
        <is>
          <t>Eduardo Reis</t>
        </is>
      </c>
      <c r="D194" s="35" t="inlineStr">
        <is>
          <t>Vida Care</t>
        </is>
      </c>
      <c r="E194" s="33" t="inlineStr">
        <is>
          <t>Consulta</t>
        </is>
      </c>
      <c r="F194" s="33" t="inlineStr">
        <is>
          <t>Dra. Carolina Mendes</t>
        </is>
      </c>
      <c r="G194" s="40" t="n">
        <v>90</v>
      </c>
      <c r="H194" s="35" t="n"/>
      <c r="I194" s="35" t="n"/>
      <c r="J194" s="30">
        <f>IF(B194="","",DATE(YEAR(B194),MONTH(B194),1))</f>
        <v>46204.0</v>
      </c>
      <c r="K194" s="41" t="str">
        <f>IF(OR(B194="",D194=""),"",D194&amp;"|"&amp;TEXT(J194,"yyyy-mm"))</f>
        <v>Vida Care|2026-07</v>
      </c>
      <c r="L194" s="24" t="str">
        <f>IF(K194="","",IFERROR(INDEX(Lotes!$N$5:$N$154,MATCH(K194,Lotes!$P$5:$P$154,0)),"Sem lote cadastrado"))</f>
        <v>Aguardando</v>
      </c>
      <c r="M194" s="25">
        <f>IF(H194="Sim",G194,0)</f>
        <v>0</v>
      </c>
      <c r="N194" s="42">
        <f>IF(AND(H194="Sim",I194&lt;&gt;"Aceito"),G194+ROW()/100000,0)</f>
        <v>0</v>
      </c>
    </row>
    <row r="195">
      <c r="A195" s="35" t="inlineStr">
        <is>
          <t>G2026-0621</t>
        </is>
      </c>
      <c r="B195" s="39" t="n">
        <v>46226</v>
      </c>
      <c r="C195" s="33" t="inlineStr">
        <is>
          <t>Letícia Vieira</t>
        </is>
      </c>
      <c r="D195" s="35" t="inlineStr">
        <is>
          <t>Saúde Total</t>
        </is>
      </c>
      <c r="E195" s="33" t="inlineStr">
        <is>
          <t>Consulta</t>
        </is>
      </c>
      <c r="F195" s="33" t="inlineStr">
        <is>
          <t>Dra. Carolina Mendes</t>
        </is>
      </c>
      <c r="G195" s="40" t="n">
        <v>120</v>
      </c>
      <c r="H195" s="35" t="n"/>
      <c r="I195" s="35" t="n"/>
      <c r="J195" s="30">
        <f>IF(B195="","",DATE(YEAR(B195),MONTH(B195),1))</f>
        <v>46204.0</v>
      </c>
      <c r="K195" s="41" t="str">
        <f>IF(OR(B195="",D195=""),"",D195&amp;"|"&amp;TEXT(J195,"yyyy-mm"))</f>
        <v>Saúde Total|2026-07</v>
      </c>
      <c r="L195" s="24" t="str">
        <f>IF(K195="","",IFERROR(INDEX(Lotes!$N$5:$N$154,MATCH(K195,Lotes!$P$5:$P$154,0)),"Sem lote cadastrado"))</f>
        <v>Paga com glosa</v>
      </c>
      <c r="M195" s="25">
        <f>IF(H195="Sim",G195,0)</f>
        <v>0</v>
      </c>
      <c r="N195" s="42">
        <f>IF(AND(H195="Sim",I195&lt;&gt;"Aceito"),G195+ROW()/100000,0)</f>
        <v>0</v>
      </c>
    </row>
    <row r="196">
      <c r="A196" s="35" t="inlineStr">
        <is>
          <t>G2026-0622</t>
        </is>
      </c>
      <c r="B196" s="39" t="n">
        <v>46226</v>
      </c>
      <c r="C196" s="33" t="inlineStr">
        <is>
          <t>Camila Batista</t>
        </is>
      </c>
      <c r="D196" s="35" t="inlineStr">
        <is>
          <t>MediPlan</t>
        </is>
      </c>
      <c r="E196" s="33" t="inlineStr">
        <is>
          <t>MAPA</t>
        </is>
      </c>
      <c r="F196" s="33" t="inlineStr">
        <is>
          <t>Dr. Paulo Andrade</t>
        </is>
      </c>
      <c r="G196" s="40" t="n">
        <v>85</v>
      </c>
      <c r="H196" s="35" t="n"/>
      <c r="I196" s="35" t="n"/>
      <c r="J196" s="30">
        <f>IF(B196="","",DATE(YEAR(B196),MONTH(B196),1))</f>
        <v>46204.0</v>
      </c>
      <c r="K196" s="41" t="str">
        <f>IF(OR(B196="",D196=""),"",D196&amp;"|"&amp;TEXT(J196,"yyyy-mm"))</f>
        <v>MediPlan|2026-07</v>
      </c>
      <c r="L196" s="24" t="str">
        <f>IF(K196="","",IFERROR(INDEX(Lotes!$N$5:$N$154,MATCH(K196,Lotes!$P$5:$P$154,0)),"Sem lote cadastrado"))</f>
        <v>Aguardando</v>
      </c>
      <c r="M196" s="25">
        <f>IF(H196="Sim",G196,0)</f>
        <v>0</v>
      </c>
      <c r="N196" s="42">
        <f>IF(AND(H196="Sim",I196&lt;&gt;"Aceito"),G196+ROW()/100000,0)</f>
        <v>0</v>
      </c>
    </row>
    <row r="197">
      <c r="A197" s="35" t="inlineStr">
        <is>
          <t>G2026-0623</t>
        </is>
      </c>
      <c r="B197" s="39" t="n">
        <v>46226</v>
      </c>
      <c r="C197" s="33" t="inlineStr">
        <is>
          <t>Priscila Nunes</t>
        </is>
      </c>
      <c r="D197" s="35" t="inlineStr">
        <is>
          <t>MediPlan</t>
        </is>
      </c>
      <c r="E197" s="33" t="inlineStr">
        <is>
          <t>ECG</t>
        </is>
      </c>
      <c r="F197" s="33" t="inlineStr">
        <is>
          <t>Dr. Paulo Andrade</t>
        </is>
      </c>
      <c r="G197" s="40" t="n">
        <v>35</v>
      </c>
      <c r="H197" s="35" t="n"/>
      <c r="I197" s="35" t="n"/>
      <c r="J197" s="30">
        <f>IF(B197="","",DATE(YEAR(B197),MONTH(B197),1))</f>
        <v>46204.0</v>
      </c>
      <c r="K197" s="41" t="str">
        <f>IF(OR(B197="",D197=""),"",D197&amp;"|"&amp;TEXT(J197,"yyyy-mm"))</f>
        <v>MediPlan|2026-07</v>
      </c>
      <c r="L197" s="24" t="str">
        <f>IF(K197="","",IFERROR(INDEX(Lotes!$N$5:$N$154,MATCH(K197,Lotes!$P$5:$P$154,0)),"Sem lote cadastrado"))</f>
        <v>Aguardando</v>
      </c>
      <c r="M197" s="25">
        <f>IF(H197="Sim",G197,0)</f>
        <v>0</v>
      </c>
      <c r="N197" s="42">
        <f>IF(AND(H197="Sim",I197&lt;&gt;"Aceito"),G197+ROW()/100000,0)</f>
        <v>0</v>
      </c>
    </row>
    <row r="198">
      <c r="A198" s="35" t="inlineStr">
        <is>
          <t>G2026-0624</t>
        </is>
      </c>
      <c r="B198" s="39" t="n">
        <v>46226</v>
      </c>
      <c r="C198" s="33" t="inlineStr">
        <is>
          <t>Regina Castro</t>
        </is>
      </c>
      <c r="D198" s="35" t="inlineStr">
        <is>
          <t>Vida Care</t>
        </is>
      </c>
      <c r="E198" s="33" t="inlineStr">
        <is>
          <t>ECG</t>
        </is>
      </c>
      <c r="F198" s="33" t="inlineStr">
        <is>
          <t>Dr. Paulo Andrade</t>
        </is>
      </c>
      <c r="G198" s="40" t="n">
        <v>32</v>
      </c>
      <c r="H198" s="35" t="n"/>
      <c r="I198" s="35" t="n"/>
      <c r="J198" s="30">
        <f>IF(B198="","",DATE(YEAR(B198),MONTH(B198),1))</f>
        <v>46204.0</v>
      </c>
      <c r="K198" s="41" t="str">
        <f>IF(OR(B198="",D198=""),"",D198&amp;"|"&amp;TEXT(J198,"yyyy-mm"))</f>
        <v>Vida Care|2026-07</v>
      </c>
      <c r="L198" s="24" t="str">
        <f>IF(K198="","",IFERROR(INDEX(Lotes!$N$5:$N$154,MATCH(K198,Lotes!$P$5:$P$154,0)),"Sem lote cadastrado"))</f>
        <v>Aguardando</v>
      </c>
      <c r="M198" s="25">
        <f>IF(H198="Sim",G198,0)</f>
        <v>0</v>
      </c>
      <c r="N198" s="42">
        <f>IF(AND(H198="Sim",I198&lt;&gt;"Aceito"),G198+ROW()/100000,0)</f>
        <v>0</v>
      </c>
    </row>
    <row r="199">
      <c r="A199" s="35" t="inlineStr">
        <is>
          <t>G2026-0625</t>
        </is>
      </c>
      <c r="B199" s="39" t="n">
        <v>46226</v>
      </c>
      <c r="C199" s="33" t="inlineStr">
        <is>
          <t>Camila Martins</t>
        </is>
      </c>
      <c r="D199" s="35" t="inlineStr">
        <is>
          <t>Vida Care</t>
        </is>
      </c>
      <c r="E199" s="33" t="inlineStr">
        <is>
          <t>Consulta</t>
        </is>
      </c>
      <c r="F199" s="33" t="inlineStr">
        <is>
          <t>Dr. Paulo Andrade</t>
        </is>
      </c>
      <c r="G199" s="40" t="n">
        <v>90</v>
      </c>
      <c r="H199" s="35" t="n"/>
      <c r="I199" s="35" t="n"/>
      <c r="J199" s="30">
        <f>IF(B199="","",DATE(YEAR(B199),MONTH(B199),1))</f>
        <v>46204.0</v>
      </c>
      <c r="K199" s="41" t="str">
        <f>IF(OR(B199="",D199=""),"",D199&amp;"|"&amp;TEXT(J199,"yyyy-mm"))</f>
        <v>Vida Care|2026-07</v>
      </c>
      <c r="L199" s="24" t="str">
        <f>IF(K199="","",IFERROR(INDEX(Lotes!$N$5:$N$154,MATCH(K199,Lotes!$P$5:$P$154,0)),"Sem lote cadastrado"))</f>
        <v>Aguardando</v>
      </c>
      <c r="M199" s="25">
        <f>IF(H199="Sim",G199,0)</f>
        <v>0</v>
      </c>
      <c r="N199" s="42">
        <f>IF(AND(H199="Sim",I199&lt;&gt;"Aceito"),G199+ROW()/100000,0)</f>
        <v>0</v>
      </c>
    </row>
    <row r="200">
      <c r="A200" s="35" t="inlineStr">
        <is>
          <t>G2026-0626</t>
        </is>
      </c>
      <c r="B200" s="39" t="n">
        <v>46226</v>
      </c>
      <c r="C200" s="33" t="inlineStr">
        <is>
          <t>Rodrigo Gomes</t>
        </is>
      </c>
      <c r="D200" s="35" t="inlineStr">
        <is>
          <t>Vida Care</t>
        </is>
      </c>
      <c r="E200" s="33" t="inlineStr">
        <is>
          <t>ECG</t>
        </is>
      </c>
      <c r="F200" s="33" t="inlineStr">
        <is>
          <t>Dr. Paulo Andrade</t>
        </is>
      </c>
      <c r="G200" s="40" t="n">
        <v>32</v>
      </c>
      <c r="H200" s="35" t="n"/>
      <c r="I200" s="35" t="n"/>
      <c r="J200" s="30">
        <f>IF(B200="","",DATE(YEAR(B200),MONTH(B200),1))</f>
        <v>46204.0</v>
      </c>
      <c r="K200" s="41" t="str">
        <f>IF(OR(B200="",D200=""),"",D200&amp;"|"&amp;TEXT(J200,"yyyy-mm"))</f>
        <v>Vida Care|2026-07</v>
      </c>
      <c r="L200" s="24" t="str">
        <f>IF(K200="","",IFERROR(INDEX(Lotes!$N$5:$N$154,MATCH(K200,Lotes!$P$5:$P$154,0)),"Sem lote cadastrado"))</f>
        <v>Aguardando</v>
      </c>
      <c r="M200" s="25">
        <f>IF(H200="Sim",G200,0)</f>
        <v>0</v>
      </c>
      <c r="N200" s="42">
        <f>IF(AND(H200="Sim",I200&lt;&gt;"Aceito"),G200+ROW()/100000,0)</f>
        <v>0</v>
      </c>
    </row>
    <row r="201">
      <c r="A201" s="35" t="inlineStr">
        <is>
          <t>G2026-0627</t>
        </is>
      </c>
      <c r="B201" s="39" t="n">
        <v>46227</v>
      </c>
      <c r="C201" s="33" t="inlineStr">
        <is>
          <t>Mateus Lima</t>
        </is>
      </c>
      <c r="D201" s="35" t="inlineStr">
        <is>
          <t>MediPlan</t>
        </is>
      </c>
      <c r="E201" s="33" t="inlineStr">
        <is>
          <t>MAPA</t>
        </is>
      </c>
      <c r="F201" s="33" t="inlineStr">
        <is>
          <t>Dr. Paulo Andrade</t>
        </is>
      </c>
      <c r="G201" s="40" t="n">
        <v>85</v>
      </c>
      <c r="H201" s="35" t="n"/>
      <c r="I201" s="35" t="n"/>
      <c r="J201" s="30">
        <f>IF(B201="","",DATE(YEAR(B201),MONTH(B201),1))</f>
        <v>46204.0</v>
      </c>
      <c r="K201" s="41" t="str">
        <f>IF(OR(B201="",D201=""),"",D201&amp;"|"&amp;TEXT(J201,"yyyy-mm"))</f>
        <v>MediPlan|2026-07</v>
      </c>
      <c r="L201" s="24" t="str">
        <f>IF(K201="","",IFERROR(INDEX(Lotes!$N$5:$N$154,MATCH(K201,Lotes!$P$5:$P$154,0)),"Sem lote cadastrado"))</f>
        <v>Aguardando</v>
      </c>
      <c r="M201" s="25">
        <f>IF(H201="Sim",G201,0)</f>
        <v>0</v>
      </c>
      <c r="N201" s="42">
        <f>IF(AND(H201="Sim",I201&lt;&gt;"Aceito"),G201+ROW()/100000,0)</f>
        <v>0</v>
      </c>
    </row>
    <row r="202">
      <c r="A202" s="35" t="inlineStr">
        <is>
          <t>G2026-0628</t>
        </is>
      </c>
      <c r="B202" s="39" t="n">
        <v>46227</v>
      </c>
      <c r="C202" s="33" t="inlineStr">
        <is>
          <t>Gisele Pinto</t>
        </is>
      </c>
      <c r="D202" s="35" t="inlineStr">
        <is>
          <t>Saúde Total</t>
        </is>
      </c>
      <c r="E202" s="33" t="inlineStr">
        <is>
          <t>Consulta</t>
        </is>
      </c>
      <c r="F202" s="33" t="inlineStr">
        <is>
          <t>Dr. Paulo Andrade</t>
        </is>
      </c>
      <c r="G202" s="40" t="n">
        <v>120</v>
      </c>
      <c r="H202" s="35" t="n"/>
      <c r="I202" s="35" t="n"/>
      <c r="J202" s="30">
        <f>IF(B202="","",DATE(YEAR(B202),MONTH(B202),1))</f>
        <v>46204.0</v>
      </c>
      <c r="K202" s="41" t="str">
        <f>IF(OR(B202="",D202=""),"",D202&amp;"|"&amp;TEXT(J202,"yyyy-mm"))</f>
        <v>Saúde Total|2026-07</v>
      </c>
      <c r="L202" s="24" t="str">
        <f>IF(K202="","",IFERROR(INDEX(Lotes!$N$5:$N$154,MATCH(K202,Lotes!$P$5:$P$154,0)),"Sem lote cadastrado"))</f>
        <v>Paga com glosa</v>
      </c>
      <c r="M202" s="25">
        <f>IF(H202="Sim",G202,0)</f>
        <v>0</v>
      </c>
      <c r="N202" s="42">
        <f>IF(AND(H202="Sim",I202&lt;&gt;"Aceito"),G202+ROW()/100000,0)</f>
        <v>0</v>
      </c>
    </row>
    <row r="203">
      <c r="A203" s="35" t="inlineStr">
        <is>
          <t>G2026-0629</t>
        </is>
      </c>
      <c r="B203" s="39" t="n">
        <v>46230</v>
      </c>
      <c r="C203" s="33" t="inlineStr">
        <is>
          <t>Priscila Nunes</t>
        </is>
      </c>
      <c r="D203" s="35" t="inlineStr">
        <is>
          <t>MediPlan</t>
        </is>
      </c>
      <c r="E203" s="33" t="inlineStr">
        <is>
          <t>Consulta</t>
        </is>
      </c>
      <c r="F203" s="33" t="inlineStr">
        <is>
          <t>Dra. Carolina Mendes</t>
        </is>
      </c>
      <c r="G203" s="40" t="n">
        <v>100</v>
      </c>
      <c r="H203" s="35" t="n"/>
      <c r="I203" s="35" t="n"/>
      <c r="J203" s="30">
        <f>IF(B203="","",DATE(YEAR(B203),MONTH(B203),1))</f>
        <v>46204.0</v>
      </c>
      <c r="K203" s="41" t="str">
        <f>IF(OR(B203="",D203=""),"",D203&amp;"|"&amp;TEXT(J203,"yyyy-mm"))</f>
        <v>MediPlan|2026-07</v>
      </c>
      <c r="L203" s="24" t="str">
        <f>IF(K203="","",IFERROR(INDEX(Lotes!$N$5:$N$154,MATCH(K203,Lotes!$P$5:$P$154,0)),"Sem lote cadastrado"))</f>
        <v>Aguardando</v>
      </c>
      <c r="M203" s="25">
        <f>IF(H203="Sim",G203,0)</f>
        <v>0</v>
      </c>
      <c r="N203" s="42">
        <f>IF(AND(H203="Sim",I203&lt;&gt;"Aceito"),G203+ROW()/100000,0)</f>
        <v>0</v>
      </c>
    </row>
    <row r="204">
      <c r="A204" s="35" t="inlineStr">
        <is>
          <t>G2026-0630</t>
        </is>
      </c>
      <c r="B204" s="39" t="n">
        <v>46230</v>
      </c>
      <c r="C204" s="33" t="inlineStr">
        <is>
          <t>Isabela Pinto</t>
        </is>
      </c>
      <c r="D204" s="35" t="inlineStr">
        <is>
          <t>Saúde Total</t>
        </is>
      </c>
      <c r="E204" s="33" t="inlineStr">
        <is>
          <t>Consulta</t>
        </is>
      </c>
      <c r="F204" s="33" t="inlineStr">
        <is>
          <t>Dra. Carolina Mendes</t>
        </is>
      </c>
      <c r="G204" s="40" t="n">
        <v>120</v>
      </c>
      <c r="H204" s="35" t="n"/>
      <c r="I204" s="35" t="n"/>
      <c r="J204" s="30">
        <f>IF(B204="","",DATE(YEAR(B204),MONTH(B204),1))</f>
        <v>46204.0</v>
      </c>
      <c r="K204" s="41" t="str">
        <f>IF(OR(B204="",D204=""),"",D204&amp;"|"&amp;TEXT(J204,"yyyy-mm"))</f>
        <v>Saúde Total|2026-07</v>
      </c>
      <c r="L204" s="24" t="str">
        <f>IF(K204="","",IFERROR(INDEX(Lotes!$N$5:$N$154,MATCH(K204,Lotes!$P$5:$P$154,0)),"Sem lote cadastrado"))</f>
        <v>Paga com glosa</v>
      </c>
      <c r="M204" s="25">
        <f>IF(H204="Sim",G204,0)</f>
        <v>0</v>
      </c>
      <c r="N204" s="42">
        <f>IF(AND(H204="Sim",I204&lt;&gt;"Aceito"),G204+ROW()/100000,0)</f>
        <v>0</v>
      </c>
    </row>
    <row r="205">
      <c r="A205" s="35" t="inlineStr">
        <is>
          <t>G2026-0631</t>
        </is>
      </c>
      <c r="B205" s="39" t="n">
        <v>46230</v>
      </c>
      <c r="C205" s="33" t="inlineStr">
        <is>
          <t>Roberta Almeida</t>
        </is>
      </c>
      <c r="D205" s="35" t="inlineStr">
        <is>
          <t>Saúde Total</t>
        </is>
      </c>
      <c r="E205" s="33" t="inlineStr">
        <is>
          <t>Consulta</t>
        </is>
      </c>
      <c r="F205" s="33" t="inlineStr">
        <is>
          <t>Dr. Paulo Andrade</t>
        </is>
      </c>
      <c r="G205" s="40" t="n">
        <v>120</v>
      </c>
      <c r="H205" s="35" t="n"/>
      <c r="I205" s="35" t="n"/>
      <c r="J205" s="30">
        <f>IF(B205="","",DATE(YEAR(B205),MONTH(B205),1))</f>
        <v>46204.0</v>
      </c>
      <c r="K205" s="41" t="str">
        <f>IF(OR(B205="",D205=""),"",D205&amp;"|"&amp;TEXT(J205,"yyyy-mm"))</f>
        <v>Saúde Total|2026-07</v>
      </c>
      <c r="L205" s="24" t="str">
        <f>IF(K205="","",IFERROR(INDEX(Lotes!$N$5:$N$154,MATCH(K205,Lotes!$P$5:$P$154,0)),"Sem lote cadastrado"))</f>
        <v>Paga com glosa</v>
      </c>
      <c r="M205" s="25">
        <f>IF(H205="Sim",G205,0)</f>
        <v>0</v>
      </c>
      <c r="N205" s="42">
        <f>IF(AND(H205="Sim",I205&lt;&gt;"Aceito"),G205+ROW()/100000,0)</f>
        <v>0</v>
      </c>
    </row>
    <row r="206">
      <c r="A206" s="35" t="inlineStr">
        <is>
          <t>G2026-0632</t>
        </is>
      </c>
      <c r="B206" s="39" t="n">
        <v>46230</v>
      </c>
      <c r="C206" s="33" t="inlineStr">
        <is>
          <t>Natália Xavier</t>
        </is>
      </c>
      <c r="D206" s="35" t="inlineStr">
        <is>
          <t>MediPlan</t>
        </is>
      </c>
      <c r="E206" s="33" t="inlineStr">
        <is>
          <t>Consulta</t>
        </is>
      </c>
      <c r="F206" s="33" t="inlineStr">
        <is>
          <t>Dr. Paulo Andrade</t>
        </is>
      </c>
      <c r="G206" s="40" t="n">
        <v>100</v>
      </c>
      <c r="H206" s="35" t="n"/>
      <c r="I206" s="35" t="n"/>
      <c r="J206" s="30">
        <f>IF(B206="","",DATE(YEAR(B206),MONTH(B206),1))</f>
        <v>46204.0</v>
      </c>
      <c r="K206" s="41" t="str">
        <f>IF(OR(B206="",D206=""),"",D206&amp;"|"&amp;TEXT(J206,"yyyy-mm"))</f>
        <v>MediPlan|2026-07</v>
      </c>
      <c r="L206" s="24" t="str">
        <f>IF(K206="","",IFERROR(INDEX(Lotes!$N$5:$N$154,MATCH(K206,Lotes!$P$5:$P$154,0)),"Sem lote cadastrado"))</f>
        <v>Aguardando</v>
      </c>
      <c r="M206" s="25">
        <f>IF(H206="Sim",G206,0)</f>
        <v>0</v>
      </c>
      <c r="N206" s="42">
        <f>IF(AND(H206="Sim",I206&lt;&gt;"Aceito"),G206+ROW()/100000,0)</f>
        <v>0</v>
      </c>
    </row>
    <row r="207">
      <c r="A207" s="35" t="inlineStr">
        <is>
          <t>G2026-0633</t>
        </is>
      </c>
      <c r="B207" s="39" t="n">
        <v>46231</v>
      </c>
      <c r="C207" s="33" t="inlineStr">
        <is>
          <t>Mônica Pinto</t>
        </is>
      </c>
      <c r="D207" s="35" t="inlineStr">
        <is>
          <t>Saúde Total</t>
        </is>
      </c>
      <c r="E207" s="33" t="inlineStr">
        <is>
          <t>Consulta</t>
        </is>
      </c>
      <c r="F207" s="33" t="inlineStr">
        <is>
          <t>Dra. Carolina Mendes</t>
        </is>
      </c>
      <c r="G207" s="40" t="n">
        <v>120</v>
      </c>
      <c r="H207" s="35" t="n"/>
      <c r="I207" s="35" t="n"/>
      <c r="J207" s="30">
        <f>IF(B207="","",DATE(YEAR(B207),MONTH(B207),1))</f>
        <v>46204.0</v>
      </c>
      <c r="K207" s="41" t="str">
        <f>IF(OR(B207="",D207=""),"",D207&amp;"|"&amp;TEXT(J207,"yyyy-mm"))</f>
        <v>Saúde Total|2026-07</v>
      </c>
      <c r="L207" s="24" t="str">
        <f>IF(K207="","",IFERROR(INDEX(Lotes!$N$5:$N$154,MATCH(K207,Lotes!$P$5:$P$154,0)),"Sem lote cadastrado"))</f>
        <v>Paga com glosa</v>
      </c>
      <c r="M207" s="25">
        <f>IF(H207="Sim",G207,0)</f>
        <v>0</v>
      </c>
      <c r="N207" s="42">
        <f>IF(AND(H207="Sim",I207&lt;&gt;"Aceito"),G207+ROW()/100000,0)</f>
        <v>0</v>
      </c>
    </row>
    <row r="208">
      <c r="A208" s="35" t="inlineStr">
        <is>
          <t>G2026-0634</t>
        </is>
      </c>
      <c r="B208" s="39" t="n">
        <v>46231</v>
      </c>
      <c r="C208" s="33" t="inlineStr">
        <is>
          <t>Patrícia Vieira</t>
        </is>
      </c>
      <c r="D208" s="35" t="inlineStr">
        <is>
          <t>Saúde Total</t>
        </is>
      </c>
      <c r="E208" s="33" t="inlineStr">
        <is>
          <t>Consulta</t>
        </is>
      </c>
      <c r="F208" s="33" t="inlineStr">
        <is>
          <t>Dr. Paulo Andrade</t>
        </is>
      </c>
      <c r="G208" s="40" t="n">
        <v>120</v>
      </c>
      <c r="H208" s="35" t="n"/>
      <c r="I208" s="35" t="n"/>
      <c r="J208" s="30">
        <f>IF(B208="","",DATE(YEAR(B208),MONTH(B208),1))</f>
        <v>46204.0</v>
      </c>
      <c r="K208" s="41" t="str">
        <f>IF(OR(B208="",D208=""),"",D208&amp;"|"&amp;TEXT(J208,"yyyy-mm"))</f>
        <v>Saúde Total|2026-07</v>
      </c>
      <c r="L208" s="24" t="str">
        <f>IF(K208="","",IFERROR(INDEX(Lotes!$N$5:$N$154,MATCH(K208,Lotes!$P$5:$P$154,0)),"Sem lote cadastrado"))</f>
        <v>Paga com glosa</v>
      </c>
      <c r="M208" s="25">
        <f>IF(H208="Sim",G208,0)</f>
        <v>0</v>
      </c>
      <c r="N208" s="42">
        <f>IF(AND(H208="Sim",I208&lt;&gt;"Aceito"),G208+ROW()/100000,0)</f>
        <v>0</v>
      </c>
    </row>
    <row r="209">
      <c r="A209" s="35" t="inlineStr">
        <is>
          <t>G2026-0635</t>
        </is>
      </c>
      <c r="B209" s="39" t="n">
        <v>46232</v>
      </c>
      <c r="C209" s="33" t="inlineStr">
        <is>
          <t>Regina Castro</t>
        </is>
      </c>
      <c r="D209" s="35" t="inlineStr">
        <is>
          <t>Vida Care</t>
        </is>
      </c>
      <c r="E209" s="33" t="inlineStr">
        <is>
          <t>Consulta</t>
        </is>
      </c>
      <c r="F209" s="33" t="inlineStr">
        <is>
          <t>Dra. Carolina Mendes</t>
        </is>
      </c>
      <c r="G209" s="40" t="n">
        <v>90</v>
      </c>
      <c r="H209" s="35" t="n"/>
      <c r="I209" s="35" t="n"/>
      <c r="J209" s="30">
        <f>IF(B209="","",DATE(YEAR(B209),MONTH(B209),1))</f>
        <v>46204.0</v>
      </c>
      <c r="K209" s="41" t="str">
        <f>IF(OR(B209="",D209=""),"",D209&amp;"|"&amp;TEXT(J209,"yyyy-mm"))</f>
        <v>Vida Care|2026-07</v>
      </c>
      <c r="L209" s="24" t="str">
        <f>IF(K209="","",IFERROR(INDEX(Lotes!$N$5:$N$154,MATCH(K209,Lotes!$P$5:$P$154,0)),"Sem lote cadastrado"))</f>
        <v>Aguardando</v>
      </c>
      <c r="M209" s="25">
        <f>IF(H209="Sim",G209,0)</f>
        <v>0</v>
      </c>
      <c r="N209" s="42">
        <f>IF(AND(H209="Sim",I209&lt;&gt;"Aceito"),G209+ROW()/100000,0)</f>
        <v>0</v>
      </c>
    </row>
    <row r="210">
      <c r="A210" s="35" t="inlineStr">
        <is>
          <t>G2026-0636</t>
        </is>
      </c>
      <c r="B210" s="39" t="n">
        <v>46233</v>
      </c>
      <c r="C210" s="33" t="inlineStr">
        <is>
          <t>Gustavo Barbosa</t>
        </is>
      </c>
      <c r="D210" s="35" t="inlineStr">
        <is>
          <t>Saúde Total</t>
        </is>
      </c>
      <c r="E210" s="33" t="inlineStr">
        <is>
          <t>Consulta</t>
        </is>
      </c>
      <c r="F210" s="33" t="inlineStr">
        <is>
          <t>Dra. Carolina Mendes</t>
        </is>
      </c>
      <c r="G210" s="40" t="n">
        <v>120</v>
      </c>
      <c r="H210" s="35" t="n"/>
      <c r="I210" s="35" t="n"/>
      <c r="J210" s="30">
        <f>IF(B210="","",DATE(YEAR(B210),MONTH(B210),1))</f>
        <v>46204.0</v>
      </c>
      <c r="K210" s="41" t="str">
        <f>IF(OR(B210="",D210=""),"",D210&amp;"|"&amp;TEXT(J210,"yyyy-mm"))</f>
        <v>Saúde Total|2026-07</v>
      </c>
      <c r="L210" s="24" t="str">
        <f>IF(K210="","",IFERROR(INDEX(Lotes!$N$5:$N$154,MATCH(K210,Lotes!$P$5:$P$154,0)),"Sem lote cadastrado"))</f>
        <v>Paga com glosa</v>
      </c>
      <c r="M210" s="25">
        <f>IF(H210="Sim",G210,0)</f>
        <v>0</v>
      </c>
      <c r="N210" s="42">
        <f>IF(AND(H210="Sim",I210&lt;&gt;"Aceito"),G210+ROW()/100000,0)</f>
        <v>0</v>
      </c>
    </row>
    <row r="211">
      <c r="A211" s="35" t="inlineStr">
        <is>
          <t>G2026-0637</t>
        </is>
      </c>
      <c r="B211" s="39" t="n">
        <v>46233</v>
      </c>
      <c r="C211" s="33" t="inlineStr">
        <is>
          <t>Mônica Batista</t>
        </is>
      </c>
      <c r="D211" s="35" t="inlineStr">
        <is>
          <t>MediPlan</t>
        </is>
      </c>
      <c r="E211" s="33" t="inlineStr">
        <is>
          <t>Consulta</t>
        </is>
      </c>
      <c r="F211" s="33" t="inlineStr">
        <is>
          <t>Dra. Carolina Mendes</t>
        </is>
      </c>
      <c r="G211" s="40" t="n">
        <v>100</v>
      </c>
      <c r="H211" s="35" t="n"/>
      <c r="I211" s="35" t="n"/>
      <c r="J211" s="30">
        <f>IF(B211="","",DATE(YEAR(B211),MONTH(B211),1))</f>
        <v>46204.0</v>
      </c>
      <c r="K211" s="41" t="str">
        <f>IF(OR(B211="",D211=""),"",D211&amp;"|"&amp;TEXT(J211,"yyyy-mm"))</f>
        <v>MediPlan|2026-07</v>
      </c>
      <c r="L211" s="24" t="str">
        <f>IF(K211="","",IFERROR(INDEX(Lotes!$N$5:$N$154,MATCH(K211,Lotes!$P$5:$P$154,0)),"Sem lote cadastrado"))</f>
        <v>Aguardando</v>
      </c>
      <c r="M211" s="25">
        <f>IF(H211="Sim",G211,0)</f>
        <v>0</v>
      </c>
      <c r="N211" s="42">
        <f>IF(AND(H211="Sim",I211&lt;&gt;"Aceito"),G211+ROW()/100000,0)</f>
        <v>0</v>
      </c>
    </row>
    <row r="212">
      <c r="A212" s="35" t="inlineStr">
        <is>
          <t>G2026-0638</t>
        </is>
      </c>
      <c r="B212" s="39" t="n">
        <v>46233</v>
      </c>
      <c r="C212" s="33" t="inlineStr">
        <is>
          <t>Camila Batista</t>
        </is>
      </c>
      <c r="D212" s="35" t="inlineStr">
        <is>
          <t>MediPlan</t>
        </is>
      </c>
      <c r="E212" s="33" t="inlineStr">
        <is>
          <t>Consulta</t>
        </is>
      </c>
      <c r="F212" s="33" t="inlineStr">
        <is>
          <t>Dra. Carolina Mendes</t>
        </is>
      </c>
      <c r="G212" s="40" t="n">
        <v>100</v>
      </c>
      <c r="H212" s="35" t="n"/>
      <c r="I212" s="35" t="n"/>
      <c r="J212" s="30">
        <f>IF(B212="","",DATE(YEAR(B212),MONTH(B212),1))</f>
        <v>46204.0</v>
      </c>
      <c r="K212" s="41" t="str">
        <f>IF(OR(B212="",D212=""),"",D212&amp;"|"&amp;TEXT(J212,"yyyy-mm"))</f>
        <v>MediPlan|2026-07</v>
      </c>
      <c r="L212" s="24" t="str">
        <f>IF(K212="","",IFERROR(INDEX(Lotes!$N$5:$N$154,MATCH(K212,Lotes!$P$5:$P$154,0)),"Sem lote cadastrado"))</f>
        <v>Aguardando</v>
      </c>
      <c r="M212" s="25">
        <f>IF(H212="Sim",G212,0)</f>
        <v>0</v>
      </c>
      <c r="N212" s="42">
        <f>IF(AND(H212="Sim",I212&lt;&gt;"Aceito"),G212+ROW()/100000,0)</f>
        <v>0</v>
      </c>
    </row>
    <row r="213">
      <c r="A213" s="35" t="inlineStr">
        <is>
          <t>G2026-0639</t>
        </is>
      </c>
      <c r="B213" s="39" t="n">
        <v>46233</v>
      </c>
      <c r="C213" s="33" t="inlineStr">
        <is>
          <t>Rodrigo Cardoso</t>
        </is>
      </c>
      <c r="D213" s="35" t="inlineStr">
        <is>
          <t>Saúde Total</t>
        </is>
      </c>
      <c r="E213" s="33" t="inlineStr">
        <is>
          <t>Avaliação endócrina</t>
        </is>
      </c>
      <c r="F213" s="33" t="inlineStr">
        <is>
          <t>Dra. Renata Sousa</t>
        </is>
      </c>
      <c r="G213" s="40" t="n">
        <v>130</v>
      </c>
      <c r="H213" s="35" t="n"/>
      <c r="I213" s="35" t="n"/>
      <c r="J213" s="30">
        <f>IF(B213="","",DATE(YEAR(B213),MONTH(B213),1))</f>
        <v>46204.0</v>
      </c>
      <c r="K213" s="41" t="str">
        <f>IF(OR(B213="",D213=""),"",D213&amp;"|"&amp;TEXT(J213,"yyyy-mm"))</f>
        <v>Saúde Total|2026-07</v>
      </c>
      <c r="L213" s="24" t="str">
        <f>IF(K213="","",IFERROR(INDEX(Lotes!$N$5:$N$154,MATCH(K213,Lotes!$P$5:$P$154,0)),"Sem lote cadastrado"))</f>
        <v>Paga com glosa</v>
      </c>
      <c r="M213" s="25">
        <f>IF(H213="Sim",G213,0)</f>
        <v>0</v>
      </c>
      <c r="N213" s="42">
        <f>IF(AND(H213="Sim",I213&lt;&gt;"Aceito"),G213+ROW()/100000,0)</f>
        <v>0</v>
      </c>
    </row>
    <row r="214">
      <c r="A214" s="35" t="inlineStr">
        <is>
          <t>G2026-0640</t>
        </is>
      </c>
      <c r="B214" s="39" t="n">
        <v>46233</v>
      </c>
      <c r="C214" s="33" t="inlineStr">
        <is>
          <t>Eduardo Reis</t>
        </is>
      </c>
      <c r="D214" s="35" t="inlineStr">
        <is>
          <t>Vida Care</t>
        </is>
      </c>
      <c r="E214" s="33" t="inlineStr">
        <is>
          <t>ECG</t>
        </is>
      </c>
      <c r="F214" s="33" t="inlineStr">
        <is>
          <t>Dr. Paulo Andrade</t>
        </is>
      </c>
      <c r="G214" s="40" t="n">
        <v>32</v>
      </c>
      <c r="H214" s="35" t="n"/>
      <c r="I214" s="35" t="n"/>
      <c r="J214" s="30">
        <f>IF(B214="","",DATE(YEAR(B214),MONTH(B214),1))</f>
        <v>46204.0</v>
      </c>
      <c r="K214" s="41" t="str">
        <f>IF(OR(B214="",D214=""),"",D214&amp;"|"&amp;TEXT(J214,"yyyy-mm"))</f>
        <v>Vida Care|2026-07</v>
      </c>
      <c r="L214" s="24" t="str">
        <f>IF(K214="","",IFERROR(INDEX(Lotes!$N$5:$N$154,MATCH(K214,Lotes!$P$5:$P$154,0)),"Sem lote cadastrado"))</f>
        <v>Aguardando</v>
      </c>
      <c r="M214" s="25">
        <f>IF(H214="Sim",G214,0)</f>
        <v>0</v>
      </c>
      <c r="N214" s="42">
        <f>IF(AND(H214="Sim",I214&lt;&gt;"Aceito"),G214+ROW()/100000,0)</f>
        <v>0</v>
      </c>
    </row>
    <row r="215">
      <c r="A215" s="35" t="inlineStr">
        <is>
          <t>G2026-0641</t>
        </is>
      </c>
      <c r="B215" s="39" t="n">
        <v>46233</v>
      </c>
      <c r="C215" s="33" t="inlineStr">
        <is>
          <t>Carlos Gonçalves</t>
        </is>
      </c>
      <c r="D215" s="35" t="inlineStr">
        <is>
          <t>Saúde Total</t>
        </is>
      </c>
      <c r="E215" s="33" t="inlineStr">
        <is>
          <t>Avaliação endócrina</t>
        </is>
      </c>
      <c r="F215" s="33" t="inlineStr">
        <is>
          <t>Dra. Renata Sousa</t>
        </is>
      </c>
      <c r="G215" s="40" t="n">
        <v>130</v>
      </c>
      <c r="H215" s="35" t="n"/>
      <c r="I215" s="35" t="n"/>
      <c r="J215" s="30">
        <f>IF(B215="","",DATE(YEAR(B215),MONTH(B215),1))</f>
        <v>46204.0</v>
      </c>
      <c r="K215" s="41" t="str">
        <f>IF(OR(B215="",D215=""),"",D215&amp;"|"&amp;TEXT(J215,"yyyy-mm"))</f>
        <v>Saúde Total|2026-07</v>
      </c>
      <c r="L215" s="24" t="str">
        <f>IF(K215="","",IFERROR(INDEX(Lotes!$N$5:$N$154,MATCH(K215,Lotes!$P$5:$P$154,0)),"Sem lote cadastrado"))</f>
        <v>Paga com glosa</v>
      </c>
      <c r="M215" s="25">
        <f>IF(H215="Sim",G215,0)</f>
        <v>0</v>
      </c>
      <c r="N215" s="42">
        <f>IF(AND(H215="Sim",I215&lt;&gt;"Aceito"),G215+ROW()/100000,0)</f>
        <v>0</v>
      </c>
    </row>
    <row r="216">
      <c r="A216" s="35" t="inlineStr">
        <is>
          <t>G2026-0642</t>
        </is>
      </c>
      <c r="B216" s="39" t="n">
        <v>46233</v>
      </c>
      <c r="C216" s="33" t="inlineStr">
        <is>
          <t>Viviane Duarte</t>
        </is>
      </c>
      <c r="D216" s="35" t="inlineStr">
        <is>
          <t>MediPlan</t>
        </is>
      </c>
      <c r="E216" s="33" t="inlineStr">
        <is>
          <t>Consulta</t>
        </is>
      </c>
      <c r="F216" s="33" t="inlineStr">
        <is>
          <t>Dr. Paulo Andrade</t>
        </is>
      </c>
      <c r="G216" s="40" t="n">
        <v>100</v>
      </c>
      <c r="H216" s="35" t="n"/>
      <c r="I216" s="35" t="n"/>
      <c r="J216" s="30">
        <f>IF(B216="","",DATE(YEAR(B216),MONTH(B216),1))</f>
        <v>46204.0</v>
      </c>
      <c r="K216" s="41" t="str">
        <f>IF(OR(B216="",D216=""),"",D216&amp;"|"&amp;TEXT(J216,"yyyy-mm"))</f>
        <v>MediPlan|2026-07</v>
      </c>
      <c r="L216" s="24" t="str">
        <f>IF(K216="","",IFERROR(INDEX(Lotes!$N$5:$N$154,MATCH(K216,Lotes!$P$5:$P$154,0)),"Sem lote cadastrado"))</f>
        <v>Aguardando</v>
      </c>
      <c r="M216" s="25">
        <f>IF(H216="Sim",G216,0)</f>
        <v>0</v>
      </c>
      <c r="N216" s="42">
        <f>IF(AND(H216="Sim",I216&lt;&gt;"Aceito"),G216+ROW()/100000,0)</f>
        <v>0</v>
      </c>
    </row>
    <row r="217">
      <c r="A217" s="35" t="inlineStr">
        <is>
          <t>G2026-0643</t>
        </is>
      </c>
      <c r="B217" s="39" t="n">
        <v>46233</v>
      </c>
      <c r="C217" s="33" t="inlineStr">
        <is>
          <t>Paulo Freitas</t>
        </is>
      </c>
      <c r="D217" s="35" t="inlineStr">
        <is>
          <t>Saúde Total</t>
        </is>
      </c>
      <c r="E217" s="33" t="inlineStr">
        <is>
          <t>Avaliação endócrina</t>
        </is>
      </c>
      <c r="F217" s="33" t="inlineStr">
        <is>
          <t>Dra. Renata Sousa</t>
        </is>
      </c>
      <c r="G217" s="40" t="n">
        <v>130</v>
      </c>
      <c r="H217" s="35" t="n"/>
      <c r="I217" s="35" t="n"/>
      <c r="J217" s="30">
        <f>IF(B217="","",DATE(YEAR(B217),MONTH(B217),1))</f>
        <v>46204.0</v>
      </c>
      <c r="K217" s="41" t="str">
        <f>IF(OR(B217="",D217=""),"",D217&amp;"|"&amp;TEXT(J217,"yyyy-mm"))</f>
        <v>Saúde Total|2026-07</v>
      </c>
      <c r="L217" s="24" t="str">
        <f>IF(K217="","",IFERROR(INDEX(Lotes!$N$5:$N$154,MATCH(K217,Lotes!$P$5:$P$154,0)),"Sem lote cadastrado"))</f>
        <v>Paga com glosa</v>
      </c>
      <c r="M217" s="25">
        <f>IF(H217="Sim",G217,0)</f>
        <v>0</v>
      </c>
      <c r="N217" s="42">
        <f>IF(AND(H217="Sim",I217&lt;&gt;"Aceito"),G217+ROW()/100000,0)</f>
        <v>0</v>
      </c>
    </row>
    <row r="218">
      <c r="A218" s="35" t="inlineStr">
        <is>
          <t>G2026-0644</t>
        </is>
      </c>
      <c r="B218" s="39" t="n">
        <v>46234</v>
      </c>
      <c r="C218" s="33" t="inlineStr">
        <is>
          <t>Rafael Araújo</t>
        </is>
      </c>
      <c r="D218" s="35" t="inlineStr">
        <is>
          <t>MediPlan</t>
        </is>
      </c>
      <c r="E218" s="33" t="inlineStr">
        <is>
          <t>Consulta</t>
        </is>
      </c>
      <c r="F218" s="33" t="inlineStr">
        <is>
          <t>Dr. Paulo Andrade</t>
        </is>
      </c>
      <c r="G218" s="40" t="n">
        <v>100</v>
      </c>
      <c r="H218" s="35" t="n"/>
      <c r="I218" s="35" t="n"/>
      <c r="J218" s="30">
        <f>IF(B218="","",DATE(YEAR(B218),MONTH(B218),1))</f>
        <v>46204.0</v>
      </c>
      <c r="K218" s="41" t="str">
        <f>IF(OR(B218="",D218=""),"",D218&amp;"|"&amp;TEXT(J218,"yyyy-mm"))</f>
        <v>MediPlan|2026-07</v>
      </c>
      <c r="L218" s="24" t="str">
        <f>IF(K218="","",IFERROR(INDEX(Lotes!$N$5:$N$154,MATCH(K218,Lotes!$P$5:$P$154,0)),"Sem lote cadastrado"))</f>
        <v>Aguardando</v>
      </c>
      <c r="M218" s="25">
        <f>IF(H218="Sim",G218,0)</f>
        <v>0</v>
      </c>
      <c r="N218" s="42">
        <f>IF(AND(H218="Sim",I218&lt;&gt;"Aceito"),G218+ROW()/100000,0)</f>
        <v>0</v>
      </c>
    </row>
    <row r="219">
      <c r="A219" s="35" t="inlineStr">
        <is>
          <t>G2026-0645</t>
        </is>
      </c>
      <c r="B219" s="39" t="n">
        <v>46237</v>
      </c>
      <c r="C219" s="33" t="inlineStr">
        <is>
          <t>Tatiana Rocha</t>
        </is>
      </c>
      <c r="D219" s="35" t="inlineStr">
        <is>
          <t>Vida Care</t>
        </is>
      </c>
      <c r="E219" s="33" t="inlineStr">
        <is>
          <t>Consulta</t>
        </is>
      </c>
      <c r="F219" s="33" t="inlineStr">
        <is>
          <t>Dra. Carolina Mendes</t>
        </is>
      </c>
      <c r="G219" s="40" t="n">
        <v>90</v>
      </c>
      <c r="H219" s="35" t="n"/>
      <c r="I219" s="35" t="n"/>
      <c r="J219" s="30">
        <f>IF(B219="","",DATE(YEAR(B219),MONTH(B219),1))</f>
        <v>46235.0</v>
      </c>
      <c r="K219" s="41" t="str">
        <f>IF(OR(B219="",D219=""),"",D219&amp;"|"&amp;TEXT(J219,"yyyy-mm"))</f>
        <v>Vida Care|2026-08</v>
      </c>
      <c r="L219" s="24" t="str">
        <f>IF(K219="","",IFERROR(INDEX(Lotes!$N$5:$N$154,MATCH(K219,Lotes!$P$5:$P$154,0)),"Sem lote cadastrado"))</f>
        <v>Aguardando</v>
      </c>
      <c r="M219" s="25">
        <f>IF(H219="Sim",G219,0)</f>
        <v>0</v>
      </c>
      <c r="N219" s="42">
        <f>IF(AND(H219="Sim",I219&lt;&gt;"Aceito"),G219+ROW()/100000,0)</f>
        <v>0</v>
      </c>
    </row>
    <row r="220">
      <c r="A220" s="35" t="inlineStr">
        <is>
          <t>G2026-0646</t>
        </is>
      </c>
      <c r="B220" s="39" t="n">
        <v>46237</v>
      </c>
      <c r="C220" s="33" t="inlineStr">
        <is>
          <t>Mateus Lima</t>
        </is>
      </c>
      <c r="D220" s="35" t="inlineStr">
        <is>
          <t>MediPlan</t>
        </is>
      </c>
      <c r="E220" s="33" t="inlineStr">
        <is>
          <t>Consulta</t>
        </is>
      </c>
      <c r="F220" s="33" t="inlineStr">
        <is>
          <t>Dra. Carolina Mendes</t>
        </is>
      </c>
      <c r="G220" s="40" t="n">
        <v>100</v>
      </c>
      <c r="H220" s="35" t="n"/>
      <c r="I220" s="35" t="n"/>
      <c r="J220" s="30">
        <f>IF(B220="","",DATE(YEAR(B220),MONTH(B220),1))</f>
        <v>46235.0</v>
      </c>
      <c r="K220" s="41" t="str">
        <f>IF(OR(B220="",D220=""),"",D220&amp;"|"&amp;TEXT(J220,"yyyy-mm"))</f>
        <v>MediPlan|2026-08</v>
      </c>
      <c r="L220" s="24" t="str">
        <f>IF(K220="","",IFERROR(INDEX(Lotes!$N$5:$N$154,MATCH(K220,Lotes!$P$5:$P$154,0)),"Sem lote cadastrado"))</f>
        <v>Aguardando</v>
      </c>
      <c r="M220" s="25">
        <f>IF(H220="Sim",G220,0)</f>
        <v>0</v>
      </c>
      <c r="N220" s="42">
        <f>IF(AND(H220="Sim",I220&lt;&gt;"Aceito"),G220+ROW()/100000,0)</f>
        <v>0</v>
      </c>
    </row>
    <row r="221">
      <c r="A221" s="35" t="inlineStr">
        <is>
          <t>G2026-0647</t>
        </is>
      </c>
      <c r="B221" s="39" t="n">
        <v>46237</v>
      </c>
      <c r="C221" s="33" t="inlineStr">
        <is>
          <t>Letícia Vieira</t>
        </is>
      </c>
      <c r="D221" s="35" t="inlineStr">
        <is>
          <t>Saúde Total</t>
        </is>
      </c>
      <c r="E221" s="33" t="inlineStr">
        <is>
          <t>Consulta</t>
        </is>
      </c>
      <c r="F221" s="33" t="inlineStr">
        <is>
          <t>Dra. Carolina Mendes</t>
        </is>
      </c>
      <c r="G221" s="40" t="n">
        <v>120</v>
      </c>
      <c r="H221" s="35" t="n"/>
      <c r="I221" s="35" t="n"/>
      <c r="J221" s="30">
        <f>IF(B221="","",DATE(YEAR(B221),MONTH(B221),1))</f>
        <v>46235.0</v>
      </c>
      <c r="K221" s="41" t="str">
        <f>IF(OR(B221="",D221=""),"",D221&amp;"|"&amp;TEXT(J221,"yyyy-mm"))</f>
        <v>Saúde Total|2026-08</v>
      </c>
      <c r="L221" s="24" t="str">
        <f>IF(K221="","",IFERROR(INDEX(Lotes!$N$5:$N$154,MATCH(K221,Lotes!$P$5:$P$154,0)),"Sem lote cadastrado"))</f>
        <v>Aguardando</v>
      </c>
      <c r="M221" s="25">
        <f>IF(H221="Sim",G221,0)</f>
        <v>0</v>
      </c>
      <c r="N221" s="42">
        <f>IF(AND(H221="Sim",I221&lt;&gt;"Aceito"),G221+ROW()/100000,0)</f>
        <v>0</v>
      </c>
    </row>
    <row r="222">
      <c r="A222" s="35" t="inlineStr">
        <is>
          <t>G2026-0648</t>
        </is>
      </c>
      <c r="B222" s="39" t="n">
        <v>46237</v>
      </c>
      <c r="C222" s="33" t="inlineStr">
        <is>
          <t>Rafael Batista</t>
        </is>
      </c>
      <c r="D222" s="35" t="inlineStr">
        <is>
          <t>Saúde Total</t>
        </is>
      </c>
      <c r="E222" s="33" t="inlineStr">
        <is>
          <t>Consulta</t>
        </is>
      </c>
      <c r="F222" s="33" t="inlineStr">
        <is>
          <t>Dra. Carolina Mendes</t>
        </is>
      </c>
      <c r="G222" s="40" t="n">
        <v>120</v>
      </c>
      <c r="H222" s="35" t="n"/>
      <c r="I222" s="35" t="n"/>
      <c r="J222" s="30">
        <f>IF(B222="","",DATE(YEAR(B222),MONTH(B222),1))</f>
        <v>46235.0</v>
      </c>
      <c r="K222" s="41" t="str">
        <f>IF(OR(B222="",D222=""),"",D222&amp;"|"&amp;TEXT(J222,"yyyy-mm"))</f>
        <v>Saúde Total|2026-08</v>
      </c>
      <c r="L222" s="24" t="str">
        <f>IF(K222="","",IFERROR(INDEX(Lotes!$N$5:$N$154,MATCH(K222,Lotes!$P$5:$P$154,0)),"Sem lote cadastrado"))</f>
        <v>Aguardando</v>
      </c>
      <c r="M222" s="25">
        <f>IF(H222="Sim",G222,0)</f>
        <v>0</v>
      </c>
      <c r="N222" s="42">
        <f>IF(AND(H222="Sim",I222&lt;&gt;"Aceito"),G222+ROW()/100000,0)</f>
        <v>0</v>
      </c>
    </row>
    <row r="223">
      <c r="A223" s="35" t="inlineStr">
        <is>
          <t>G2026-0649</t>
        </is>
      </c>
      <c r="B223" s="39" t="n">
        <v>46237</v>
      </c>
      <c r="C223" s="33" t="inlineStr">
        <is>
          <t>Elaine Xavier</t>
        </is>
      </c>
      <c r="D223" s="35" t="inlineStr">
        <is>
          <t>MediPlan</t>
        </is>
      </c>
      <c r="E223" s="33" t="inlineStr">
        <is>
          <t>Consulta</t>
        </is>
      </c>
      <c r="F223" s="33" t="inlineStr">
        <is>
          <t>Dr. Paulo Andrade</t>
        </is>
      </c>
      <c r="G223" s="40" t="n">
        <v>100</v>
      </c>
      <c r="H223" s="35" t="n"/>
      <c r="I223" s="35" t="n"/>
      <c r="J223" s="30">
        <f>IF(B223="","",DATE(YEAR(B223),MONTH(B223),1))</f>
        <v>46235.0</v>
      </c>
      <c r="K223" s="41" t="str">
        <f>IF(OR(B223="",D223=""),"",D223&amp;"|"&amp;TEXT(J223,"yyyy-mm"))</f>
        <v>MediPlan|2026-08</v>
      </c>
      <c r="L223" s="24" t="str">
        <f>IF(K223="","",IFERROR(INDEX(Lotes!$N$5:$N$154,MATCH(K223,Lotes!$P$5:$P$154,0)),"Sem lote cadastrado"))</f>
        <v>Aguardando</v>
      </c>
      <c r="M223" s="25">
        <f>IF(H223="Sim",G223,0)</f>
        <v>0</v>
      </c>
      <c r="N223" s="42">
        <f>IF(AND(H223="Sim",I223&lt;&gt;"Aceito"),G223+ROW()/100000,0)</f>
        <v>0</v>
      </c>
    </row>
    <row r="224">
      <c r="A224" s="35" t="inlineStr">
        <is>
          <t>G2026-0650</t>
        </is>
      </c>
      <c r="B224" s="39" t="n">
        <v>46237</v>
      </c>
      <c r="C224" s="33" t="inlineStr">
        <is>
          <t>Lucas Xavier</t>
        </is>
      </c>
      <c r="D224" s="35" t="inlineStr">
        <is>
          <t>Saúde Total</t>
        </is>
      </c>
      <c r="E224" s="33" t="inlineStr">
        <is>
          <t>Holter</t>
        </is>
      </c>
      <c r="F224" s="33" t="inlineStr">
        <is>
          <t>Dr. Paulo Andrade</t>
        </is>
      </c>
      <c r="G224" s="40" t="n">
        <v>105</v>
      </c>
      <c r="H224" s="35" t="n"/>
      <c r="I224" s="35" t="n"/>
      <c r="J224" s="30">
        <f>IF(B224="","",DATE(YEAR(B224),MONTH(B224),1))</f>
        <v>46235.0</v>
      </c>
      <c r="K224" s="41" t="str">
        <f>IF(OR(B224="",D224=""),"",D224&amp;"|"&amp;TEXT(J224,"yyyy-mm"))</f>
        <v>Saúde Total|2026-08</v>
      </c>
      <c r="L224" s="24" t="str">
        <f>IF(K224="","",IFERROR(INDEX(Lotes!$N$5:$N$154,MATCH(K224,Lotes!$P$5:$P$154,0)),"Sem lote cadastrado"))</f>
        <v>Aguardando</v>
      </c>
      <c r="M224" s="25">
        <f>IF(H224="Sim",G224,0)</f>
        <v>0</v>
      </c>
      <c r="N224" s="42">
        <f>IF(AND(H224="Sim",I224&lt;&gt;"Aceito"),G224+ROW()/100000,0)</f>
        <v>0</v>
      </c>
    </row>
    <row r="225">
      <c r="A225" s="35" t="inlineStr">
        <is>
          <t>G2026-0651</t>
        </is>
      </c>
      <c r="B225" s="39" t="n">
        <v>46237</v>
      </c>
      <c r="C225" s="33" t="inlineStr">
        <is>
          <t>Paulo Nascimento</t>
        </is>
      </c>
      <c r="D225" s="35" t="inlineStr">
        <is>
          <t>MediPlan</t>
        </is>
      </c>
      <c r="E225" s="33" t="inlineStr">
        <is>
          <t>Consulta</t>
        </is>
      </c>
      <c r="F225" s="33" t="inlineStr">
        <is>
          <t>Dr. Paulo Andrade</t>
        </is>
      </c>
      <c r="G225" s="40" t="n">
        <v>100</v>
      </c>
      <c r="H225" s="35" t="n"/>
      <c r="I225" s="35" t="n"/>
      <c r="J225" s="30">
        <f>IF(B225="","",DATE(YEAR(B225),MONTH(B225),1))</f>
        <v>46235.0</v>
      </c>
      <c r="K225" s="41" t="str">
        <f>IF(OR(B225="",D225=""),"",D225&amp;"|"&amp;TEXT(J225,"yyyy-mm"))</f>
        <v>MediPlan|2026-08</v>
      </c>
      <c r="L225" s="24" t="str">
        <f>IF(K225="","",IFERROR(INDEX(Lotes!$N$5:$N$154,MATCH(K225,Lotes!$P$5:$P$154,0)),"Sem lote cadastrado"))</f>
        <v>Aguardando</v>
      </c>
      <c r="M225" s="25">
        <f>IF(H225="Sim",G225,0)</f>
        <v>0</v>
      </c>
      <c r="N225" s="42">
        <f>IF(AND(H225="Sim",I225&lt;&gt;"Aceito"),G225+ROW()/100000,0)</f>
        <v>0</v>
      </c>
    </row>
    <row r="226">
      <c r="A226" s="35" t="inlineStr">
        <is>
          <t>G2026-0652</t>
        </is>
      </c>
      <c r="B226" s="39" t="n">
        <v>46238</v>
      </c>
      <c r="C226" s="33" t="inlineStr">
        <is>
          <t>Daniel Melo</t>
        </is>
      </c>
      <c r="D226" s="35" t="inlineStr">
        <is>
          <t>Saúde Total</t>
        </is>
      </c>
      <c r="E226" s="33" t="inlineStr">
        <is>
          <t>Consulta</t>
        </is>
      </c>
      <c r="F226" s="33" t="inlineStr">
        <is>
          <t>Dra. Carolina Mendes</t>
        </is>
      </c>
      <c r="G226" s="40" t="n">
        <v>120</v>
      </c>
      <c r="H226" s="35" t="n"/>
      <c r="I226" s="35" t="n"/>
      <c r="J226" s="30">
        <f>IF(B226="","",DATE(YEAR(B226),MONTH(B226),1))</f>
        <v>46235.0</v>
      </c>
      <c r="K226" s="41" t="str">
        <f>IF(OR(B226="",D226=""),"",D226&amp;"|"&amp;TEXT(J226,"yyyy-mm"))</f>
        <v>Saúde Total|2026-08</v>
      </c>
      <c r="L226" s="24" t="str">
        <f>IF(K226="","",IFERROR(INDEX(Lotes!$N$5:$N$154,MATCH(K226,Lotes!$P$5:$P$154,0)),"Sem lote cadastrado"))</f>
        <v>Aguardando</v>
      </c>
      <c r="M226" s="25">
        <f>IF(H226="Sim",G226,0)</f>
        <v>0</v>
      </c>
      <c r="N226" s="42">
        <f>IF(AND(H226="Sim",I226&lt;&gt;"Aceito"),G226+ROW()/100000,0)</f>
        <v>0</v>
      </c>
    </row>
    <row r="227">
      <c r="A227" s="35" t="inlineStr">
        <is>
          <t>G2026-0653</t>
        </is>
      </c>
      <c r="B227" s="39" t="n">
        <v>46238</v>
      </c>
      <c r="C227" s="33" t="inlineStr">
        <is>
          <t>Gabriel Lopes</t>
        </is>
      </c>
      <c r="D227" s="35" t="inlineStr">
        <is>
          <t>Saúde Total</t>
        </is>
      </c>
      <c r="E227" s="33" t="inlineStr">
        <is>
          <t>Avaliação endócrina</t>
        </is>
      </c>
      <c r="F227" s="33" t="inlineStr">
        <is>
          <t>Dra. Renata Sousa</t>
        </is>
      </c>
      <c r="G227" s="40" t="n">
        <v>130</v>
      </c>
      <c r="H227" s="35" t="n"/>
      <c r="I227" s="35" t="n"/>
      <c r="J227" s="30">
        <f>IF(B227="","",DATE(YEAR(B227),MONTH(B227),1))</f>
        <v>46235.0</v>
      </c>
      <c r="K227" s="41" t="str">
        <f>IF(OR(B227="",D227=""),"",D227&amp;"|"&amp;TEXT(J227,"yyyy-mm"))</f>
        <v>Saúde Total|2026-08</v>
      </c>
      <c r="L227" s="24" t="str">
        <f>IF(K227="","",IFERROR(INDEX(Lotes!$N$5:$N$154,MATCH(K227,Lotes!$P$5:$P$154,0)),"Sem lote cadastrado"))</f>
        <v>Aguardando</v>
      </c>
      <c r="M227" s="25">
        <f>IF(H227="Sim",G227,0)</f>
        <v>0</v>
      </c>
      <c r="N227" s="42">
        <f>IF(AND(H227="Sim",I227&lt;&gt;"Aceito"),G227+ROW()/100000,0)</f>
        <v>0</v>
      </c>
    </row>
    <row r="228">
      <c r="A228" s="35" t="inlineStr">
        <is>
          <t>G2026-0654</t>
        </is>
      </c>
      <c r="B228" s="39" t="n">
        <v>46238</v>
      </c>
      <c r="C228" s="33" t="inlineStr">
        <is>
          <t>Tatiana Rocha</t>
        </is>
      </c>
      <c r="D228" s="35" t="inlineStr">
        <is>
          <t>Vida Care</t>
        </is>
      </c>
      <c r="E228" s="33" t="inlineStr">
        <is>
          <t>ECG</t>
        </is>
      </c>
      <c r="F228" s="33" t="inlineStr">
        <is>
          <t>Dr. Paulo Andrade</t>
        </is>
      </c>
      <c r="G228" s="40" t="n">
        <v>32</v>
      </c>
      <c r="H228" s="35" t="n"/>
      <c r="I228" s="35" t="n"/>
      <c r="J228" s="30">
        <f>IF(B228="","",DATE(YEAR(B228),MONTH(B228),1))</f>
        <v>46235.0</v>
      </c>
      <c r="K228" s="41" t="str">
        <f>IF(OR(B228="",D228=""),"",D228&amp;"|"&amp;TEXT(J228,"yyyy-mm"))</f>
        <v>Vida Care|2026-08</v>
      </c>
      <c r="L228" s="24" t="str">
        <f>IF(K228="","",IFERROR(INDEX(Lotes!$N$5:$N$154,MATCH(K228,Lotes!$P$5:$P$154,0)),"Sem lote cadastrado"))</f>
        <v>Aguardando</v>
      </c>
      <c r="M228" s="25">
        <f>IF(H228="Sim",G228,0)</f>
        <v>0</v>
      </c>
      <c r="N228" s="42">
        <f>IF(AND(H228="Sim",I228&lt;&gt;"Aceito"),G228+ROW()/100000,0)</f>
        <v>0</v>
      </c>
    </row>
    <row r="229">
      <c r="A229" s="35" t="inlineStr">
        <is>
          <t>G2026-0655</t>
        </is>
      </c>
      <c r="B229" s="39" t="n">
        <v>46239</v>
      </c>
      <c r="C229" s="33" t="inlineStr">
        <is>
          <t>Eduardo Nunes</t>
        </is>
      </c>
      <c r="D229" s="35" t="inlineStr">
        <is>
          <t>MediPlan</t>
        </is>
      </c>
      <c r="E229" s="33" t="inlineStr">
        <is>
          <t>Consulta</t>
        </is>
      </c>
      <c r="F229" s="33" t="inlineStr">
        <is>
          <t>Dra. Carolina Mendes</t>
        </is>
      </c>
      <c r="G229" s="40" t="n">
        <v>100</v>
      </c>
      <c r="H229" s="35" t="n"/>
      <c r="I229" s="35" t="n"/>
      <c r="J229" s="30">
        <f>IF(B229="","",DATE(YEAR(B229),MONTH(B229),1))</f>
        <v>46235.0</v>
      </c>
      <c r="K229" s="41" t="str">
        <f>IF(OR(B229="",D229=""),"",D229&amp;"|"&amp;TEXT(J229,"yyyy-mm"))</f>
        <v>MediPlan|2026-08</v>
      </c>
      <c r="L229" s="24" t="str">
        <f>IF(K229="","",IFERROR(INDEX(Lotes!$N$5:$N$154,MATCH(K229,Lotes!$P$5:$P$154,0)),"Sem lote cadastrado"))</f>
        <v>Aguardando</v>
      </c>
      <c r="M229" s="25">
        <f>IF(H229="Sim",G229,0)</f>
        <v>0</v>
      </c>
      <c r="N229" s="42">
        <f>IF(AND(H229="Sim",I229&lt;&gt;"Aceito"),G229+ROW()/100000,0)</f>
        <v>0</v>
      </c>
    </row>
    <row r="230">
      <c r="A230" s="35" t="inlineStr">
        <is>
          <t>G2026-0656</t>
        </is>
      </c>
      <c r="B230" s="39" t="n">
        <v>46240</v>
      </c>
      <c r="C230" s="33" t="inlineStr">
        <is>
          <t>Camila Batista</t>
        </is>
      </c>
      <c r="D230" s="35" t="inlineStr">
        <is>
          <t>MediPlan</t>
        </is>
      </c>
      <c r="E230" s="33" t="inlineStr">
        <is>
          <t>Consulta</t>
        </is>
      </c>
      <c r="F230" s="33" t="inlineStr">
        <is>
          <t>Dra. Carolina Mendes</t>
        </is>
      </c>
      <c r="G230" s="40" t="n">
        <v>100</v>
      </c>
      <c r="H230" s="35" t="n"/>
      <c r="I230" s="35" t="n"/>
      <c r="J230" s="30">
        <f>IF(B230="","",DATE(YEAR(B230),MONTH(B230),1))</f>
        <v>46235.0</v>
      </c>
      <c r="K230" s="41" t="str">
        <f>IF(OR(B230="",D230=""),"",D230&amp;"|"&amp;TEXT(J230,"yyyy-mm"))</f>
        <v>MediPlan|2026-08</v>
      </c>
      <c r="L230" s="24" t="str">
        <f>IF(K230="","",IFERROR(INDEX(Lotes!$N$5:$N$154,MATCH(K230,Lotes!$P$5:$P$154,0)),"Sem lote cadastrado"))</f>
        <v>Aguardando</v>
      </c>
      <c r="M230" s="25">
        <f>IF(H230="Sim",G230,0)</f>
        <v>0</v>
      </c>
      <c r="N230" s="42">
        <f>IF(AND(H230="Sim",I230&lt;&gt;"Aceito"),G230+ROW()/100000,0)</f>
        <v>0</v>
      </c>
    </row>
    <row r="231">
      <c r="A231" s="35" t="inlineStr">
        <is>
          <t>G2026-0657</t>
        </is>
      </c>
      <c r="B231" s="39" t="n">
        <v>46240</v>
      </c>
      <c r="C231" s="33" t="inlineStr">
        <is>
          <t>Isabela Pinto</t>
        </is>
      </c>
      <c r="D231" s="35" t="inlineStr">
        <is>
          <t>Saúde Total</t>
        </is>
      </c>
      <c r="E231" s="33" t="inlineStr">
        <is>
          <t>Consulta</t>
        </is>
      </c>
      <c r="F231" s="33" t="inlineStr">
        <is>
          <t>Dra. Carolina Mendes</t>
        </is>
      </c>
      <c r="G231" s="40" t="n">
        <v>120</v>
      </c>
      <c r="H231" s="35" t="n"/>
      <c r="I231" s="35" t="n"/>
      <c r="J231" s="30">
        <f>IF(B231="","",DATE(YEAR(B231),MONTH(B231),1))</f>
        <v>46235.0</v>
      </c>
      <c r="K231" s="41" t="str">
        <f>IF(OR(B231="",D231=""),"",D231&amp;"|"&amp;TEXT(J231,"yyyy-mm"))</f>
        <v>Saúde Total|2026-08</v>
      </c>
      <c r="L231" s="24" t="str">
        <f>IF(K231="","",IFERROR(INDEX(Lotes!$N$5:$N$154,MATCH(K231,Lotes!$P$5:$P$154,0)),"Sem lote cadastrado"))</f>
        <v>Aguardando</v>
      </c>
      <c r="M231" s="25">
        <f>IF(H231="Sim",G231,0)</f>
        <v>0</v>
      </c>
      <c r="N231" s="42">
        <f>IF(AND(H231="Sim",I231&lt;&gt;"Aceito"),G231+ROW()/100000,0)</f>
        <v>0</v>
      </c>
    </row>
    <row r="232">
      <c r="A232" s="35" t="inlineStr">
        <is>
          <t>G2026-0658</t>
        </is>
      </c>
      <c r="B232" s="39" t="n">
        <v>46240</v>
      </c>
      <c r="C232" s="33" t="inlineStr">
        <is>
          <t>Daniel Almeida</t>
        </is>
      </c>
      <c r="D232" s="35" t="inlineStr">
        <is>
          <t>Saúde Total</t>
        </is>
      </c>
      <c r="E232" s="33" t="inlineStr">
        <is>
          <t>Consulta</t>
        </is>
      </c>
      <c r="F232" s="33" t="inlineStr">
        <is>
          <t>Dra. Carolina Mendes</t>
        </is>
      </c>
      <c r="G232" s="40" t="n">
        <v>120</v>
      </c>
      <c r="H232" s="35" t="n"/>
      <c r="I232" s="35" t="n"/>
      <c r="J232" s="30">
        <f>IF(B232="","",DATE(YEAR(B232),MONTH(B232),1))</f>
        <v>46235.0</v>
      </c>
      <c r="K232" s="41" t="str">
        <f>IF(OR(B232="",D232=""),"",D232&amp;"|"&amp;TEXT(J232,"yyyy-mm"))</f>
        <v>Saúde Total|2026-08</v>
      </c>
      <c r="L232" s="24" t="str">
        <f>IF(K232="","",IFERROR(INDEX(Lotes!$N$5:$N$154,MATCH(K232,Lotes!$P$5:$P$154,0)),"Sem lote cadastrado"))</f>
        <v>Aguardando</v>
      </c>
      <c r="M232" s="25">
        <f>IF(H232="Sim",G232,0)</f>
        <v>0</v>
      </c>
      <c r="N232" s="42">
        <f>IF(AND(H232="Sim",I232&lt;&gt;"Aceito"),G232+ROW()/100000,0)</f>
        <v>0</v>
      </c>
    </row>
    <row r="233">
      <c r="A233" s="35" t="inlineStr">
        <is>
          <t>G2026-0659</t>
        </is>
      </c>
      <c r="B233" s="39" t="n">
        <v>46240</v>
      </c>
      <c r="C233" s="33" t="inlineStr">
        <is>
          <t>Juliana Silva</t>
        </is>
      </c>
      <c r="D233" s="35" t="inlineStr">
        <is>
          <t>Vida Care</t>
        </is>
      </c>
      <c r="E233" s="33" t="inlineStr">
        <is>
          <t>Teste ergométrico</t>
        </is>
      </c>
      <c r="F233" s="33" t="inlineStr">
        <is>
          <t>Dr. Paulo Andrade</t>
        </is>
      </c>
      <c r="G233" s="40" t="n">
        <v>110</v>
      </c>
      <c r="H233" s="35" t="n"/>
      <c r="I233" s="35" t="n"/>
      <c r="J233" s="30">
        <f>IF(B233="","",DATE(YEAR(B233),MONTH(B233),1))</f>
        <v>46235.0</v>
      </c>
      <c r="K233" s="41" t="str">
        <f>IF(OR(B233="",D233=""),"",D233&amp;"|"&amp;TEXT(J233,"yyyy-mm"))</f>
        <v>Vida Care|2026-08</v>
      </c>
      <c r="L233" s="24" t="str">
        <f>IF(K233="","",IFERROR(INDEX(Lotes!$N$5:$N$154,MATCH(K233,Lotes!$P$5:$P$154,0)),"Sem lote cadastrado"))</f>
        <v>Aguardando</v>
      </c>
      <c r="M233" s="25">
        <f>IF(H233="Sim",G233,0)</f>
        <v>0</v>
      </c>
      <c r="N233" s="42">
        <f>IF(AND(H233="Sim",I233&lt;&gt;"Aceito"),G233+ROW()/100000,0)</f>
        <v>0</v>
      </c>
    </row>
    <row r="234">
      <c r="A234" s="35" t="inlineStr">
        <is>
          <t>G2026-0660</t>
        </is>
      </c>
      <c r="B234" s="39" t="n">
        <v>46240</v>
      </c>
      <c r="C234" s="33" t="inlineStr">
        <is>
          <t>Sandra Martins</t>
        </is>
      </c>
      <c r="D234" s="35" t="inlineStr">
        <is>
          <t>MediPlan</t>
        </is>
      </c>
      <c r="E234" s="33" t="inlineStr">
        <is>
          <t>Consulta</t>
        </is>
      </c>
      <c r="F234" s="33" t="inlineStr">
        <is>
          <t>Dr. Paulo Andrade</t>
        </is>
      </c>
      <c r="G234" s="40" t="n">
        <v>100</v>
      </c>
      <c r="H234" s="35" t="n"/>
      <c r="I234" s="35" t="n"/>
      <c r="J234" s="30">
        <f>IF(B234="","",DATE(YEAR(B234),MONTH(B234),1))</f>
        <v>46235.0</v>
      </c>
      <c r="K234" s="41" t="str">
        <f>IF(OR(B234="",D234=""),"",D234&amp;"|"&amp;TEXT(J234,"yyyy-mm"))</f>
        <v>MediPlan|2026-08</v>
      </c>
      <c r="L234" s="24" t="str">
        <f>IF(K234="","",IFERROR(INDEX(Lotes!$N$5:$N$154,MATCH(K234,Lotes!$P$5:$P$154,0)),"Sem lote cadastrado"))</f>
        <v>Aguardando</v>
      </c>
      <c r="M234" s="25">
        <f>IF(H234="Sim",G234,0)</f>
        <v>0</v>
      </c>
      <c r="N234" s="42">
        <f>IF(AND(H234="Sim",I234&lt;&gt;"Aceito"),G234+ROW()/100000,0)</f>
        <v>0</v>
      </c>
    </row>
    <row r="235">
      <c r="A235" s="35" t="inlineStr">
        <is>
          <t>G2026-0661</t>
        </is>
      </c>
      <c r="B235" s="39" t="n">
        <v>46240</v>
      </c>
      <c r="C235" s="33" t="inlineStr">
        <is>
          <t>Mateus Dias</t>
        </is>
      </c>
      <c r="D235" s="35" t="inlineStr">
        <is>
          <t>Saúde Total</t>
        </is>
      </c>
      <c r="E235" s="33" t="inlineStr">
        <is>
          <t>Consulta</t>
        </is>
      </c>
      <c r="F235" s="33" t="inlineStr">
        <is>
          <t>Dr. Paulo Andrade</t>
        </is>
      </c>
      <c r="G235" s="40" t="n">
        <v>120</v>
      </c>
      <c r="H235" s="35" t="n"/>
      <c r="I235" s="35" t="n"/>
      <c r="J235" s="30">
        <f>IF(B235="","",DATE(YEAR(B235),MONTH(B235),1))</f>
        <v>46235.0</v>
      </c>
      <c r="K235" s="41" t="str">
        <f>IF(OR(B235="",D235=""),"",D235&amp;"|"&amp;TEXT(J235,"yyyy-mm"))</f>
        <v>Saúde Total|2026-08</v>
      </c>
      <c r="L235" s="24" t="str">
        <f>IF(K235="","",IFERROR(INDEX(Lotes!$N$5:$N$154,MATCH(K235,Lotes!$P$5:$P$154,0)),"Sem lote cadastrado"))</f>
        <v>Aguardando</v>
      </c>
      <c r="M235" s="25">
        <f>IF(H235="Sim",G235,0)</f>
        <v>0</v>
      </c>
      <c r="N235" s="42">
        <f>IF(AND(H235="Sim",I235&lt;&gt;"Aceito"),G235+ROW()/100000,0)</f>
        <v>0</v>
      </c>
    </row>
    <row r="236">
      <c r="A236" s="35" t="inlineStr">
        <is>
          <t>G2026-0662</t>
        </is>
      </c>
      <c r="B236" s="39" t="n">
        <v>46240</v>
      </c>
      <c r="C236" s="33" t="inlineStr">
        <is>
          <t>Ricardo Melo</t>
        </is>
      </c>
      <c r="D236" s="35" t="inlineStr">
        <is>
          <t>Saúde Total</t>
        </is>
      </c>
      <c r="E236" s="33" t="inlineStr">
        <is>
          <t>ECG</t>
        </is>
      </c>
      <c r="F236" s="33" t="inlineStr">
        <is>
          <t>Dr. Paulo Andrade</t>
        </is>
      </c>
      <c r="G236" s="40" t="n">
        <v>40</v>
      </c>
      <c r="H236" s="35" t="n"/>
      <c r="I236" s="35" t="n"/>
      <c r="J236" s="30">
        <f>IF(B236="","",DATE(YEAR(B236),MONTH(B236),1))</f>
        <v>46235.0</v>
      </c>
      <c r="K236" s="41" t="str">
        <f>IF(OR(B236="",D236=""),"",D236&amp;"|"&amp;TEXT(J236,"yyyy-mm"))</f>
        <v>Saúde Total|2026-08</v>
      </c>
      <c r="L236" s="24" t="str">
        <f>IF(K236="","",IFERROR(INDEX(Lotes!$N$5:$N$154,MATCH(K236,Lotes!$P$5:$P$154,0)),"Sem lote cadastrado"))</f>
        <v>Aguardando</v>
      </c>
      <c r="M236" s="25">
        <f>IF(H236="Sim",G236,0)</f>
        <v>0</v>
      </c>
      <c r="N236" s="42">
        <f>IF(AND(H236="Sim",I236&lt;&gt;"Aceito"),G236+ROW()/100000,0)</f>
        <v>0</v>
      </c>
    </row>
    <row r="237">
      <c r="A237" s="35" t="inlineStr">
        <is>
          <t>G2026-0663</t>
        </is>
      </c>
      <c r="B237" s="39" t="n">
        <v>46240</v>
      </c>
      <c r="C237" s="33" t="inlineStr">
        <is>
          <t>Carlos Barros</t>
        </is>
      </c>
      <c r="D237" s="35" t="inlineStr">
        <is>
          <t>MediPlan</t>
        </is>
      </c>
      <c r="E237" s="33" t="inlineStr">
        <is>
          <t>MAPA</t>
        </is>
      </c>
      <c r="F237" s="33" t="inlineStr">
        <is>
          <t>Dr. Paulo Andrade</t>
        </is>
      </c>
      <c r="G237" s="40" t="n">
        <v>85</v>
      </c>
      <c r="H237" s="35" t="n"/>
      <c r="I237" s="35" t="n"/>
      <c r="J237" s="30">
        <f>IF(B237="","",DATE(YEAR(B237),MONTH(B237),1))</f>
        <v>46235.0</v>
      </c>
      <c r="K237" s="41" t="str">
        <f>IF(OR(B237="",D237=""),"",D237&amp;"|"&amp;TEXT(J237,"yyyy-mm"))</f>
        <v>MediPlan|2026-08</v>
      </c>
      <c r="L237" s="24" t="str">
        <f>IF(K237="","",IFERROR(INDEX(Lotes!$N$5:$N$154,MATCH(K237,Lotes!$P$5:$P$154,0)),"Sem lote cadastrado"))</f>
        <v>Aguardando</v>
      </c>
      <c r="M237" s="25">
        <f>IF(H237="Sim",G237,0)</f>
        <v>0</v>
      </c>
      <c r="N237" s="42">
        <f>IF(AND(H237="Sim",I237&lt;&gt;"Aceito"),G237+ROW()/100000,0)</f>
        <v>0</v>
      </c>
    </row>
    <row r="238">
      <c r="A238" s="35" t="inlineStr">
        <is>
          <t>G2026-0664</t>
        </is>
      </c>
      <c r="B238" s="39" t="n">
        <v>46241</v>
      </c>
      <c r="C238" s="33" t="inlineStr">
        <is>
          <t>Fernanda Nunes</t>
        </is>
      </c>
      <c r="D238" s="35" t="inlineStr">
        <is>
          <t>MediPlan</t>
        </is>
      </c>
      <c r="E238" s="33" t="inlineStr">
        <is>
          <t>Teste ergométrico</t>
        </is>
      </c>
      <c r="F238" s="33" t="inlineStr">
        <is>
          <t>Dr. Paulo Andrade</t>
        </is>
      </c>
      <c r="G238" s="40" t="n">
        <v>125</v>
      </c>
      <c r="H238" s="35" t="n"/>
      <c r="I238" s="35" t="n"/>
      <c r="J238" s="30">
        <f>IF(B238="","",DATE(YEAR(B238),MONTH(B238),1))</f>
        <v>46235.0</v>
      </c>
      <c r="K238" s="41" t="str">
        <f>IF(OR(B238="",D238=""),"",D238&amp;"|"&amp;TEXT(J238,"yyyy-mm"))</f>
        <v>MediPlan|2026-08</v>
      </c>
      <c r="L238" s="24" t="str">
        <f>IF(K238="","",IFERROR(INDEX(Lotes!$N$5:$N$154,MATCH(K238,Lotes!$P$5:$P$154,0)),"Sem lote cadastrado"))</f>
        <v>Aguardando</v>
      </c>
      <c r="M238" s="25">
        <f>IF(H238="Sim",G238,0)</f>
        <v>0</v>
      </c>
      <c r="N238" s="42">
        <f>IF(AND(H238="Sim",I238&lt;&gt;"Aceito"),G238+ROW()/100000,0)</f>
        <v>0</v>
      </c>
    </row>
    <row r="239">
      <c r="A239" s="35" t="inlineStr">
        <is>
          <t>G2026-0665</t>
        </is>
      </c>
      <c r="B239" s="39" t="n">
        <v>46241</v>
      </c>
      <c r="C239" s="33" t="inlineStr">
        <is>
          <t>Patrícia Vieira</t>
        </is>
      </c>
      <c r="D239" s="35" t="inlineStr">
        <is>
          <t>Saúde Total</t>
        </is>
      </c>
      <c r="E239" s="33" t="inlineStr">
        <is>
          <t>Consulta</t>
        </is>
      </c>
      <c r="F239" s="33" t="inlineStr">
        <is>
          <t>Dr. Paulo Andrade</t>
        </is>
      </c>
      <c r="G239" s="40" t="n">
        <v>120</v>
      </c>
      <c r="H239" s="35" t="n"/>
      <c r="I239" s="35" t="n"/>
      <c r="J239" s="30">
        <f>IF(B239="","",DATE(YEAR(B239),MONTH(B239),1))</f>
        <v>46235.0</v>
      </c>
      <c r="K239" s="41" t="str">
        <f>IF(OR(B239="",D239=""),"",D239&amp;"|"&amp;TEXT(J239,"yyyy-mm"))</f>
        <v>Saúde Total|2026-08</v>
      </c>
      <c r="L239" s="24" t="str">
        <f>IF(K239="","",IFERROR(INDEX(Lotes!$N$5:$N$154,MATCH(K239,Lotes!$P$5:$P$154,0)),"Sem lote cadastrado"))</f>
        <v>Aguardando</v>
      </c>
      <c r="M239" s="25">
        <f>IF(H239="Sim",G239,0)</f>
        <v>0</v>
      </c>
      <c r="N239" s="42">
        <f>IF(AND(H239="Sim",I239&lt;&gt;"Aceito"),G239+ROW()/100000,0)</f>
        <v>0</v>
      </c>
    </row>
    <row r="240">
      <c r="A240" s="35" t="inlineStr">
        <is>
          <t>G2026-0666</t>
        </is>
      </c>
      <c r="B240" s="39" t="n">
        <v>46244</v>
      </c>
      <c r="C240" s="33" t="inlineStr">
        <is>
          <t>Mônica Teixeira</t>
        </is>
      </c>
      <c r="D240" s="35" t="inlineStr">
        <is>
          <t>Vida Care</t>
        </is>
      </c>
      <c r="E240" s="33" t="inlineStr">
        <is>
          <t>Consulta</t>
        </is>
      </c>
      <c r="F240" s="33" t="inlineStr">
        <is>
          <t>Dra. Carolina Mendes</t>
        </is>
      </c>
      <c r="G240" s="40" t="n">
        <v>90</v>
      </c>
      <c r="H240" s="35" t="n"/>
      <c r="I240" s="35" t="n"/>
      <c r="J240" s="30">
        <f>IF(B240="","",DATE(YEAR(B240),MONTH(B240),1))</f>
        <v>46235.0</v>
      </c>
      <c r="K240" s="41" t="str">
        <f>IF(OR(B240="",D240=""),"",D240&amp;"|"&amp;TEXT(J240,"yyyy-mm"))</f>
        <v>Vida Care|2026-08</v>
      </c>
      <c r="L240" s="24" t="str">
        <f>IF(K240="","",IFERROR(INDEX(Lotes!$N$5:$N$154,MATCH(K240,Lotes!$P$5:$P$154,0)),"Sem lote cadastrado"))</f>
        <v>Aguardando</v>
      </c>
      <c r="M240" s="25">
        <f>IF(H240="Sim",G240,0)</f>
        <v>0</v>
      </c>
      <c r="N240" s="42">
        <f>IF(AND(H240="Sim",I240&lt;&gt;"Aceito"),G240+ROW()/100000,0)</f>
        <v>0</v>
      </c>
    </row>
    <row r="241">
      <c r="A241" s="35" t="inlineStr">
        <is>
          <t>G2026-0667</t>
        </is>
      </c>
      <c r="B241" s="39" t="n">
        <v>46244</v>
      </c>
      <c r="C241" s="33" t="inlineStr">
        <is>
          <t>Carlos Barros</t>
        </is>
      </c>
      <c r="D241" s="35" t="inlineStr">
        <is>
          <t>MediPlan</t>
        </is>
      </c>
      <c r="E241" s="33" t="inlineStr">
        <is>
          <t>Consulta</t>
        </is>
      </c>
      <c r="F241" s="33" t="inlineStr">
        <is>
          <t>Dra. Carolina Mendes</t>
        </is>
      </c>
      <c r="G241" s="40" t="n">
        <v>100</v>
      </c>
      <c r="H241" s="35" t="n"/>
      <c r="I241" s="35" t="n"/>
      <c r="J241" s="30">
        <f>IF(B241="","",DATE(YEAR(B241),MONTH(B241),1))</f>
        <v>46235.0</v>
      </c>
      <c r="K241" s="41" t="str">
        <f>IF(OR(B241="",D241=""),"",D241&amp;"|"&amp;TEXT(J241,"yyyy-mm"))</f>
        <v>MediPlan|2026-08</v>
      </c>
      <c r="L241" s="24" t="str">
        <f>IF(K241="","",IFERROR(INDEX(Lotes!$N$5:$N$154,MATCH(K241,Lotes!$P$5:$P$154,0)),"Sem lote cadastrado"))</f>
        <v>Aguardando</v>
      </c>
      <c r="M241" s="25">
        <f>IF(H241="Sim",G241,0)</f>
        <v>0</v>
      </c>
      <c r="N241" s="42">
        <f>IF(AND(H241="Sim",I241&lt;&gt;"Aceito"),G241+ROW()/100000,0)</f>
        <v>0</v>
      </c>
    </row>
    <row r="242">
      <c r="A242" s="35" t="inlineStr">
        <is>
          <t>G2026-0668</t>
        </is>
      </c>
      <c r="B242" s="39" t="n">
        <v>46244</v>
      </c>
      <c r="C242" s="33" t="inlineStr">
        <is>
          <t>Roberta Fernandes</t>
        </is>
      </c>
      <c r="D242" s="35" t="inlineStr">
        <is>
          <t>Saúde Total</t>
        </is>
      </c>
      <c r="E242" s="33" t="inlineStr">
        <is>
          <t>Consulta</t>
        </is>
      </c>
      <c r="F242" s="33" t="inlineStr">
        <is>
          <t>Dra. Carolina Mendes</t>
        </is>
      </c>
      <c r="G242" s="40" t="n">
        <v>120</v>
      </c>
      <c r="H242" s="35" t="n"/>
      <c r="I242" s="35" t="n"/>
      <c r="J242" s="30">
        <f>IF(B242="","",DATE(YEAR(B242),MONTH(B242),1))</f>
        <v>46235.0</v>
      </c>
      <c r="K242" s="41" t="str">
        <f>IF(OR(B242="",D242=""),"",D242&amp;"|"&amp;TEXT(J242,"yyyy-mm"))</f>
        <v>Saúde Total|2026-08</v>
      </c>
      <c r="L242" s="24" t="str">
        <f>IF(K242="","",IFERROR(INDEX(Lotes!$N$5:$N$154,MATCH(K242,Lotes!$P$5:$P$154,0)),"Sem lote cadastrado"))</f>
        <v>Aguardando</v>
      </c>
      <c r="M242" s="25">
        <f>IF(H242="Sim",G242,0)</f>
        <v>0</v>
      </c>
      <c r="N242" s="42">
        <f>IF(AND(H242="Sim",I242&lt;&gt;"Aceito"),G242+ROW()/100000,0)</f>
        <v>0</v>
      </c>
    </row>
    <row r="243">
      <c r="A243" s="35" t="inlineStr">
        <is>
          <t>G2026-0669</t>
        </is>
      </c>
      <c r="B243" s="39" t="n">
        <v>46244</v>
      </c>
      <c r="C243" s="33" t="inlineStr">
        <is>
          <t>Helena Ribeiro</t>
        </is>
      </c>
      <c r="D243" s="35" t="inlineStr">
        <is>
          <t>MediPlan</t>
        </is>
      </c>
      <c r="E243" s="33" t="inlineStr">
        <is>
          <t>Consulta</t>
        </is>
      </c>
      <c r="F243" s="33" t="inlineStr">
        <is>
          <t>Dr. Paulo Andrade</t>
        </is>
      </c>
      <c r="G243" s="40" t="n">
        <v>100</v>
      </c>
      <c r="H243" s="35" t="n"/>
      <c r="I243" s="35" t="n"/>
      <c r="J243" s="30">
        <f>IF(B243="","",DATE(YEAR(B243),MONTH(B243),1))</f>
        <v>46235.0</v>
      </c>
      <c r="K243" s="41" t="str">
        <f>IF(OR(B243="",D243=""),"",D243&amp;"|"&amp;TEXT(J243,"yyyy-mm"))</f>
        <v>MediPlan|2026-08</v>
      </c>
      <c r="L243" s="24" t="str">
        <f>IF(K243="","",IFERROR(INDEX(Lotes!$N$5:$N$154,MATCH(K243,Lotes!$P$5:$P$154,0)),"Sem lote cadastrado"))</f>
        <v>Aguardando</v>
      </c>
      <c r="M243" s="25">
        <f>IF(H243="Sim",G243,0)</f>
        <v>0</v>
      </c>
      <c r="N243" s="42">
        <f>IF(AND(H243="Sim",I243&lt;&gt;"Aceito"),G243+ROW()/100000,0)</f>
        <v>0</v>
      </c>
    </row>
    <row r="244">
      <c r="A244" s="35" t="inlineStr">
        <is>
          <t>G2026-0670</t>
        </is>
      </c>
      <c r="B244" s="39" t="n">
        <v>46244</v>
      </c>
      <c r="C244" s="33" t="inlineStr">
        <is>
          <t>Otávio Martins</t>
        </is>
      </c>
      <c r="D244" s="35" t="inlineStr">
        <is>
          <t>MediPlan</t>
        </is>
      </c>
      <c r="E244" s="33" t="inlineStr">
        <is>
          <t>Consulta</t>
        </is>
      </c>
      <c r="F244" s="33" t="inlineStr">
        <is>
          <t>Dr. Paulo Andrade</t>
        </is>
      </c>
      <c r="G244" s="40" t="n">
        <v>100</v>
      </c>
      <c r="H244" s="35" t="n"/>
      <c r="I244" s="35" t="n"/>
      <c r="J244" s="30">
        <f>IF(B244="","",DATE(YEAR(B244),MONTH(B244),1))</f>
        <v>46235.0</v>
      </c>
      <c r="K244" s="41" t="str">
        <f>IF(OR(B244="",D244=""),"",D244&amp;"|"&amp;TEXT(J244,"yyyy-mm"))</f>
        <v>MediPlan|2026-08</v>
      </c>
      <c r="L244" s="24" t="str">
        <f>IF(K244="","",IFERROR(INDEX(Lotes!$N$5:$N$154,MATCH(K244,Lotes!$P$5:$P$154,0)),"Sem lote cadastrado"))</f>
        <v>Aguardando</v>
      </c>
      <c r="M244" s="25">
        <f>IF(H244="Sim",G244,0)</f>
        <v>0</v>
      </c>
      <c r="N244" s="42">
        <f>IF(AND(H244="Sim",I244&lt;&gt;"Aceito"),G244+ROW()/100000,0)</f>
        <v>0</v>
      </c>
    </row>
    <row r="245">
      <c r="A245" s="35" t="inlineStr">
        <is>
          <t>G2026-0671</t>
        </is>
      </c>
      <c r="B245" s="39" t="n">
        <v>46245</v>
      </c>
      <c r="C245" s="33" t="inlineStr">
        <is>
          <t>Mônica Batista</t>
        </is>
      </c>
      <c r="D245" s="35" t="inlineStr">
        <is>
          <t>MediPlan</t>
        </is>
      </c>
      <c r="E245" s="33" t="inlineStr">
        <is>
          <t>Consulta</t>
        </is>
      </c>
      <c r="F245" s="33" t="inlineStr">
        <is>
          <t>Dra. Carolina Mendes</t>
        </is>
      </c>
      <c r="G245" s="40" t="n">
        <v>100</v>
      </c>
      <c r="H245" s="35" t="n"/>
      <c r="I245" s="35" t="n"/>
      <c r="J245" s="30">
        <f>IF(B245="","",DATE(YEAR(B245),MONTH(B245),1))</f>
        <v>46235.0</v>
      </c>
      <c r="K245" s="41" t="str">
        <f>IF(OR(B245="",D245=""),"",D245&amp;"|"&amp;TEXT(J245,"yyyy-mm"))</f>
        <v>MediPlan|2026-08</v>
      </c>
      <c r="L245" s="24" t="str">
        <f>IF(K245="","",IFERROR(INDEX(Lotes!$N$5:$N$154,MATCH(K245,Lotes!$P$5:$P$154,0)),"Sem lote cadastrado"))</f>
        <v>Aguardando</v>
      </c>
      <c r="M245" s="25">
        <f>IF(H245="Sim",G245,0)</f>
        <v>0</v>
      </c>
      <c r="N245" s="42">
        <f>IF(AND(H245="Sim",I245&lt;&gt;"Aceito"),G245+ROW()/100000,0)</f>
        <v>0</v>
      </c>
    </row>
    <row r="246">
      <c r="A246" s="35" t="inlineStr">
        <is>
          <t>G2026-0672</t>
        </is>
      </c>
      <c r="B246" s="39" t="n">
        <v>46245</v>
      </c>
      <c r="C246" s="33" t="inlineStr">
        <is>
          <t>Tatiana Rocha</t>
        </is>
      </c>
      <c r="D246" s="35" t="inlineStr">
        <is>
          <t>Vida Care</t>
        </is>
      </c>
      <c r="E246" s="33" t="inlineStr">
        <is>
          <t>Consulta</t>
        </is>
      </c>
      <c r="F246" s="33" t="inlineStr">
        <is>
          <t>Dra. Carolina Mendes</t>
        </is>
      </c>
      <c r="G246" s="40" t="n">
        <v>90</v>
      </c>
      <c r="H246" s="35" t="n"/>
      <c r="I246" s="35" t="n"/>
      <c r="J246" s="30">
        <f>IF(B246="","",DATE(YEAR(B246),MONTH(B246),1))</f>
        <v>46235.0</v>
      </c>
      <c r="K246" s="41" t="str">
        <f>IF(OR(B246="",D246=""),"",D246&amp;"|"&amp;TEXT(J246,"yyyy-mm"))</f>
        <v>Vida Care|2026-08</v>
      </c>
      <c r="L246" s="24" t="str">
        <f>IF(K246="","",IFERROR(INDEX(Lotes!$N$5:$N$154,MATCH(K246,Lotes!$P$5:$P$154,0)),"Sem lote cadastrado"))</f>
        <v>Aguardando</v>
      </c>
      <c r="M246" s="25">
        <f>IF(H246="Sim",G246,0)</f>
        <v>0</v>
      </c>
      <c r="N246" s="42">
        <f>IF(AND(H246="Sim",I246&lt;&gt;"Aceito"),G246+ROW()/100000,0)</f>
        <v>0</v>
      </c>
    </row>
    <row r="247">
      <c r="A247" s="35" t="inlineStr">
        <is>
          <t>G2026-0673</t>
        </is>
      </c>
      <c r="B247" s="39" t="n">
        <v>46245</v>
      </c>
      <c r="C247" s="33" t="inlineStr">
        <is>
          <t>Rafael Nascimento</t>
        </is>
      </c>
      <c r="D247" s="35" t="inlineStr">
        <is>
          <t>Saúde Total</t>
        </is>
      </c>
      <c r="E247" s="33" t="inlineStr">
        <is>
          <t>Avaliação endócrina</t>
        </is>
      </c>
      <c r="F247" s="33" t="inlineStr">
        <is>
          <t>Dra. Renata Sousa</t>
        </is>
      </c>
      <c r="G247" s="40" t="n">
        <v>130</v>
      </c>
      <c r="H247" s="35" t="n"/>
      <c r="I247" s="35" t="n"/>
      <c r="J247" s="30">
        <f>IF(B247="","",DATE(YEAR(B247),MONTH(B247),1))</f>
        <v>46235.0</v>
      </c>
      <c r="K247" s="41" t="str">
        <f>IF(OR(B247="",D247=""),"",D247&amp;"|"&amp;TEXT(J247,"yyyy-mm"))</f>
        <v>Saúde Total|2026-08</v>
      </c>
      <c r="L247" s="24" t="str">
        <f>IF(K247="","",IFERROR(INDEX(Lotes!$N$5:$N$154,MATCH(K247,Lotes!$P$5:$P$154,0)),"Sem lote cadastrado"))</f>
        <v>Aguardando</v>
      </c>
      <c r="M247" s="25">
        <f>IF(H247="Sim",G247,0)</f>
        <v>0</v>
      </c>
      <c r="N247" s="42">
        <f>IF(AND(H247="Sim",I247&lt;&gt;"Aceito"),G247+ROW()/100000,0)</f>
        <v>0</v>
      </c>
    </row>
    <row r="248">
      <c r="A248" s="35" t="inlineStr">
        <is>
          <t>G2026-0674</t>
        </is>
      </c>
      <c r="B248" s="39" t="n">
        <v>46245</v>
      </c>
      <c r="C248" s="33" t="inlineStr">
        <is>
          <t>Rodrigo Teixeira</t>
        </is>
      </c>
      <c r="D248" s="35" t="inlineStr">
        <is>
          <t>Vida Care</t>
        </is>
      </c>
      <c r="E248" s="33" t="inlineStr">
        <is>
          <t>Holter</t>
        </is>
      </c>
      <c r="F248" s="33" t="inlineStr">
        <is>
          <t>Dr. Paulo Andrade</t>
        </is>
      </c>
      <c r="G248" s="40" t="n">
        <v>85</v>
      </c>
      <c r="H248" s="35" t="n"/>
      <c r="I248" s="35" t="n"/>
      <c r="J248" s="30">
        <f>IF(B248="","",DATE(YEAR(B248),MONTH(B248),1))</f>
        <v>46235.0</v>
      </c>
      <c r="K248" s="41" t="str">
        <f>IF(OR(B248="",D248=""),"",D248&amp;"|"&amp;TEXT(J248,"yyyy-mm"))</f>
        <v>Vida Care|2026-08</v>
      </c>
      <c r="L248" s="24" t="str">
        <f>IF(K248="","",IFERROR(INDEX(Lotes!$N$5:$N$154,MATCH(K248,Lotes!$P$5:$P$154,0)),"Sem lote cadastrado"))</f>
        <v>Aguardando</v>
      </c>
      <c r="M248" s="25">
        <f>IF(H248="Sim",G248,0)</f>
        <v>0</v>
      </c>
      <c r="N248" s="42">
        <f>IF(AND(H248="Sim",I248&lt;&gt;"Aceito"),G248+ROW()/100000,0)</f>
        <v>0</v>
      </c>
    </row>
    <row r="249">
      <c r="A249" s="35" t="inlineStr">
        <is>
          <t>G2026-0675</t>
        </is>
      </c>
      <c r="B249" s="39" t="n">
        <v>46245</v>
      </c>
      <c r="C249" s="33" t="inlineStr">
        <is>
          <t>Roberta Fernandes</t>
        </is>
      </c>
      <c r="D249" s="35" t="inlineStr">
        <is>
          <t>Saúde Total</t>
        </is>
      </c>
      <c r="E249" s="33" t="inlineStr">
        <is>
          <t>MAPA</t>
        </is>
      </c>
      <c r="F249" s="33" t="inlineStr">
        <is>
          <t>Dr. Paulo Andrade</t>
        </is>
      </c>
      <c r="G249" s="40" t="n">
        <v>95</v>
      </c>
      <c r="H249" s="35" t="n"/>
      <c r="I249" s="35" t="n"/>
      <c r="J249" s="30">
        <f>IF(B249="","",DATE(YEAR(B249),MONTH(B249),1))</f>
        <v>46235.0</v>
      </c>
      <c r="K249" s="41" t="str">
        <f>IF(OR(B249="",D249=""),"",D249&amp;"|"&amp;TEXT(J249,"yyyy-mm"))</f>
        <v>Saúde Total|2026-08</v>
      </c>
      <c r="L249" s="24" t="str">
        <f>IF(K249="","",IFERROR(INDEX(Lotes!$N$5:$N$154,MATCH(K249,Lotes!$P$5:$P$154,0)),"Sem lote cadastrado"))</f>
        <v>Aguardando</v>
      </c>
      <c r="M249" s="25">
        <f>IF(H249="Sim",G249,0)</f>
        <v>0</v>
      </c>
      <c r="N249" s="42">
        <f>IF(AND(H249="Sim",I249&lt;&gt;"Aceito"),G249+ROW()/100000,0)</f>
        <v>0</v>
      </c>
    </row>
    <row r="250">
      <c r="A250" s="35" t="inlineStr">
        <is>
          <t>G2026-0676</t>
        </is>
      </c>
      <c r="B250" s="39" t="n">
        <v>46245</v>
      </c>
      <c r="C250" s="33" t="inlineStr">
        <is>
          <t>Daniel Almeida</t>
        </is>
      </c>
      <c r="D250" s="35" t="inlineStr">
        <is>
          <t>Saúde Total</t>
        </is>
      </c>
      <c r="E250" s="33" t="inlineStr">
        <is>
          <t>ECG</t>
        </is>
      </c>
      <c r="F250" s="33" t="inlineStr">
        <is>
          <t>Dr. Paulo Andrade</t>
        </is>
      </c>
      <c r="G250" s="40" t="n">
        <v>40</v>
      </c>
      <c r="H250" s="35" t="n"/>
      <c r="I250" s="35" t="n"/>
      <c r="J250" s="30">
        <f>IF(B250="","",DATE(YEAR(B250),MONTH(B250),1))</f>
        <v>46235.0</v>
      </c>
      <c r="K250" s="41" t="str">
        <f>IF(OR(B250="",D250=""),"",D250&amp;"|"&amp;TEXT(J250,"yyyy-mm"))</f>
        <v>Saúde Total|2026-08</v>
      </c>
      <c r="L250" s="24" t="str">
        <f>IF(K250="","",IFERROR(INDEX(Lotes!$N$5:$N$154,MATCH(K250,Lotes!$P$5:$P$154,0)),"Sem lote cadastrado"))</f>
        <v>Aguardando</v>
      </c>
      <c r="M250" s="25">
        <f>IF(H250="Sim",G250,0)</f>
        <v>0</v>
      </c>
      <c r="N250" s="42">
        <f>IF(AND(H250="Sim",I250&lt;&gt;"Aceito"),G250+ROW()/100000,0)</f>
        <v>0</v>
      </c>
    </row>
    <row r="251">
      <c r="A251" s="35" t="inlineStr">
        <is>
          <t>G2026-0677</t>
        </is>
      </c>
      <c r="B251" s="39" t="n">
        <v>46246</v>
      </c>
      <c r="C251" s="33" t="inlineStr">
        <is>
          <t>Priscila Castro</t>
        </is>
      </c>
      <c r="D251" s="35" t="inlineStr">
        <is>
          <t>Saúde Total</t>
        </is>
      </c>
      <c r="E251" s="33" t="inlineStr">
        <is>
          <t>Consulta</t>
        </is>
      </c>
      <c r="F251" s="33" t="inlineStr">
        <is>
          <t>Dra. Carolina Mendes</t>
        </is>
      </c>
      <c r="G251" s="40" t="n">
        <v>120</v>
      </c>
      <c r="H251" s="35" t="n"/>
      <c r="I251" s="35" t="n"/>
      <c r="J251" s="30">
        <f>IF(B251="","",DATE(YEAR(B251),MONTH(B251),1))</f>
        <v>46235.0</v>
      </c>
      <c r="K251" s="41" t="str">
        <f>IF(OR(B251="",D251=""),"",D251&amp;"|"&amp;TEXT(J251,"yyyy-mm"))</f>
        <v>Saúde Total|2026-08</v>
      </c>
      <c r="L251" s="24" t="str">
        <f>IF(K251="","",IFERROR(INDEX(Lotes!$N$5:$N$154,MATCH(K251,Lotes!$P$5:$P$154,0)),"Sem lote cadastrado"))</f>
        <v>Aguardando</v>
      </c>
      <c r="M251" s="25">
        <f>IF(H251="Sim",G251,0)</f>
        <v>0</v>
      </c>
      <c r="N251" s="42">
        <f>IF(AND(H251="Sim",I251&lt;&gt;"Aceito"),G251+ROW()/100000,0)</f>
        <v>0</v>
      </c>
    </row>
    <row r="252">
      <c r="A252" s="35" t="inlineStr">
        <is>
          <t>G2026-0678</t>
        </is>
      </c>
      <c r="B252" s="39" t="n">
        <v>46246</v>
      </c>
      <c r="C252" s="33" t="inlineStr">
        <is>
          <t>Eduardo Nunes</t>
        </is>
      </c>
      <c r="D252" s="35" t="inlineStr">
        <is>
          <t>MediPlan</t>
        </is>
      </c>
      <c r="E252" s="33" t="inlineStr">
        <is>
          <t>Consulta</t>
        </is>
      </c>
      <c r="F252" s="33" t="inlineStr">
        <is>
          <t>Dra. Carolina Mendes</t>
        </is>
      </c>
      <c r="G252" s="40" t="n">
        <v>100</v>
      </c>
      <c r="H252" s="35" t="n"/>
      <c r="I252" s="35" t="n"/>
      <c r="J252" s="30">
        <f>IF(B252="","",DATE(YEAR(B252),MONTH(B252),1))</f>
        <v>46235.0</v>
      </c>
      <c r="K252" s="41" t="str">
        <f>IF(OR(B252="",D252=""),"",D252&amp;"|"&amp;TEXT(J252,"yyyy-mm"))</f>
        <v>MediPlan|2026-08</v>
      </c>
      <c r="L252" s="24" t="str">
        <f>IF(K252="","",IFERROR(INDEX(Lotes!$N$5:$N$154,MATCH(K252,Lotes!$P$5:$P$154,0)),"Sem lote cadastrado"))</f>
        <v>Aguardando</v>
      </c>
      <c r="M252" s="25">
        <f>IF(H252="Sim",G252,0)</f>
        <v>0</v>
      </c>
      <c r="N252" s="42">
        <f>IF(AND(H252="Sim",I252&lt;&gt;"Aceito"),G252+ROW()/100000,0)</f>
        <v>0</v>
      </c>
    </row>
    <row r="253">
      <c r="A253" s="35" t="inlineStr">
        <is>
          <t>G2026-0679</t>
        </is>
      </c>
      <c r="B253" s="39" t="n">
        <v>46247</v>
      </c>
      <c r="C253" s="33" t="inlineStr">
        <is>
          <t>Daniel Melo</t>
        </is>
      </c>
      <c r="D253" s="35" t="inlineStr">
        <is>
          <t>Saúde Total</t>
        </is>
      </c>
      <c r="E253" s="33" t="inlineStr">
        <is>
          <t>Consulta</t>
        </is>
      </c>
      <c r="F253" s="33" t="inlineStr">
        <is>
          <t>Dra. Carolina Mendes</t>
        </is>
      </c>
      <c r="G253" s="40" t="n">
        <v>120</v>
      </c>
      <c r="H253" s="35" t="n"/>
      <c r="I253" s="35" t="n"/>
      <c r="J253" s="30">
        <f>IF(B253="","",DATE(YEAR(B253),MONTH(B253),1))</f>
        <v>46235.0</v>
      </c>
      <c r="K253" s="41" t="str">
        <f>IF(OR(B253="",D253=""),"",D253&amp;"|"&amp;TEXT(J253,"yyyy-mm"))</f>
        <v>Saúde Total|2026-08</v>
      </c>
      <c r="L253" s="24" t="str">
        <f>IF(K253="","",IFERROR(INDEX(Lotes!$N$5:$N$154,MATCH(K253,Lotes!$P$5:$P$154,0)),"Sem lote cadastrado"))</f>
        <v>Aguardando</v>
      </c>
      <c r="M253" s="25">
        <f>IF(H253="Sim",G253,0)</f>
        <v>0</v>
      </c>
      <c r="N253" s="42">
        <f>IF(AND(H253="Sim",I253&lt;&gt;"Aceito"),G253+ROW()/100000,0)</f>
        <v>0</v>
      </c>
    </row>
    <row r="254">
      <c r="A254" s="35" t="inlineStr">
        <is>
          <t>G2026-0680</t>
        </is>
      </c>
      <c r="B254" s="39" t="n">
        <v>46247</v>
      </c>
      <c r="C254" s="33" t="inlineStr">
        <is>
          <t>Mateus Lima</t>
        </is>
      </c>
      <c r="D254" s="35" t="inlineStr">
        <is>
          <t>MediPlan</t>
        </is>
      </c>
      <c r="E254" s="33" t="inlineStr">
        <is>
          <t>Consulta</t>
        </is>
      </c>
      <c r="F254" s="33" t="inlineStr">
        <is>
          <t>Dra. Carolina Mendes</t>
        </is>
      </c>
      <c r="G254" s="40" t="n">
        <v>100</v>
      </c>
      <c r="H254" s="35" t="n"/>
      <c r="I254" s="35" t="n"/>
      <c r="J254" s="30">
        <f>IF(B254="","",DATE(YEAR(B254),MONTH(B254),1))</f>
        <v>46235.0</v>
      </c>
      <c r="K254" s="41" t="str">
        <f>IF(OR(B254="",D254=""),"",D254&amp;"|"&amp;TEXT(J254,"yyyy-mm"))</f>
        <v>MediPlan|2026-08</v>
      </c>
      <c r="L254" s="24" t="str">
        <f>IF(K254="","",IFERROR(INDEX(Lotes!$N$5:$N$154,MATCH(K254,Lotes!$P$5:$P$154,0)),"Sem lote cadastrado"))</f>
        <v>Aguardando</v>
      </c>
      <c r="M254" s="25">
        <f>IF(H254="Sim",G254,0)</f>
        <v>0</v>
      </c>
      <c r="N254" s="42">
        <f>IF(AND(H254="Sim",I254&lt;&gt;"Aceito"),G254+ROW()/100000,0)</f>
        <v>0</v>
      </c>
    </row>
    <row r="255">
      <c r="A255" s="35" t="inlineStr">
        <is>
          <t>G2026-0681</t>
        </is>
      </c>
      <c r="B255" s="39" t="n">
        <v>46247</v>
      </c>
      <c r="C255" s="33" t="inlineStr">
        <is>
          <t>Wagner Carvalho</t>
        </is>
      </c>
      <c r="D255" s="35" t="inlineStr">
        <is>
          <t>Vida Care</t>
        </is>
      </c>
      <c r="E255" s="33" t="inlineStr">
        <is>
          <t>Consulta</t>
        </is>
      </c>
      <c r="F255" s="33" t="inlineStr">
        <is>
          <t>Dr. Paulo Andrade</t>
        </is>
      </c>
      <c r="G255" s="40" t="n">
        <v>90</v>
      </c>
      <c r="H255" s="35" t="n"/>
      <c r="I255" s="35" t="n"/>
      <c r="J255" s="30">
        <f>IF(B255="","",DATE(YEAR(B255),MONTH(B255),1))</f>
        <v>46235.0</v>
      </c>
      <c r="K255" s="41" t="str">
        <f>IF(OR(B255="",D255=""),"",D255&amp;"|"&amp;TEXT(J255,"yyyy-mm"))</f>
        <v>Vida Care|2026-08</v>
      </c>
      <c r="L255" s="24" t="str">
        <f>IF(K255="","",IFERROR(INDEX(Lotes!$N$5:$N$154,MATCH(K255,Lotes!$P$5:$P$154,0)),"Sem lote cadastrado"))</f>
        <v>Aguardando</v>
      </c>
      <c r="M255" s="25">
        <f>IF(H255="Sim",G255,0)</f>
        <v>0</v>
      </c>
      <c r="N255" s="42">
        <f>IF(AND(H255="Sim",I255&lt;&gt;"Aceito"),G255+ROW()/100000,0)</f>
        <v>0</v>
      </c>
    </row>
    <row r="256">
      <c r="A256" s="35" t="inlineStr">
        <is>
          <t>G2026-0682</t>
        </is>
      </c>
      <c r="B256" s="39" t="n">
        <v>46247</v>
      </c>
      <c r="C256" s="33" t="inlineStr">
        <is>
          <t>Sérgio Batista</t>
        </is>
      </c>
      <c r="D256" s="35" t="inlineStr">
        <is>
          <t>MediPlan</t>
        </is>
      </c>
      <c r="E256" s="33" t="inlineStr">
        <is>
          <t>Teste ergométrico</t>
        </is>
      </c>
      <c r="F256" s="33" t="inlineStr">
        <is>
          <t>Dr. Paulo Andrade</t>
        </is>
      </c>
      <c r="G256" s="40" t="n">
        <v>125</v>
      </c>
      <c r="H256" s="35" t="n"/>
      <c r="I256" s="35" t="n"/>
      <c r="J256" s="30">
        <f>IF(B256="","",DATE(YEAR(B256),MONTH(B256),1))</f>
        <v>46235.0</v>
      </c>
      <c r="K256" s="41" t="str">
        <f>IF(OR(B256="",D256=""),"",D256&amp;"|"&amp;TEXT(J256,"yyyy-mm"))</f>
        <v>MediPlan|2026-08</v>
      </c>
      <c r="L256" s="24" t="str">
        <f>IF(K256="","",IFERROR(INDEX(Lotes!$N$5:$N$154,MATCH(K256,Lotes!$P$5:$P$154,0)),"Sem lote cadastrado"))</f>
        <v>Aguardando</v>
      </c>
      <c r="M256" s="25">
        <f>IF(H256="Sim",G256,0)</f>
        <v>0</v>
      </c>
      <c r="N256" s="42">
        <f>IF(AND(H256="Sim",I256&lt;&gt;"Aceito"),G256+ROW()/100000,0)</f>
        <v>0</v>
      </c>
    </row>
    <row r="257">
      <c r="A257" s="35" t="inlineStr">
        <is>
          <t>G2026-0683</t>
        </is>
      </c>
      <c r="B257" s="39" t="n">
        <v>46247</v>
      </c>
      <c r="C257" s="33" t="inlineStr">
        <is>
          <t>Bruno Carvalho</t>
        </is>
      </c>
      <c r="D257" s="35" t="inlineStr">
        <is>
          <t>Saúde Total</t>
        </is>
      </c>
      <c r="E257" s="33" t="inlineStr">
        <is>
          <t>Consulta</t>
        </is>
      </c>
      <c r="F257" s="33" t="inlineStr">
        <is>
          <t>Dr. Paulo Andrade</t>
        </is>
      </c>
      <c r="G257" s="40" t="n">
        <v>120</v>
      </c>
      <c r="H257" s="35" t="n"/>
      <c r="I257" s="35" t="n"/>
      <c r="J257" s="30">
        <f>IF(B257="","",DATE(YEAR(B257),MONTH(B257),1))</f>
        <v>46235.0</v>
      </c>
      <c r="K257" s="41" t="str">
        <f>IF(OR(B257="",D257=""),"",D257&amp;"|"&amp;TEXT(J257,"yyyy-mm"))</f>
        <v>Saúde Total|2026-08</v>
      </c>
      <c r="L257" s="24" t="str">
        <f>IF(K257="","",IFERROR(INDEX(Lotes!$N$5:$N$154,MATCH(K257,Lotes!$P$5:$P$154,0)),"Sem lote cadastrado"))</f>
        <v>Aguardando</v>
      </c>
      <c r="M257" s="25">
        <f>IF(H257="Sim",G257,0)</f>
        <v>0</v>
      </c>
      <c r="N257" s="42">
        <f>IF(AND(H257="Sim",I257&lt;&gt;"Aceito"),G257+ROW()/100000,0)</f>
        <v>0</v>
      </c>
    </row>
    <row r="258">
      <c r="A258" s="35" t="inlineStr">
        <is>
          <t>G2026-0684</t>
        </is>
      </c>
      <c r="B258" s="39" t="n">
        <v>46247</v>
      </c>
      <c r="C258" s="33" t="inlineStr">
        <is>
          <t>Leandro Gomes</t>
        </is>
      </c>
      <c r="D258" s="35" t="inlineStr">
        <is>
          <t>Saúde Total</t>
        </is>
      </c>
      <c r="E258" s="33" t="inlineStr">
        <is>
          <t>Holter</t>
        </is>
      </c>
      <c r="F258" s="33" t="inlineStr">
        <is>
          <t>Dr. Paulo Andrade</t>
        </is>
      </c>
      <c r="G258" s="40" t="n">
        <v>105</v>
      </c>
      <c r="H258" s="35" t="n"/>
      <c r="I258" s="35" t="n"/>
      <c r="J258" s="30">
        <f>IF(B258="","",DATE(YEAR(B258),MONTH(B258),1))</f>
        <v>46235.0</v>
      </c>
      <c r="K258" s="41" t="str">
        <f>IF(OR(B258="",D258=""),"",D258&amp;"|"&amp;TEXT(J258,"yyyy-mm"))</f>
        <v>Saúde Total|2026-08</v>
      </c>
      <c r="L258" s="24" t="str">
        <f>IF(K258="","",IFERROR(INDEX(Lotes!$N$5:$N$154,MATCH(K258,Lotes!$P$5:$P$154,0)),"Sem lote cadastrado"))</f>
        <v>Aguardando</v>
      </c>
      <c r="M258" s="25">
        <f>IF(H258="Sim",G258,0)</f>
        <v>0</v>
      </c>
      <c r="N258" s="42">
        <f>IF(AND(H258="Sim",I258&lt;&gt;"Aceito"),G258+ROW()/100000,0)</f>
        <v>0</v>
      </c>
    </row>
    <row r="259">
      <c r="A259" s="35" t="inlineStr">
        <is>
          <t>G2026-0685</t>
        </is>
      </c>
      <c r="B259" s="39" t="n">
        <v>46247</v>
      </c>
      <c r="C259" s="33" t="inlineStr">
        <is>
          <t>Sandra Cardoso</t>
        </is>
      </c>
      <c r="D259" s="35" t="inlineStr">
        <is>
          <t>Saúde Total</t>
        </is>
      </c>
      <c r="E259" s="33" t="inlineStr">
        <is>
          <t>Consulta</t>
        </is>
      </c>
      <c r="F259" s="33" t="inlineStr">
        <is>
          <t>Dr. Paulo Andrade</t>
        </is>
      </c>
      <c r="G259" s="40" t="n">
        <v>120</v>
      </c>
      <c r="H259" s="35" t="n"/>
      <c r="I259" s="35" t="n"/>
      <c r="J259" s="30">
        <f>IF(B259="","",DATE(YEAR(B259),MONTH(B259),1))</f>
        <v>46235.0</v>
      </c>
      <c r="K259" s="41" t="str">
        <f>IF(OR(B259="",D259=""),"",D259&amp;"|"&amp;TEXT(J259,"yyyy-mm"))</f>
        <v>Saúde Total|2026-08</v>
      </c>
      <c r="L259" s="24" t="str">
        <f>IF(K259="","",IFERROR(INDEX(Lotes!$N$5:$N$154,MATCH(K259,Lotes!$P$5:$P$154,0)),"Sem lote cadastrado"))</f>
        <v>Aguardando</v>
      </c>
      <c r="M259" s="25">
        <f>IF(H259="Sim",G259,0)</f>
        <v>0</v>
      </c>
      <c r="N259" s="42">
        <f>IF(AND(H259="Sim",I259&lt;&gt;"Aceito"),G259+ROW()/100000,0)</f>
        <v>0</v>
      </c>
    </row>
    <row r="260">
      <c r="A260" s="35" t="inlineStr">
        <is>
          <t>G2026-0686</t>
        </is>
      </c>
      <c r="B260" s="39" t="n">
        <v>46247</v>
      </c>
      <c r="C260" s="33" t="inlineStr">
        <is>
          <t>Gustavo Barbosa</t>
        </is>
      </c>
      <c r="D260" s="35" t="inlineStr">
        <is>
          <t>Saúde Total</t>
        </is>
      </c>
      <c r="E260" s="33" t="inlineStr">
        <is>
          <t>ECG</t>
        </is>
      </c>
      <c r="F260" s="33" t="inlineStr">
        <is>
          <t>Dr. Paulo Andrade</t>
        </is>
      </c>
      <c r="G260" s="40" t="n">
        <v>40</v>
      </c>
      <c r="H260" s="35" t="n"/>
      <c r="I260" s="35" t="n"/>
      <c r="J260" s="30">
        <f>IF(B260="","",DATE(YEAR(B260),MONTH(B260),1))</f>
        <v>46235.0</v>
      </c>
      <c r="K260" s="41" t="str">
        <f>IF(OR(B260="",D260=""),"",D260&amp;"|"&amp;TEXT(J260,"yyyy-mm"))</f>
        <v>Saúde Total|2026-08</v>
      </c>
      <c r="L260" s="24" t="str">
        <f>IF(K260="","",IFERROR(INDEX(Lotes!$N$5:$N$154,MATCH(K260,Lotes!$P$5:$P$154,0)),"Sem lote cadastrado"))</f>
        <v>Aguardando</v>
      </c>
      <c r="M260" s="25">
        <f>IF(H260="Sim",G260,0)</f>
        <v>0</v>
      </c>
      <c r="N260" s="42">
        <f>IF(AND(H260="Sim",I260&lt;&gt;"Aceito"),G260+ROW()/100000,0)</f>
        <v>0</v>
      </c>
    </row>
    <row r="261">
      <c r="A261" s="35" t="inlineStr">
        <is>
          <t>G2026-0687</t>
        </is>
      </c>
      <c r="B261" s="39" t="n">
        <v>46248</v>
      </c>
      <c r="C261" s="33" t="inlineStr">
        <is>
          <t>Sandra Martins</t>
        </is>
      </c>
      <c r="D261" s="35" t="inlineStr">
        <is>
          <t>MediPlan</t>
        </is>
      </c>
      <c r="E261" s="33" t="inlineStr">
        <is>
          <t>Consulta</t>
        </is>
      </c>
      <c r="F261" s="33" t="inlineStr">
        <is>
          <t>Dr. Paulo Andrade</t>
        </is>
      </c>
      <c r="G261" s="40" t="n">
        <v>100</v>
      </c>
      <c r="H261" s="35" t="n"/>
      <c r="I261" s="35" t="n"/>
      <c r="J261" s="30">
        <f>IF(B261="","",DATE(YEAR(B261),MONTH(B261),1))</f>
        <v>46235.0</v>
      </c>
      <c r="K261" s="41" t="str">
        <f>IF(OR(B261="",D261=""),"",D261&amp;"|"&amp;TEXT(J261,"yyyy-mm"))</f>
        <v>MediPlan|2026-08</v>
      </c>
      <c r="L261" s="24" t="str">
        <f>IF(K261="","",IFERROR(INDEX(Lotes!$N$5:$N$154,MATCH(K261,Lotes!$P$5:$P$154,0)),"Sem lote cadastrado"))</f>
        <v>Aguardando</v>
      </c>
      <c r="M261" s="25">
        <f>IF(H261="Sim",G261,0)</f>
        <v>0</v>
      </c>
      <c r="N261" s="42">
        <f>IF(AND(H261="Sim",I261&lt;&gt;"Aceito"),G261+ROW()/100000,0)</f>
        <v>0</v>
      </c>
    </row>
    <row r="262">
      <c r="A262" s="35" t="inlineStr">
        <is>
          <t>G2026-0688</t>
        </is>
      </c>
      <c r="B262" s="39" t="n">
        <v>46248</v>
      </c>
      <c r="C262" s="33" t="inlineStr">
        <is>
          <t>Gisele Pinto</t>
        </is>
      </c>
      <c r="D262" s="35" t="inlineStr">
        <is>
          <t>Saúde Total</t>
        </is>
      </c>
      <c r="E262" s="33" t="inlineStr">
        <is>
          <t>Consulta</t>
        </is>
      </c>
      <c r="F262" s="33" t="inlineStr">
        <is>
          <t>Dr. Paulo Andrade</t>
        </is>
      </c>
      <c r="G262" s="40" t="n">
        <v>120</v>
      </c>
      <c r="H262" s="35" t="n"/>
      <c r="I262" s="35" t="n"/>
      <c r="J262" s="30">
        <f>IF(B262="","",DATE(YEAR(B262),MONTH(B262),1))</f>
        <v>46235.0</v>
      </c>
      <c r="K262" s="41" t="str">
        <f>IF(OR(B262="",D262=""),"",D262&amp;"|"&amp;TEXT(J262,"yyyy-mm"))</f>
        <v>Saúde Total|2026-08</v>
      </c>
      <c r="L262" s="24" t="str">
        <f>IF(K262="","",IFERROR(INDEX(Lotes!$N$5:$N$154,MATCH(K262,Lotes!$P$5:$P$154,0)),"Sem lote cadastrado"))</f>
        <v>Aguardando</v>
      </c>
      <c r="M262" s="25">
        <f>IF(H262="Sim",G262,0)</f>
        <v>0</v>
      </c>
      <c r="N262" s="42">
        <f>IF(AND(H262="Sim",I262&lt;&gt;"Aceito"),G262+ROW()/100000,0)</f>
        <v>0</v>
      </c>
    </row>
    <row r="263">
      <c r="A263" s="35" t="inlineStr">
        <is>
          <t>G2026-0689</t>
        </is>
      </c>
      <c r="B263" s="39" t="n">
        <v>46248</v>
      </c>
      <c r="C263" s="33" t="inlineStr">
        <is>
          <t>Thiago Duarte</t>
        </is>
      </c>
      <c r="D263" s="35" t="inlineStr">
        <is>
          <t>Saúde Total</t>
        </is>
      </c>
      <c r="E263" s="33" t="inlineStr">
        <is>
          <t>ECG</t>
        </is>
      </c>
      <c r="F263" s="33" t="inlineStr">
        <is>
          <t>Dr. Paulo Andrade</t>
        </is>
      </c>
      <c r="G263" s="40" t="n">
        <v>40</v>
      </c>
      <c r="H263" s="35" t="n"/>
      <c r="I263" s="35" t="n"/>
      <c r="J263" s="30">
        <f>IF(B263="","",DATE(YEAR(B263),MONTH(B263),1))</f>
        <v>46235.0</v>
      </c>
      <c r="K263" s="41" t="str">
        <f>IF(OR(B263="",D263=""),"",D263&amp;"|"&amp;TEXT(J263,"yyyy-mm"))</f>
        <v>Saúde Total|2026-08</v>
      </c>
      <c r="L263" s="24" t="str">
        <f>IF(K263="","",IFERROR(INDEX(Lotes!$N$5:$N$154,MATCH(K263,Lotes!$P$5:$P$154,0)),"Sem lote cadastrado"))</f>
        <v>Aguardando</v>
      </c>
      <c r="M263" s="25">
        <f>IF(H263="Sim",G263,0)</f>
        <v>0</v>
      </c>
      <c r="N263" s="42">
        <f>IF(AND(H263="Sim",I263&lt;&gt;"Aceito"),G263+ROW()/100000,0)</f>
        <v>0</v>
      </c>
    </row>
    <row r="264">
      <c r="A264" s="35" t="inlineStr">
        <is>
          <t>G2026-0690</t>
        </is>
      </c>
      <c r="B264" s="39" t="n">
        <v>46251</v>
      </c>
      <c r="C264" s="33" t="inlineStr">
        <is>
          <t>Camila Batista</t>
        </is>
      </c>
      <c r="D264" s="35" t="inlineStr">
        <is>
          <t>MediPlan</t>
        </is>
      </c>
      <c r="E264" s="33" t="inlineStr">
        <is>
          <t>Consulta</t>
        </is>
      </c>
      <c r="F264" s="33" t="inlineStr">
        <is>
          <t>Dra. Carolina Mendes</t>
        </is>
      </c>
      <c r="G264" s="40" t="n">
        <v>100</v>
      </c>
      <c r="H264" s="35" t="n"/>
      <c r="I264" s="35" t="n"/>
      <c r="J264" s="30">
        <f>IF(B264="","",DATE(YEAR(B264),MONTH(B264),1))</f>
        <v>46235.0</v>
      </c>
      <c r="K264" s="41" t="str">
        <f>IF(OR(B264="",D264=""),"",D264&amp;"|"&amp;TEXT(J264,"yyyy-mm"))</f>
        <v>MediPlan|2026-08</v>
      </c>
      <c r="L264" s="24" t="str">
        <f>IF(K264="","",IFERROR(INDEX(Lotes!$N$5:$N$154,MATCH(K264,Lotes!$P$5:$P$154,0)),"Sem lote cadastrado"))</f>
        <v>Aguardando</v>
      </c>
      <c r="M264" s="25">
        <f>IF(H264="Sim",G264,0)</f>
        <v>0</v>
      </c>
      <c r="N264" s="42">
        <f>IF(AND(H264="Sim",I264&lt;&gt;"Aceito"),G264+ROW()/100000,0)</f>
        <v>0</v>
      </c>
    </row>
    <row r="265">
      <c r="A265" s="35" t="inlineStr">
        <is>
          <t>G2026-0691</t>
        </is>
      </c>
      <c r="B265" s="39" t="n">
        <v>46251</v>
      </c>
      <c r="C265" s="33" t="inlineStr">
        <is>
          <t>Paulo Nascimento</t>
        </is>
      </c>
      <c r="D265" s="35" t="inlineStr">
        <is>
          <t>MediPlan</t>
        </is>
      </c>
      <c r="E265" s="33" t="inlineStr">
        <is>
          <t>Consulta</t>
        </is>
      </c>
      <c r="F265" s="33" t="inlineStr">
        <is>
          <t>Dr. Paulo Andrade</t>
        </is>
      </c>
      <c r="G265" s="40" t="n">
        <v>100</v>
      </c>
      <c r="H265" s="35" t="n"/>
      <c r="I265" s="35" t="n"/>
      <c r="J265" s="30">
        <f>IF(B265="","",DATE(YEAR(B265),MONTH(B265),1))</f>
        <v>46235.0</v>
      </c>
      <c r="K265" s="41" t="str">
        <f>IF(OR(B265="",D265=""),"",D265&amp;"|"&amp;TEXT(J265,"yyyy-mm"))</f>
        <v>MediPlan|2026-08</v>
      </c>
      <c r="L265" s="24" t="str">
        <f>IF(K265="","",IFERROR(INDEX(Lotes!$N$5:$N$154,MATCH(K265,Lotes!$P$5:$P$154,0)),"Sem lote cadastrado"))</f>
        <v>Aguardando</v>
      </c>
      <c r="M265" s="25">
        <f>IF(H265="Sim",G265,0)</f>
        <v>0</v>
      </c>
      <c r="N265" s="42">
        <f>IF(AND(H265="Sim",I265&lt;&gt;"Aceito"),G265+ROW()/100000,0)</f>
        <v>0</v>
      </c>
    </row>
    <row r="266">
      <c r="A266" s="35" t="inlineStr">
        <is>
          <t>G2026-0692</t>
        </is>
      </c>
      <c r="B266" s="39" t="n">
        <v>46252</v>
      </c>
      <c r="C266" s="33" t="inlineStr">
        <is>
          <t>Rodrigo Teixeira</t>
        </is>
      </c>
      <c r="D266" s="35" t="inlineStr">
        <is>
          <t>Vida Care</t>
        </is>
      </c>
      <c r="E266" s="33" t="inlineStr">
        <is>
          <t>Consulta</t>
        </is>
      </c>
      <c r="F266" s="33" t="inlineStr">
        <is>
          <t>Dra. Carolina Mendes</t>
        </is>
      </c>
      <c r="G266" s="40" t="n">
        <v>90</v>
      </c>
      <c r="H266" s="35" t="n"/>
      <c r="I266" s="35" t="n"/>
      <c r="J266" s="30">
        <f>IF(B266="","",DATE(YEAR(B266),MONTH(B266),1))</f>
        <v>46235.0</v>
      </c>
      <c r="K266" s="41" t="str">
        <f>IF(OR(B266="",D266=""),"",D266&amp;"|"&amp;TEXT(J266,"yyyy-mm"))</f>
        <v>Vida Care|2026-08</v>
      </c>
      <c r="L266" s="24" t="str">
        <f>IF(K266="","",IFERROR(INDEX(Lotes!$N$5:$N$154,MATCH(K266,Lotes!$P$5:$P$154,0)),"Sem lote cadastrado"))</f>
        <v>Aguardando</v>
      </c>
      <c r="M266" s="25">
        <f>IF(H266="Sim",G266,0)</f>
        <v>0</v>
      </c>
      <c r="N266" s="42">
        <f>IF(AND(H266="Sim",I266&lt;&gt;"Aceito"),G266+ROW()/100000,0)</f>
        <v>0</v>
      </c>
    </row>
    <row r="267">
      <c r="A267" s="35" t="inlineStr">
        <is>
          <t>G2026-0693</t>
        </is>
      </c>
      <c r="B267" s="39" t="n">
        <v>46252</v>
      </c>
      <c r="C267" s="33" t="inlineStr">
        <is>
          <t>Carlos Barros</t>
        </is>
      </c>
      <c r="D267" s="35" t="inlineStr">
        <is>
          <t>MediPlan</t>
        </is>
      </c>
      <c r="E267" s="33" t="inlineStr">
        <is>
          <t>Consulta</t>
        </is>
      </c>
      <c r="F267" s="33" t="inlineStr">
        <is>
          <t>Dra. Carolina Mendes</t>
        </is>
      </c>
      <c r="G267" s="40" t="n">
        <v>100</v>
      </c>
      <c r="H267" s="35" t="n"/>
      <c r="I267" s="35" t="n"/>
      <c r="J267" s="30">
        <f>IF(B267="","",DATE(YEAR(B267),MONTH(B267),1))</f>
        <v>46235.0</v>
      </c>
      <c r="K267" s="41" t="str">
        <f>IF(OR(B267="",D267=""),"",D267&amp;"|"&amp;TEXT(J267,"yyyy-mm"))</f>
        <v>MediPlan|2026-08</v>
      </c>
      <c r="L267" s="24" t="str">
        <f>IF(K267="","",IFERROR(INDEX(Lotes!$N$5:$N$154,MATCH(K267,Lotes!$P$5:$P$154,0)),"Sem lote cadastrado"))</f>
        <v>Aguardando</v>
      </c>
      <c r="M267" s="25">
        <f>IF(H267="Sim",G267,0)</f>
        <v>0</v>
      </c>
      <c r="N267" s="42">
        <f>IF(AND(H267="Sim",I267&lt;&gt;"Aceito"),G267+ROW()/100000,0)</f>
        <v>0</v>
      </c>
    </row>
    <row r="268">
      <c r="A268" s="35" t="inlineStr">
        <is>
          <t>G2026-0694</t>
        </is>
      </c>
      <c r="B268" s="39" t="n">
        <v>46252</v>
      </c>
      <c r="C268" s="33" t="inlineStr">
        <is>
          <t>Priscila Carvalho</t>
        </is>
      </c>
      <c r="D268" s="35" t="inlineStr">
        <is>
          <t>Vida Care</t>
        </is>
      </c>
      <c r="E268" s="33" t="inlineStr">
        <is>
          <t>Consulta</t>
        </is>
      </c>
      <c r="F268" s="33" t="inlineStr">
        <is>
          <t>Dra. Carolina Mendes</t>
        </is>
      </c>
      <c r="G268" s="40" t="n">
        <v>90</v>
      </c>
      <c r="H268" s="35" t="n"/>
      <c r="I268" s="35" t="n"/>
      <c r="J268" s="30">
        <f>IF(B268="","",DATE(YEAR(B268),MONTH(B268),1))</f>
        <v>46235.0</v>
      </c>
      <c r="K268" s="41" t="str">
        <f>IF(OR(B268="",D268=""),"",D268&amp;"|"&amp;TEXT(J268,"yyyy-mm"))</f>
        <v>Vida Care|2026-08</v>
      </c>
      <c r="L268" s="24" t="str">
        <f>IF(K268="","",IFERROR(INDEX(Lotes!$N$5:$N$154,MATCH(K268,Lotes!$P$5:$P$154,0)),"Sem lote cadastrado"))</f>
        <v>Aguardando</v>
      </c>
      <c r="M268" s="25">
        <f>IF(H268="Sim",G268,0)</f>
        <v>0</v>
      </c>
      <c r="N268" s="42">
        <f>IF(AND(H268="Sim",I268&lt;&gt;"Aceito"),G268+ROW()/100000,0)</f>
        <v>0</v>
      </c>
    </row>
    <row r="269">
      <c r="A269" s="35" t="inlineStr">
        <is>
          <t>G2026-0695</t>
        </is>
      </c>
      <c r="B269" s="39" t="n">
        <v>46252</v>
      </c>
      <c r="C269" s="33" t="inlineStr">
        <is>
          <t>Gustavo Barbosa</t>
        </is>
      </c>
      <c r="D269" s="35" t="inlineStr">
        <is>
          <t>Saúde Total</t>
        </is>
      </c>
      <c r="E269" s="33" t="inlineStr">
        <is>
          <t>Consulta</t>
        </is>
      </c>
      <c r="F269" s="33" t="inlineStr">
        <is>
          <t>Dra. Carolina Mendes</t>
        </is>
      </c>
      <c r="G269" s="40" t="n">
        <v>120</v>
      </c>
      <c r="H269" s="35" t="n"/>
      <c r="I269" s="35" t="n"/>
      <c r="J269" s="30">
        <f>IF(B269="","",DATE(YEAR(B269),MONTH(B269),1))</f>
        <v>46235.0</v>
      </c>
      <c r="K269" s="41" t="str">
        <f>IF(OR(B269="",D269=""),"",D269&amp;"|"&amp;TEXT(J269,"yyyy-mm"))</f>
        <v>Saúde Total|2026-08</v>
      </c>
      <c r="L269" s="24" t="str">
        <f>IF(K269="","",IFERROR(INDEX(Lotes!$N$5:$N$154,MATCH(K269,Lotes!$P$5:$P$154,0)),"Sem lote cadastrado"))</f>
        <v>Aguardando</v>
      </c>
      <c r="M269" s="25">
        <f>IF(H269="Sim",G269,0)</f>
        <v>0</v>
      </c>
      <c r="N269" s="42">
        <f>IF(AND(H269="Sim",I269&lt;&gt;"Aceito"),G269+ROW()/100000,0)</f>
        <v>0</v>
      </c>
    </row>
    <row r="270">
      <c r="A270" s="35" t="inlineStr">
        <is>
          <t>G2026-0696</t>
        </is>
      </c>
      <c r="B270" s="39" t="n">
        <v>46252</v>
      </c>
      <c r="C270" s="33" t="inlineStr">
        <is>
          <t>Tatiana Cunha</t>
        </is>
      </c>
      <c r="D270" s="35" t="inlineStr">
        <is>
          <t>Saúde Total</t>
        </is>
      </c>
      <c r="E270" s="33" t="inlineStr">
        <is>
          <t>ECG</t>
        </is>
      </c>
      <c r="F270" s="33" t="inlineStr">
        <is>
          <t>Dr. Paulo Andrade</t>
        </is>
      </c>
      <c r="G270" s="40" t="n">
        <v>40</v>
      </c>
      <c r="H270" s="35" t="n"/>
      <c r="I270" s="35" t="n"/>
      <c r="J270" s="30">
        <f>IF(B270="","",DATE(YEAR(B270),MONTH(B270),1))</f>
        <v>46235.0</v>
      </c>
      <c r="K270" s="41" t="str">
        <f>IF(OR(B270="",D270=""),"",D270&amp;"|"&amp;TEXT(J270,"yyyy-mm"))</f>
        <v>Saúde Total|2026-08</v>
      </c>
      <c r="L270" s="24" t="str">
        <f>IF(K270="","",IFERROR(INDEX(Lotes!$N$5:$N$154,MATCH(K270,Lotes!$P$5:$P$154,0)),"Sem lote cadastrado"))</f>
        <v>Aguardando</v>
      </c>
      <c r="M270" s="25">
        <f>IF(H270="Sim",G270,0)</f>
        <v>0</v>
      </c>
      <c r="N270" s="42">
        <f>IF(AND(H270="Sim",I270&lt;&gt;"Aceito"),G270+ROW()/100000,0)</f>
        <v>0</v>
      </c>
    </row>
    <row r="271">
      <c r="A271" s="35" t="inlineStr">
        <is>
          <t>G2026-0697</t>
        </is>
      </c>
      <c r="B271" s="39" t="n">
        <v>46252</v>
      </c>
      <c r="C271" s="33" t="inlineStr">
        <is>
          <t>Carlos Gomes</t>
        </is>
      </c>
      <c r="D271" s="35" t="inlineStr">
        <is>
          <t>Saúde Total</t>
        </is>
      </c>
      <c r="E271" s="33" t="inlineStr">
        <is>
          <t>Avaliação endócrina</t>
        </is>
      </c>
      <c r="F271" s="33" t="inlineStr">
        <is>
          <t>Dra. Renata Sousa</t>
        </is>
      </c>
      <c r="G271" s="40" t="n">
        <v>130</v>
      </c>
      <c r="H271" s="35" t="n"/>
      <c r="I271" s="35" t="n"/>
      <c r="J271" s="30">
        <f>IF(B271="","",DATE(YEAR(B271),MONTH(B271),1))</f>
        <v>46235.0</v>
      </c>
      <c r="K271" s="41" t="str">
        <f>IF(OR(B271="",D271=""),"",D271&amp;"|"&amp;TEXT(J271,"yyyy-mm"))</f>
        <v>Saúde Total|2026-08</v>
      </c>
      <c r="L271" s="24" t="str">
        <f>IF(K271="","",IFERROR(INDEX(Lotes!$N$5:$N$154,MATCH(K271,Lotes!$P$5:$P$154,0)),"Sem lote cadastrado"))</f>
        <v>Aguardando</v>
      </c>
      <c r="M271" s="25">
        <f>IF(H271="Sim",G271,0)</f>
        <v>0</v>
      </c>
      <c r="N271" s="42">
        <f>IF(AND(H271="Sim",I271&lt;&gt;"Aceito"),G271+ROW()/100000,0)</f>
        <v>0</v>
      </c>
    </row>
    <row r="272">
      <c r="A272" s="35" t="inlineStr">
        <is>
          <t>G2026-0698</t>
        </is>
      </c>
      <c r="B272" s="39" t="n">
        <v>46252</v>
      </c>
      <c r="C272" s="33" t="inlineStr">
        <is>
          <t>Leandro Cardoso</t>
        </is>
      </c>
      <c r="D272" s="35" t="inlineStr">
        <is>
          <t>MediPlan</t>
        </is>
      </c>
      <c r="E272" s="33" t="inlineStr">
        <is>
          <t>Consulta</t>
        </is>
      </c>
      <c r="F272" s="33" t="inlineStr">
        <is>
          <t>Dr. Paulo Andrade</t>
        </is>
      </c>
      <c r="G272" s="40" t="n">
        <v>100</v>
      </c>
      <c r="H272" s="35" t="n"/>
      <c r="I272" s="35" t="n"/>
      <c r="J272" s="30">
        <f>IF(B272="","",DATE(YEAR(B272),MONTH(B272),1))</f>
        <v>46235.0</v>
      </c>
      <c r="K272" s="41" t="str">
        <f>IF(OR(B272="",D272=""),"",D272&amp;"|"&amp;TEXT(J272,"yyyy-mm"))</f>
        <v>MediPlan|2026-08</v>
      </c>
      <c r="L272" s="24" t="str">
        <f>IF(K272="","",IFERROR(INDEX(Lotes!$N$5:$N$154,MATCH(K272,Lotes!$P$5:$P$154,0)),"Sem lote cadastrado"))</f>
        <v>Aguardando</v>
      </c>
      <c r="M272" s="25">
        <f>IF(H272="Sim",G272,0)</f>
        <v>0</v>
      </c>
      <c r="N272" s="42">
        <f>IF(AND(H272="Sim",I272&lt;&gt;"Aceito"),G272+ROW()/100000,0)</f>
        <v>0</v>
      </c>
    </row>
    <row r="273">
      <c r="A273" s="35" t="inlineStr">
        <is>
          <t>G2026-0699</t>
        </is>
      </c>
      <c r="B273" s="39" t="n">
        <v>46252</v>
      </c>
      <c r="C273" s="33" t="inlineStr">
        <is>
          <t>Helena Ribeiro</t>
        </is>
      </c>
      <c r="D273" s="35" t="inlineStr">
        <is>
          <t>MediPlan</t>
        </is>
      </c>
      <c r="E273" s="33" t="inlineStr">
        <is>
          <t>Consulta</t>
        </is>
      </c>
      <c r="F273" s="33" t="inlineStr">
        <is>
          <t>Dr. Paulo Andrade</t>
        </is>
      </c>
      <c r="G273" s="40" t="n">
        <v>100</v>
      </c>
      <c r="H273" s="35" t="n"/>
      <c r="I273" s="35" t="n"/>
      <c r="J273" s="30">
        <f>IF(B273="","",DATE(YEAR(B273),MONTH(B273),1))</f>
        <v>46235.0</v>
      </c>
      <c r="K273" s="41" t="str">
        <f>IF(OR(B273="",D273=""),"",D273&amp;"|"&amp;TEXT(J273,"yyyy-mm"))</f>
        <v>MediPlan|2026-08</v>
      </c>
      <c r="L273" s="24" t="str">
        <f>IF(K273="","",IFERROR(INDEX(Lotes!$N$5:$N$154,MATCH(K273,Lotes!$P$5:$P$154,0)),"Sem lote cadastrado"))</f>
        <v>Aguardando</v>
      </c>
      <c r="M273" s="25">
        <f>IF(H273="Sim",G273,0)</f>
        <v>0</v>
      </c>
      <c r="N273" s="42">
        <f>IF(AND(H273="Sim",I273&lt;&gt;"Aceito"),G273+ROW()/100000,0)</f>
        <v>0</v>
      </c>
    </row>
    <row r="274">
      <c r="A274" s="35" t="inlineStr">
        <is>
          <t>G2026-0700</t>
        </is>
      </c>
      <c r="B274" s="39" t="n">
        <v>46252</v>
      </c>
      <c r="C274" s="33" t="inlineStr">
        <is>
          <t>Natália Xavier</t>
        </is>
      </c>
      <c r="D274" s="35" t="inlineStr">
        <is>
          <t>MediPlan</t>
        </is>
      </c>
      <c r="E274" s="33" t="inlineStr">
        <is>
          <t>Consulta</t>
        </is>
      </c>
      <c r="F274" s="33" t="inlineStr">
        <is>
          <t>Dr. Paulo Andrade</t>
        </is>
      </c>
      <c r="G274" s="40" t="n">
        <v>100</v>
      </c>
      <c r="H274" s="35" t="n"/>
      <c r="I274" s="35" t="n"/>
      <c r="J274" s="30">
        <f>IF(B274="","",DATE(YEAR(B274),MONTH(B274),1))</f>
        <v>46235.0</v>
      </c>
      <c r="K274" s="41" t="str">
        <f>IF(OR(B274="",D274=""),"",D274&amp;"|"&amp;TEXT(J274,"yyyy-mm"))</f>
        <v>MediPlan|2026-08</v>
      </c>
      <c r="L274" s="24" t="str">
        <f>IF(K274="","",IFERROR(INDEX(Lotes!$N$5:$N$154,MATCH(K274,Lotes!$P$5:$P$154,0)),"Sem lote cadastrado"))</f>
        <v>Aguardando</v>
      </c>
      <c r="M274" s="25">
        <f>IF(H274="Sim",G274,0)</f>
        <v>0</v>
      </c>
      <c r="N274" s="42">
        <f>IF(AND(H274="Sim",I274&lt;&gt;"Aceito"),G274+ROW()/100000,0)</f>
        <v>0</v>
      </c>
    </row>
    <row r="275">
      <c r="A275" s="35" t="inlineStr">
        <is>
          <t>G2026-0701</t>
        </is>
      </c>
      <c r="B275" s="39" t="n">
        <v>46253</v>
      </c>
      <c r="C275" s="33" t="inlineStr">
        <is>
          <t>Isabela Pinto</t>
        </is>
      </c>
      <c r="D275" s="35" t="inlineStr">
        <is>
          <t>Saúde Total</t>
        </is>
      </c>
      <c r="E275" s="33" t="inlineStr">
        <is>
          <t>Consulta</t>
        </is>
      </c>
      <c r="F275" s="33" t="inlineStr">
        <is>
          <t>Dra. Carolina Mendes</t>
        </is>
      </c>
      <c r="G275" s="40" t="n">
        <v>120</v>
      </c>
      <c r="H275" s="35" t="n"/>
      <c r="I275" s="35" t="n"/>
      <c r="J275" s="30">
        <f>IF(B275="","",DATE(YEAR(B275),MONTH(B275),1))</f>
        <v>46235.0</v>
      </c>
      <c r="K275" s="41" t="str">
        <f>IF(OR(B275="",D275=""),"",D275&amp;"|"&amp;TEXT(J275,"yyyy-mm"))</f>
        <v>Saúde Total|2026-08</v>
      </c>
      <c r="L275" s="24" t="str">
        <f>IF(K275="","",IFERROR(INDEX(Lotes!$N$5:$N$154,MATCH(K275,Lotes!$P$5:$P$154,0)),"Sem lote cadastrado"))</f>
        <v>Aguardando</v>
      </c>
      <c r="M275" s="25">
        <f>IF(H275="Sim",G275,0)</f>
        <v>0</v>
      </c>
      <c r="N275" s="42">
        <f>IF(AND(H275="Sim",I275&lt;&gt;"Aceito"),G275+ROW()/100000,0)</f>
        <v>0</v>
      </c>
    </row>
    <row r="276">
      <c r="A276" s="35" t="inlineStr">
        <is>
          <t>G2026-0702</t>
        </is>
      </c>
      <c r="B276" s="39" t="n">
        <v>46253</v>
      </c>
      <c r="C276" s="33" t="inlineStr">
        <is>
          <t>Mônica Batista</t>
        </is>
      </c>
      <c r="D276" s="35" t="inlineStr">
        <is>
          <t>MediPlan</t>
        </is>
      </c>
      <c r="E276" s="33" t="inlineStr">
        <is>
          <t>Consulta</t>
        </is>
      </c>
      <c r="F276" s="33" t="inlineStr">
        <is>
          <t>Dra. Carolina Mendes</t>
        </is>
      </c>
      <c r="G276" s="40" t="n">
        <v>100</v>
      </c>
      <c r="H276" s="35" t="n"/>
      <c r="I276" s="35" t="n"/>
      <c r="J276" s="30">
        <f>IF(B276="","",DATE(YEAR(B276),MONTH(B276),1))</f>
        <v>46235.0</v>
      </c>
      <c r="K276" s="41" t="str">
        <f>IF(OR(B276="",D276=""),"",D276&amp;"|"&amp;TEXT(J276,"yyyy-mm"))</f>
        <v>MediPlan|2026-08</v>
      </c>
      <c r="L276" s="24" t="str">
        <f>IF(K276="","",IFERROR(INDEX(Lotes!$N$5:$N$154,MATCH(K276,Lotes!$P$5:$P$154,0)),"Sem lote cadastrado"))</f>
        <v>Aguardando</v>
      </c>
      <c r="M276" s="25">
        <f>IF(H276="Sim",G276,0)</f>
        <v>0</v>
      </c>
      <c r="N276" s="42">
        <f>IF(AND(H276="Sim",I276&lt;&gt;"Aceito"),G276+ROW()/100000,0)</f>
        <v>0</v>
      </c>
    </row>
    <row r="277">
      <c r="A277" s="35" t="inlineStr">
        <is>
          <t>G2026-0703</t>
        </is>
      </c>
      <c r="B277" s="39" t="n">
        <v>46253</v>
      </c>
      <c r="C277" s="33" t="inlineStr">
        <is>
          <t>Roberta Fernandes</t>
        </is>
      </c>
      <c r="D277" s="35" t="inlineStr">
        <is>
          <t>Saúde Total</t>
        </is>
      </c>
      <c r="E277" s="33" t="inlineStr">
        <is>
          <t>Consulta</t>
        </is>
      </c>
      <c r="F277" s="33" t="inlineStr">
        <is>
          <t>Dra. Carolina Mendes</t>
        </is>
      </c>
      <c r="G277" s="40" t="n">
        <v>120</v>
      </c>
      <c r="H277" s="35" t="n"/>
      <c r="I277" s="35" t="n"/>
      <c r="J277" s="30">
        <f>IF(B277="","",DATE(YEAR(B277),MONTH(B277),1))</f>
        <v>46235.0</v>
      </c>
      <c r="K277" s="41" t="str">
        <f>IF(OR(B277="",D277=""),"",D277&amp;"|"&amp;TEXT(J277,"yyyy-mm"))</f>
        <v>Saúde Total|2026-08</v>
      </c>
      <c r="L277" s="24" t="str">
        <f>IF(K277="","",IFERROR(INDEX(Lotes!$N$5:$N$154,MATCH(K277,Lotes!$P$5:$P$154,0)),"Sem lote cadastrado"))</f>
        <v>Aguardando</v>
      </c>
      <c r="M277" s="25">
        <f>IF(H277="Sim",G277,0)</f>
        <v>0</v>
      </c>
      <c r="N277" s="42">
        <f>IF(AND(H277="Sim",I277&lt;&gt;"Aceito"),G277+ROW()/100000,0)</f>
        <v>0</v>
      </c>
    </row>
    <row r="278">
      <c r="A278" s="35" t="inlineStr">
        <is>
          <t>G2026-0704</t>
        </is>
      </c>
      <c r="B278" s="39" t="n">
        <v>46254</v>
      </c>
      <c r="C278" s="33" t="inlineStr">
        <is>
          <t>Eduardo Nunes</t>
        </is>
      </c>
      <c r="D278" s="35" t="inlineStr">
        <is>
          <t>MediPlan</t>
        </is>
      </c>
      <c r="E278" s="33" t="inlineStr">
        <is>
          <t>Consulta</t>
        </is>
      </c>
      <c r="F278" s="33" t="inlineStr">
        <is>
          <t>Dra. Carolina Mendes</t>
        </is>
      </c>
      <c r="G278" s="40" t="n">
        <v>100</v>
      </c>
      <c r="H278" s="35" t="n"/>
      <c r="I278" s="35" t="n"/>
      <c r="J278" s="30">
        <f>IF(B278="","",DATE(YEAR(B278),MONTH(B278),1))</f>
        <v>46235.0</v>
      </c>
      <c r="K278" s="41" t="str">
        <f>IF(OR(B278="",D278=""),"",D278&amp;"|"&amp;TEXT(J278,"yyyy-mm"))</f>
        <v>MediPlan|2026-08</v>
      </c>
      <c r="L278" s="24" t="str">
        <f>IF(K278="","",IFERROR(INDEX(Lotes!$N$5:$N$154,MATCH(K278,Lotes!$P$5:$P$154,0)),"Sem lote cadastrado"))</f>
        <v>Aguardando</v>
      </c>
      <c r="M278" s="25">
        <f>IF(H278="Sim",G278,0)</f>
        <v>0</v>
      </c>
      <c r="N278" s="42">
        <f>IF(AND(H278="Sim",I278&lt;&gt;"Aceito"),G278+ROW()/100000,0)</f>
        <v>0</v>
      </c>
    </row>
    <row r="279">
      <c r="A279" s="35" t="inlineStr">
        <is>
          <t>G2026-0705</t>
        </is>
      </c>
      <c r="B279" s="39" t="n">
        <v>46254</v>
      </c>
      <c r="C279" s="33" t="inlineStr">
        <is>
          <t>Mônica Teixeira</t>
        </is>
      </c>
      <c r="D279" s="35" t="inlineStr">
        <is>
          <t>Vida Care</t>
        </is>
      </c>
      <c r="E279" s="33" t="inlineStr">
        <is>
          <t>Consulta</t>
        </is>
      </c>
      <c r="F279" s="33" t="inlineStr">
        <is>
          <t>Dra. Carolina Mendes</t>
        </is>
      </c>
      <c r="G279" s="40" t="n">
        <v>90</v>
      </c>
      <c r="H279" s="35" t="n"/>
      <c r="I279" s="35" t="n"/>
      <c r="J279" s="30">
        <f>IF(B279="","",DATE(YEAR(B279),MONTH(B279),1))</f>
        <v>46235.0</v>
      </c>
      <c r="K279" s="41" t="str">
        <f>IF(OR(B279="",D279=""),"",D279&amp;"|"&amp;TEXT(J279,"yyyy-mm"))</f>
        <v>Vida Care|2026-08</v>
      </c>
      <c r="L279" s="24" t="str">
        <f>IF(K279="","",IFERROR(INDEX(Lotes!$N$5:$N$154,MATCH(K279,Lotes!$P$5:$P$154,0)),"Sem lote cadastrado"))</f>
        <v>Aguardando</v>
      </c>
      <c r="M279" s="25">
        <f>IF(H279="Sim",G279,0)</f>
        <v>0</v>
      </c>
      <c r="N279" s="42">
        <f>IF(AND(H279="Sim",I279&lt;&gt;"Aceito"),G279+ROW()/100000,0)</f>
        <v>0</v>
      </c>
    </row>
    <row r="280">
      <c r="A280" s="35" t="inlineStr">
        <is>
          <t>G2026-0706</t>
        </is>
      </c>
      <c r="B280" s="39" t="n">
        <v>46254</v>
      </c>
      <c r="C280" s="33" t="inlineStr">
        <is>
          <t>Carlos Gonçalves</t>
        </is>
      </c>
      <c r="D280" s="35" t="inlineStr">
        <is>
          <t>Saúde Total</t>
        </is>
      </c>
      <c r="E280" s="33" t="inlineStr">
        <is>
          <t>Avaliação endócrina</t>
        </is>
      </c>
      <c r="F280" s="33" t="inlineStr">
        <is>
          <t>Dra. Renata Sousa</t>
        </is>
      </c>
      <c r="G280" s="40" t="n">
        <v>130</v>
      </c>
      <c r="H280" s="35" t="n"/>
      <c r="I280" s="35" t="n"/>
      <c r="J280" s="30">
        <f>IF(B280="","",DATE(YEAR(B280),MONTH(B280),1))</f>
        <v>46235.0</v>
      </c>
      <c r="K280" s="41" t="str">
        <f>IF(OR(B280="",D280=""),"",D280&amp;"|"&amp;TEXT(J280,"yyyy-mm"))</f>
        <v>Saúde Total|2026-08</v>
      </c>
      <c r="L280" s="24" t="str">
        <f>IF(K280="","",IFERROR(INDEX(Lotes!$N$5:$N$154,MATCH(K280,Lotes!$P$5:$P$154,0)),"Sem lote cadastrado"))</f>
        <v>Aguardando</v>
      </c>
      <c r="M280" s="25">
        <f>IF(H280="Sim",G280,0)</f>
        <v>0</v>
      </c>
      <c r="N280" s="42">
        <f>IF(AND(H280="Sim",I280&lt;&gt;"Aceito"),G280+ROW()/100000,0)</f>
        <v>0</v>
      </c>
    </row>
    <row r="281">
      <c r="A281" s="35" t="inlineStr">
        <is>
          <t>G2026-0707</t>
        </is>
      </c>
      <c r="B281" s="39" t="n">
        <v>46255</v>
      </c>
      <c r="C281" s="33" t="inlineStr">
        <is>
          <t>Paulo Ribeiro</t>
        </is>
      </c>
      <c r="D281" s="35" t="inlineStr">
        <is>
          <t>Saúde Total</t>
        </is>
      </c>
      <c r="E281" s="33" t="inlineStr">
        <is>
          <t>Consulta</t>
        </is>
      </c>
      <c r="F281" s="33" t="inlineStr">
        <is>
          <t>Dr. Paulo Andrade</t>
        </is>
      </c>
      <c r="G281" s="40" t="n">
        <v>120</v>
      </c>
      <c r="H281" s="35" t="n"/>
      <c r="I281" s="35" t="n"/>
      <c r="J281" s="30">
        <f>IF(B281="","",DATE(YEAR(B281),MONTH(B281),1))</f>
        <v>46235.0</v>
      </c>
      <c r="K281" s="41" t="str">
        <f>IF(OR(B281="",D281=""),"",D281&amp;"|"&amp;TEXT(J281,"yyyy-mm"))</f>
        <v>Saúde Total|2026-08</v>
      </c>
      <c r="L281" s="24" t="str">
        <f>IF(K281="","",IFERROR(INDEX(Lotes!$N$5:$N$154,MATCH(K281,Lotes!$P$5:$P$154,0)),"Sem lote cadastrado"))</f>
        <v>Aguardando</v>
      </c>
      <c r="M281" s="25">
        <f>IF(H281="Sim",G281,0)</f>
        <v>0</v>
      </c>
      <c r="N281" s="42">
        <f>IF(AND(H281="Sim",I281&lt;&gt;"Aceito"),G281+ROW()/100000,0)</f>
        <v>0</v>
      </c>
    </row>
    <row r="282">
      <c r="A282" s="35" t="inlineStr">
        <is>
          <t>G2026-0708</t>
        </is>
      </c>
      <c r="B282" s="39" t="n">
        <v>46255</v>
      </c>
      <c r="C282" s="33" t="inlineStr">
        <is>
          <t>Mônica Pinto</t>
        </is>
      </c>
      <c r="D282" s="35" t="inlineStr">
        <is>
          <t>Saúde Total</t>
        </is>
      </c>
      <c r="E282" s="33" t="inlineStr">
        <is>
          <t>MAPA</t>
        </is>
      </c>
      <c r="F282" s="33" t="inlineStr">
        <is>
          <t>Dr. Paulo Andrade</t>
        </is>
      </c>
      <c r="G282" s="40" t="n">
        <v>95</v>
      </c>
      <c r="H282" s="35" t="n"/>
      <c r="I282" s="35" t="n"/>
      <c r="J282" s="30">
        <f>IF(B282="","",DATE(YEAR(B282),MONTH(B282),1))</f>
        <v>46235.0</v>
      </c>
      <c r="K282" s="41" t="str">
        <f>IF(OR(B282="",D282=""),"",D282&amp;"|"&amp;TEXT(J282,"yyyy-mm"))</f>
        <v>Saúde Total|2026-08</v>
      </c>
      <c r="L282" s="24" t="str">
        <f>IF(K282="","",IFERROR(INDEX(Lotes!$N$5:$N$154,MATCH(K282,Lotes!$P$5:$P$154,0)),"Sem lote cadastrado"))</f>
        <v>Aguardando</v>
      </c>
      <c r="M282" s="25">
        <f>IF(H282="Sim",G282,0)</f>
        <v>0</v>
      </c>
      <c r="N282" s="42">
        <f>IF(AND(H282="Sim",I282&lt;&gt;"Aceito"),G282+ROW()/100000,0)</f>
        <v>0</v>
      </c>
    </row>
    <row r="283">
      <c r="A283" s="35" t="inlineStr">
        <is>
          <t>G2026-0709</t>
        </is>
      </c>
      <c r="B283" s="39" t="n">
        <v>46258</v>
      </c>
      <c r="C283" s="33" t="inlineStr">
        <is>
          <t>Sérgio Batista</t>
        </is>
      </c>
      <c r="D283" s="35" t="inlineStr">
        <is>
          <t>MediPlan</t>
        </is>
      </c>
      <c r="E283" s="33" t="inlineStr">
        <is>
          <t>Consulta</t>
        </is>
      </c>
      <c r="F283" s="33" t="inlineStr">
        <is>
          <t>Dra. Carolina Mendes</t>
        </is>
      </c>
      <c r="G283" s="40" t="n">
        <v>100</v>
      </c>
      <c r="H283" s="35" t="n"/>
      <c r="I283" s="35" t="n"/>
      <c r="J283" s="30">
        <f>IF(B283="","",DATE(YEAR(B283),MONTH(B283),1))</f>
        <v>46235.0</v>
      </c>
      <c r="K283" s="41" t="str">
        <f>IF(OR(B283="",D283=""),"",D283&amp;"|"&amp;TEXT(J283,"yyyy-mm"))</f>
        <v>MediPlan|2026-08</v>
      </c>
      <c r="L283" s="24" t="str">
        <f>IF(K283="","",IFERROR(INDEX(Lotes!$N$5:$N$154,MATCH(K283,Lotes!$P$5:$P$154,0)),"Sem lote cadastrado"))</f>
        <v>Aguardando</v>
      </c>
      <c r="M283" s="25">
        <f>IF(H283="Sim",G283,0)</f>
        <v>0</v>
      </c>
      <c r="N283" s="42">
        <f>IF(AND(H283="Sim",I283&lt;&gt;"Aceito"),G283+ROW()/100000,0)</f>
        <v>0</v>
      </c>
    </row>
    <row r="284">
      <c r="A284" s="35" t="inlineStr">
        <is>
          <t>G2026-0710</t>
        </is>
      </c>
      <c r="B284" s="39" t="n">
        <v>46258</v>
      </c>
      <c r="C284" s="33" t="inlineStr">
        <is>
          <t>Camila Batista</t>
        </is>
      </c>
      <c r="D284" s="35" t="inlineStr">
        <is>
          <t>MediPlan</t>
        </is>
      </c>
      <c r="E284" s="33" t="inlineStr">
        <is>
          <t>Consulta</t>
        </is>
      </c>
      <c r="F284" s="33" t="inlineStr">
        <is>
          <t>Dra. Carolina Mendes</t>
        </is>
      </c>
      <c r="G284" s="40" t="n">
        <v>100</v>
      </c>
      <c r="H284" s="35" t="n"/>
      <c r="I284" s="35" t="n"/>
      <c r="J284" s="30">
        <f>IF(B284="","",DATE(YEAR(B284),MONTH(B284),1))</f>
        <v>46235.0</v>
      </c>
      <c r="K284" s="41" t="str">
        <f>IF(OR(B284="",D284=""),"",D284&amp;"|"&amp;TEXT(J284,"yyyy-mm"))</f>
        <v>MediPlan|2026-08</v>
      </c>
      <c r="L284" s="24" t="str">
        <f>IF(K284="","",IFERROR(INDEX(Lotes!$N$5:$N$154,MATCH(K284,Lotes!$P$5:$P$154,0)),"Sem lote cadastrado"))</f>
        <v>Aguardando</v>
      </c>
      <c r="M284" s="25">
        <f>IF(H284="Sim",G284,0)</f>
        <v>0</v>
      </c>
      <c r="N284" s="42">
        <f>IF(AND(H284="Sim",I284&lt;&gt;"Aceito"),G284+ROW()/100000,0)</f>
        <v>0</v>
      </c>
    </row>
    <row r="285">
      <c r="A285" s="35" t="inlineStr">
        <is>
          <t>G2026-0711</t>
        </is>
      </c>
      <c r="B285" s="39" t="n">
        <v>46258</v>
      </c>
      <c r="C285" s="33" t="inlineStr">
        <is>
          <t>Vinícius Cardoso</t>
        </is>
      </c>
      <c r="D285" s="35" t="inlineStr">
        <is>
          <t>MediPlan</t>
        </is>
      </c>
      <c r="E285" s="33" t="inlineStr">
        <is>
          <t>Consulta</t>
        </is>
      </c>
      <c r="F285" s="33" t="inlineStr">
        <is>
          <t>Dr. Paulo Andrade</t>
        </is>
      </c>
      <c r="G285" s="40" t="n">
        <v>100</v>
      </c>
      <c r="H285" s="35" t="n"/>
      <c r="I285" s="35" t="n"/>
      <c r="J285" s="30">
        <f>IF(B285="","",DATE(YEAR(B285),MONTH(B285),1))</f>
        <v>46235.0</v>
      </c>
      <c r="K285" s="41" t="str">
        <f>IF(OR(B285="",D285=""),"",D285&amp;"|"&amp;TEXT(J285,"yyyy-mm"))</f>
        <v>MediPlan|2026-08</v>
      </c>
      <c r="L285" s="24" t="str">
        <f>IF(K285="","",IFERROR(INDEX(Lotes!$N$5:$N$154,MATCH(K285,Lotes!$P$5:$P$154,0)),"Sem lote cadastrado"))</f>
        <v>Aguardando</v>
      </c>
      <c r="M285" s="25">
        <f>IF(H285="Sim",G285,0)</f>
        <v>0</v>
      </c>
      <c r="N285" s="42">
        <f>IF(AND(H285="Sim",I285&lt;&gt;"Aceito"),G285+ROW()/100000,0)</f>
        <v>0</v>
      </c>
    </row>
    <row r="286">
      <c r="A286" s="35" t="inlineStr">
        <is>
          <t>G2026-0712</t>
        </is>
      </c>
      <c r="B286" s="39" t="n">
        <v>46258</v>
      </c>
      <c r="C286" s="33" t="inlineStr">
        <is>
          <t>Gabriel Vieira</t>
        </is>
      </c>
      <c r="D286" s="35" t="inlineStr">
        <is>
          <t>Vida Care</t>
        </is>
      </c>
      <c r="E286" s="33" t="inlineStr">
        <is>
          <t>Consulta</t>
        </is>
      </c>
      <c r="F286" s="33" t="inlineStr">
        <is>
          <t>Dr. Paulo Andrade</t>
        </is>
      </c>
      <c r="G286" s="40" t="n">
        <v>90</v>
      </c>
      <c r="H286" s="35" t="n"/>
      <c r="I286" s="35" t="n"/>
      <c r="J286" s="30">
        <f>IF(B286="","",DATE(YEAR(B286),MONTH(B286),1))</f>
        <v>46235.0</v>
      </c>
      <c r="K286" s="41" t="str">
        <f>IF(OR(B286="",D286=""),"",D286&amp;"|"&amp;TEXT(J286,"yyyy-mm"))</f>
        <v>Vida Care|2026-08</v>
      </c>
      <c r="L286" s="24" t="str">
        <f>IF(K286="","",IFERROR(INDEX(Lotes!$N$5:$N$154,MATCH(K286,Lotes!$P$5:$P$154,0)),"Sem lote cadastrado"))</f>
        <v>Aguardando</v>
      </c>
      <c r="M286" s="25">
        <f>IF(H286="Sim",G286,0)</f>
        <v>0</v>
      </c>
      <c r="N286" s="42">
        <f>IF(AND(H286="Sim",I286&lt;&gt;"Aceito"),G286+ROW()/100000,0)</f>
        <v>0</v>
      </c>
    </row>
    <row r="287">
      <c r="A287" s="35" t="inlineStr">
        <is>
          <t>G2026-0713</t>
        </is>
      </c>
      <c r="B287" s="39" t="n">
        <v>46258</v>
      </c>
      <c r="C287" s="33" t="inlineStr">
        <is>
          <t>Daniel Melo</t>
        </is>
      </c>
      <c r="D287" s="35" t="inlineStr">
        <is>
          <t>Saúde Total</t>
        </is>
      </c>
      <c r="E287" s="33" t="inlineStr">
        <is>
          <t>MAPA</t>
        </is>
      </c>
      <c r="F287" s="33" t="inlineStr">
        <is>
          <t>Dr. Paulo Andrade</t>
        </is>
      </c>
      <c r="G287" s="40" t="n">
        <v>95</v>
      </c>
      <c r="H287" s="35" t="n"/>
      <c r="I287" s="35" t="n"/>
      <c r="J287" s="30">
        <f>IF(B287="","",DATE(YEAR(B287),MONTH(B287),1))</f>
        <v>46235.0</v>
      </c>
      <c r="K287" s="41" t="str">
        <f>IF(OR(B287="",D287=""),"",D287&amp;"|"&amp;TEXT(J287,"yyyy-mm"))</f>
        <v>Saúde Total|2026-08</v>
      </c>
      <c r="L287" s="24" t="str">
        <f>IF(K287="","",IFERROR(INDEX(Lotes!$N$5:$N$154,MATCH(K287,Lotes!$P$5:$P$154,0)),"Sem lote cadastrado"))</f>
        <v>Aguardando</v>
      </c>
      <c r="M287" s="25">
        <f>IF(H287="Sim",G287,0)</f>
        <v>0</v>
      </c>
      <c r="N287" s="42">
        <f>IF(AND(H287="Sim",I287&lt;&gt;"Aceito"),G287+ROW()/100000,0)</f>
        <v>0</v>
      </c>
    </row>
    <row r="288">
      <c r="A288" s="35" t="inlineStr">
        <is>
          <t>G2026-0714</t>
        </is>
      </c>
      <c r="B288" s="39" t="n">
        <v>46258</v>
      </c>
      <c r="C288" s="33" t="inlineStr">
        <is>
          <t>Isabela Nascimento</t>
        </is>
      </c>
      <c r="D288" s="35" t="inlineStr">
        <is>
          <t>Vida Care</t>
        </is>
      </c>
      <c r="E288" s="33" t="inlineStr">
        <is>
          <t>Teste ergométrico</t>
        </is>
      </c>
      <c r="F288" s="33" t="inlineStr">
        <is>
          <t>Dr. Paulo Andrade</t>
        </is>
      </c>
      <c r="G288" s="40" t="n">
        <v>110</v>
      </c>
      <c r="H288" s="35" t="n"/>
      <c r="I288" s="35" t="n"/>
      <c r="J288" s="30">
        <f>IF(B288="","",DATE(YEAR(B288),MONTH(B288),1))</f>
        <v>46235.0</v>
      </c>
      <c r="K288" s="41" t="str">
        <f>IF(OR(B288="",D288=""),"",D288&amp;"|"&amp;TEXT(J288,"yyyy-mm"))</f>
        <v>Vida Care|2026-08</v>
      </c>
      <c r="L288" s="24" t="str">
        <f>IF(K288="","",IFERROR(INDEX(Lotes!$N$5:$N$154,MATCH(K288,Lotes!$P$5:$P$154,0)),"Sem lote cadastrado"))</f>
        <v>Aguardando</v>
      </c>
      <c r="M288" s="25">
        <f>IF(H288="Sim",G288,0)</f>
        <v>0</v>
      </c>
      <c r="N288" s="42">
        <f>IF(AND(H288="Sim",I288&lt;&gt;"Aceito"),G288+ROW()/100000,0)</f>
        <v>0</v>
      </c>
    </row>
    <row r="289">
      <c r="A289" s="35" t="inlineStr">
        <is>
          <t>G2026-0715</t>
        </is>
      </c>
      <c r="B289" s="39" t="n">
        <v>46259</v>
      </c>
      <c r="C289" s="33" t="inlineStr">
        <is>
          <t>Daniel Melo</t>
        </is>
      </c>
      <c r="D289" s="35" t="inlineStr">
        <is>
          <t>Saúde Total</t>
        </is>
      </c>
      <c r="E289" s="33" t="inlineStr">
        <is>
          <t>Consulta</t>
        </is>
      </c>
      <c r="F289" s="33" t="inlineStr">
        <is>
          <t>Dra. Carolina Mendes</t>
        </is>
      </c>
      <c r="G289" s="40" t="n">
        <v>120</v>
      </c>
      <c r="H289" s="35" t="n"/>
      <c r="I289" s="35" t="n"/>
      <c r="J289" s="30">
        <f>IF(B289="","",DATE(YEAR(B289),MONTH(B289),1))</f>
        <v>46235.0</v>
      </c>
      <c r="K289" s="41" t="str">
        <f>IF(OR(B289="",D289=""),"",D289&amp;"|"&amp;TEXT(J289,"yyyy-mm"))</f>
        <v>Saúde Total|2026-08</v>
      </c>
      <c r="L289" s="24" t="str">
        <f>IF(K289="","",IFERROR(INDEX(Lotes!$N$5:$N$154,MATCH(K289,Lotes!$P$5:$P$154,0)),"Sem lote cadastrado"))</f>
        <v>Aguardando</v>
      </c>
      <c r="M289" s="25">
        <f>IF(H289="Sim",G289,0)</f>
        <v>0</v>
      </c>
      <c r="N289" s="42">
        <f>IF(AND(H289="Sim",I289&lt;&gt;"Aceito"),G289+ROW()/100000,0)</f>
        <v>0</v>
      </c>
    </row>
    <row r="290">
      <c r="A290" s="35" t="inlineStr">
        <is>
          <t>G2026-0716</t>
        </is>
      </c>
      <c r="B290" s="39" t="n">
        <v>46259</v>
      </c>
      <c r="C290" s="33" t="inlineStr">
        <is>
          <t>Priscila Castro</t>
        </is>
      </c>
      <c r="D290" s="35" t="inlineStr">
        <is>
          <t>Saúde Total</t>
        </is>
      </c>
      <c r="E290" s="33" t="inlineStr">
        <is>
          <t>Consulta</t>
        </is>
      </c>
      <c r="F290" s="33" t="inlineStr">
        <is>
          <t>Dra. Carolina Mendes</t>
        </is>
      </c>
      <c r="G290" s="40" t="n">
        <v>120</v>
      </c>
      <c r="H290" s="35" t="n"/>
      <c r="I290" s="35" t="n"/>
      <c r="J290" s="30">
        <f>IF(B290="","",DATE(YEAR(B290),MONTH(B290),1))</f>
        <v>46235.0</v>
      </c>
      <c r="K290" s="41" t="str">
        <f>IF(OR(B290="",D290=""),"",D290&amp;"|"&amp;TEXT(J290,"yyyy-mm"))</f>
        <v>Saúde Total|2026-08</v>
      </c>
      <c r="L290" s="24" t="str">
        <f>IF(K290="","",IFERROR(INDEX(Lotes!$N$5:$N$154,MATCH(K290,Lotes!$P$5:$P$154,0)),"Sem lote cadastrado"))</f>
        <v>Aguardando</v>
      </c>
      <c r="M290" s="25">
        <f>IF(H290="Sim",G290,0)</f>
        <v>0</v>
      </c>
      <c r="N290" s="42">
        <f>IF(AND(H290="Sim",I290&lt;&gt;"Aceito"),G290+ROW()/100000,0)</f>
        <v>0</v>
      </c>
    </row>
    <row r="291">
      <c r="A291" s="35" t="inlineStr">
        <is>
          <t>G2026-0717</t>
        </is>
      </c>
      <c r="B291" s="39" t="n">
        <v>46259</v>
      </c>
      <c r="C291" s="33" t="inlineStr">
        <is>
          <t>Gustavo Barbosa</t>
        </is>
      </c>
      <c r="D291" s="35" t="inlineStr">
        <is>
          <t>Saúde Total</t>
        </is>
      </c>
      <c r="E291" s="33" t="inlineStr">
        <is>
          <t>Consulta</t>
        </is>
      </c>
      <c r="F291" s="33" t="inlineStr">
        <is>
          <t>Dra. Carolina Mendes</t>
        </is>
      </c>
      <c r="G291" s="40" t="n">
        <v>120</v>
      </c>
      <c r="H291" s="35" t="n"/>
      <c r="I291" s="35" t="n"/>
      <c r="J291" s="30">
        <f>IF(B291="","",DATE(YEAR(B291),MONTH(B291),1))</f>
        <v>46235.0</v>
      </c>
      <c r="K291" s="41" t="str">
        <f>IF(OR(B291="",D291=""),"",D291&amp;"|"&amp;TEXT(J291,"yyyy-mm"))</f>
        <v>Saúde Total|2026-08</v>
      </c>
      <c r="L291" s="24" t="str">
        <f>IF(K291="","",IFERROR(INDEX(Lotes!$N$5:$N$154,MATCH(K291,Lotes!$P$5:$P$154,0)),"Sem lote cadastrado"))</f>
        <v>Aguardando</v>
      </c>
      <c r="M291" s="25">
        <f>IF(H291="Sim",G291,0)</f>
        <v>0</v>
      </c>
      <c r="N291" s="42">
        <f>IF(AND(H291="Sim",I291&lt;&gt;"Aceito"),G291+ROW()/100000,0)</f>
        <v>0</v>
      </c>
    </row>
    <row r="292">
      <c r="A292" s="35" t="inlineStr">
        <is>
          <t>G2026-0718</t>
        </is>
      </c>
      <c r="B292" s="39" t="n">
        <v>46259</v>
      </c>
      <c r="C292" s="33" t="inlineStr">
        <is>
          <t>Carlos Gomes</t>
        </is>
      </c>
      <c r="D292" s="35" t="inlineStr">
        <is>
          <t>Saúde Total</t>
        </is>
      </c>
      <c r="E292" s="33" t="inlineStr">
        <is>
          <t>Avaliação endócrina</t>
        </is>
      </c>
      <c r="F292" s="33" t="inlineStr">
        <is>
          <t>Dra. Renata Sousa</t>
        </is>
      </c>
      <c r="G292" s="40" t="n">
        <v>130</v>
      </c>
      <c r="H292" s="35" t="n"/>
      <c r="I292" s="35" t="n"/>
      <c r="J292" s="30">
        <f>IF(B292="","",DATE(YEAR(B292),MONTH(B292),1))</f>
        <v>46235.0</v>
      </c>
      <c r="K292" s="41" t="str">
        <f>IF(OR(B292="",D292=""),"",D292&amp;"|"&amp;TEXT(J292,"yyyy-mm"))</f>
        <v>Saúde Total|2026-08</v>
      </c>
      <c r="L292" s="24" t="str">
        <f>IF(K292="","",IFERROR(INDEX(Lotes!$N$5:$N$154,MATCH(K292,Lotes!$P$5:$P$154,0)),"Sem lote cadastrado"))</f>
        <v>Aguardando</v>
      </c>
      <c r="M292" s="25">
        <f>IF(H292="Sim",G292,0)</f>
        <v>0</v>
      </c>
      <c r="N292" s="42">
        <f>IF(AND(H292="Sim",I292&lt;&gt;"Aceito"),G292+ROW()/100000,0)</f>
        <v>0</v>
      </c>
    </row>
    <row r="293">
      <c r="A293" s="35" t="inlineStr">
        <is>
          <t>G2026-0719</t>
        </is>
      </c>
      <c r="B293" s="39" t="n">
        <v>46259</v>
      </c>
      <c r="C293" s="33" t="inlineStr">
        <is>
          <t>Natália Xavier</t>
        </is>
      </c>
      <c r="D293" s="35" t="inlineStr">
        <is>
          <t>MediPlan</t>
        </is>
      </c>
      <c r="E293" s="33" t="inlineStr">
        <is>
          <t>Consulta</t>
        </is>
      </c>
      <c r="F293" s="33" t="inlineStr">
        <is>
          <t>Dr. Paulo Andrade</t>
        </is>
      </c>
      <c r="G293" s="40" t="n">
        <v>100</v>
      </c>
      <c r="H293" s="35" t="n"/>
      <c r="I293" s="35" t="n"/>
      <c r="J293" s="30">
        <f>IF(B293="","",DATE(YEAR(B293),MONTH(B293),1))</f>
        <v>46235.0</v>
      </c>
      <c r="K293" s="41" t="str">
        <f>IF(OR(B293="",D293=""),"",D293&amp;"|"&amp;TEXT(J293,"yyyy-mm"))</f>
        <v>MediPlan|2026-08</v>
      </c>
      <c r="L293" s="24" t="str">
        <f>IF(K293="","",IFERROR(INDEX(Lotes!$N$5:$N$154,MATCH(K293,Lotes!$P$5:$P$154,0)),"Sem lote cadastrado"))</f>
        <v>Aguardando</v>
      </c>
      <c r="M293" s="25">
        <f>IF(H293="Sim",G293,0)</f>
        <v>0</v>
      </c>
      <c r="N293" s="42">
        <f>IF(AND(H293="Sim",I293&lt;&gt;"Aceito"),G293+ROW()/100000,0)</f>
        <v>0</v>
      </c>
    </row>
    <row r="294">
      <c r="A294" s="35" t="inlineStr">
        <is>
          <t>G2026-0720</t>
        </is>
      </c>
      <c r="B294" s="39" t="n">
        <v>46259</v>
      </c>
      <c r="C294" s="33" t="inlineStr">
        <is>
          <t>Gabriel Lopes</t>
        </is>
      </c>
      <c r="D294" s="35" t="inlineStr">
        <is>
          <t>Saúde Total</t>
        </is>
      </c>
      <c r="E294" s="33" t="inlineStr">
        <is>
          <t>Avaliação endócrina</t>
        </is>
      </c>
      <c r="F294" s="33" t="inlineStr">
        <is>
          <t>Dra. Renata Sousa</t>
        </is>
      </c>
      <c r="G294" s="40" t="n">
        <v>130</v>
      </c>
      <c r="H294" s="35" t="n"/>
      <c r="I294" s="35" t="n"/>
      <c r="J294" s="30">
        <f>IF(B294="","",DATE(YEAR(B294),MONTH(B294),1))</f>
        <v>46235.0</v>
      </c>
      <c r="K294" s="41" t="str">
        <f>IF(OR(B294="",D294=""),"",D294&amp;"|"&amp;TEXT(J294,"yyyy-mm"))</f>
        <v>Saúde Total|2026-08</v>
      </c>
      <c r="L294" s="24" t="str">
        <f>IF(K294="","",IFERROR(INDEX(Lotes!$N$5:$N$154,MATCH(K294,Lotes!$P$5:$P$154,0)),"Sem lote cadastrado"))</f>
        <v>Aguardando</v>
      </c>
      <c r="M294" s="25">
        <f>IF(H294="Sim",G294,0)</f>
        <v>0</v>
      </c>
      <c r="N294" s="42">
        <f>IF(AND(H294="Sim",I294&lt;&gt;"Aceito"),G294+ROW()/100000,0)</f>
        <v>0</v>
      </c>
    </row>
    <row r="295">
      <c r="A295" s="35" t="inlineStr">
        <is>
          <t>G2026-0721</t>
        </is>
      </c>
      <c r="B295" s="39" t="n">
        <v>46259</v>
      </c>
      <c r="C295" s="33" t="inlineStr">
        <is>
          <t>Camila Martins</t>
        </is>
      </c>
      <c r="D295" s="35" t="inlineStr">
        <is>
          <t>Vida Care</t>
        </is>
      </c>
      <c r="E295" s="33" t="inlineStr">
        <is>
          <t>Consulta</t>
        </is>
      </c>
      <c r="F295" s="33" t="inlineStr">
        <is>
          <t>Dr. Paulo Andrade</t>
        </is>
      </c>
      <c r="G295" s="40" t="n">
        <v>90</v>
      </c>
      <c r="H295" s="35" t="n"/>
      <c r="I295" s="35" t="n"/>
      <c r="J295" s="30">
        <f>IF(B295="","",DATE(YEAR(B295),MONTH(B295),1))</f>
        <v>46235.0</v>
      </c>
      <c r="K295" s="41" t="str">
        <f>IF(OR(B295="",D295=""),"",D295&amp;"|"&amp;TEXT(J295,"yyyy-mm"))</f>
        <v>Vida Care|2026-08</v>
      </c>
      <c r="L295" s="24" t="str">
        <f>IF(K295="","",IFERROR(INDEX(Lotes!$N$5:$N$154,MATCH(K295,Lotes!$P$5:$P$154,0)),"Sem lote cadastrado"))</f>
        <v>Aguardando</v>
      </c>
      <c r="M295" s="25">
        <f>IF(H295="Sim",G295,0)</f>
        <v>0</v>
      </c>
      <c r="N295" s="42">
        <f>IF(AND(H295="Sim",I295&lt;&gt;"Aceito"),G295+ROW()/100000,0)</f>
        <v>0</v>
      </c>
    </row>
    <row r="296">
      <c r="A296" s="35" t="inlineStr">
        <is>
          <t>G2026-0722</t>
        </is>
      </c>
      <c r="B296" s="39" t="n">
        <v>46259</v>
      </c>
      <c r="C296" s="33" t="inlineStr">
        <is>
          <t>Simone Monteiro</t>
        </is>
      </c>
      <c r="D296" s="35" t="inlineStr">
        <is>
          <t>Vida Care</t>
        </is>
      </c>
      <c r="E296" s="33" t="inlineStr">
        <is>
          <t>ECG</t>
        </is>
      </c>
      <c r="F296" s="33" t="inlineStr">
        <is>
          <t>Dr. Paulo Andrade</t>
        </is>
      </c>
      <c r="G296" s="40" t="n">
        <v>32</v>
      </c>
      <c r="H296" s="35" t="n"/>
      <c r="I296" s="35" t="n"/>
      <c r="J296" s="30">
        <f>IF(B296="","",DATE(YEAR(B296),MONTH(B296),1))</f>
        <v>46235.0</v>
      </c>
      <c r="K296" s="41" t="str">
        <f>IF(OR(B296="",D296=""),"",D296&amp;"|"&amp;TEXT(J296,"yyyy-mm"))</f>
        <v>Vida Care|2026-08</v>
      </c>
      <c r="L296" s="24" t="str">
        <f>IF(K296="","",IFERROR(INDEX(Lotes!$N$5:$N$154,MATCH(K296,Lotes!$P$5:$P$154,0)),"Sem lote cadastrado"))</f>
        <v>Aguardando</v>
      </c>
      <c r="M296" s="25">
        <f>IF(H296="Sim",G296,0)</f>
        <v>0</v>
      </c>
      <c r="N296" s="42">
        <f>IF(AND(H296="Sim",I296&lt;&gt;"Aceito"),G296+ROW()/100000,0)</f>
        <v>0</v>
      </c>
    </row>
    <row r="297">
      <c r="A297" s="35" t="inlineStr">
        <is>
          <t>G2026-0723</t>
        </is>
      </c>
      <c r="B297" s="39" t="n">
        <v>46260</v>
      </c>
      <c r="C297" s="33" t="inlineStr">
        <is>
          <t>Priscila Nunes</t>
        </is>
      </c>
      <c r="D297" s="35" t="inlineStr">
        <is>
          <t>MediPlan</t>
        </is>
      </c>
      <c r="E297" s="33" t="inlineStr">
        <is>
          <t>Consulta</t>
        </is>
      </c>
      <c r="F297" s="33" t="inlineStr">
        <is>
          <t>Dra. Carolina Mendes</t>
        </is>
      </c>
      <c r="G297" s="40" t="n">
        <v>100</v>
      </c>
      <c r="H297" s="35" t="n"/>
      <c r="I297" s="35" t="n"/>
      <c r="J297" s="30">
        <f>IF(B297="","",DATE(YEAR(B297),MONTH(B297),1))</f>
        <v>46235.0</v>
      </c>
      <c r="K297" s="41" t="str">
        <f>IF(OR(B297="",D297=""),"",D297&amp;"|"&amp;TEXT(J297,"yyyy-mm"))</f>
        <v>MediPlan|2026-08</v>
      </c>
      <c r="L297" s="24" t="str">
        <f>IF(K297="","",IFERROR(INDEX(Lotes!$N$5:$N$154,MATCH(K297,Lotes!$P$5:$P$154,0)),"Sem lote cadastrado"))</f>
        <v>Aguardando</v>
      </c>
      <c r="M297" s="25">
        <f>IF(H297="Sim",G297,0)</f>
        <v>0</v>
      </c>
      <c r="N297" s="42">
        <f>IF(AND(H297="Sim",I297&lt;&gt;"Aceito"),G297+ROW()/100000,0)</f>
        <v>0</v>
      </c>
    </row>
    <row r="298">
      <c r="A298" s="35" t="inlineStr">
        <is>
          <t>G2026-0724</t>
        </is>
      </c>
      <c r="B298" s="39" t="n">
        <v>46260</v>
      </c>
      <c r="C298" s="33" t="inlineStr">
        <is>
          <t>Carlos Castro</t>
        </is>
      </c>
      <c r="D298" s="35" t="inlineStr">
        <is>
          <t>Saúde Total</t>
        </is>
      </c>
      <c r="E298" s="33" t="inlineStr">
        <is>
          <t>Consulta</t>
        </is>
      </c>
      <c r="F298" s="33" t="inlineStr">
        <is>
          <t>Dra. Carolina Mendes</t>
        </is>
      </c>
      <c r="G298" s="40" t="n">
        <v>120</v>
      </c>
      <c r="H298" s="35" t="n"/>
      <c r="I298" s="35" t="n"/>
      <c r="J298" s="30">
        <f>IF(B298="","",DATE(YEAR(B298),MONTH(B298),1))</f>
        <v>46235.0</v>
      </c>
      <c r="K298" s="41" t="str">
        <f>IF(OR(B298="",D298=""),"",D298&amp;"|"&amp;TEXT(J298,"yyyy-mm"))</f>
        <v>Saúde Total|2026-08</v>
      </c>
      <c r="L298" s="24" t="str">
        <f>IF(K298="","",IFERROR(INDEX(Lotes!$N$5:$N$154,MATCH(K298,Lotes!$P$5:$P$154,0)),"Sem lote cadastrado"))</f>
        <v>Aguardando</v>
      </c>
      <c r="M298" s="25">
        <f>IF(H298="Sim",G298,0)</f>
        <v>0</v>
      </c>
      <c r="N298" s="42">
        <f>IF(AND(H298="Sim",I298&lt;&gt;"Aceito"),G298+ROW()/100000,0)</f>
        <v>0</v>
      </c>
    </row>
    <row r="299">
      <c r="A299" s="35" t="inlineStr">
        <is>
          <t>G2026-0725</t>
        </is>
      </c>
      <c r="B299" s="39" t="n">
        <v>46261</v>
      </c>
      <c r="C299" s="33" t="inlineStr">
        <is>
          <t>Roberta Fernandes</t>
        </is>
      </c>
      <c r="D299" s="35" t="inlineStr">
        <is>
          <t>Saúde Total</t>
        </is>
      </c>
      <c r="E299" s="33" t="inlineStr">
        <is>
          <t>Consulta</t>
        </is>
      </c>
      <c r="F299" s="33" t="inlineStr">
        <is>
          <t>Dra. Carolina Mendes</t>
        </is>
      </c>
      <c r="G299" s="40" t="n">
        <v>120</v>
      </c>
      <c r="H299" s="35" t="n"/>
      <c r="I299" s="35" t="n"/>
      <c r="J299" s="30">
        <f>IF(B299="","",DATE(YEAR(B299),MONTH(B299),1))</f>
        <v>46235.0</v>
      </c>
      <c r="K299" s="41" t="str">
        <f>IF(OR(B299="",D299=""),"",D299&amp;"|"&amp;TEXT(J299,"yyyy-mm"))</f>
        <v>Saúde Total|2026-08</v>
      </c>
      <c r="L299" s="24" t="str">
        <f>IF(K299="","",IFERROR(INDEX(Lotes!$N$5:$N$154,MATCH(K299,Lotes!$P$5:$P$154,0)),"Sem lote cadastrado"))</f>
        <v>Aguardando</v>
      </c>
      <c r="M299" s="25">
        <f>IF(H299="Sim",G299,0)</f>
        <v>0</v>
      </c>
      <c r="N299" s="42">
        <f>IF(AND(H299="Sim",I299&lt;&gt;"Aceito"),G299+ROW()/100000,0)</f>
        <v>0</v>
      </c>
    </row>
    <row r="300">
      <c r="A300" s="35" t="inlineStr">
        <is>
          <t>G2026-0726</t>
        </is>
      </c>
      <c r="B300" s="39" t="n">
        <v>46261</v>
      </c>
      <c r="C300" s="33" t="inlineStr">
        <is>
          <t>Regina Castro</t>
        </is>
      </c>
      <c r="D300" s="35" t="inlineStr">
        <is>
          <t>Vida Care</t>
        </is>
      </c>
      <c r="E300" s="33" t="inlineStr">
        <is>
          <t>MAPA</t>
        </is>
      </c>
      <c r="F300" s="33" t="inlineStr">
        <is>
          <t>Dr. Paulo Andrade</t>
        </is>
      </c>
      <c r="G300" s="40" t="n">
        <v>75</v>
      </c>
      <c r="H300" s="35" t="n"/>
      <c r="I300" s="35" t="n"/>
      <c r="J300" s="30">
        <f>IF(B300="","",DATE(YEAR(B300),MONTH(B300),1))</f>
        <v>46235.0</v>
      </c>
      <c r="K300" s="41" t="str">
        <f>IF(OR(B300="",D300=""),"",D300&amp;"|"&amp;TEXT(J300,"yyyy-mm"))</f>
        <v>Vida Care|2026-08</v>
      </c>
      <c r="L300" s="24" t="str">
        <f>IF(K300="","",IFERROR(INDEX(Lotes!$N$5:$N$154,MATCH(K300,Lotes!$P$5:$P$154,0)),"Sem lote cadastrado"))</f>
        <v>Aguardando</v>
      </c>
      <c r="M300" s="25">
        <f>IF(H300="Sim",G300,0)</f>
        <v>0</v>
      </c>
      <c r="N300" s="42">
        <f>IF(AND(H300="Sim",I300&lt;&gt;"Aceito"),G300+ROW()/100000,0)</f>
        <v>0</v>
      </c>
    </row>
    <row r="301">
      <c r="A301" s="35" t="inlineStr">
        <is>
          <t>G2026-0727</t>
        </is>
      </c>
      <c r="B301" s="39" t="n">
        <v>46261</v>
      </c>
      <c r="C301" s="33" t="inlineStr">
        <is>
          <t>Thiago Duarte</t>
        </is>
      </c>
      <c r="D301" s="35" t="inlineStr">
        <is>
          <t>Saúde Total</t>
        </is>
      </c>
      <c r="E301" s="33" t="inlineStr">
        <is>
          <t>ECG</t>
        </is>
      </c>
      <c r="F301" s="33" t="inlineStr">
        <is>
          <t>Dr. Paulo Andrade</t>
        </is>
      </c>
      <c r="G301" s="40" t="n">
        <v>40</v>
      </c>
      <c r="H301" s="35" t="n"/>
      <c r="I301" s="35" t="n"/>
      <c r="J301" s="30">
        <f>IF(B301="","",DATE(YEAR(B301),MONTH(B301),1))</f>
        <v>46235.0</v>
      </c>
      <c r="K301" s="41" t="str">
        <f>IF(OR(B301="",D301=""),"",D301&amp;"|"&amp;TEXT(J301,"yyyy-mm"))</f>
        <v>Saúde Total|2026-08</v>
      </c>
      <c r="L301" s="24" t="str">
        <f>IF(K301="","",IFERROR(INDEX(Lotes!$N$5:$N$154,MATCH(K301,Lotes!$P$5:$P$154,0)),"Sem lote cadastrado"))</f>
        <v>Aguardando</v>
      </c>
      <c r="M301" s="25">
        <f>IF(H301="Sim",G301,0)</f>
        <v>0</v>
      </c>
      <c r="N301" s="42">
        <f>IF(AND(H301="Sim",I301&lt;&gt;"Aceito"),G301+ROW()/100000,0)</f>
        <v>0</v>
      </c>
    </row>
    <row r="302">
      <c r="A302" s="35" t="inlineStr">
        <is>
          <t>G2026-0728</t>
        </is>
      </c>
      <c r="B302" s="39" t="n">
        <v>46261</v>
      </c>
      <c r="C302" s="33" t="inlineStr">
        <is>
          <t>Bruno Carvalho</t>
        </is>
      </c>
      <c r="D302" s="35" t="inlineStr">
        <is>
          <t>Saúde Total</t>
        </is>
      </c>
      <c r="E302" s="33" t="inlineStr">
        <is>
          <t>Consulta</t>
        </is>
      </c>
      <c r="F302" s="33" t="inlineStr">
        <is>
          <t>Dr. Paulo Andrade</t>
        </is>
      </c>
      <c r="G302" s="40" t="n">
        <v>120</v>
      </c>
      <c r="H302" s="35" t="n"/>
      <c r="I302" s="35" t="n"/>
      <c r="J302" s="30">
        <f>IF(B302="","",DATE(YEAR(B302),MONTH(B302),1))</f>
        <v>46235.0</v>
      </c>
      <c r="K302" s="41" t="str">
        <f>IF(OR(B302="",D302=""),"",D302&amp;"|"&amp;TEXT(J302,"yyyy-mm"))</f>
        <v>Saúde Total|2026-08</v>
      </c>
      <c r="L302" s="24" t="str">
        <f>IF(K302="","",IFERROR(INDEX(Lotes!$N$5:$N$154,MATCH(K302,Lotes!$P$5:$P$154,0)),"Sem lote cadastrado"))</f>
        <v>Aguardando</v>
      </c>
      <c r="M302" s="25">
        <f>IF(H302="Sim",G302,0)</f>
        <v>0</v>
      </c>
      <c r="N302" s="42">
        <f>IF(AND(H302="Sim",I302&lt;&gt;"Aceito"),G302+ROW()/100000,0)</f>
        <v>0</v>
      </c>
    </row>
    <row r="303">
      <c r="A303" s="35" t="inlineStr">
        <is>
          <t>G2026-0729</t>
        </is>
      </c>
      <c r="B303" s="39" t="n">
        <v>46261</v>
      </c>
      <c r="C303" s="33" t="inlineStr">
        <is>
          <t>Fernanda Nunes</t>
        </is>
      </c>
      <c r="D303" s="35" t="inlineStr">
        <is>
          <t>MediPlan</t>
        </is>
      </c>
      <c r="E303" s="33" t="inlineStr">
        <is>
          <t>Consulta</t>
        </is>
      </c>
      <c r="F303" s="33" t="inlineStr">
        <is>
          <t>Dr. Paulo Andrade</t>
        </is>
      </c>
      <c r="G303" s="40" t="n">
        <v>100</v>
      </c>
      <c r="H303" s="35" t="n"/>
      <c r="I303" s="35" t="n"/>
      <c r="J303" s="30">
        <f>IF(B303="","",DATE(YEAR(B303),MONTH(B303),1))</f>
        <v>46235.0</v>
      </c>
      <c r="K303" s="41" t="str">
        <f>IF(OR(B303="",D303=""),"",D303&amp;"|"&amp;TEXT(J303,"yyyy-mm"))</f>
        <v>MediPlan|2026-08</v>
      </c>
      <c r="L303" s="24" t="str">
        <f>IF(K303="","",IFERROR(INDEX(Lotes!$N$5:$N$154,MATCH(K303,Lotes!$P$5:$P$154,0)),"Sem lote cadastrado"))</f>
        <v>Aguardando</v>
      </c>
      <c r="M303" s="25">
        <f>IF(H303="Sim",G303,0)</f>
        <v>0</v>
      </c>
      <c r="N303" s="42">
        <f>IF(AND(H303="Sim",I303&lt;&gt;"Aceito"),G303+ROW()/100000,0)</f>
        <v>0</v>
      </c>
    </row>
    <row r="304">
      <c r="A304" s="35" t="inlineStr">
        <is>
          <t>G2026-0730</t>
        </is>
      </c>
      <c r="B304" s="39" t="n">
        <v>46262</v>
      </c>
      <c r="C304" s="33" t="inlineStr">
        <is>
          <t>Vanessa Carvalho</t>
        </is>
      </c>
      <c r="D304" s="35" t="inlineStr">
        <is>
          <t>Saúde Total</t>
        </is>
      </c>
      <c r="E304" s="33" t="inlineStr">
        <is>
          <t>Consulta</t>
        </is>
      </c>
      <c r="F304" s="33" t="inlineStr">
        <is>
          <t>Dr. Paulo Andrade</t>
        </is>
      </c>
      <c r="G304" s="40" t="n">
        <v>120</v>
      </c>
      <c r="H304" s="35" t="n"/>
      <c r="I304" s="35" t="n"/>
      <c r="J304" s="30">
        <f>IF(B304="","",DATE(YEAR(B304),MONTH(B304),1))</f>
        <v>46235.0</v>
      </c>
      <c r="K304" s="41" t="str">
        <f>IF(OR(B304="",D304=""),"",D304&amp;"|"&amp;TEXT(J304,"yyyy-mm"))</f>
        <v>Saúde Total|2026-08</v>
      </c>
      <c r="L304" s="24" t="str">
        <f>IF(K304="","",IFERROR(INDEX(Lotes!$N$5:$N$154,MATCH(K304,Lotes!$P$5:$P$154,0)),"Sem lote cadastrado"))</f>
        <v>Aguardando</v>
      </c>
      <c r="M304" s="25">
        <f>IF(H304="Sim",G304,0)</f>
        <v>0</v>
      </c>
      <c r="N304" s="42">
        <f>IF(AND(H304="Sim",I304&lt;&gt;"Aceito"),G304+ROW()/100000,0)</f>
        <v>0</v>
      </c>
    </row>
    <row r="305">
      <c r="A305" s="35" t="inlineStr">
        <is>
          <t>G2026-0731</t>
        </is>
      </c>
      <c r="B305" s="39" t="n">
        <v>46262</v>
      </c>
      <c r="C305" s="33" t="inlineStr">
        <is>
          <t>Mateus Martins</t>
        </is>
      </c>
      <c r="D305" s="35" t="inlineStr">
        <is>
          <t>Vida Care</t>
        </is>
      </c>
      <c r="E305" s="33" t="inlineStr">
        <is>
          <t>Consulta</t>
        </is>
      </c>
      <c r="F305" s="33" t="inlineStr">
        <is>
          <t>Dr. Paulo Andrade</t>
        </is>
      </c>
      <c r="G305" s="40" t="n">
        <v>90</v>
      </c>
      <c r="H305" s="35" t="n"/>
      <c r="I305" s="35" t="n"/>
      <c r="J305" s="30">
        <f>IF(B305="","",DATE(YEAR(B305),MONTH(B305),1))</f>
        <v>46235.0</v>
      </c>
      <c r="K305" s="41" t="str">
        <f>IF(OR(B305="",D305=""),"",D305&amp;"|"&amp;TEXT(J305,"yyyy-mm"))</f>
        <v>Vida Care|2026-08</v>
      </c>
      <c r="L305" s="24" t="str">
        <f>IF(K305="","",IFERROR(INDEX(Lotes!$N$5:$N$154,MATCH(K305,Lotes!$P$5:$P$154,0)),"Sem lote cadastrado"))</f>
        <v>Aguardando</v>
      </c>
      <c r="M305" s="25">
        <f>IF(H305="Sim",G305,0)</f>
        <v>0</v>
      </c>
      <c r="N305" s="42">
        <f>IF(AND(H305="Sim",I305&lt;&gt;"Aceito"),G305+ROW()/100000,0)</f>
        <v>0</v>
      </c>
    </row>
    <row r="306">
      <c r="A306" s="35" t="inlineStr">
        <is>
          <t>G2026-0732</t>
        </is>
      </c>
      <c r="B306" s="39" t="n">
        <v>46262</v>
      </c>
      <c r="C306" s="33" t="inlineStr">
        <is>
          <t>Henrique Santos</t>
        </is>
      </c>
      <c r="D306" s="35" t="inlineStr">
        <is>
          <t>Vida Care</t>
        </is>
      </c>
      <c r="E306" s="33" t="inlineStr">
        <is>
          <t>Consulta</t>
        </is>
      </c>
      <c r="F306" s="33" t="inlineStr">
        <is>
          <t>Dr. Paulo Andrade</t>
        </is>
      </c>
      <c r="G306" s="40" t="n">
        <v>90</v>
      </c>
      <c r="H306" s="35" t="n"/>
      <c r="I306" s="35" t="n"/>
      <c r="J306" s="30">
        <f>IF(B306="","",DATE(YEAR(B306),MONTH(B306),1))</f>
        <v>46235.0</v>
      </c>
      <c r="K306" s="41" t="str">
        <f>IF(OR(B306="",D306=""),"",D306&amp;"|"&amp;TEXT(J306,"yyyy-mm"))</f>
        <v>Vida Care|2026-08</v>
      </c>
      <c r="L306" s="24" t="str">
        <f>IF(K306="","",IFERROR(INDEX(Lotes!$N$5:$N$154,MATCH(K306,Lotes!$P$5:$P$154,0)),"Sem lote cadastrado"))</f>
        <v>Aguardando</v>
      </c>
      <c r="M306" s="25">
        <f>IF(H306="Sim",G306,0)</f>
        <v>0</v>
      </c>
      <c r="N306" s="42">
        <f>IF(AND(H306="Sim",I306&lt;&gt;"Aceito"),G306+ROW()/100000,0)</f>
        <v>0</v>
      </c>
    </row>
    <row r="307">
      <c r="A307" s="35" t="inlineStr">
        <is>
          <t>G2026-0733</t>
        </is>
      </c>
      <c r="B307" s="39" t="n">
        <v>46262</v>
      </c>
      <c r="C307" s="33" t="inlineStr">
        <is>
          <t>Paulo Nascimento</t>
        </is>
      </c>
      <c r="D307" s="35" t="inlineStr">
        <is>
          <t>MediPlan</t>
        </is>
      </c>
      <c r="E307" s="33" t="inlineStr">
        <is>
          <t>Consulta</t>
        </is>
      </c>
      <c r="F307" s="33" t="inlineStr">
        <is>
          <t>Dr. Paulo Andrade</t>
        </is>
      </c>
      <c r="G307" s="40" t="n">
        <v>100</v>
      </c>
      <c r="H307" s="35" t="n"/>
      <c r="I307" s="35" t="n"/>
      <c r="J307" s="30">
        <f>IF(B307="","",DATE(YEAR(B307),MONTH(B307),1))</f>
        <v>46235.0</v>
      </c>
      <c r="K307" s="41" t="str">
        <f>IF(OR(B307="",D307=""),"",D307&amp;"|"&amp;TEXT(J307,"yyyy-mm"))</f>
        <v>MediPlan|2026-08</v>
      </c>
      <c r="L307" s="24" t="str">
        <f>IF(K307="","",IFERROR(INDEX(Lotes!$N$5:$N$154,MATCH(K307,Lotes!$P$5:$P$154,0)),"Sem lote cadastrado"))</f>
        <v>Aguardando</v>
      </c>
      <c r="M307" s="25">
        <f>IF(H307="Sim",G307,0)</f>
        <v>0</v>
      </c>
      <c r="N307" s="42">
        <f>IF(AND(H307="Sim",I307&lt;&gt;"Aceito"),G307+ROW()/100000,0)</f>
        <v>0</v>
      </c>
    </row>
    <row r="308">
      <c r="A308" s="35" t="inlineStr">
        <is>
          <t>G2026-0734</t>
        </is>
      </c>
      <c r="B308" s="39" t="n">
        <v>46262</v>
      </c>
      <c r="C308" s="33" t="inlineStr">
        <is>
          <t>Eduardo Reis</t>
        </is>
      </c>
      <c r="D308" s="35" t="inlineStr">
        <is>
          <t>Vida Care</t>
        </is>
      </c>
      <c r="E308" s="33" t="inlineStr">
        <is>
          <t>ECG</t>
        </is>
      </c>
      <c r="F308" s="33" t="inlineStr">
        <is>
          <t>Dr. Paulo Andrade</t>
        </is>
      </c>
      <c r="G308" s="40" t="n">
        <v>32</v>
      </c>
      <c r="H308" s="35" t="n"/>
      <c r="I308" s="35" t="n"/>
      <c r="J308" s="30">
        <f>IF(B308="","",DATE(YEAR(B308),MONTH(B308),1))</f>
        <v>46235.0</v>
      </c>
      <c r="K308" s="41" t="str">
        <f>IF(OR(B308="",D308=""),"",D308&amp;"|"&amp;TEXT(J308,"yyyy-mm"))</f>
        <v>Vida Care|2026-08</v>
      </c>
      <c r="L308" s="24" t="str">
        <f>IF(K308="","",IFERROR(INDEX(Lotes!$N$5:$N$154,MATCH(K308,Lotes!$P$5:$P$154,0)),"Sem lote cadastrado"))</f>
        <v>Aguardando</v>
      </c>
      <c r="M308" s="25">
        <f>IF(H308="Sim",G308,0)</f>
        <v>0</v>
      </c>
      <c r="N308" s="42">
        <f>IF(AND(H308="Sim",I308&lt;&gt;"Aceito"),G308+ROW()/100000,0)</f>
        <v>0</v>
      </c>
    </row>
    <row r="309">
      <c r="A309" s="35" t="inlineStr">
        <is>
          <t>G2026-0735</t>
        </is>
      </c>
      <c r="B309" s="39" t="n">
        <v>46265</v>
      </c>
      <c r="C309" s="33" t="inlineStr">
        <is>
          <t>Lucas Xavier</t>
        </is>
      </c>
      <c r="D309" s="35" t="inlineStr">
        <is>
          <t>Saúde Total</t>
        </is>
      </c>
      <c r="E309" s="33" t="inlineStr">
        <is>
          <t>Consulta</t>
        </is>
      </c>
      <c r="F309" s="33" t="inlineStr">
        <is>
          <t>Dra. Carolina Mendes</t>
        </is>
      </c>
      <c r="G309" s="40" t="n">
        <v>120</v>
      </c>
      <c r="H309" s="35" t="n"/>
      <c r="I309" s="35" t="n"/>
      <c r="J309" s="30">
        <f>IF(B309="","",DATE(YEAR(B309),MONTH(B309),1))</f>
        <v>46235.0</v>
      </c>
      <c r="K309" s="41" t="str">
        <f>IF(OR(B309="",D309=""),"",D309&amp;"|"&amp;TEXT(J309,"yyyy-mm"))</f>
        <v>Saúde Total|2026-08</v>
      </c>
      <c r="L309" s="24" t="str">
        <f>IF(K309="","",IFERROR(INDEX(Lotes!$N$5:$N$154,MATCH(K309,Lotes!$P$5:$P$154,0)),"Sem lote cadastrado"))</f>
        <v>Aguardando</v>
      </c>
      <c r="M309" s="25">
        <f>IF(H309="Sim",G309,0)</f>
        <v>0</v>
      </c>
      <c r="N309" s="42">
        <f>IF(AND(H309="Sim",I309&lt;&gt;"Aceito"),G309+ROW()/100000,0)</f>
        <v>0</v>
      </c>
    </row>
    <row r="310">
      <c r="A310" s="35" t="inlineStr">
        <is>
          <t>G2026-0736</t>
        </is>
      </c>
      <c r="B310" s="39" t="n">
        <v>46265</v>
      </c>
      <c r="C310" s="33" t="inlineStr">
        <is>
          <t>Eduardo Nunes</t>
        </is>
      </c>
      <c r="D310" s="35" t="inlineStr">
        <is>
          <t>MediPlan</t>
        </is>
      </c>
      <c r="E310" s="33" t="inlineStr">
        <is>
          <t>Consulta</t>
        </is>
      </c>
      <c r="F310" s="33" t="inlineStr">
        <is>
          <t>Dra. Carolina Mendes</t>
        </is>
      </c>
      <c r="G310" s="40" t="n">
        <v>100</v>
      </c>
      <c r="H310" s="35" t="n"/>
      <c r="I310" s="35" t="n"/>
      <c r="J310" s="30">
        <f>IF(B310="","",DATE(YEAR(B310),MONTH(B310),1))</f>
        <v>46235.0</v>
      </c>
      <c r="K310" s="41" t="str">
        <f>IF(OR(B310="",D310=""),"",D310&amp;"|"&amp;TEXT(J310,"yyyy-mm"))</f>
        <v>MediPlan|2026-08</v>
      </c>
      <c r="L310" s="24" t="str">
        <f>IF(K310="","",IFERROR(INDEX(Lotes!$N$5:$N$154,MATCH(K310,Lotes!$P$5:$P$154,0)),"Sem lote cadastrado"))</f>
        <v>Aguardando</v>
      </c>
      <c r="M310" s="25">
        <f>IF(H310="Sim",G310,0)</f>
        <v>0</v>
      </c>
      <c r="N310" s="42">
        <f>IF(AND(H310="Sim",I310&lt;&gt;"Aceito"),G310+ROW()/100000,0)</f>
        <v>0</v>
      </c>
    </row>
    <row r="311">
      <c r="A311" s="35" t="inlineStr">
        <is>
          <t>G2026-0737</t>
        </is>
      </c>
      <c r="B311" s="39" t="n">
        <v>46265</v>
      </c>
      <c r="C311" s="33" t="inlineStr">
        <is>
          <t>Simone Monteiro</t>
        </is>
      </c>
      <c r="D311" s="35" t="inlineStr">
        <is>
          <t>Vida Care</t>
        </is>
      </c>
      <c r="E311" s="33" t="inlineStr">
        <is>
          <t>Consulta</t>
        </is>
      </c>
      <c r="F311" s="33" t="inlineStr">
        <is>
          <t>Dra. Carolina Mendes</t>
        </is>
      </c>
      <c r="G311" s="40" t="n">
        <v>90</v>
      </c>
      <c r="H311" s="35" t="n"/>
      <c r="I311" s="35" t="n"/>
      <c r="J311" s="30">
        <f>IF(B311="","",DATE(YEAR(B311),MONTH(B311),1))</f>
        <v>46235.0</v>
      </c>
      <c r="K311" s="41" t="str">
        <f>IF(OR(B311="",D311=""),"",D311&amp;"|"&amp;TEXT(J311,"yyyy-mm"))</f>
        <v>Vida Care|2026-08</v>
      </c>
      <c r="L311" s="24" t="str">
        <f>IF(K311="","",IFERROR(INDEX(Lotes!$N$5:$N$154,MATCH(K311,Lotes!$P$5:$P$154,0)),"Sem lote cadastrado"))</f>
        <v>Aguardando</v>
      </c>
      <c r="M311" s="25">
        <f>IF(H311="Sim",G311,0)</f>
        <v>0</v>
      </c>
      <c r="N311" s="42">
        <f>IF(AND(H311="Sim",I311&lt;&gt;"Aceito"),G311+ROW()/100000,0)</f>
        <v>0</v>
      </c>
    </row>
    <row r="312">
      <c r="A312" s="35" t="inlineStr">
        <is>
          <t>G2026-0738</t>
        </is>
      </c>
      <c r="B312" s="39" t="n">
        <v>46265</v>
      </c>
      <c r="C312" s="33" t="inlineStr">
        <is>
          <t>Isabela Nascimento</t>
        </is>
      </c>
      <c r="D312" s="35" t="inlineStr">
        <is>
          <t>Vida Care</t>
        </is>
      </c>
      <c r="E312" s="33" t="inlineStr">
        <is>
          <t>Consulta</t>
        </is>
      </c>
      <c r="F312" s="33" t="inlineStr">
        <is>
          <t>Dra. Carolina Mendes</t>
        </is>
      </c>
      <c r="G312" s="40" t="n">
        <v>90</v>
      </c>
      <c r="H312" s="35" t="n"/>
      <c r="I312" s="35" t="n"/>
      <c r="J312" s="30">
        <f>IF(B312="","",DATE(YEAR(B312),MONTH(B312),1))</f>
        <v>46235.0</v>
      </c>
      <c r="K312" s="41" t="str">
        <f>IF(OR(B312="",D312=""),"",D312&amp;"|"&amp;TEXT(J312,"yyyy-mm"))</f>
        <v>Vida Care|2026-08</v>
      </c>
      <c r="L312" s="24" t="str">
        <f>IF(K312="","",IFERROR(INDEX(Lotes!$N$5:$N$154,MATCH(K312,Lotes!$P$5:$P$154,0)),"Sem lote cadastrado"))</f>
        <v>Aguardando</v>
      </c>
      <c r="M312" s="25">
        <f>IF(H312="Sim",G312,0)</f>
        <v>0</v>
      </c>
      <c r="N312" s="42">
        <f>IF(AND(H312="Sim",I312&lt;&gt;"Aceito"),G312+ROW()/100000,0)</f>
        <v>0</v>
      </c>
    </row>
    <row r="313">
      <c r="A313" s="35" t="inlineStr">
        <is>
          <t>G2026-0739</t>
        </is>
      </c>
      <c r="B313" s="39" t="n">
        <v>46265</v>
      </c>
      <c r="C313" s="33" t="inlineStr">
        <is>
          <t>Leandro Cardoso</t>
        </is>
      </c>
      <c r="D313" s="35" t="inlineStr">
        <is>
          <t>MediPlan</t>
        </is>
      </c>
      <c r="E313" s="33" t="inlineStr">
        <is>
          <t>Consulta</t>
        </is>
      </c>
      <c r="F313" s="33" t="inlineStr">
        <is>
          <t>Dr. Paulo Andrade</t>
        </is>
      </c>
      <c r="G313" s="40" t="n">
        <v>100</v>
      </c>
      <c r="H313" s="35" t="n"/>
      <c r="I313" s="35" t="n"/>
      <c r="J313" s="30">
        <f>IF(B313="","",DATE(YEAR(B313),MONTH(B313),1))</f>
        <v>46235.0</v>
      </c>
      <c r="K313" s="41" t="str">
        <f>IF(OR(B313="",D313=""),"",D313&amp;"|"&amp;TEXT(J313,"yyyy-mm"))</f>
        <v>MediPlan|2026-08</v>
      </c>
      <c r="L313" s="24" t="str">
        <f>IF(K313="","",IFERROR(INDEX(Lotes!$N$5:$N$154,MATCH(K313,Lotes!$P$5:$P$154,0)),"Sem lote cadastrado"))</f>
        <v>Aguardando</v>
      </c>
      <c r="M313" s="25">
        <f>IF(H313="Sim",G313,0)</f>
        <v>0</v>
      </c>
      <c r="N313" s="42">
        <f>IF(AND(H313="Sim",I313&lt;&gt;"Aceito"),G313+ROW()/100000,0)</f>
        <v>0</v>
      </c>
    </row>
    <row r="314">
      <c r="A314" s="35" t="inlineStr">
        <is>
          <t>G2026-0740</t>
        </is>
      </c>
      <c r="B314" s="39" t="n">
        <v>46265</v>
      </c>
      <c r="C314" s="33" t="inlineStr">
        <is>
          <t>Sandra Cardoso</t>
        </is>
      </c>
      <c r="D314" s="35" t="inlineStr">
        <is>
          <t>Saúde Total</t>
        </is>
      </c>
      <c r="E314" s="33" t="inlineStr">
        <is>
          <t>ECG</t>
        </is>
      </c>
      <c r="F314" s="33" t="inlineStr">
        <is>
          <t>Dr. Paulo Andrade</t>
        </is>
      </c>
      <c r="G314" s="40" t="n">
        <v>40</v>
      </c>
      <c r="H314" s="35" t="n"/>
      <c r="I314" s="35" t="n"/>
      <c r="J314" s="30">
        <f>IF(B314="","",DATE(YEAR(B314),MONTH(B314),1))</f>
        <v>46235.0</v>
      </c>
      <c r="K314" s="41" t="str">
        <f>IF(OR(B314="",D314=""),"",D314&amp;"|"&amp;TEXT(J314,"yyyy-mm"))</f>
        <v>Saúde Total|2026-08</v>
      </c>
      <c r="L314" s="24" t="str">
        <f>IF(K314="","",IFERROR(INDEX(Lotes!$N$5:$N$154,MATCH(K314,Lotes!$P$5:$P$154,0)),"Sem lote cadastrado"))</f>
        <v>Aguardando</v>
      </c>
      <c r="M314" s="25">
        <f>IF(H314="Sim",G314,0)</f>
        <v>0</v>
      </c>
      <c r="N314" s="42">
        <f>IF(AND(H314="Sim",I314&lt;&gt;"Aceito"),G314+ROW()/100000,0)</f>
        <v>0</v>
      </c>
    </row>
    <row r="315">
      <c r="A315" s="35" t="inlineStr">
        <is>
          <t>G2026-0741</t>
        </is>
      </c>
      <c r="B315" s="39" t="n">
        <v>46265</v>
      </c>
      <c r="C315" s="33" t="inlineStr">
        <is>
          <t>Priscila Nunes</t>
        </is>
      </c>
      <c r="D315" s="35" t="inlineStr">
        <is>
          <t>MediPlan</t>
        </is>
      </c>
      <c r="E315" s="33" t="inlineStr">
        <is>
          <t>Holter</t>
        </is>
      </c>
      <c r="F315" s="33" t="inlineStr">
        <is>
          <t>Dr. Paulo Andrade</t>
        </is>
      </c>
      <c r="G315" s="40" t="n">
        <v>95</v>
      </c>
      <c r="H315" s="35" t="n"/>
      <c r="I315" s="35" t="n"/>
      <c r="J315" s="30">
        <f>IF(B315="","",DATE(YEAR(B315),MONTH(B315),1))</f>
        <v>46235.0</v>
      </c>
      <c r="K315" s="41" t="str">
        <f>IF(OR(B315="",D315=""),"",D315&amp;"|"&amp;TEXT(J315,"yyyy-mm"))</f>
        <v>MediPlan|2026-08</v>
      </c>
      <c r="L315" s="24" t="str">
        <f>IF(K315="","",IFERROR(INDEX(Lotes!$N$5:$N$154,MATCH(K315,Lotes!$P$5:$P$154,0)),"Sem lote cadastrado"))</f>
        <v>Aguardando</v>
      </c>
      <c r="M315" s="25">
        <f>IF(H315="Sim",G315,0)</f>
        <v>0</v>
      </c>
      <c r="N315" s="42">
        <f>IF(AND(H315="Sim",I315&lt;&gt;"Aceito"),G315+ROW()/100000,0)</f>
        <v>0</v>
      </c>
    </row>
    <row r="316">
      <c r="A316" s="35" t="inlineStr">
        <is>
          <t>G2026-0742</t>
        </is>
      </c>
      <c r="B316" s="39" t="n">
        <v>46266</v>
      </c>
      <c r="C316" s="33" t="inlineStr">
        <is>
          <t>Daniel Melo</t>
        </is>
      </c>
      <c r="D316" s="35" t="inlineStr">
        <is>
          <t>Saúde Total</t>
        </is>
      </c>
      <c r="E316" s="33" t="inlineStr">
        <is>
          <t>Consulta</t>
        </is>
      </c>
      <c r="F316" s="33" t="inlineStr">
        <is>
          <t>Dra. Carolina Mendes</t>
        </is>
      </c>
      <c r="G316" s="40" t="n">
        <v>120</v>
      </c>
      <c r="H316" s="35" t="n"/>
      <c r="I316" s="35" t="n"/>
      <c r="J316" s="30">
        <f>IF(B316="","",DATE(YEAR(B316),MONTH(B316),1))</f>
        <v>46266.0</v>
      </c>
      <c r="K316" s="41" t="str">
        <f>IF(OR(B316="",D316=""),"",D316&amp;"|"&amp;TEXT(J316,"yyyy-mm"))</f>
        <v>Saúde Total|2026-09</v>
      </c>
      <c r="L316" s="24" t="str">
        <f>IF(K316="","",IFERROR(INDEX(Lotes!$N$5:$N$154,MATCH(K316,Lotes!$P$5:$P$154,0)),"Sem lote cadastrado"))</f>
        <v>Em separação</v>
      </c>
      <c r="M316" s="25">
        <f>IF(H316="Sim",G316,0)</f>
        <v>0</v>
      </c>
      <c r="N316" s="42">
        <f>IF(AND(H316="Sim",I316&lt;&gt;"Aceito"),G316+ROW()/100000,0)</f>
        <v>0</v>
      </c>
    </row>
    <row r="317">
      <c r="A317" s="35" t="inlineStr">
        <is>
          <t>G2026-0743</t>
        </is>
      </c>
      <c r="B317" s="39" t="n">
        <v>46266</v>
      </c>
      <c r="C317" s="33" t="inlineStr">
        <is>
          <t>Gustavo Barbosa</t>
        </is>
      </c>
      <c r="D317" s="35" t="inlineStr">
        <is>
          <t>Saúde Total</t>
        </is>
      </c>
      <c r="E317" s="33" t="inlineStr">
        <is>
          <t>Consulta</t>
        </is>
      </c>
      <c r="F317" s="33" t="inlineStr">
        <is>
          <t>Dra. Carolina Mendes</t>
        </is>
      </c>
      <c r="G317" s="40" t="n">
        <v>120</v>
      </c>
      <c r="H317" s="35" t="n"/>
      <c r="I317" s="35" t="n"/>
      <c r="J317" s="30">
        <f>IF(B317="","",DATE(YEAR(B317),MONTH(B317),1))</f>
        <v>46266.0</v>
      </c>
      <c r="K317" s="41" t="str">
        <f>IF(OR(B317="",D317=""),"",D317&amp;"|"&amp;TEXT(J317,"yyyy-mm"))</f>
        <v>Saúde Total|2026-09</v>
      </c>
      <c r="L317" s="24" t="str">
        <f>IF(K317="","",IFERROR(INDEX(Lotes!$N$5:$N$154,MATCH(K317,Lotes!$P$5:$P$154,0)),"Sem lote cadastrado"))</f>
        <v>Em separação</v>
      </c>
      <c r="M317" s="25">
        <f>IF(H317="Sim",G317,0)</f>
        <v>0</v>
      </c>
      <c r="N317" s="42">
        <f>IF(AND(H317="Sim",I317&lt;&gt;"Aceito"),G317+ROW()/100000,0)</f>
        <v>0</v>
      </c>
    </row>
    <row r="318">
      <c r="A318" s="35" t="inlineStr">
        <is>
          <t>G2026-0744</t>
        </is>
      </c>
      <c r="B318" s="39" t="n">
        <v>46266</v>
      </c>
      <c r="C318" s="33" t="inlineStr">
        <is>
          <t>Mateus Dias</t>
        </is>
      </c>
      <c r="D318" s="35" t="inlineStr">
        <is>
          <t>Saúde Total</t>
        </is>
      </c>
      <c r="E318" s="33" t="inlineStr">
        <is>
          <t>Consulta</t>
        </is>
      </c>
      <c r="F318" s="33" t="inlineStr">
        <is>
          <t>Dr. Paulo Andrade</t>
        </is>
      </c>
      <c r="G318" s="40" t="n">
        <v>120</v>
      </c>
      <c r="H318" s="35" t="n"/>
      <c r="I318" s="35" t="n"/>
      <c r="J318" s="30">
        <f>IF(B318="","",DATE(YEAR(B318),MONTH(B318),1))</f>
        <v>46266.0</v>
      </c>
      <c r="K318" s="41" t="str">
        <f>IF(OR(B318="",D318=""),"",D318&amp;"|"&amp;TEXT(J318,"yyyy-mm"))</f>
        <v>Saúde Total|2026-09</v>
      </c>
      <c r="L318" s="24" t="str">
        <f>IF(K318="","",IFERROR(INDEX(Lotes!$N$5:$N$154,MATCH(K318,Lotes!$P$5:$P$154,0)),"Sem lote cadastrado"))</f>
        <v>Em separação</v>
      </c>
      <c r="M318" s="25">
        <f>IF(H318="Sim",G318,0)</f>
        <v>0</v>
      </c>
      <c r="N318" s="42">
        <f>IF(AND(H318="Sim",I318&lt;&gt;"Aceito"),G318+ROW()/100000,0)</f>
        <v>0</v>
      </c>
    </row>
    <row r="319">
      <c r="A319" s="35" t="inlineStr">
        <is>
          <t>G2026-0745</t>
        </is>
      </c>
      <c r="B319" s="39" t="n">
        <v>46266</v>
      </c>
      <c r="C319" s="33" t="inlineStr">
        <is>
          <t>Sandra Barros</t>
        </is>
      </c>
      <c r="D319" s="35" t="inlineStr">
        <is>
          <t>Saúde Total</t>
        </is>
      </c>
      <c r="E319" s="33" t="inlineStr">
        <is>
          <t>Teste ergométrico</t>
        </is>
      </c>
      <c r="F319" s="33" t="inlineStr">
        <is>
          <t>Dr. Paulo Andrade</t>
        </is>
      </c>
      <c r="G319" s="40" t="n">
        <v>140</v>
      </c>
      <c r="H319" s="35" t="n"/>
      <c r="I319" s="35" t="n"/>
      <c r="J319" s="30">
        <f>IF(B319="","",DATE(YEAR(B319),MONTH(B319),1))</f>
        <v>46266.0</v>
      </c>
      <c r="K319" s="41" t="str">
        <f>IF(OR(B319="",D319=""),"",D319&amp;"|"&amp;TEXT(J319,"yyyy-mm"))</f>
        <v>Saúde Total|2026-09</v>
      </c>
      <c r="L319" s="24" t="str">
        <f>IF(K319="","",IFERROR(INDEX(Lotes!$N$5:$N$154,MATCH(K319,Lotes!$P$5:$P$154,0)),"Sem lote cadastrado"))</f>
        <v>Em separação</v>
      </c>
      <c r="M319" s="25">
        <f>IF(H319="Sim",G319,0)</f>
        <v>0</v>
      </c>
      <c r="N319" s="42">
        <f>IF(AND(H319="Sim",I319&lt;&gt;"Aceito"),G319+ROW()/100000,0)</f>
        <v>0</v>
      </c>
    </row>
    <row r="320">
      <c r="A320" s="35" t="inlineStr">
        <is>
          <t>G2026-0746</t>
        </is>
      </c>
      <c r="B320" s="39" t="n">
        <v>46266</v>
      </c>
      <c r="C320" s="33" t="inlineStr">
        <is>
          <t>Rodrigo Cardoso</t>
        </is>
      </c>
      <c r="D320" s="35" t="inlineStr">
        <is>
          <t>Saúde Total</t>
        </is>
      </c>
      <c r="E320" s="33" t="inlineStr">
        <is>
          <t>Avaliação endócrina</t>
        </is>
      </c>
      <c r="F320" s="33" t="inlineStr">
        <is>
          <t>Dra. Renata Sousa</t>
        </is>
      </c>
      <c r="G320" s="40" t="n">
        <v>130</v>
      </c>
      <c r="H320" s="35" t="n"/>
      <c r="I320" s="35" t="n"/>
      <c r="J320" s="30">
        <f>IF(B320="","",DATE(YEAR(B320),MONTH(B320),1))</f>
        <v>46266.0</v>
      </c>
      <c r="K320" s="41" t="str">
        <f>IF(OR(B320="",D320=""),"",D320&amp;"|"&amp;TEXT(J320,"yyyy-mm"))</f>
        <v>Saúde Total|2026-09</v>
      </c>
      <c r="L320" s="24" t="str">
        <f>IF(K320="","",IFERROR(INDEX(Lotes!$N$5:$N$154,MATCH(K320,Lotes!$P$5:$P$154,0)),"Sem lote cadastrado"))</f>
        <v>Em separação</v>
      </c>
      <c r="M320" s="25">
        <f>IF(H320="Sim",G320,0)</f>
        <v>0</v>
      </c>
      <c r="N320" s="42">
        <f>IF(AND(H320="Sim",I320&lt;&gt;"Aceito"),G320+ROW()/100000,0)</f>
        <v>0</v>
      </c>
    </row>
    <row r="321">
      <c r="A321" s="35" t="inlineStr">
        <is>
          <t>G2026-0747</t>
        </is>
      </c>
      <c r="B321" s="39" t="n">
        <v>46266</v>
      </c>
      <c r="C321" s="33" t="inlineStr">
        <is>
          <t>Juliana Ribeiro</t>
        </is>
      </c>
      <c r="D321" s="35" t="inlineStr">
        <is>
          <t>Saúde Total</t>
        </is>
      </c>
      <c r="E321" s="33" t="inlineStr">
        <is>
          <t>Teste ergométrico</t>
        </is>
      </c>
      <c r="F321" s="33" t="inlineStr">
        <is>
          <t>Dr. Paulo Andrade</t>
        </is>
      </c>
      <c r="G321" s="40" t="n">
        <v>140</v>
      </c>
      <c r="H321" s="35" t="n"/>
      <c r="I321" s="35" t="n"/>
      <c r="J321" s="30">
        <f>IF(B321="","",DATE(YEAR(B321),MONTH(B321),1))</f>
        <v>46266.0</v>
      </c>
      <c r="K321" s="41" t="str">
        <f>IF(OR(B321="",D321=""),"",D321&amp;"|"&amp;TEXT(J321,"yyyy-mm"))</f>
        <v>Saúde Total|2026-09</v>
      </c>
      <c r="L321" s="24" t="str">
        <f>IF(K321="","",IFERROR(INDEX(Lotes!$N$5:$N$154,MATCH(K321,Lotes!$P$5:$P$154,0)),"Sem lote cadastrado"))</f>
        <v>Em separação</v>
      </c>
      <c r="M321" s="25">
        <f>IF(H321="Sim",G321,0)</f>
        <v>0</v>
      </c>
      <c r="N321" s="42">
        <f>IF(AND(H321="Sim",I321&lt;&gt;"Aceito"),G321+ROW()/100000,0)</f>
        <v>0</v>
      </c>
    </row>
    <row r="322">
      <c r="A322" s="35" t="inlineStr">
        <is>
          <t>G2026-0748</t>
        </is>
      </c>
      <c r="B322" s="39" t="n">
        <v>46266</v>
      </c>
      <c r="C322" s="33" t="inlineStr">
        <is>
          <t>Sérgio Teixeira</t>
        </is>
      </c>
      <c r="D322" s="35" t="inlineStr">
        <is>
          <t>MediPlan</t>
        </is>
      </c>
      <c r="E322" s="33" t="inlineStr">
        <is>
          <t>Consulta</t>
        </is>
      </c>
      <c r="F322" s="33" t="inlineStr">
        <is>
          <t>Dr. Paulo Andrade</t>
        </is>
      </c>
      <c r="G322" s="40" t="n">
        <v>100</v>
      </c>
      <c r="H322" s="35" t="n"/>
      <c r="I322" s="35" t="n"/>
      <c r="J322" s="30">
        <f>IF(B322="","",DATE(YEAR(B322),MONTH(B322),1))</f>
        <v>46266.0</v>
      </c>
      <c r="K322" s="41" t="str">
        <f>IF(OR(B322="",D322=""),"",D322&amp;"|"&amp;TEXT(J322,"yyyy-mm"))</f>
        <v>MediPlan|2026-09</v>
      </c>
      <c r="L322" s="24" t="str">
        <f>IF(K322="","",IFERROR(INDEX(Lotes!$N$5:$N$154,MATCH(K322,Lotes!$P$5:$P$154,0)),"Sem lote cadastrado"))</f>
        <v>Em separação</v>
      </c>
      <c r="M322" s="25">
        <f>IF(H322="Sim",G322,0)</f>
        <v>0</v>
      </c>
      <c r="N322" s="42">
        <f>IF(AND(H322="Sim",I322&lt;&gt;"Aceito"),G322+ROW()/100000,0)</f>
        <v>0</v>
      </c>
    </row>
    <row r="323">
      <c r="A323" s="35" t="inlineStr">
        <is>
          <t>G2026-0749</t>
        </is>
      </c>
      <c r="B323" s="39" t="n">
        <v>46266</v>
      </c>
      <c r="C323" s="33" t="inlineStr">
        <is>
          <t>Viviane Duarte</t>
        </is>
      </c>
      <c r="D323" s="35" t="inlineStr">
        <is>
          <t>MediPlan</t>
        </is>
      </c>
      <c r="E323" s="33" t="inlineStr">
        <is>
          <t>Consulta</t>
        </is>
      </c>
      <c r="F323" s="33" t="inlineStr">
        <is>
          <t>Dr. Paulo Andrade</t>
        </is>
      </c>
      <c r="G323" s="40" t="n">
        <v>100</v>
      </c>
      <c r="H323" s="35" t="n"/>
      <c r="I323" s="35" t="n"/>
      <c r="J323" s="30">
        <f>IF(B323="","",DATE(YEAR(B323),MONTH(B323),1))</f>
        <v>46266.0</v>
      </c>
      <c r="K323" s="41" t="str">
        <f>IF(OR(B323="",D323=""),"",D323&amp;"|"&amp;TEXT(J323,"yyyy-mm"))</f>
        <v>MediPlan|2026-09</v>
      </c>
      <c r="L323" s="24" t="str">
        <f>IF(K323="","",IFERROR(INDEX(Lotes!$N$5:$N$154,MATCH(K323,Lotes!$P$5:$P$154,0)),"Sem lote cadastrado"))</f>
        <v>Em separação</v>
      </c>
      <c r="M323" s="25">
        <f>IF(H323="Sim",G323,0)</f>
        <v>0</v>
      </c>
      <c r="N323" s="42">
        <f>IF(AND(H323="Sim",I323&lt;&gt;"Aceito"),G323+ROW()/100000,0)</f>
        <v>0</v>
      </c>
    </row>
    <row r="324">
      <c r="A324" s="35" t="inlineStr">
        <is>
          <t>G2026-0750</t>
        </is>
      </c>
      <c r="B324" s="39" t="n">
        <v>46267</v>
      </c>
      <c r="C324" s="33" t="inlineStr">
        <is>
          <t>Camila Batista</t>
        </is>
      </c>
      <c r="D324" s="35" t="inlineStr">
        <is>
          <t>MediPlan</t>
        </is>
      </c>
      <c r="E324" s="33" t="inlineStr">
        <is>
          <t>Consulta</t>
        </is>
      </c>
      <c r="F324" s="33" t="inlineStr">
        <is>
          <t>Dra. Carolina Mendes</t>
        </is>
      </c>
      <c r="G324" s="40" t="n">
        <v>100</v>
      </c>
      <c r="H324" s="35" t="n"/>
      <c r="I324" s="35" t="n"/>
      <c r="J324" s="30">
        <f>IF(B324="","",DATE(YEAR(B324),MONTH(B324),1))</f>
        <v>46266.0</v>
      </c>
      <c r="K324" s="41" t="str">
        <f>IF(OR(B324="",D324=""),"",D324&amp;"|"&amp;TEXT(J324,"yyyy-mm"))</f>
        <v>MediPlan|2026-09</v>
      </c>
      <c r="L324" s="24" t="str">
        <f>IF(K324="","",IFERROR(INDEX(Lotes!$N$5:$N$154,MATCH(K324,Lotes!$P$5:$P$154,0)),"Sem lote cadastrado"))</f>
        <v>Em separação</v>
      </c>
      <c r="M324" s="25">
        <f>IF(H324="Sim",G324,0)</f>
        <v>0</v>
      </c>
      <c r="N324" s="42">
        <f>IF(AND(H324="Sim",I324&lt;&gt;"Aceito"),G324+ROW()/100000,0)</f>
        <v>0</v>
      </c>
    </row>
    <row r="325">
      <c r="A325" s="35" t="inlineStr">
        <is>
          <t>G2026-0751</t>
        </is>
      </c>
      <c r="B325" s="39" t="n">
        <v>46267</v>
      </c>
      <c r="C325" s="33" t="inlineStr">
        <is>
          <t>Sérgio Batista</t>
        </is>
      </c>
      <c r="D325" s="35" t="inlineStr">
        <is>
          <t>MediPlan</t>
        </is>
      </c>
      <c r="E325" s="33" t="inlineStr">
        <is>
          <t>Consulta</t>
        </is>
      </c>
      <c r="F325" s="33" t="inlineStr">
        <is>
          <t>Dra. Carolina Mendes</t>
        </is>
      </c>
      <c r="G325" s="40" t="n">
        <v>100</v>
      </c>
      <c r="H325" s="35" t="n"/>
      <c r="I325" s="35" t="n"/>
      <c r="J325" s="30">
        <f>IF(B325="","",DATE(YEAR(B325),MONTH(B325),1))</f>
        <v>46266.0</v>
      </c>
      <c r="K325" s="41" t="str">
        <f>IF(OR(B325="",D325=""),"",D325&amp;"|"&amp;TEXT(J325,"yyyy-mm"))</f>
        <v>MediPlan|2026-09</v>
      </c>
      <c r="L325" s="24" t="str">
        <f>IF(K325="","",IFERROR(INDEX(Lotes!$N$5:$N$154,MATCH(K325,Lotes!$P$5:$P$154,0)),"Sem lote cadastrado"))</f>
        <v>Em separação</v>
      </c>
      <c r="M325" s="25">
        <f>IF(H325="Sim",G325,0)</f>
        <v>0</v>
      </c>
      <c r="N325" s="42">
        <f>IF(AND(H325="Sim",I325&lt;&gt;"Aceito"),G325+ROW()/100000,0)</f>
        <v>0</v>
      </c>
    </row>
    <row r="326">
      <c r="A326" s="35" t="inlineStr">
        <is>
          <t>G2026-0752</t>
        </is>
      </c>
      <c r="B326" s="39" t="n">
        <v>46267</v>
      </c>
      <c r="C326" s="33" t="inlineStr">
        <is>
          <t>Mônica Teixeira</t>
        </is>
      </c>
      <c r="D326" s="35" t="inlineStr">
        <is>
          <t>Vida Care</t>
        </is>
      </c>
      <c r="E326" s="33" t="inlineStr">
        <is>
          <t>Consulta</t>
        </is>
      </c>
      <c r="F326" s="33" t="inlineStr">
        <is>
          <t>Dra. Carolina Mendes</t>
        </is>
      </c>
      <c r="G326" s="40" t="n">
        <v>90</v>
      </c>
      <c r="H326" s="35" t="n"/>
      <c r="I326" s="35" t="n"/>
      <c r="J326" s="30">
        <f>IF(B326="","",DATE(YEAR(B326),MONTH(B326),1))</f>
        <v>46266.0</v>
      </c>
      <c r="K326" s="41" t="str">
        <f>IF(OR(B326="",D326=""),"",D326&amp;"|"&amp;TEXT(J326,"yyyy-mm"))</f>
        <v>Vida Care|2026-09</v>
      </c>
      <c r="L326" s="24" t="str">
        <f>IF(K326="","",IFERROR(INDEX(Lotes!$N$5:$N$154,MATCH(K326,Lotes!$P$5:$P$154,0)),"Sem lote cadastrado"))</f>
        <v>Em separação</v>
      </c>
      <c r="M326" s="25">
        <f>IF(H326="Sim",G326,0)</f>
        <v>0</v>
      </c>
      <c r="N326" s="42">
        <f>IF(AND(H326="Sim",I326&lt;&gt;"Aceito"),G326+ROW()/100000,0)</f>
        <v>0</v>
      </c>
    </row>
    <row r="327">
      <c r="A327" s="35" t="inlineStr">
        <is>
          <t>G2026-0753</t>
        </is>
      </c>
      <c r="B327" s="39" t="n">
        <v>46267</v>
      </c>
      <c r="C327" s="33" t="inlineStr">
        <is>
          <t>Carlos Castro</t>
        </is>
      </c>
      <c r="D327" s="35" t="inlineStr">
        <is>
          <t>Saúde Total</t>
        </is>
      </c>
      <c r="E327" s="33" t="inlineStr">
        <is>
          <t>Consulta</t>
        </is>
      </c>
      <c r="F327" s="33" t="inlineStr">
        <is>
          <t>Dra. Carolina Mendes</t>
        </is>
      </c>
      <c r="G327" s="40" t="n">
        <v>120</v>
      </c>
      <c r="H327" s="35" t="n"/>
      <c r="I327" s="35" t="n"/>
      <c r="J327" s="30">
        <f>IF(B327="","",DATE(YEAR(B327),MONTH(B327),1))</f>
        <v>46266.0</v>
      </c>
      <c r="K327" s="41" t="str">
        <f>IF(OR(B327="",D327=""),"",D327&amp;"|"&amp;TEXT(J327,"yyyy-mm"))</f>
        <v>Saúde Total|2026-09</v>
      </c>
      <c r="L327" s="24" t="str">
        <f>IF(K327="","",IFERROR(INDEX(Lotes!$N$5:$N$154,MATCH(K327,Lotes!$P$5:$P$154,0)),"Sem lote cadastrado"))</f>
        <v>Em separação</v>
      </c>
      <c r="M327" s="25">
        <f>IF(H327="Sim",G327,0)</f>
        <v>0</v>
      </c>
      <c r="N327" s="42">
        <f>IF(AND(H327="Sim",I327&lt;&gt;"Aceito"),G327+ROW()/100000,0)</f>
        <v>0</v>
      </c>
    </row>
    <row r="328">
      <c r="A328" s="35" t="inlineStr">
        <is>
          <t>G2026-0754</t>
        </is>
      </c>
      <c r="B328" s="39" t="n">
        <v>46268</v>
      </c>
      <c r="C328" s="33" t="inlineStr">
        <is>
          <t>Priscila Castro</t>
        </is>
      </c>
      <c r="D328" s="35" t="inlineStr">
        <is>
          <t>Saúde Total</t>
        </is>
      </c>
      <c r="E328" s="33" t="inlineStr">
        <is>
          <t>Consulta</t>
        </is>
      </c>
      <c r="F328" s="33" t="inlineStr">
        <is>
          <t>Dra. Carolina Mendes</t>
        </is>
      </c>
      <c r="G328" s="40" t="n">
        <v>120</v>
      </c>
      <c r="H328" s="35" t="n"/>
      <c r="I328" s="35" t="n"/>
      <c r="J328" s="30">
        <f>IF(B328="","",DATE(YEAR(B328),MONTH(B328),1))</f>
        <v>46266.0</v>
      </c>
      <c r="K328" s="41" t="str">
        <f>IF(OR(B328="",D328=""),"",D328&amp;"|"&amp;TEXT(J328,"yyyy-mm"))</f>
        <v>Saúde Total|2026-09</v>
      </c>
      <c r="L328" s="24" t="str">
        <f>IF(K328="","",IFERROR(INDEX(Lotes!$N$5:$N$154,MATCH(K328,Lotes!$P$5:$P$154,0)),"Sem lote cadastrado"))</f>
        <v>Em separação</v>
      </c>
      <c r="M328" s="25">
        <f>IF(H328="Sim",G328,0)</f>
        <v>0</v>
      </c>
      <c r="N328" s="42">
        <f>IF(AND(H328="Sim",I328&lt;&gt;"Aceito"),G328+ROW()/100000,0)</f>
        <v>0</v>
      </c>
    </row>
    <row r="329">
      <c r="A329" s="35" t="inlineStr">
        <is>
          <t>G2026-0755</t>
        </is>
      </c>
      <c r="B329" s="39" t="n">
        <v>46268</v>
      </c>
      <c r="C329" s="33" t="inlineStr">
        <is>
          <t>Mateus Lima</t>
        </is>
      </c>
      <c r="D329" s="35" t="inlineStr">
        <is>
          <t>MediPlan</t>
        </is>
      </c>
      <c r="E329" s="33" t="inlineStr">
        <is>
          <t>Consulta</t>
        </is>
      </c>
      <c r="F329" s="33" t="inlineStr">
        <is>
          <t>Dra. Carolina Mendes</t>
        </is>
      </c>
      <c r="G329" s="40" t="n">
        <v>100</v>
      </c>
      <c r="H329" s="35" t="n"/>
      <c r="I329" s="35" t="n"/>
      <c r="J329" s="30">
        <f>IF(B329="","",DATE(YEAR(B329),MONTH(B329),1))</f>
        <v>46266.0</v>
      </c>
      <c r="K329" s="41" t="str">
        <f>IF(OR(B329="",D329=""),"",D329&amp;"|"&amp;TEXT(J329,"yyyy-mm"))</f>
        <v>MediPlan|2026-09</v>
      </c>
      <c r="L329" s="24" t="str">
        <f>IF(K329="","",IFERROR(INDEX(Lotes!$N$5:$N$154,MATCH(K329,Lotes!$P$5:$P$154,0)),"Sem lote cadastrado"))</f>
        <v>Em separação</v>
      </c>
      <c r="M329" s="25">
        <f>IF(H329="Sim",G329,0)</f>
        <v>0</v>
      </c>
      <c r="N329" s="42">
        <f>IF(AND(H329="Sim",I329&lt;&gt;"Aceito"),G329+ROW()/100000,0)</f>
        <v>0</v>
      </c>
    </row>
    <row r="330">
      <c r="A330" s="35" t="inlineStr">
        <is>
          <t>G2026-0756</t>
        </is>
      </c>
      <c r="B330" s="39" t="n">
        <v>46268</v>
      </c>
      <c r="C330" s="33" t="inlineStr">
        <is>
          <t>Vinícius Cardoso</t>
        </is>
      </c>
      <c r="D330" s="35" t="inlineStr">
        <is>
          <t>MediPlan</t>
        </is>
      </c>
      <c r="E330" s="33" t="inlineStr">
        <is>
          <t>Consulta</t>
        </is>
      </c>
      <c r="F330" s="33" t="inlineStr">
        <is>
          <t>Dr. Paulo Andrade</t>
        </is>
      </c>
      <c r="G330" s="40" t="n">
        <v>100</v>
      </c>
      <c r="H330" s="35" t="n"/>
      <c r="I330" s="35" t="n"/>
      <c r="J330" s="30">
        <f>IF(B330="","",DATE(YEAR(B330),MONTH(B330),1))</f>
        <v>46266.0</v>
      </c>
      <c r="K330" s="41" t="str">
        <f>IF(OR(B330="",D330=""),"",D330&amp;"|"&amp;TEXT(J330,"yyyy-mm"))</f>
        <v>MediPlan|2026-09</v>
      </c>
      <c r="L330" s="24" t="str">
        <f>IF(K330="","",IFERROR(INDEX(Lotes!$N$5:$N$154,MATCH(K330,Lotes!$P$5:$P$154,0)),"Sem lote cadastrado"))</f>
        <v>Em separação</v>
      </c>
      <c r="M330" s="25">
        <f>IF(H330="Sim",G330,0)</f>
        <v>0</v>
      </c>
      <c r="N330" s="42">
        <f>IF(AND(H330="Sim",I330&lt;&gt;"Aceito"),G330+ROW()/100000,0)</f>
        <v>0</v>
      </c>
    </row>
    <row r="331">
      <c r="A331" s="35" t="inlineStr">
        <is>
          <t>G2026-0757</t>
        </is>
      </c>
      <c r="B331" s="39" t="n">
        <v>46268</v>
      </c>
      <c r="C331" s="33" t="inlineStr">
        <is>
          <t>Carlos Gomes</t>
        </is>
      </c>
      <c r="D331" s="35" t="inlineStr">
        <is>
          <t>Saúde Total</t>
        </is>
      </c>
      <c r="E331" s="33" t="inlineStr">
        <is>
          <t>Avaliação endócrina</t>
        </is>
      </c>
      <c r="F331" s="33" t="inlineStr">
        <is>
          <t>Dra. Renata Sousa</t>
        </is>
      </c>
      <c r="G331" s="40" t="n">
        <v>130</v>
      </c>
      <c r="H331" s="35" t="n"/>
      <c r="I331" s="35" t="n"/>
      <c r="J331" s="30">
        <f>IF(B331="","",DATE(YEAR(B331),MONTH(B331),1))</f>
        <v>46266.0</v>
      </c>
      <c r="K331" s="41" t="str">
        <f>IF(OR(B331="",D331=""),"",D331&amp;"|"&amp;TEXT(J331,"yyyy-mm"))</f>
        <v>Saúde Total|2026-09</v>
      </c>
      <c r="L331" s="24" t="str">
        <f>IF(K331="","",IFERROR(INDEX(Lotes!$N$5:$N$154,MATCH(K331,Lotes!$P$5:$P$154,0)),"Sem lote cadastrado"))</f>
        <v>Em separação</v>
      </c>
      <c r="M331" s="25">
        <f>IF(H331="Sim",G331,0)</f>
        <v>0</v>
      </c>
      <c r="N331" s="42">
        <f>IF(AND(H331="Sim",I331&lt;&gt;"Aceito"),G331+ROW()/100000,0)</f>
        <v>0</v>
      </c>
    </row>
    <row r="332">
      <c r="A332" s="35" t="inlineStr">
        <is>
          <t>G2026-0758</t>
        </is>
      </c>
      <c r="B332" s="39" t="n">
        <v>46268</v>
      </c>
      <c r="C332" s="33" t="inlineStr">
        <is>
          <t>Paulo Ribeiro</t>
        </is>
      </c>
      <c r="D332" s="35" t="inlineStr">
        <is>
          <t>Saúde Total</t>
        </is>
      </c>
      <c r="E332" s="33" t="inlineStr">
        <is>
          <t>Consulta</t>
        </is>
      </c>
      <c r="F332" s="33" t="inlineStr">
        <is>
          <t>Dr. Paulo Andrade</t>
        </is>
      </c>
      <c r="G332" s="40" t="n">
        <v>120</v>
      </c>
      <c r="H332" s="35" t="n"/>
      <c r="I332" s="35" t="n"/>
      <c r="J332" s="30">
        <f>IF(B332="","",DATE(YEAR(B332),MONTH(B332),1))</f>
        <v>46266.0</v>
      </c>
      <c r="K332" s="41" t="str">
        <f>IF(OR(B332="",D332=""),"",D332&amp;"|"&amp;TEXT(J332,"yyyy-mm"))</f>
        <v>Saúde Total|2026-09</v>
      </c>
      <c r="L332" s="24" t="str">
        <f>IF(K332="","",IFERROR(INDEX(Lotes!$N$5:$N$154,MATCH(K332,Lotes!$P$5:$P$154,0)),"Sem lote cadastrado"))</f>
        <v>Em separação</v>
      </c>
      <c r="M332" s="25">
        <f>IF(H332="Sim",G332,0)</f>
        <v>0</v>
      </c>
      <c r="N332" s="42">
        <f>IF(AND(H332="Sim",I332&lt;&gt;"Aceito"),G332+ROW()/100000,0)</f>
        <v>0</v>
      </c>
    </row>
    <row r="333">
      <c r="A333" s="35" t="inlineStr">
        <is>
          <t>G2026-0759</t>
        </is>
      </c>
      <c r="B333" s="39" t="n">
        <v>46268</v>
      </c>
      <c r="C333" s="33" t="inlineStr">
        <is>
          <t>Isabela Pinto</t>
        </is>
      </c>
      <c r="D333" s="35" t="inlineStr">
        <is>
          <t>Saúde Total</t>
        </is>
      </c>
      <c r="E333" s="33" t="inlineStr">
        <is>
          <t>ECG</t>
        </is>
      </c>
      <c r="F333" s="33" t="inlineStr">
        <is>
          <t>Dr. Paulo Andrade</t>
        </is>
      </c>
      <c r="G333" s="40" t="n">
        <v>40</v>
      </c>
      <c r="H333" s="35" t="n"/>
      <c r="I333" s="35" t="n"/>
      <c r="J333" s="30">
        <f>IF(B333="","",DATE(YEAR(B333),MONTH(B333),1))</f>
        <v>46266.0</v>
      </c>
      <c r="K333" s="41" t="str">
        <f>IF(OR(B333="",D333=""),"",D333&amp;"|"&amp;TEXT(J333,"yyyy-mm"))</f>
        <v>Saúde Total|2026-09</v>
      </c>
      <c r="L333" s="24" t="str">
        <f>IF(K333="","",IFERROR(INDEX(Lotes!$N$5:$N$154,MATCH(K333,Lotes!$P$5:$P$154,0)),"Sem lote cadastrado"))</f>
        <v>Em separação</v>
      </c>
      <c r="M333" s="25">
        <f>IF(H333="Sim",G333,0)</f>
        <v>0</v>
      </c>
      <c r="N333" s="42">
        <f>IF(AND(H333="Sim",I333&lt;&gt;"Aceito"),G333+ROW()/100000,0)</f>
        <v>0</v>
      </c>
    </row>
    <row r="334">
      <c r="A334" s="35" t="inlineStr">
        <is>
          <t>G2026-0760</t>
        </is>
      </c>
      <c r="B334" s="39" t="n">
        <v>46269</v>
      </c>
      <c r="C334" s="33" t="inlineStr">
        <is>
          <t>Eduardo Nunes</t>
        </is>
      </c>
      <c r="D334" s="35" t="inlineStr">
        <is>
          <t>MediPlan</t>
        </is>
      </c>
      <c r="E334" s="33" t="inlineStr">
        <is>
          <t>MAPA</t>
        </is>
      </c>
      <c r="F334" s="33" t="inlineStr">
        <is>
          <t>Dr. Paulo Andrade</t>
        </is>
      </c>
      <c r="G334" s="40" t="n">
        <v>85</v>
      </c>
      <c r="H334" s="35" t="n"/>
      <c r="I334" s="35" t="n"/>
      <c r="J334" s="30">
        <f>IF(B334="","",DATE(YEAR(B334),MONTH(B334),1))</f>
        <v>46266.0</v>
      </c>
      <c r="K334" s="41" t="str">
        <f>IF(OR(B334="",D334=""),"",D334&amp;"|"&amp;TEXT(J334,"yyyy-mm"))</f>
        <v>MediPlan|2026-09</v>
      </c>
      <c r="L334" s="24" t="str">
        <f>IF(K334="","",IFERROR(INDEX(Lotes!$N$5:$N$154,MATCH(K334,Lotes!$P$5:$P$154,0)),"Sem lote cadastrado"))</f>
        <v>Em separação</v>
      </c>
      <c r="M334" s="25">
        <f>IF(H334="Sim",G334,0)</f>
        <v>0</v>
      </c>
      <c r="N334" s="42">
        <f>IF(AND(H334="Sim",I334&lt;&gt;"Aceito"),G334+ROW()/100000,0)</f>
        <v>0</v>
      </c>
    </row>
    <row r="335">
      <c r="A335" s="35" t="inlineStr">
        <is>
          <t>G2026-0761</t>
        </is>
      </c>
      <c r="B335" s="39" t="n">
        <v>46269</v>
      </c>
      <c r="C335" s="33" t="inlineStr">
        <is>
          <t>Camila Batista</t>
        </is>
      </c>
      <c r="D335" s="35" t="inlineStr">
        <is>
          <t>MediPlan</t>
        </is>
      </c>
      <c r="E335" s="33" t="inlineStr">
        <is>
          <t>Teste ergométrico</t>
        </is>
      </c>
      <c r="F335" s="33" t="inlineStr">
        <is>
          <t>Dr. Paulo Andrade</t>
        </is>
      </c>
      <c r="G335" s="40" t="n">
        <v>125</v>
      </c>
      <c r="H335" s="35" t="n"/>
      <c r="I335" s="35" t="n"/>
      <c r="J335" s="30">
        <f>IF(B335="","",DATE(YEAR(B335),MONTH(B335),1))</f>
        <v>46266.0</v>
      </c>
      <c r="K335" s="41" t="str">
        <f>IF(OR(B335="",D335=""),"",D335&amp;"|"&amp;TEXT(J335,"yyyy-mm"))</f>
        <v>MediPlan|2026-09</v>
      </c>
      <c r="L335" s="24" t="str">
        <f>IF(K335="","",IFERROR(INDEX(Lotes!$N$5:$N$154,MATCH(K335,Lotes!$P$5:$P$154,0)),"Sem lote cadastrado"))</f>
        <v>Em separação</v>
      </c>
      <c r="M335" s="25">
        <f>IF(H335="Sim",G335,0)</f>
        <v>0</v>
      </c>
      <c r="N335" s="42">
        <f>IF(AND(H335="Sim",I335&lt;&gt;"Aceito"),G335+ROW()/100000,0)</f>
        <v>0</v>
      </c>
    </row>
    <row r="336">
      <c r="A336" s="35" t="inlineStr">
        <is>
          <t>G2026-0762</t>
        </is>
      </c>
      <c r="B336" s="39" t="n">
        <v>46269</v>
      </c>
      <c r="C336" s="33" t="inlineStr">
        <is>
          <t>Vanessa Carvalho</t>
        </is>
      </c>
      <c r="D336" s="35" t="inlineStr">
        <is>
          <t>Saúde Total</t>
        </is>
      </c>
      <c r="E336" s="33" t="inlineStr">
        <is>
          <t>Consulta</t>
        </is>
      </c>
      <c r="F336" s="33" t="inlineStr">
        <is>
          <t>Dr. Paulo Andrade</t>
        </is>
      </c>
      <c r="G336" s="40" t="n">
        <v>120</v>
      </c>
      <c r="H336" s="35" t="n"/>
      <c r="I336" s="35" t="n"/>
      <c r="J336" s="30">
        <f>IF(B336="","",DATE(YEAR(B336),MONTH(B336),1))</f>
        <v>46266.0</v>
      </c>
      <c r="K336" s="41" t="str">
        <f>IF(OR(B336="",D336=""),"",D336&amp;"|"&amp;TEXT(J336,"yyyy-mm"))</f>
        <v>Saúde Total|2026-09</v>
      </c>
      <c r="L336" s="24" t="str">
        <f>IF(K336="","",IFERROR(INDEX(Lotes!$N$5:$N$154,MATCH(K336,Lotes!$P$5:$P$154,0)),"Sem lote cadastrado"))</f>
        <v>Em separação</v>
      </c>
      <c r="M336" s="25">
        <f>IF(H336="Sim",G336,0)</f>
        <v>0</v>
      </c>
      <c r="N336" s="42">
        <f>IF(AND(H336="Sim",I336&lt;&gt;"Aceito"),G336+ROW()/100000,0)</f>
        <v>0</v>
      </c>
    </row>
    <row r="337">
      <c r="A337" s="35" t="inlineStr">
        <is>
          <t>G2026-0763</t>
        </is>
      </c>
      <c r="B337" s="39" t="n">
        <v>46269</v>
      </c>
      <c r="C337" s="33" t="inlineStr">
        <is>
          <t>Camila Martins</t>
        </is>
      </c>
      <c r="D337" s="35" t="inlineStr">
        <is>
          <t>Vida Care</t>
        </is>
      </c>
      <c r="E337" s="33" t="inlineStr">
        <is>
          <t>Consulta</t>
        </is>
      </c>
      <c r="F337" s="33" t="inlineStr">
        <is>
          <t>Dr. Paulo Andrade</t>
        </is>
      </c>
      <c r="G337" s="40" t="n">
        <v>90</v>
      </c>
      <c r="H337" s="35" t="n"/>
      <c r="I337" s="35" t="n"/>
      <c r="J337" s="30">
        <f>IF(B337="","",DATE(YEAR(B337),MONTH(B337),1))</f>
        <v>46266.0</v>
      </c>
      <c r="K337" s="41" t="str">
        <f>IF(OR(B337="",D337=""),"",D337&amp;"|"&amp;TEXT(J337,"yyyy-mm"))</f>
        <v>Vida Care|2026-09</v>
      </c>
      <c r="L337" s="24" t="str">
        <f>IF(K337="","",IFERROR(INDEX(Lotes!$N$5:$N$154,MATCH(K337,Lotes!$P$5:$P$154,0)),"Sem lote cadastrado"))</f>
        <v>Em separação</v>
      </c>
      <c r="M337" s="25">
        <f>IF(H337="Sim",G337,0)</f>
        <v>0</v>
      </c>
      <c r="N337" s="42">
        <f>IF(AND(H337="Sim",I337&lt;&gt;"Aceito"),G337+ROW()/100000,0)</f>
        <v>0</v>
      </c>
    </row>
    <row r="338">
      <c r="A338" s="35" t="inlineStr">
        <is>
          <t>G2026-0764</t>
        </is>
      </c>
      <c r="B338" s="39" t="n">
        <v>46273</v>
      </c>
      <c r="C338" s="33" t="inlineStr">
        <is>
          <t>Gustavo Barbosa</t>
        </is>
      </c>
      <c r="D338" s="35" t="inlineStr">
        <is>
          <t>Saúde Total</t>
        </is>
      </c>
      <c r="E338" s="33" t="inlineStr">
        <is>
          <t>Consulta</t>
        </is>
      </c>
      <c r="F338" s="33" t="inlineStr">
        <is>
          <t>Dra. Carolina Mendes</t>
        </is>
      </c>
      <c r="G338" s="40" t="n">
        <v>120</v>
      </c>
      <c r="H338" s="35" t="n"/>
      <c r="I338" s="35" t="n"/>
      <c r="J338" s="30">
        <f>IF(B338="","",DATE(YEAR(B338),MONTH(B338),1))</f>
        <v>46266.0</v>
      </c>
      <c r="K338" s="41" t="str">
        <f>IF(OR(B338="",D338=""),"",D338&amp;"|"&amp;TEXT(J338,"yyyy-mm"))</f>
        <v>Saúde Total|2026-09</v>
      </c>
      <c r="L338" s="24" t="str">
        <f>IF(K338="","",IFERROR(INDEX(Lotes!$N$5:$N$154,MATCH(K338,Lotes!$P$5:$P$154,0)),"Sem lote cadastrado"))</f>
        <v>Em separação</v>
      </c>
      <c r="M338" s="25">
        <f>IF(H338="Sim",G338,0)</f>
        <v>0</v>
      </c>
      <c r="N338" s="42">
        <f>IF(AND(H338="Sim",I338&lt;&gt;"Aceito"),G338+ROW()/100000,0)</f>
        <v>0</v>
      </c>
    </row>
    <row r="339">
      <c r="A339" s="35" t="inlineStr">
        <is>
          <t>G2026-0765</t>
        </is>
      </c>
      <c r="B339" s="39" t="n">
        <v>46273</v>
      </c>
      <c r="C339" s="33" t="inlineStr">
        <is>
          <t>Carlos Barros</t>
        </is>
      </c>
      <c r="D339" s="35" t="inlineStr">
        <is>
          <t>MediPlan</t>
        </is>
      </c>
      <c r="E339" s="33" t="inlineStr">
        <is>
          <t>Consulta</t>
        </is>
      </c>
      <c r="F339" s="33" t="inlineStr">
        <is>
          <t>Dra. Carolina Mendes</t>
        </is>
      </c>
      <c r="G339" s="40" t="n">
        <v>100</v>
      </c>
      <c r="H339" s="35" t="n"/>
      <c r="I339" s="35" t="n"/>
      <c r="J339" s="30">
        <f>IF(B339="","",DATE(YEAR(B339),MONTH(B339),1))</f>
        <v>46266.0</v>
      </c>
      <c r="K339" s="41" t="str">
        <f>IF(OR(B339="",D339=""),"",D339&amp;"|"&amp;TEXT(J339,"yyyy-mm"))</f>
        <v>MediPlan|2026-09</v>
      </c>
      <c r="L339" s="24" t="str">
        <f>IF(K339="","",IFERROR(INDEX(Lotes!$N$5:$N$154,MATCH(K339,Lotes!$P$5:$P$154,0)),"Sem lote cadastrado"))</f>
        <v>Em separação</v>
      </c>
      <c r="M339" s="25">
        <f>IF(H339="Sim",G339,0)</f>
        <v>0</v>
      </c>
      <c r="N339" s="42">
        <f>IF(AND(H339="Sim",I339&lt;&gt;"Aceito"),G339+ROW()/100000,0)</f>
        <v>0</v>
      </c>
    </row>
    <row r="340">
      <c r="A340" s="35" t="inlineStr">
        <is>
          <t>G2026-0766</t>
        </is>
      </c>
      <c r="B340" s="39" t="n">
        <v>46273</v>
      </c>
      <c r="C340" s="33" t="inlineStr">
        <is>
          <t>Gabriel Lopes</t>
        </is>
      </c>
      <c r="D340" s="35" t="inlineStr">
        <is>
          <t>Saúde Total</t>
        </is>
      </c>
      <c r="E340" s="33" t="inlineStr">
        <is>
          <t>Avaliação endócrina</t>
        </is>
      </c>
      <c r="F340" s="33" t="inlineStr">
        <is>
          <t>Dra. Renata Sousa</t>
        </is>
      </c>
      <c r="G340" s="40" t="n">
        <v>130</v>
      </c>
      <c r="H340" s="35" t="n"/>
      <c r="I340" s="35" t="n"/>
      <c r="J340" s="30">
        <f>IF(B340="","",DATE(YEAR(B340),MONTH(B340),1))</f>
        <v>46266.0</v>
      </c>
      <c r="K340" s="41" t="str">
        <f>IF(OR(B340="",D340=""),"",D340&amp;"|"&amp;TEXT(J340,"yyyy-mm"))</f>
        <v>Saúde Total|2026-09</v>
      </c>
      <c r="L340" s="24" t="str">
        <f>IF(K340="","",IFERROR(INDEX(Lotes!$N$5:$N$154,MATCH(K340,Lotes!$P$5:$P$154,0)),"Sem lote cadastrado"))</f>
        <v>Em separação</v>
      </c>
      <c r="M340" s="25">
        <f>IF(H340="Sim",G340,0)</f>
        <v>0</v>
      </c>
      <c r="N340" s="42">
        <f>IF(AND(H340="Sim",I340&lt;&gt;"Aceito"),G340+ROW()/100000,0)</f>
        <v>0</v>
      </c>
    </row>
    <row r="341">
      <c r="A341" s="35" t="inlineStr">
        <is>
          <t>G2026-0767</t>
        </is>
      </c>
      <c r="B341" s="39" t="n">
        <v>46273</v>
      </c>
      <c r="C341" s="33" t="inlineStr">
        <is>
          <t>Débora Machado</t>
        </is>
      </c>
      <c r="D341" s="35" t="inlineStr">
        <is>
          <t>Saúde Total</t>
        </is>
      </c>
      <c r="E341" s="33" t="inlineStr">
        <is>
          <t>ECG</t>
        </is>
      </c>
      <c r="F341" s="33" t="inlineStr">
        <is>
          <t>Dr. Paulo Andrade</t>
        </is>
      </c>
      <c r="G341" s="40" t="n">
        <v>40</v>
      </c>
      <c r="H341" s="35" t="n"/>
      <c r="I341" s="35" t="n"/>
      <c r="J341" s="30">
        <f>IF(B341="","",DATE(YEAR(B341),MONTH(B341),1))</f>
        <v>46266.0</v>
      </c>
      <c r="K341" s="41" t="str">
        <f>IF(OR(B341="",D341=""),"",D341&amp;"|"&amp;TEXT(J341,"yyyy-mm"))</f>
        <v>Saúde Total|2026-09</v>
      </c>
      <c r="L341" s="24" t="str">
        <f>IF(K341="","",IFERROR(INDEX(Lotes!$N$5:$N$154,MATCH(K341,Lotes!$P$5:$P$154,0)),"Sem lote cadastrado"))</f>
        <v>Em separação</v>
      </c>
      <c r="M341" s="25">
        <f>IF(H341="Sim",G341,0)</f>
        <v>0</v>
      </c>
      <c r="N341" s="42">
        <f>IF(AND(H341="Sim",I341&lt;&gt;"Aceito"),G341+ROW()/100000,0)</f>
        <v>0</v>
      </c>
    </row>
    <row r="342">
      <c r="A342" s="35" t="inlineStr">
        <is>
          <t>G2026-0768</t>
        </is>
      </c>
      <c r="B342" s="39" t="n">
        <v>46273</v>
      </c>
      <c r="C342" s="33" t="inlineStr">
        <is>
          <t>Priscila Nascimento</t>
        </is>
      </c>
      <c r="D342" s="35" t="inlineStr">
        <is>
          <t>MediPlan</t>
        </is>
      </c>
      <c r="E342" s="33" t="inlineStr">
        <is>
          <t>ECG</t>
        </is>
      </c>
      <c r="F342" s="33" t="inlineStr">
        <is>
          <t>Dr. Paulo Andrade</t>
        </is>
      </c>
      <c r="G342" s="40" t="n">
        <v>35</v>
      </c>
      <c r="H342" s="35" t="n"/>
      <c r="I342" s="35" t="n"/>
      <c r="J342" s="30">
        <f>IF(B342="","",DATE(YEAR(B342),MONTH(B342),1))</f>
        <v>46266.0</v>
      </c>
      <c r="K342" s="41" t="str">
        <f>IF(OR(B342="",D342=""),"",D342&amp;"|"&amp;TEXT(J342,"yyyy-mm"))</f>
        <v>MediPlan|2026-09</v>
      </c>
      <c r="L342" s="24" t="str">
        <f>IF(K342="","",IFERROR(INDEX(Lotes!$N$5:$N$154,MATCH(K342,Lotes!$P$5:$P$154,0)),"Sem lote cadastrado"))</f>
        <v>Em separação</v>
      </c>
      <c r="M342" s="25">
        <f>IF(H342="Sim",G342,0)</f>
        <v>0</v>
      </c>
      <c r="N342" s="42">
        <f>IF(AND(H342="Sim",I342&lt;&gt;"Aceito"),G342+ROW()/100000,0)</f>
        <v>0</v>
      </c>
    </row>
    <row r="343">
      <c r="A343" s="35" t="inlineStr">
        <is>
          <t>G2026-0769</t>
        </is>
      </c>
      <c r="B343" s="39" t="n">
        <v>46273</v>
      </c>
      <c r="C343" s="33" t="inlineStr">
        <is>
          <t>Beatriz Gonçalves</t>
        </is>
      </c>
      <c r="D343" s="35" t="inlineStr">
        <is>
          <t>Saúde Total</t>
        </is>
      </c>
      <c r="E343" s="33" t="inlineStr">
        <is>
          <t>Consulta</t>
        </is>
      </c>
      <c r="F343" s="33" t="inlineStr">
        <is>
          <t>Dr. Paulo Andrade</t>
        </is>
      </c>
      <c r="G343" s="40" t="n">
        <v>120</v>
      </c>
      <c r="H343" s="35" t="n"/>
      <c r="I343" s="35" t="n"/>
      <c r="J343" s="30">
        <f>IF(B343="","",DATE(YEAR(B343),MONTH(B343),1))</f>
        <v>46266.0</v>
      </c>
      <c r="K343" s="41" t="str">
        <f>IF(OR(B343="",D343=""),"",D343&amp;"|"&amp;TEXT(J343,"yyyy-mm"))</f>
        <v>Saúde Total|2026-09</v>
      </c>
      <c r="L343" s="24" t="str">
        <f>IF(K343="","",IFERROR(INDEX(Lotes!$N$5:$N$154,MATCH(K343,Lotes!$P$5:$P$154,0)),"Sem lote cadastrado"))</f>
        <v>Em separação</v>
      </c>
      <c r="M343" s="25">
        <f>IF(H343="Sim",G343,0)</f>
        <v>0</v>
      </c>
      <c r="N343" s="42">
        <f>IF(AND(H343="Sim",I343&lt;&gt;"Aceito"),G343+ROW()/100000,0)</f>
        <v>0</v>
      </c>
    </row>
    <row r="344">
      <c r="A344" s="35" t="inlineStr">
        <is>
          <t>G2026-0770</t>
        </is>
      </c>
      <c r="B344" s="39" t="n">
        <v>46273</v>
      </c>
      <c r="C344" s="33" t="inlineStr">
        <is>
          <t>Paulo Nascimento</t>
        </is>
      </c>
      <c r="D344" s="35" t="inlineStr">
        <is>
          <t>MediPlan</t>
        </is>
      </c>
      <c r="E344" s="33" t="inlineStr">
        <is>
          <t>Consulta</t>
        </is>
      </c>
      <c r="F344" s="33" t="inlineStr">
        <is>
          <t>Dr. Paulo Andrade</t>
        </is>
      </c>
      <c r="G344" s="40" t="n">
        <v>100</v>
      </c>
      <c r="H344" s="35" t="n"/>
      <c r="I344" s="35" t="n"/>
      <c r="J344" s="30">
        <f>IF(B344="","",DATE(YEAR(B344),MONTH(B344),1))</f>
        <v>46266.0</v>
      </c>
      <c r="K344" s="41" t="str">
        <f>IF(OR(B344="",D344=""),"",D344&amp;"|"&amp;TEXT(J344,"yyyy-mm"))</f>
        <v>MediPlan|2026-09</v>
      </c>
      <c r="L344" s="24" t="str">
        <f>IF(K344="","",IFERROR(INDEX(Lotes!$N$5:$N$154,MATCH(K344,Lotes!$P$5:$P$154,0)),"Sem lote cadastrado"))</f>
        <v>Em separação</v>
      </c>
      <c r="M344" s="25">
        <f>IF(H344="Sim",G344,0)</f>
        <v>0</v>
      </c>
      <c r="N344" s="42">
        <f>IF(AND(H344="Sim",I344&lt;&gt;"Aceito"),G344+ROW()/100000,0)</f>
        <v>0</v>
      </c>
    </row>
    <row r="345">
      <c r="A345" s="35" t="inlineStr">
        <is>
          <t>G2026-0771</t>
        </is>
      </c>
      <c r="B345" s="39" t="n">
        <v>46273</v>
      </c>
      <c r="C345" s="33" t="inlineStr">
        <is>
          <t>Gisele Pinto</t>
        </is>
      </c>
      <c r="D345" s="35" t="inlineStr">
        <is>
          <t>Saúde Total</t>
        </is>
      </c>
      <c r="E345" s="33" t="inlineStr">
        <is>
          <t>Consulta</t>
        </is>
      </c>
      <c r="F345" s="33" t="inlineStr">
        <is>
          <t>Dr. Paulo Andrade</t>
        </is>
      </c>
      <c r="G345" s="40" t="n">
        <v>120</v>
      </c>
      <c r="H345" s="35" t="n"/>
      <c r="I345" s="35" t="n"/>
      <c r="J345" s="30">
        <f>IF(B345="","",DATE(YEAR(B345),MONTH(B345),1))</f>
        <v>46266.0</v>
      </c>
      <c r="K345" s="41" t="str">
        <f>IF(OR(B345="",D345=""),"",D345&amp;"|"&amp;TEXT(J345,"yyyy-mm"))</f>
        <v>Saúde Total|2026-09</v>
      </c>
      <c r="L345" s="24" t="str">
        <f>IF(K345="","",IFERROR(INDEX(Lotes!$N$5:$N$154,MATCH(K345,Lotes!$P$5:$P$154,0)),"Sem lote cadastrado"))</f>
        <v>Em separação</v>
      </c>
      <c r="M345" s="25">
        <f>IF(H345="Sim",G345,0)</f>
        <v>0</v>
      </c>
      <c r="N345" s="42">
        <f>IF(AND(H345="Sim",I345&lt;&gt;"Aceito"),G345+ROW()/100000,0)</f>
        <v>0</v>
      </c>
    </row>
    <row r="346">
      <c r="A346" s="35" t="inlineStr">
        <is>
          <t>G2026-0772</t>
        </is>
      </c>
      <c r="B346" s="39" t="n">
        <v>46274</v>
      </c>
      <c r="C346" s="33" t="inlineStr">
        <is>
          <t>Simone Monteiro</t>
        </is>
      </c>
      <c r="D346" s="35" t="inlineStr">
        <is>
          <t>Vida Care</t>
        </is>
      </c>
      <c r="E346" s="33" t="inlineStr">
        <is>
          <t>Consulta</t>
        </is>
      </c>
      <c r="F346" s="33" t="inlineStr">
        <is>
          <t>Dra. Carolina Mendes</t>
        </is>
      </c>
      <c r="G346" s="40" t="n">
        <v>90</v>
      </c>
      <c r="H346" s="35" t="n"/>
      <c r="I346" s="35" t="n"/>
      <c r="J346" s="30">
        <f>IF(B346="","",DATE(YEAR(B346),MONTH(B346),1))</f>
        <v>46266.0</v>
      </c>
      <c r="K346" s="41" t="str">
        <f>IF(OR(B346="",D346=""),"",D346&amp;"|"&amp;TEXT(J346,"yyyy-mm"))</f>
        <v>Vida Care|2026-09</v>
      </c>
      <c r="L346" s="24" t="str">
        <f>IF(K346="","",IFERROR(INDEX(Lotes!$N$5:$N$154,MATCH(K346,Lotes!$P$5:$P$154,0)),"Sem lote cadastrado"))</f>
        <v>Em separação</v>
      </c>
      <c r="M346" s="25">
        <f>IF(H346="Sim",G346,0)</f>
        <v>0</v>
      </c>
      <c r="N346" s="42">
        <f>IF(AND(H346="Sim",I346&lt;&gt;"Aceito"),G346+ROW()/100000,0)</f>
        <v>0</v>
      </c>
    </row>
    <row r="347">
      <c r="A347" s="35" t="inlineStr">
        <is>
          <t>G2026-0773</t>
        </is>
      </c>
      <c r="B347" s="39" t="n">
        <v>46274</v>
      </c>
      <c r="C347" s="33" t="inlineStr">
        <is>
          <t>Roberta Fernandes</t>
        </is>
      </c>
      <c r="D347" s="35" t="inlineStr">
        <is>
          <t>Saúde Total</t>
        </is>
      </c>
      <c r="E347" s="33" t="inlineStr">
        <is>
          <t>Consulta</t>
        </is>
      </c>
      <c r="F347" s="33" t="inlineStr">
        <is>
          <t>Dra. Carolina Mendes</t>
        </is>
      </c>
      <c r="G347" s="40" t="n">
        <v>120</v>
      </c>
      <c r="H347" s="35" t="n"/>
      <c r="I347" s="35" t="n"/>
      <c r="J347" s="30">
        <f>IF(B347="","",DATE(YEAR(B347),MONTH(B347),1))</f>
        <v>46266.0</v>
      </c>
      <c r="K347" s="41" t="str">
        <f>IF(OR(B347="",D347=""),"",D347&amp;"|"&amp;TEXT(J347,"yyyy-mm"))</f>
        <v>Saúde Total|2026-09</v>
      </c>
      <c r="L347" s="24" t="str">
        <f>IF(K347="","",IFERROR(INDEX(Lotes!$N$5:$N$154,MATCH(K347,Lotes!$P$5:$P$154,0)),"Sem lote cadastrado"))</f>
        <v>Em separação</v>
      </c>
      <c r="M347" s="25">
        <f>IF(H347="Sim",G347,0)</f>
        <v>0</v>
      </c>
      <c r="N347" s="42">
        <f>IF(AND(H347="Sim",I347&lt;&gt;"Aceito"),G347+ROW()/100000,0)</f>
        <v>0</v>
      </c>
    </row>
    <row r="348">
      <c r="A348" s="35" t="inlineStr">
        <is>
          <t>G2026-0774</t>
        </is>
      </c>
      <c r="B348" s="39" t="n">
        <v>46275</v>
      </c>
      <c r="C348" s="33" t="inlineStr">
        <is>
          <t>Isabela Nascimento</t>
        </is>
      </c>
      <c r="D348" s="35" t="inlineStr">
        <is>
          <t>Vida Care</t>
        </is>
      </c>
      <c r="E348" s="33" t="inlineStr">
        <is>
          <t>Consulta</t>
        </is>
      </c>
      <c r="F348" s="33" t="inlineStr">
        <is>
          <t>Dra. Carolina Mendes</t>
        </is>
      </c>
      <c r="G348" s="40" t="n">
        <v>90</v>
      </c>
      <c r="H348" s="35" t="n"/>
      <c r="I348" s="35" t="n"/>
      <c r="J348" s="30">
        <f>IF(B348="","",DATE(YEAR(B348),MONTH(B348),1))</f>
        <v>46266.0</v>
      </c>
      <c r="K348" s="41" t="str">
        <f>IF(OR(B348="",D348=""),"",D348&amp;"|"&amp;TEXT(J348,"yyyy-mm"))</f>
        <v>Vida Care|2026-09</v>
      </c>
      <c r="L348" s="24" t="str">
        <f>IF(K348="","",IFERROR(INDEX(Lotes!$N$5:$N$154,MATCH(K348,Lotes!$P$5:$P$154,0)),"Sem lote cadastrado"))</f>
        <v>Em separação</v>
      </c>
      <c r="M348" s="25">
        <f>IF(H348="Sim",G348,0)</f>
        <v>0</v>
      </c>
      <c r="N348" s="42">
        <f>IF(AND(H348="Sim",I348&lt;&gt;"Aceito"),G348+ROW()/100000,0)</f>
        <v>0</v>
      </c>
    </row>
    <row r="349">
      <c r="A349" s="35" t="inlineStr">
        <is>
          <t>G2026-0775</t>
        </is>
      </c>
      <c r="B349" s="39" t="n">
        <v>46275</v>
      </c>
      <c r="C349" s="33" t="inlineStr">
        <is>
          <t>Sérgio Batista</t>
        </is>
      </c>
      <c r="D349" s="35" t="inlineStr">
        <is>
          <t>MediPlan</t>
        </is>
      </c>
      <c r="E349" s="33" t="inlineStr">
        <is>
          <t>Consulta</t>
        </is>
      </c>
      <c r="F349" s="33" t="inlineStr">
        <is>
          <t>Dra. Carolina Mendes</t>
        </is>
      </c>
      <c r="G349" s="40" t="n">
        <v>100</v>
      </c>
      <c r="H349" s="35" t="n"/>
      <c r="I349" s="35" t="n"/>
      <c r="J349" s="30">
        <f>IF(B349="","",DATE(YEAR(B349),MONTH(B349),1))</f>
        <v>46266.0</v>
      </c>
      <c r="K349" s="41" t="str">
        <f>IF(OR(B349="",D349=""),"",D349&amp;"|"&amp;TEXT(J349,"yyyy-mm"))</f>
        <v>MediPlan|2026-09</v>
      </c>
      <c r="L349" s="24" t="str">
        <f>IF(K349="","",IFERROR(INDEX(Lotes!$N$5:$N$154,MATCH(K349,Lotes!$P$5:$P$154,0)),"Sem lote cadastrado"))</f>
        <v>Em separação</v>
      </c>
      <c r="M349" s="25">
        <f>IF(H349="Sim",G349,0)</f>
        <v>0</v>
      </c>
      <c r="N349" s="42">
        <f>IF(AND(H349="Sim",I349&lt;&gt;"Aceito"),G349+ROW()/100000,0)</f>
        <v>0</v>
      </c>
    </row>
    <row r="350">
      <c r="A350" s="35" t="inlineStr">
        <is>
          <t>G2026-0776</t>
        </is>
      </c>
      <c r="B350" s="39" t="n">
        <v>46275</v>
      </c>
      <c r="C350" s="33" t="inlineStr">
        <is>
          <t>Mateus Lima</t>
        </is>
      </c>
      <c r="D350" s="35" t="inlineStr">
        <is>
          <t>MediPlan</t>
        </is>
      </c>
      <c r="E350" s="33" t="inlineStr">
        <is>
          <t>Consulta</t>
        </is>
      </c>
      <c r="F350" s="33" t="inlineStr">
        <is>
          <t>Dra. Carolina Mendes</t>
        </is>
      </c>
      <c r="G350" s="40" t="n">
        <v>100</v>
      </c>
      <c r="H350" s="35" t="n"/>
      <c r="I350" s="35" t="n"/>
      <c r="J350" s="30">
        <f>IF(B350="","",DATE(YEAR(B350),MONTH(B350),1))</f>
        <v>46266.0</v>
      </c>
      <c r="K350" s="41" t="str">
        <f>IF(OR(B350="",D350=""),"",D350&amp;"|"&amp;TEXT(J350,"yyyy-mm"))</f>
        <v>MediPlan|2026-09</v>
      </c>
      <c r="L350" s="24" t="str">
        <f>IF(K350="","",IFERROR(INDEX(Lotes!$N$5:$N$154,MATCH(K350,Lotes!$P$5:$P$154,0)),"Sem lote cadastrado"))</f>
        <v>Em separação</v>
      </c>
      <c r="M350" s="25">
        <f>IF(H350="Sim",G350,0)</f>
        <v>0</v>
      </c>
      <c r="N350" s="42">
        <f>IF(AND(H350="Sim",I350&lt;&gt;"Aceito"),G350+ROW()/100000,0)</f>
        <v>0</v>
      </c>
    </row>
    <row r="351">
      <c r="A351" s="35" t="inlineStr">
        <is>
          <t>G2026-0777</t>
        </is>
      </c>
      <c r="B351" s="39" t="n">
        <v>46275</v>
      </c>
      <c r="C351" s="33" t="inlineStr">
        <is>
          <t>Mônica Batista</t>
        </is>
      </c>
      <c r="D351" s="35" t="inlineStr">
        <is>
          <t>MediPlan</t>
        </is>
      </c>
      <c r="E351" s="33" t="inlineStr">
        <is>
          <t>Consulta</t>
        </is>
      </c>
      <c r="F351" s="33" t="inlineStr">
        <is>
          <t>Dra. Carolina Mendes</t>
        </is>
      </c>
      <c r="G351" s="40" t="n">
        <v>100</v>
      </c>
      <c r="H351" s="35" t="n"/>
      <c r="I351" s="35" t="n"/>
      <c r="J351" s="30">
        <f>IF(B351="","",DATE(YEAR(B351),MONTH(B351),1))</f>
        <v>46266.0</v>
      </c>
      <c r="K351" s="41" t="str">
        <f>IF(OR(B351="",D351=""),"",D351&amp;"|"&amp;TEXT(J351,"yyyy-mm"))</f>
        <v>MediPlan|2026-09</v>
      </c>
      <c r="L351" s="24" t="str">
        <f>IF(K351="","",IFERROR(INDEX(Lotes!$N$5:$N$154,MATCH(K351,Lotes!$P$5:$P$154,0)),"Sem lote cadastrado"))</f>
        <v>Em separação</v>
      </c>
      <c r="M351" s="25">
        <f>IF(H351="Sim",G351,0)</f>
        <v>0</v>
      </c>
      <c r="N351" s="42">
        <f>IF(AND(H351="Sim",I351&lt;&gt;"Aceito"),G351+ROW()/100000,0)</f>
        <v>0</v>
      </c>
    </row>
    <row r="352">
      <c r="A352" s="35" t="inlineStr">
        <is>
          <t>G2026-0778</t>
        </is>
      </c>
      <c r="B352" s="39" t="n">
        <v>46275</v>
      </c>
      <c r="C352" s="33" t="inlineStr">
        <is>
          <t>Rodrigo Cardoso</t>
        </is>
      </c>
      <c r="D352" s="35" t="inlineStr">
        <is>
          <t>Saúde Total</t>
        </is>
      </c>
      <c r="E352" s="33" t="inlineStr">
        <is>
          <t>Avaliação endócrina</t>
        </is>
      </c>
      <c r="F352" s="33" t="inlineStr">
        <is>
          <t>Dra. Renata Sousa</t>
        </is>
      </c>
      <c r="G352" s="40" t="n">
        <v>130</v>
      </c>
      <c r="H352" s="35" t="n"/>
      <c r="I352" s="35" t="n"/>
      <c r="J352" s="30">
        <f>IF(B352="","",DATE(YEAR(B352),MONTH(B352),1))</f>
        <v>46266.0</v>
      </c>
      <c r="K352" s="41" t="str">
        <f>IF(OR(B352="",D352=""),"",D352&amp;"|"&amp;TEXT(J352,"yyyy-mm"))</f>
        <v>Saúde Total|2026-09</v>
      </c>
      <c r="L352" s="24" t="str">
        <f>IF(K352="","",IFERROR(INDEX(Lotes!$N$5:$N$154,MATCH(K352,Lotes!$P$5:$P$154,0)),"Sem lote cadastrado"))</f>
        <v>Em separação</v>
      </c>
      <c r="M352" s="25">
        <f>IF(H352="Sim",G352,0)</f>
        <v>0</v>
      </c>
      <c r="N352" s="42">
        <f>IF(AND(H352="Sim",I352&lt;&gt;"Aceito"),G352+ROW()/100000,0)</f>
        <v>0</v>
      </c>
    </row>
    <row r="353">
      <c r="A353" s="35" t="inlineStr">
        <is>
          <t>G2026-0779</t>
        </is>
      </c>
      <c r="B353" s="39" t="n">
        <v>46275</v>
      </c>
      <c r="C353" s="33" t="inlineStr">
        <is>
          <t>Carlos Gonçalves</t>
        </is>
      </c>
      <c r="D353" s="35" t="inlineStr">
        <is>
          <t>Saúde Total</t>
        </is>
      </c>
      <c r="E353" s="33" t="inlineStr">
        <is>
          <t>Avaliação endócrina</t>
        </is>
      </c>
      <c r="F353" s="33" t="inlineStr">
        <is>
          <t>Dra. Renata Sousa</t>
        </is>
      </c>
      <c r="G353" s="40" t="n">
        <v>130</v>
      </c>
      <c r="H353" s="35" t="n"/>
      <c r="I353" s="35" t="n"/>
      <c r="J353" s="30">
        <f>IF(B353="","",DATE(YEAR(B353),MONTH(B353),1))</f>
        <v>46266.0</v>
      </c>
      <c r="K353" s="41" t="str">
        <f>IF(OR(B353="",D353=""),"",D353&amp;"|"&amp;TEXT(J353,"yyyy-mm"))</f>
        <v>Saúde Total|2026-09</v>
      </c>
      <c r="L353" s="24" t="str">
        <f>IF(K353="","",IFERROR(INDEX(Lotes!$N$5:$N$154,MATCH(K353,Lotes!$P$5:$P$154,0)),"Sem lote cadastrado"))</f>
        <v>Em separação</v>
      </c>
      <c r="M353" s="25">
        <f>IF(H353="Sim",G353,0)</f>
        <v>0</v>
      </c>
      <c r="N353" s="42">
        <f>IF(AND(H353="Sim",I353&lt;&gt;"Aceito"),G353+ROW()/100000,0)</f>
        <v>0</v>
      </c>
    </row>
    <row r="354">
      <c r="A354" s="35" t="inlineStr">
        <is>
          <t>G2026-0780</t>
        </is>
      </c>
      <c r="B354" s="39" t="n">
        <v>46275</v>
      </c>
      <c r="C354" s="33" t="inlineStr">
        <is>
          <t>Juliana Silva</t>
        </is>
      </c>
      <c r="D354" s="35" t="inlineStr">
        <is>
          <t>Vida Care</t>
        </is>
      </c>
      <c r="E354" s="33" t="inlineStr">
        <is>
          <t>MAPA</t>
        </is>
      </c>
      <c r="F354" s="33" t="inlineStr">
        <is>
          <t>Dr. Paulo Andrade</t>
        </is>
      </c>
      <c r="G354" s="40" t="n">
        <v>75</v>
      </c>
      <c r="H354" s="35" t="n"/>
      <c r="I354" s="35" t="n"/>
      <c r="J354" s="30">
        <f>IF(B354="","",DATE(YEAR(B354),MONTH(B354),1))</f>
        <v>46266.0</v>
      </c>
      <c r="K354" s="41" t="str">
        <f>IF(OR(B354="",D354=""),"",D354&amp;"|"&amp;TEXT(J354,"yyyy-mm"))</f>
        <v>Vida Care|2026-09</v>
      </c>
      <c r="L354" s="24" t="str">
        <f>IF(K354="","",IFERROR(INDEX(Lotes!$N$5:$N$154,MATCH(K354,Lotes!$P$5:$P$154,0)),"Sem lote cadastrado"))</f>
        <v>Em separação</v>
      </c>
      <c r="M354" s="25">
        <f>IF(H354="Sim",G354,0)</f>
        <v>0</v>
      </c>
      <c r="N354" s="42">
        <f>IF(AND(H354="Sim",I354&lt;&gt;"Aceito"),G354+ROW()/100000,0)</f>
        <v>0</v>
      </c>
    </row>
    <row r="355">
      <c r="A355" s="35" t="inlineStr">
        <is>
          <t>G2026-0781</t>
        </is>
      </c>
      <c r="B355" s="39" t="n">
        <v>46276</v>
      </c>
      <c r="C355" s="33" t="inlineStr">
        <is>
          <t>Fernanda Nunes</t>
        </is>
      </c>
      <c r="D355" s="35" t="inlineStr">
        <is>
          <t>MediPlan</t>
        </is>
      </c>
      <c r="E355" s="33" t="inlineStr">
        <is>
          <t>Consulta</t>
        </is>
      </c>
      <c r="F355" s="33" t="inlineStr">
        <is>
          <t>Dr. Paulo Andrade</t>
        </is>
      </c>
      <c r="G355" s="40" t="n">
        <v>100</v>
      </c>
      <c r="H355" s="35" t="n"/>
      <c r="I355" s="35" t="n"/>
      <c r="J355" s="30">
        <f>IF(B355="","",DATE(YEAR(B355),MONTH(B355),1))</f>
        <v>46266.0</v>
      </c>
      <c r="K355" s="41" t="str">
        <f>IF(OR(B355="",D355=""),"",D355&amp;"|"&amp;TEXT(J355,"yyyy-mm"))</f>
        <v>MediPlan|2026-09</v>
      </c>
      <c r="L355" s="24" t="str">
        <f>IF(K355="","",IFERROR(INDEX(Lotes!$N$5:$N$154,MATCH(K355,Lotes!$P$5:$P$154,0)),"Sem lote cadastrado"))</f>
        <v>Em separação</v>
      </c>
      <c r="M355" s="25">
        <f>IF(H355="Sim",G355,0)</f>
        <v>0</v>
      </c>
      <c r="N355" s="42">
        <f>IF(AND(H355="Sim",I355&lt;&gt;"Aceito"),G355+ROW()/100000,0)</f>
        <v>0</v>
      </c>
    </row>
    <row r="356">
      <c r="A356" s="35" t="inlineStr">
        <is>
          <t>G2026-0782</t>
        </is>
      </c>
      <c r="B356" s="39" t="n">
        <v>46276</v>
      </c>
      <c r="C356" s="33" t="inlineStr">
        <is>
          <t>Mônica Pinto</t>
        </is>
      </c>
      <c r="D356" s="35" t="inlineStr">
        <is>
          <t>Saúde Total</t>
        </is>
      </c>
      <c r="E356" s="33" t="inlineStr">
        <is>
          <t>Holter</t>
        </is>
      </c>
      <c r="F356" s="33" t="inlineStr">
        <is>
          <t>Dr. Paulo Andrade</t>
        </is>
      </c>
      <c r="G356" s="40" t="n">
        <v>105</v>
      </c>
      <c r="H356" s="35" t="n"/>
      <c r="I356" s="35" t="n"/>
      <c r="J356" s="30">
        <f>IF(B356="","",DATE(YEAR(B356),MONTH(B356),1))</f>
        <v>46266.0</v>
      </c>
      <c r="K356" s="41" t="str">
        <f>IF(OR(B356="",D356=""),"",D356&amp;"|"&amp;TEXT(J356,"yyyy-mm"))</f>
        <v>Saúde Total|2026-09</v>
      </c>
      <c r="L356" s="24" t="str">
        <f>IF(K356="","",IFERROR(INDEX(Lotes!$N$5:$N$154,MATCH(K356,Lotes!$P$5:$P$154,0)),"Sem lote cadastrado"))</f>
        <v>Em separação</v>
      </c>
      <c r="M356" s="25">
        <f>IF(H356="Sim",G356,0)</f>
        <v>0</v>
      </c>
      <c r="N356" s="42">
        <f>IF(AND(H356="Sim",I356&lt;&gt;"Aceito"),G356+ROW()/100000,0)</f>
        <v>0</v>
      </c>
    </row>
    <row r="357">
      <c r="A357" s="35" t="inlineStr">
        <is>
          <t>G2026-0783</t>
        </is>
      </c>
      <c r="B357" s="39" t="n">
        <v>46276</v>
      </c>
      <c r="C357" s="33" t="inlineStr">
        <is>
          <t>Mônica Teixeira</t>
        </is>
      </c>
      <c r="D357" s="35" t="inlineStr">
        <is>
          <t>Vida Care</t>
        </is>
      </c>
      <c r="E357" s="33" t="inlineStr">
        <is>
          <t>Teste ergométrico</t>
        </is>
      </c>
      <c r="F357" s="33" t="inlineStr">
        <is>
          <t>Dr. Paulo Andrade</t>
        </is>
      </c>
      <c r="G357" s="40" t="n">
        <v>110</v>
      </c>
      <c r="H357" s="35" t="n"/>
      <c r="I357" s="35" t="n"/>
      <c r="J357" s="30">
        <f>IF(B357="","",DATE(YEAR(B357),MONTH(B357),1))</f>
        <v>46266.0</v>
      </c>
      <c r="K357" s="41" t="str">
        <f>IF(OR(B357="",D357=""),"",D357&amp;"|"&amp;TEXT(J357,"yyyy-mm"))</f>
        <v>Vida Care|2026-09</v>
      </c>
      <c r="L357" s="24" t="str">
        <f>IF(K357="","",IFERROR(INDEX(Lotes!$N$5:$N$154,MATCH(K357,Lotes!$P$5:$P$154,0)),"Sem lote cadastrado"))</f>
        <v>Em separação</v>
      </c>
      <c r="M357" s="25">
        <f>IF(H357="Sim",G357,0)</f>
        <v>0</v>
      </c>
      <c r="N357" s="42">
        <f>IF(AND(H357="Sim",I357&lt;&gt;"Aceito"),G357+ROW()/100000,0)</f>
        <v>0</v>
      </c>
    </row>
    <row r="358">
      <c r="A358" s="35" t="n"/>
      <c r="B358" s="39" t="n"/>
      <c r="C358" s="33" t="n"/>
      <c r="D358" s="35" t="n"/>
      <c r="E358" s="33" t="n"/>
      <c r="F358" s="33" t="n"/>
      <c r="G358" s="40" t="n"/>
      <c r="H358" s="35" t="n"/>
      <c r="I358" s="35" t="n"/>
      <c r="J358" s="30">
        <f>IF(B358="","",DATE(YEAR(B358),MONTH(B358),1))</f>
        <v/>
      </c>
      <c r="K358" s="41">
        <f>IF(OR(B358="",D358=""),"",D358&amp;"|"&amp;TEXT(J358,"yyyy-mm"))</f>
        <v/>
      </c>
      <c r="L358" s="24">
        <f>IF(K358="","",IFERROR(INDEX(Lotes!$N$5:$N$154,MATCH(K358,Lotes!$P$5:$P$154,0)),"Sem lote cadastrado"))</f>
        <v/>
      </c>
      <c r="M358" s="25">
        <f>IF(H358="Sim",G358,0)</f>
        <v>0</v>
      </c>
      <c r="N358" s="42">
        <f>IF(AND(H358="Sim",I358&lt;&gt;"Aceito"),G358+ROW()/100000,0)</f>
        <v>0</v>
      </c>
    </row>
    <row r="359">
      <c r="A359" s="35" t="n"/>
      <c r="B359" s="39" t="n"/>
      <c r="C359" s="33" t="n"/>
      <c r="D359" s="35" t="n"/>
      <c r="E359" s="33" t="n"/>
      <c r="F359" s="33" t="n"/>
      <c r="G359" s="40" t="n"/>
      <c r="H359" s="35" t="n"/>
      <c r="I359" s="35" t="n"/>
      <c r="J359" s="30">
        <f>IF(B359="","",DATE(YEAR(B359),MONTH(B359),1))</f>
        <v/>
      </c>
      <c r="K359" s="41">
        <f>IF(OR(B359="",D359=""),"",D359&amp;"|"&amp;TEXT(J359,"yyyy-mm"))</f>
        <v/>
      </c>
      <c r="L359" s="24">
        <f>IF(K359="","",IFERROR(INDEX(Lotes!$N$5:$N$154,MATCH(K359,Lotes!$P$5:$P$154,0)),"Sem lote cadastrado"))</f>
        <v/>
      </c>
      <c r="M359" s="25">
        <f>IF(H359="Sim",G359,0)</f>
        <v>0</v>
      </c>
      <c r="N359" s="42">
        <f>IF(AND(H359="Sim",I359&lt;&gt;"Aceito"),G359+ROW()/100000,0)</f>
        <v>0</v>
      </c>
    </row>
    <row r="360">
      <c r="A360" s="35" t="n"/>
      <c r="B360" s="39" t="n"/>
      <c r="C360" s="33" t="n"/>
      <c r="D360" s="35" t="n"/>
      <c r="E360" s="33" t="n"/>
      <c r="F360" s="33" t="n"/>
      <c r="G360" s="40" t="n"/>
      <c r="H360" s="35" t="n"/>
      <c r="I360" s="35" t="n"/>
      <c r="J360" s="30">
        <f>IF(B360="","",DATE(YEAR(B360),MONTH(B360),1))</f>
        <v/>
      </c>
      <c r="K360" s="41">
        <f>IF(OR(B360="",D360=""),"",D360&amp;"|"&amp;TEXT(J360,"yyyy-mm"))</f>
        <v/>
      </c>
      <c r="L360" s="24">
        <f>IF(K360="","",IFERROR(INDEX(Lotes!$N$5:$N$154,MATCH(K360,Lotes!$P$5:$P$154,0)),"Sem lote cadastrado"))</f>
        <v/>
      </c>
      <c r="M360" s="25">
        <f>IF(H360="Sim",G360,0)</f>
        <v>0</v>
      </c>
      <c r="N360" s="42">
        <f>IF(AND(H360="Sim",I360&lt;&gt;"Aceito"),G360+ROW()/100000,0)</f>
        <v>0</v>
      </c>
    </row>
    <row r="361">
      <c r="A361" s="35" t="n"/>
      <c r="B361" s="39" t="n"/>
      <c r="C361" s="33" t="n"/>
      <c r="D361" s="35" t="n"/>
      <c r="E361" s="33" t="n"/>
      <c r="F361" s="33" t="n"/>
      <c r="G361" s="40" t="n"/>
      <c r="H361" s="35" t="n"/>
      <c r="I361" s="35" t="n"/>
      <c r="J361" s="30">
        <f>IF(B361="","",DATE(YEAR(B361),MONTH(B361),1))</f>
        <v/>
      </c>
      <c r="K361" s="41">
        <f>IF(OR(B361="",D361=""),"",D361&amp;"|"&amp;TEXT(J361,"yyyy-mm"))</f>
        <v/>
      </c>
      <c r="L361" s="24">
        <f>IF(K361="","",IFERROR(INDEX(Lotes!$N$5:$N$154,MATCH(K361,Lotes!$P$5:$P$154,0)),"Sem lote cadastrado"))</f>
        <v/>
      </c>
      <c r="M361" s="25">
        <f>IF(H361="Sim",G361,0)</f>
        <v>0</v>
      </c>
      <c r="N361" s="42">
        <f>IF(AND(H361="Sim",I361&lt;&gt;"Aceito"),G361+ROW()/100000,0)</f>
        <v>0</v>
      </c>
    </row>
    <row r="362">
      <c r="A362" s="35" t="n"/>
      <c r="B362" s="39" t="n"/>
      <c r="C362" s="33" t="n"/>
      <c r="D362" s="35" t="n"/>
      <c r="E362" s="33" t="n"/>
      <c r="F362" s="33" t="n"/>
      <c r="G362" s="40" t="n"/>
      <c r="H362" s="35" t="n"/>
      <c r="I362" s="35" t="n"/>
      <c r="J362" s="30">
        <f>IF(B362="","",DATE(YEAR(B362),MONTH(B362),1))</f>
        <v/>
      </c>
      <c r="K362" s="41">
        <f>IF(OR(B362="",D362=""),"",D362&amp;"|"&amp;TEXT(J362,"yyyy-mm"))</f>
        <v/>
      </c>
      <c r="L362" s="24">
        <f>IF(K362="","",IFERROR(INDEX(Lotes!$N$5:$N$154,MATCH(K362,Lotes!$P$5:$P$154,0)),"Sem lote cadastrado"))</f>
        <v/>
      </c>
      <c r="M362" s="25">
        <f>IF(H362="Sim",G362,0)</f>
        <v>0</v>
      </c>
      <c r="N362" s="42">
        <f>IF(AND(H362="Sim",I362&lt;&gt;"Aceito"),G362+ROW()/100000,0)</f>
        <v>0</v>
      </c>
    </row>
    <row r="363">
      <c r="A363" s="35" t="n"/>
      <c r="B363" s="39" t="n"/>
      <c r="C363" s="33" t="n"/>
      <c r="D363" s="35" t="n"/>
      <c r="E363" s="33" t="n"/>
      <c r="F363" s="33" t="n"/>
      <c r="G363" s="40" t="n"/>
      <c r="H363" s="35" t="n"/>
      <c r="I363" s="35" t="n"/>
      <c r="J363" s="30">
        <f>IF(B363="","",DATE(YEAR(B363),MONTH(B363),1))</f>
        <v/>
      </c>
      <c r="K363" s="41">
        <f>IF(OR(B363="",D363=""),"",D363&amp;"|"&amp;TEXT(J363,"yyyy-mm"))</f>
        <v/>
      </c>
      <c r="L363" s="24">
        <f>IF(K363="","",IFERROR(INDEX(Lotes!$N$5:$N$154,MATCH(K363,Lotes!$P$5:$P$154,0)),"Sem lote cadastrado"))</f>
        <v/>
      </c>
      <c r="M363" s="25">
        <f>IF(H363="Sim",G363,0)</f>
        <v>0</v>
      </c>
      <c r="N363" s="42">
        <f>IF(AND(H363="Sim",I363&lt;&gt;"Aceito"),G363+ROW()/100000,0)</f>
        <v>0</v>
      </c>
    </row>
    <row r="364">
      <c r="A364" s="35" t="n"/>
      <c r="B364" s="39" t="n"/>
      <c r="C364" s="33" t="n"/>
      <c r="D364" s="35" t="n"/>
      <c r="E364" s="33" t="n"/>
      <c r="F364" s="33" t="n"/>
      <c r="G364" s="40" t="n"/>
      <c r="H364" s="35" t="n"/>
      <c r="I364" s="35" t="n"/>
      <c r="J364" s="30">
        <f>IF(B364="","",DATE(YEAR(B364),MONTH(B364),1))</f>
        <v/>
      </c>
      <c r="K364" s="41">
        <f>IF(OR(B364="",D364=""),"",D364&amp;"|"&amp;TEXT(J364,"yyyy-mm"))</f>
        <v/>
      </c>
      <c r="L364" s="24">
        <f>IF(K364="","",IFERROR(INDEX(Lotes!$N$5:$N$154,MATCH(K364,Lotes!$P$5:$P$154,0)),"Sem lote cadastrado"))</f>
        <v/>
      </c>
      <c r="M364" s="25">
        <f>IF(H364="Sim",G364,0)</f>
        <v>0</v>
      </c>
      <c r="N364" s="42">
        <f>IF(AND(H364="Sim",I364&lt;&gt;"Aceito"),G364+ROW()/100000,0)</f>
        <v>0</v>
      </c>
    </row>
    <row r="365">
      <c r="A365" s="35" t="n"/>
      <c r="B365" s="39" t="n"/>
      <c r="C365" s="33" t="n"/>
      <c r="D365" s="35" t="n"/>
      <c r="E365" s="33" t="n"/>
      <c r="F365" s="33" t="n"/>
      <c r="G365" s="40" t="n"/>
      <c r="H365" s="35" t="n"/>
      <c r="I365" s="35" t="n"/>
      <c r="J365" s="30">
        <f>IF(B365="","",DATE(YEAR(B365),MONTH(B365),1))</f>
        <v/>
      </c>
      <c r="K365" s="41">
        <f>IF(OR(B365="",D365=""),"",D365&amp;"|"&amp;TEXT(J365,"yyyy-mm"))</f>
        <v/>
      </c>
      <c r="L365" s="24">
        <f>IF(K365="","",IFERROR(INDEX(Lotes!$N$5:$N$154,MATCH(K365,Lotes!$P$5:$P$154,0)),"Sem lote cadastrado"))</f>
        <v/>
      </c>
      <c r="M365" s="25">
        <f>IF(H365="Sim",G365,0)</f>
        <v>0</v>
      </c>
      <c r="N365" s="42">
        <f>IF(AND(H365="Sim",I365&lt;&gt;"Aceito"),G365+ROW()/100000,0)</f>
        <v>0</v>
      </c>
    </row>
    <row r="366">
      <c r="A366" s="35" t="n"/>
      <c r="B366" s="39" t="n"/>
      <c r="C366" s="33" t="n"/>
      <c r="D366" s="35" t="n"/>
      <c r="E366" s="33" t="n"/>
      <c r="F366" s="33" t="n"/>
      <c r="G366" s="40" t="n"/>
      <c r="H366" s="35" t="n"/>
      <c r="I366" s="35" t="n"/>
      <c r="J366" s="30">
        <f>IF(B366="","",DATE(YEAR(B366),MONTH(B366),1))</f>
        <v/>
      </c>
      <c r="K366" s="41">
        <f>IF(OR(B366="",D366=""),"",D366&amp;"|"&amp;TEXT(J366,"yyyy-mm"))</f>
        <v/>
      </c>
      <c r="L366" s="24">
        <f>IF(K366="","",IFERROR(INDEX(Lotes!$N$5:$N$154,MATCH(K366,Lotes!$P$5:$P$154,0)),"Sem lote cadastrado"))</f>
        <v/>
      </c>
      <c r="M366" s="25">
        <f>IF(H366="Sim",G366,0)</f>
        <v>0</v>
      </c>
      <c r="N366" s="42">
        <f>IF(AND(H366="Sim",I366&lt;&gt;"Aceito"),G366+ROW()/100000,0)</f>
        <v>0</v>
      </c>
    </row>
    <row r="367">
      <c r="A367" s="35" t="n"/>
      <c r="B367" s="39" t="n"/>
      <c r="C367" s="33" t="n"/>
      <c r="D367" s="35" t="n"/>
      <c r="E367" s="33" t="n"/>
      <c r="F367" s="33" t="n"/>
      <c r="G367" s="40" t="n"/>
      <c r="H367" s="35" t="n"/>
      <c r="I367" s="35" t="n"/>
      <c r="J367" s="30">
        <f>IF(B367="","",DATE(YEAR(B367),MONTH(B367),1))</f>
        <v/>
      </c>
      <c r="K367" s="41">
        <f>IF(OR(B367="",D367=""),"",D367&amp;"|"&amp;TEXT(J367,"yyyy-mm"))</f>
        <v/>
      </c>
      <c r="L367" s="24">
        <f>IF(K367="","",IFERROR(INDEX(Lotes!$N$5:$N$154,MATCH(K367,Lotes!$P$5:$P$154,0)),"Sem lote cadastrado"))</f>
        <v/>
      </c>
      <c r="M367" s="25">
        <f>IF(H367="Sim",G367,0)</f>
        <v>0</v>
      </c>
      <c r="N367" s="42">
        <f>IF(AND(H367="Sim",I367&lt;&gt;"Aceito"),G367+ROW()/100000,0)</f>
        <v>0</v>
      </c>
    </row>
    <row r="368">
      <c r="A368" s="35" t="n"/>
      <c r="B368" s="39" t="n"/>
      <c r="C368" s="33" t="n"/>
      <c r="D368" s="35" t="n"/>
      <c r="E368" s="33" t="n"/>
      <c r="F368" s="33" t="n"/>
      <c r="G368" s="40" t="n"/>
      <c r="H368" s="35" t="n"/>
      <c r="I368" s="35" t="n"/>
      <c r="J368" s="30">
        <f>IF(B368="","",DATE(YEAR(B368),MONTH(B368),1))</f>
        <v/>
      </c>
      <c r="K368" s="41">
        <f>IF(OR(B368="",D368=""),"",D368&amp;"|"&amp;TEXT(J368,"yyyy-mm"))</f>
        <v/>
      </c>
      <c r="L368" s="24">
        <f>IF(K368="","",IFERROR(INDEX(Lotes!$N$5:$N$154,MATCH(K368,Lotes!$P$5:$P$154,0)),"Sem lote cadastrado"))</f>
        <v/>
      </c>
      <c r="M368" s="25">
        <f>IF(H368="Sim",G368,0)</f>
        <v>0</v>
      </c>
      <c r="N368" s="42">
        <f>IF(AND(H368="Sim",I368&lt;&gt;"Aceito"),G368+ROW()/100000,0)</f>
        <v>0</v>
      </c>
    </row>
    <row r="369">
      <c r="A369" s="35" t="n"/>
      <c r="B369" s="39" t="n"/>
      <c r="C369" s="33" t="n"/>
      <c r="D369" s="35" t="n"/>
      <c r="E369" s="33" t="n"/>
      <c r="F369" s="33" t="n"/>
      <c r="G369" s="40" t="n"/>
      <c r="H369" s="35" t="n"/>
      <c r="I369" s="35" t="n"/>
      <c r="J369" s="30">
        <f>IF(B369="","",DATE(YEAR(B369),MONTH(B369),1))</f>
        <v/>
      </c>
      <c r="K369" s="41">
        <f>IF(OR(B369="",D369=""),"",D369&amp;"|"&amp;TEXT(J369,"yyyy-mm"))</f>
        <v/>
      </c>
      <c r="L369" s="24">
        <f>IF(K369="","",IFERROR(INDEX(Lotes!$N$5:$N$154,MATCH(K369,Lotes!$P$5:$P$154,0)),"Sem lote cadastrado"))</f>
        <v/>
      </c>
      <c r="M369" s="25">
        <f>IF(H369="Sim",G369,0)</f>
        <v>0</v>
      </c>
      <c r="N369" s="42">
        <f>IF(AND(H369="Sim",I369&lt;&gt;"Aceito"),G369+ROW()/100000,0)</f>
        <v>0</v>
      </c>
    </row>
    <row r="370">
      <c r="A370" s="35" t="n"/>
      <c r="B370" s="39" t="n"/>
      <c r="C370" s="33" t="n"/>
      <c r="D370" s="35" t="n"/>
      <c r="E370" s="33" t="n"/>
      <c r="F370" s="33" t="n"/>
      <c r="G370" s="40" t="n"/>
      <c r="H370" s="35" t="n"/>
      <c r="I370" s="35" t="n"/>
      <c r="J370" s="30">
        <f>IF(B370="","",DATE(YEAR(B370),MONTH(B370),1))</f>
        <v/>
      </c>
      <c r="K370" s="41">
        <f>IF(OR(B370="",D370=""),"",D370&amp;"|"&amp;TEXT(J370,"yyyy-mm"))</f>
        <v/>
      </c>
      <c r="L370" s="24">
        <f>IF(K370="","",IFERROR(INDEX(Lotes!$N$5:$N$154,MATCH(K370,Lotes!$P$5:$P$154,0)),"Sem lote cadastrado"))</f>
        <v/>
      </c>
      <c r="M370" s="25">
        <f>IF(H370="Sim",G370,0)</f>
        <v>0</v>
      </c>
      <c r="N370" s="42">
        <f>IF(AND(H370="Sim",I370&lt;&gt;"Aceito"),G370+ROW()/100000,0)</f>
        <v>0</v>
      </c>
    </row>
    <row r="371">
      <c r="A371" s="35" t="n"/>
      <c r="B371" s="39" t="n"/>
      <c r="C371" s="33" t="n"/>
      <c r="D371" s="35" t="n"/>
      <c r="E371" s="33" t="n"/>
      <c r="F371" s="33" t="n"/>
      <c r="G371" s="40" t="n"/>
      <c r="H371" s="35" t="n"/>
      <c r="I371" s="35" t="n"/>
      <c r="J371" s="30">
        <f>IF(B371="","",DATE(YEAR(B371),MONTH(B371),1))</f>
        <v/>
      </c>
      <c r="K371" s="41">
        <f>IF(OR(B371="",D371=""),"",D371&amp;"|"&amp;TEXT(J371,"yyyy-mm"))</f>
        <v/>
      </c>
      <c r="L371" s="24">
        <f>IF(K371="","",IFERROR(INDEX(Lotes!$N$5:$N$154,MATCH(K371,Lotes!$P$5:$P$154,0)),"Sem lote cadastrado"))</f>
        <v/>
      </c>
      <c r="M371" s="25">
        <f>IF(H371="Sim",G371,0)</f>
        <v>0</v>
      </c>
      <c r="N371" s="42">
        <f>IF(AND(H371="Sim",I371&lt;&gt;"Aceito"),G371+ROW()/100000,0)</f>
        <v>0</v>
      </c>
    </row>
    <row r="372">
      <c r="A372" s="35" t="n"/>
      <c r="B372" s="39" t="n"/>
      <c r="C372" s="33" t="n"/>
      <c r="D372" s="35" t="n"/>
      <c r="E372" s="33" t="n"/>
      <c r="F372" s="33" t="n"/>
      <c r="G372" s="40" t="n"/>
      <c r="H372" s="35" t="n"/>
      <c r="I372" s="35" t="n"/>
      <c r="J372" s="30">
        <f>IF(B372="","",DATE(YEAR(B372),MONTH(B372),1))</f>
        <v/>
      </c>
      <c r="K372" s="41">
        <f>IF(OR(B372="",D372=""),"",D372&amp;"|"&amp;TEXT(J372,"yyyy-mm"))</f>
        <v/>
      </c>
      <c r="L372" s="24">
        <f>IF(K372="","",IFERROR(INDEX(Lotes!$N$5:$N$154,MATCH(K372,Lotes!$P$5:$P$154,0)),"Sem lote cadastrado"))</f>
        <v/>
      </c>
      <c r="M372" s="25">
        <f>IF(H372="Sim",G372,0)</f>
        <v>0</v>
      </c>
      <c r="N372" s="42">
        <f>IF(AND(H372="Sim",I372&lt;&gt;"Aceito"),G372+ROW()/100000,0)</f>
        <v>0</v>
      </c>
    </row>
    <row r="373">
      <c r="A373" s="35" t="n"/>
      <c r="B373" s="39" t="n"/>
      <c r="C373" s="33" t="n"/>
      <c r="D373" s="35" t="n"/>
      <c r="E373" s="33" t="n"/>
      <c r="F373" s="33" t="n"/>
      <c r="G373" s="40" t="n"/>
      <c r="H373" s="35" t="n"/>
      <c r="I373" s="35" t="n"/>
      <c r="J373" s="30">
        <f>IF(B373="","",DATE(YEAR(B373),MONTH(B373),1))</f>
        <v/>
      </c>
      <c r="K373" s="41">
        <f>IF(OR(B373="",D373=""),"",D373&amp;"|"&amp;TEXT(J373,"yyyy-mm"))</f>
        <v/>
      </c>
      <c r="L373" s="24">
        <f>IF(K373="","",IFERROR(INDEX(Lotes!$N$5:$N$154,MATCH(K373,Lotes!$P$5:$P$154,0)),"Sem lote cadastrado"))</f>
        <v/>
      </c>
      <c r="M373" s="25">
        <f>IF(H373="Sim",G373,0)</f>
        <v>0</v>
      </c>
      <c r="N373" s="42">
        <f>IF(AND(H373="Sim",I373&lt;&gt;"Aceito"),G373+ROW()/100000,0)</f>
        <v>0</v>
      </c>
    </row>
    <row r="374">
      <c r="A374" s="35" t="n"/>
      <c r="B374" s="39" t="n"/>
      <c r="C374" s="33" t="n"/>
      <c r="D374" s="35" t="n"/>
      <c r="E374" s="33" t="n"/>
      <c r="F374" s="33" t="n"/>
      <c r="G374" s="40" t="n"/>
      <c r="H374" s="35" t="n"/>
      <c r="I374" s="35" t="n"/>
      <c r="J374" s="30">
        <f>IF(B374="","",DATE(YEAR(B374),MONTH(B374),1))</f>
        <v/>
      </c>
      <c r="K374" s="41">
        <f>IF(OR(B374="",D374=""),"",D374&amp;"|"&amp;TEXT(J374,"yyyy-mm"))</f>
        <v/>
      </c>
      <c r="L374" s="24">
        <f>IF(K374="","",IFERROR(INDEX(Lotes!$N$5:$N$154,MATCH(K374,Lotes!$P$5:$P$154,0)),"Sem lote cadastrado"))</f>
        <v/>
      </c>
      <c r="M374" s="25">
        <f>IF(H374="Sim",G374,0)</f>
        <v>0</v>
      </c>
      <c r="N374" s="42">
        <f>IF(AND(H374="Sim",I374&lt;&gt;"Aceito"),G374+ROW()/100000,0)</f>
        <v>0</v>
      </c>
    </row>
    <row r="375">
      <c r="A375" s="35" t="n"/>
      <c r="B375" s="39" t="n"/>
      <c r="C375" s="33" t="n"/>
      <c r="D375" s="35" t="n"/>
      <c r="E375" s="33" t="n"/>
      <c r="F375" s="33" t="n"/>
      <c r="G375" s="40" t="n"/>
      <c r="H375" s="35" t="n"/>
      <c r="I375" s="35" t="n"/>
      <c r="J375" s="30">
        <f>IF(B375="","",DATE(YEAR(B375),MONTH(B375),1))</f>
        <v/>
      </c>
      <c r="K375" s="41">
        <f>IF(OR(B375="",D375=""),"",D375&amp;"|"&amp;TEXT(J375,"yyyy-mm"))</f>
        <v/>
      </c>
      <c r="L375" s="24">
        <f>IF(K375="","",IFERROR(INDEX(Lotes!$N$5:$N$154,MATCH(K375,Lotes!$P$5:$P$154,0)),"Sem lote cadastrado"))</f>
        <v/>
      </c>
      <c r="M375" s="25">
        <f>IF(H375="Sim",G375,0)</f>
        <v>0</v>
      </c>
      <c r="N375" s="42">
        <f>IF(AND(H375="Sim",I375&lt;&gt;"Aceito"),G375+ROW()/100000,0)</f>
        <v>0</v>
      </c>
    </row>
    <row r="376">
      <c r="A376" s="35" t="n"/>
      <c r="B376" s="39" t="n"/>
      <c r="C376" s="33" t="n"/>
      <c r="D376" s="35" t="n"/>
      <c r="E376" s="33" t="n"/>
      <c r="F376" s="33" t="n"/>
      <c r="G376" s="40" t="n"/>
      <c r="H376" s="35" t="n"/>
      <c r="I376" s="35" t="n"/>
      <c r="J376" s="30">
        <f>IF(B376="","",DATE(YEAR(B376),MONTH(B376),1))</f>
        <v/>
      </c>
      <c r="K376" s="41">
        <f>IF(OR(B376="",D376=""),"",D376&amp;"|"&amp;TEXT(J376,"yyyy-mm"))</f>
        <v/>
      </c>
      <c r="L376" s="24">
        <f>IF(K376="","",IFERROR(INDEX(Lotes!$N$5:$N$154,MATCH(K376,Lotes!$P$5:$P$154,0)),"Sem lote cadastrado"))</f>
        <v/>
      </c>
      <c r="M376" s="25">
        <f>IF(H376="Sim",G376,0)</f>
        <v>0</v>
      </c>
      <c r="N376" s="42">
        <f>IF(AND(H376="Sim",I376&lt;&gt;"Aceito"),G376+ROW()/100000,0)</f>
        <v>0</v>
      </c>
    </row>
    <row r="377">
      <c r="A377" s="35" t="n"/>
      <c r="B377" s="39" t="n"/>
      <c r="C377" s="33" t="n"/>
      <c r="D377" s="35" t="n"/>
      <c r="E377" s="33" t="n"/>
      <c r="F377" s="33" t="n"/>
      <c r="G377" s="40" t="n"/>
      <c r="H377" s="35" t="n"/>
      <c r="I377" s="35" t="n"/>
      <c r="J377" s="30">
        <f>IF(B377="","",DATE(YEAR(B377),MONTH(B377),1))</f>
        <v/>
      </c>
      <c r="K377" s="41">
        <f>IF(OR(B377="",D377=""),"",D377&amp;"|"&amp;TEXT(J377,"yyyy-mm"))</f>
        <v/>
      </c>
      <c r="L377" s="24">
        <f>IF(K377="","",IFERROR(INDEX(Lotes!$N$5:$N$154,MATCH(K377,Lotes!$P$5:$P$154,0)),"Sem lote cadastrado"))</f>
        <v/>
      </c>
      <c r="M377" s="25">
        <f>IF(H377="Sim",G377,0)</f>
        <v>0</v>
      </c>
      <c r="N377" s="42">
        <f>IF(AND(H377="Sim",I377&lt;&gt;"Aceito"),G377+ROW()/100000,0)</f>
        <v>0</v>
      </c>
    </row>
    <row r="378">
      <c r="A378" s="35" t="n"/>
      <c r="B378" s="39" t="n"/>
      <c r="C378" s="33" t="n"/>
      <c r="D378" s="35" t="n"/>
      <c r="E378" s="33" t="n"/>
      <c r="F378" s="33" t="n"/>
      <c r="G378" s="40" t="n"/>
      <c r="H378" s="35" t="n"/>
      <c r="I378" s="35" t="n"/>
      <c r="J378" s="30">
        <f>IF(B378="","",DATE(YEAR(B378),MONTH(B378),1))</f>
        <v/>
      </c>
      <c r="K378" s="41">
        <f>IF(OR(B378="",D378=""),"",D378&amp;"|"&amp;TEXT(J378,"yyyy-mm"))</f>
        <v/>
      </c>
      <c r="L378" s="24">
        <f>IF(K378="","",IFERROR(INDEX(Lotes!$N$5:$N$154,MATCH(K378,Lotes!$P$5:$P$154,0)),"Sem lote cadastrado"))</f>
        <v/>
      </c>
      <c r="M378" s="25">
        <f>IF(H378="Sim",G378,0)</f>
        <v>0</v>
      </c>
      <c r="N378" s="42">
        <f>IF(AND(H378="Sim",I378&lt;&gt;"Aceito"),G378+ROW()/100000,0)</f>
        <v>0</v>
      </c>
    </row>
    <row r="379">
      <c r="A379" s="35" t="n"/>
      <c r="B379" s="39" t="n"/>
      <c r="C379" s="33" t="n"/>
      <c r="D379" s="35" t="n"/>
      <c r="E379" s="33" t="n"/>
      <c r="F379" s="33" t="n"/>
      <c r="G379" s="40" t="n"/>
      <c r="H379" s="35" t="n"/>
      <c r="I379" s="35" t="n"/>
      <c r="J379" s="30">
        <f>IF(B379="","",DATE(YEAR(B379),MONTH(B379),1))</f>
        <v/>
      </c>
      <c r="K379" s="41">
        <f>IF(OR(B379="",D379=""),"",D379&amp;"|"&amp;TEXT(J379,"yyyy-mm"))</f>
        <v/>
      </c>
      <c r="L379" s="24">
        <f>IF(K379="","",IFERROR(INDEX(Lotes!$N$5:$N$154,MATCH(K379,Lotes!$P$5:$P$154,0)),"Sem lote cadastrado"))</f>
        <v/>
      </c>
      <c r="M379" s="25">
        <f>IF(H379="Sim",G379,0)</f>
        <v>0</v>
      </c>
      <c r="N379" s="42">
        <f>IF(AND(H379="Sim",I379&lt;&gt;"Aceito"),G379+ROW()/100000,0)</f>
        <v>0</v>
      </c>
    </row>
    <row r="380">
      <c r="A380" s="35" t="n"/>
      <c r="B380" s="39" t="n"/>
      <c r="C380" s="33" t="n"/>
      <c r="D380" s="35" t="n"/>
      <c r="E380" s="33" t="n"/>
      <c r="F380" s="33" t="n"/>
      <c r="G380" s="40" t="n"/>
      <c r="H380" s="35" t="n"/>
      <c r="I380" s="35" t="n"/>
      <c r="J380" s="30">
        <f>IF(B380="","",DATE(YEAR(B380),MONTH(B380),1))</f>
        <v/>
      </c>
      <c r="K380" s="41">
        <f>IF(OR(B380="",D380=""),"",D380&amp;"|"&amp;TEXT(J380,"yyyy-mm"))</f>
        <v/>
      </c>
      <c r="L380" s="24">
        <f>IF(K380="","",IFERROR(INDEX(Lotes!$N$5:$N$154,MATCH(K380,Lotes!$P$5:$P$154,0)),"Sem lote cadastrado"))</f>
        <v/>
      </c>
      <c r="M380" s="25">
        <f>IF(H380="Sim",G380,0)</f>
        <v>0</v>
      </c>
      <c r="N380" s="42">
        <f>IF(AND(H380="Sim",I380&lt;&gt;"Aceito"),G380+ROW()/100000,0)</f>
        <v>0</v>
      </c>
    </row>
    <row r="381">
      <c r="A381" s="35" t="n"/>
      <c r="B381" s="39" t="n"/>
      <c r="C381" s="33" t="n"/>
      <c r="D381" s="35" t="n"/>
      <c r="E381" s="33" t="n"/>
      <c r="F381" s="33" t="n"/>
      <c r="G381" s="40" t="n"/>
      <c r="H381" s="35" t="n"/>
      <c r="I381" s="35" t="n"/>
      <c r="J381" s="30">
        <f>IF(B381="","",DATE(YEAR(B381),MONTH(B381),1))</f>
        <v/>
      </c>
      <c r="K381" s="41">
        <f>IF(OR(B381="",D381=""),"",D381&amp;"|"&amp;TEXT(J381,"yyyy-mm"))</f>
        <v/>
      </c>
      <c r="L381" s="24">
        <f>IF(K381="","",IFERROR(INDEX(Lotes!$N$5:$N$154,MATCH(K381,Lotes!$P$5:$P$154,0)),"Sem lote cadastrado"))</f>
        <v/>
      </c>
      <c r="M381" s="25">
        <f>IF(H381="Sim",G381,0)</f>
        <v>0</v>
      </c>
      <c r="N381" s="42">
        <f>IF(AND(H381="Sim",I381&lt;&gt;"Aceito"),G381+ROW()/100000,0)</f>
        <v>0</v>
      </c>
    </row>
    <row r="382">
      <c r="A382" s="35" t="n"/>
      <c r="B382" s="39" t="n"/>
      <c r="C382" s="33" t="n"/>
      <c r="D382" s="35" t="n"/>
      <c r="E382" s="33" t="n"/>
      <c r="F382" s="33" t="n"/>
      <c r="G382" s="40" t="n"/>
      <c r="H382" s="35" t="n"/>
      <c r="I382" s="35" t="n"/>
      <c r="J382" s="30">
        <f>IF(B382="","",DATE(YEAR(B382),MONTH(B382),1))</f>
        <v/>
      </c>
      <c r="K382" s="41">
        <f>IF(OR(B382="",D382=""),"",D382&amp;"|"&amp;TEXT(J382,"yyyy-mm"))</f>
        <v/>
      </c>
      <c r="L382" s="24">
        <f>IF(K382="","",IFERROR(INDEX(Lotes!$N$5:$N$154,MATCH(K382,Lotes!$P$5:$P$154,0)),"Sem lote cadastrado"))</f>
        <v/>
      </c>
      <c r="M382" s="25">
        <f>IF(H382="Sim",G382,0)</f>
        <v>0</v>
      </c>
      <c r="N382" s="42">
        <f>IF(AND(H382="Sim",I382&lt;&gt;"Aceito"),G382+ROW()/100000,0)</f>
        <v>0</v>
      </c>
    </row>
    <row r="383">
      <c r="A383" s="35" t="n"/>
      <c r="B383" s="39" t="n"/>
      <c r="C383" s="33" t="n"/>
      <c r="D383" s="35" t="n"/>
      <c r="E383" s="33" t="n"/>
      <c r="F383" s="33" t="n"/>
      <c r="G383" s="40" t="n"/>
      <c r="H383" s="35" t="n"/>
      <c r="I383" s="35" t="n"/>
      <c r="J383" s="30">
        <f>IF(B383="","",DATE(YEAR(B383),MONTH(B383),1))</f>
        <v/>
      </c>
      <c r="K383" s="41">
        <f>IF(OR(B383="",D383=""),"",D383&amp;"|"&amp;TEXT(J383,"yyyy-mm"))</f>
        <v/>
      </c>
      <c r="L383" s="24">
        <f>IF(K383="","",IFERROR(INDEX(Lotes!$N$5:$N$154,MATCH(K383,Lotes!$P$5:$P$154,0)),"Sem lote cadastrado"))</f>
        <v/>
      </c>
      <c r="M383" s="25">
        <f>IF(H383="Sim",G383,0)</f>
        <v>0</v>
      </c>
      <c r="N383" s="42">
        <f>IF(AND(H383="Sim",I383&lt;&gt;"Aceito"),G383+ROW()/100000,0)</f>
        <v>0</v>
      </c>
    </row>
    <row r="384">
      <c r="A384" s="35" t="n"/>
      <c r="B384" s="39" t="n"/>
      <c r="C384" s="33" t="n"/>
      <c r="D384" s="35" t="n"/>
      <c r="E384" s="33" t="n"/>
      <c r="F384" s="33" t="n"/>
      <c r="G384" s="40" t="n"/>
      <c r="H384" s="35" t="n"/>
      <c r="I384" s="35" t="n"/>
      <c r="J384" s="30">
        <f>IF(B384="","",DATE(YEAR(B384),MONTH(B384),1))</f>
        <v/>
      </c>
      <c r="K384" s="41">
        <f>IF(OR(B384="",D384=""),"",D384&amp;"|"&amp;TEXT(J384,"yyyy-mm"))</f>
        <v/>
      </c>
      <c r="L384" s="24">
        <f>IF(K384="","",IFERROR(INDEX(Lotes!$N$5:$N$154,MATCH(K384,Lotes!$P$5:$P$154,0)),"Sem lote cadastrado"))</f>
        <v/>
      </c>
      <c r="M384" s="25">
        <f>IF(H384="Sim",G384,0)</f>
        <v>0</v>
      </c>
      <c r="N384" s="42">
        <f>IF(AND(H384="Sim",I384&lt;&gt;"Aceito"),G384+ROW()/100000,0)</f>
        <v>0</v>
      </c>
    </row>
    <row r="385">
      <c r="A385" s="35" t="n"/>
      <c r="B385" s="39" t="n"/>
      <c r="C385" s="33" t="n"/>
      <c r="D385" s="35" t="n"/>
      <c r="E385" s="33" t="n"/>
      <c r="F385" s="33" t="n"/>
      <c r="G385" s="40" t="n"/>
      <c r="H385" s="35" t="n"/>
      <c r="I385" s="35" t="n"/>
      <c r="J385" s="30">
        <f>IF(B385="","",DATE(YEAR(B385),MONTH(B385),1))</f>
        <v/>
      </c>
      <c r="K385" s="41">
        <f>IF(OR(B385="",D385=""),"",D385&amp;"|"&amp;TEXT(J385,"yyyy-mm"))</f>
        <v/>
      </c>
      <c r="L385" s="24">
        <f>IF(K385="","",IFERROR(INDEX(Lotes!$N$5:$N$154,MATCH(K385,Lotes!$P$5:$P$154,0)),"Sem lote cadastrado"))</f>
        <v/>
      </c>
      <c r="M385" s="25">
        <f>IF(H385="Sim",G385,0)</f>
        <v>0</v>
      </c>
      <c r="N385" s="42">
        <f>IF(AND(H385="Sim",I385&lt;&gt;"Aceito"),G385+ROW()/100000,0)</f>
        <v>0</v>
      </c>
    </row>
    <row r="386">
      <c r="A386" s="35" t="n"/>
      <c r="B386" s="39" t="n"/>
      <c r="C386" s="33" t="n"/>
      <c r="D386" s="35" t="n"/>
      <c r="E386" s="33" t="n"/>
      <c r="F386" s="33" t="n"/>
      <c r="G386" s="40" t="n"/>
      <c r="H386" s="35" t="n"/>
      <c r="I386" s="35" t="n"/>
      <c r="J386" s="30">
        <f>IF(B386="","",DATE(YEAR(B386),MONTH(B386),1))</f>
        <v/>
      </c>
      <c r="K386" s="41">
        <f>IF(OR(B386="",D386=""),"",D386&amp;"|"&amp;TEXT(J386,"yyyy-mm"))</f>
        <v/>
      </c>
      <c r="L386" s="24">
        <f>IF(K386="","",IFERROR(INDEX(Lotes!$N$5:$N$154,MATCH(K386,Lotes!$P$5:$P$154,0)),"Sem lote cadastrado"))</f>
        <v/>
      </c>
      <c r="M386" s="25">
        <f>IF(H386="Sim",G386,0)</f>
        <v>0</v>
      </c>
      <c r="N386" s="42">
        <f>IF(AND(H386="Sim",I386&lt;&gt;"Aceito"),G386+ROW()/100000,0)</f>
        <v>0</v>
      </c>
    </row>
    <row r="387">
      <c r="A387" s="35" t="n"/>
      <c r="B387" s="39" t="n"/>
      <c r="C387" s="33" t="n"/>
      <c r="D387" s="35" t="n"/>
      <c r="E387" s="33" t="n"/>
      <c r="F387" s="33" t="n"/>
      <c r="G387" s="40" t="n"/>
      <c r="H387" s="35" t="n"/>
      <c r="I387" s="35" t="n"/>
      <c r="J387" s="30">
        <f>IF(B387="","",DATE(YEAR(B387),MONTH(B387),1))</f>
        <v/>
      </c>
      <c r="K387" s="41">
        <f>IF(OR(B387="",D387=""),"",D387&amp;"|"&amp;TEXT(J387,"yyyy-mm"))</f>
        <v/>
      </c>
      <c r="L387" s="24">
        <f>IF(K387="","",IFERROR(INDEX(Lotes!$N$5:$N$154,MATCH(K387,Lotes!$P$5:$P$154,0)),"Sem lote cadastrado"))</f>
        <v/>
      </c>
      <c r="M387" s="25">
        <f>IF(H387="Sim",G387,0)</f>
        <v>0</v>
      </c>
      <c r="N387" s="42">
        <f>IF(AND(H387="Sim",I387&lt;&gt;"Aceito"),G387+ROW()/100000,0)</f>
        <v>0</v>
      </c>
    </row>
    <row r="388">
      <c r="A388" s="35" t="n"/>
      <c r="B388" s="39" t="n"/>
      <c r="C388" s="33" t="n"/>
      <c r="D388" s="35" t="n"/>
      <c r="E388" s="33" t="n"/>
      <c r="F388" s="33" t="n"/>
      <c r="G388" s="40" t="n"/>
      <c r="H388" s="35" t="n"/>
      <c r="I388" s="35" t="n"/>
      <c r="J388" s="30">
        <f>IF(B388="","",DATE(YEAR(B388),MONTH(B388),1))</f>
        <v/>
      </c>
      <c r="K388" s="41">
        <f>IF(OR(B388="",D388=""),"",D388&amp;"|"&amp;TEXT(J388,"yyyy-mm"))</f>
        <v/>
      </c>
      <c r="L388" s="24">
        <f>IF(K388="","",IFERROR(INDEX(Lotes!$N$5:$N$154,MATCH(K388,Lotes!$P$5:$P$154,0)),"Sem lote cadastrado"))</f>
        <v/>
      </c>
      <c r="M388" s="25">
        <f>IF(H388="Sim",G388,0)</f>
        <v>0</v>
      </c>
      <c r="N388" s="42">
        <f>IF(AND(H388="Sim",I388&lt;&gt;"Aceito"),G388+ROW()/100000,0)</f>
        <v>0</v>
      </c>
    </row>
    <row r="389">
      <c r="A389" s="35" t="n"/>
      <c r="B389" s="39" t="n"/>
      <c r="C389" s="33" t="n"/>
      <c r="D389" s="35" t="n"/>
      <c r="E389" s="33" t="n"/>
      <c r="F389" s="33" t="n"/>
      <c r="G389" s="40" t="n"/>
      <c r="H389" s="35" t="n"/>
      <c r="I389" s="35" t="n"/>
      <c r="J389" s="30">
        <f>IF(B389="","",DATE(YEAR(B389),MONTH(B389),1))</f>
        <v/>
      </c>
      <c r="K389" s="41">
        <f>IF(OR(B389="",D389=""),"",D389&amp;"|"&amp;TEXT(J389,"yyyy-mm"))</f>
        <v/>
      </c>
      <c r="L389" s="24">
        <f>IF(K389="","",IFERROR(INDEX(Lotes!$N$5:$N$154,MATCH(K389,Lotes!$P$5:$P$154,0)),"Sem lote cadastrado"))</f>
        <v/>
      </c>
      <c r="M389" s="25">
        <f>IF(H389="Sim",G389,0)</f>
        <v>0</v>
      </c>
      <c r="N389" s="42">
        <f>IF(AND(H389="Sim",I389&lt;&gt;"Aceito"),G389+ROW()/100000,0)</f>
        <v>0</v>
      </c>
    </row>
    <row r="390">
      <c r="A390" s="35" t="n"/>
      <c r="B390" s="39" t="n"/>
      <c r="C390" s="33" t="n"/>
      <c r="D390" s="35" t="n"/>
      <c r="E390" s="33" t="n"/>
      <c r="F390" s="33" t="n"/>
      <c r="G390" s="40" t="n"/>
      <c r="H390" s="35" t="n"/>
      <c r="I390" s="35" t="n"/>
      <c r="J390" s="30">
        <f>IF(B390="","",DATE(YEAR(B390),MONTH(B390),1))</f>
        <v/>
      </c>
      <c r="K390" s="41">
        <f>IF(OR(B390="",D390=""),"",D390&amp;"|"&amp;TEXT(J390,"yyyy-mm"))</f>
        <v/>
      </c>
      <c r="L390" s="24">
        <f>IF(K390="","",IFERROR(INDEX(Lotes!$N$5:$N$154,MATCH(K390,Lotes!$P$5:$P$154,0)),"Sem lote cadastrado"))</f>
        <v/>
      </c>
      <c r="M390" s="25">
        <f>IF(H390="Sim",G390,0)</f>
        <v>0</v>
      </c>
      <c r="N390" s="42">
        <f>IF(AND(H390="Sim",I390&lt;&gt;"Aceito"),G390+ROW()/100000,0)</f>
        <v>0</v>
      </c>
    </row>
    <row r="391">
      <c r="A391" s="35" t="n"/>
      <c r="B391" s="39" t="n"/>
      <c r="C391" s="33" t="n"/>
      <c r="D391" s="35" t="n"/>
      <c r="E391" s="33" t="n"/>
      <c r="F391" s="33" t="n"/>
      <c r="G391" s="40" t="n"/>
      <c r="H391" s="35" t="n"/>
      <c r="I391" s="35" t="n"/>
      <c r="J391" s="30">
        <f>IF(B391="","",DATE(YEAR(B391),MONTH(B391),1))</f>
        <v/>
      </c>
      <c r="K391" s="41">
        <f>IF(OR(B391="",D391=""),"",D391&amp;"|"&amp;TEXT(J391,"yyyy-mm"))</f>
        <v/>
      </c>
      <c r="L391" s="24">
        <f>IF(K391="","",IFERROR(INDEX(Lotes!$N$5:$N$154,MATCH(K391,Lotes!$P$5:$P$154,0)),"Sem lote cadastrado"))</f>
        <v/>
      </c>
      <c r="M391" s="25">
        <f>IF(H391="Sim",G391,0)</f>
        <v>0</v>
      </c>
      <c r="N391" s="42">
        <f>IF(AND(H391="Sim",I391&lt;&gt;"Aceito"),G391+ROW()/100000,0)</f>
        <v>0</v>
      </c>
    </row>
    <row r="392">
      <c r="A392" s="35" t="n"/>
      <c r="B392" s="39" t="n"/>
      <c r="C392" s="33" t="n"/>
      <c r="D392" s="35" t="n"/>
      <c r="E392" s="33" t="n"/>
      <c r="F392" s="33" t="n"/>
      <c r="G392" s="40" t="n"/>
      <c r="H392" s="35" t="n"/>
      <c r="I392" s="35" t="n"/>
      <c r="J392" s="30">
        <f>IF(B392="","",DATE(YEAR(B392),MONTH(B392),1))</f>
        <v/>
      </c>
      <c r="K392" s="41">
        <f>IF(OR(B392="",D392=""),"",D392&amp;"|"&amp;TEXT(J392,"yyyy-mm"))</f>
        <v/>
      </c>
      <c r="L392" s="24">
        <f>IF(K392="","",IFERROR(INDEX(Lotes!$N$5:$N$154,MATCH(K392,Lotes!$P$5:$P$154,0)),"Sem lote cadastrado"))</f>
        <v/>
      </c>
      <c r="M392" s="25">
        <f>IF(H392="Sim",G392,0)</f>
        <v>0</v>
      </c>
      <c r="N392" s="42">
        <f>IF(AND(H392="Sim",I392&lt;&gt;"Aceito"),G392+ROW()/100000,0)</f>
        <v>0</v>
      </c>
    </row>
    <row r="393">
      <c r="A393" s="35" t="n"/>
      <c r="B393" s="39" t="n"/>
      <c r="C393" s="33" t="n"/>
      <c r="D393" s="35" t="n"/>
      <c r="E393" s="33" t="n"/>
      <c r="F393" s="33" t="n"/>
      <c r="G393" s="40" t="n"/>
      <c r="H393" s="35" t="n"/>
      <c r="I393" s="35" t="n"/>
      <c r="J393" s="30">
        <f>IF(B393="","",DATE(YEAR(B393),MONTH(B393),1))</f>
        <v/>
      </c>
      <c r="K393" s="41">
        <f>IF(OR(B393="",D393=""),"",D393&amp;"|"&amp;TEXT(J393,"yyyy-mm"))</f>
        <v/>
      </c>
      <c r="L393" s="24">
        <f>IF(K393="","",IFERROR(INDEX(Lotes!$N$5:$N$154,MATCH(K393,Lotes!$P$5:$P$154,0)),"Sem lote cadastrado"))</f>
        <v/>
      </c>
      <c r="M393" s="25">
        <f>IF(H393="Sim",G393,0)</f>
        <v>0</v>
      </c>
      <c r="N393" s="42">
        <f>IF(AND(H393="Sim",I393&lt;&gt;"Aceito"),G393+ROW()/100000,0)</f>
        <v>0</v>
      </c>
    </row>
    <row r="394">
      <c r="A394" s="35" t="n"/>
      <c r="B394" s="39" t="n"/>
      <c r="C394" s="33" t="n"/>
      <c r="D394" s="35" t="n"/>
      <c r="E394" s="33" t="n"/>
      <c r="F394" s="33" t="n"/>
      <c r="G394" s="40" t="n"/>
      <c r="H394" s="35" t="n"/>
      <c r="I394" s="35" t="n"/>
      <c r="J394" s="30">
        <f>IF(B394="","",DATE(YEAR(B394),MONTH(B394),1))</f>
        <v/>
      </c>
      <c r="K394" s="41">
        <f>IF(OR(B394="",D394=""),"",D394&amp;"|"&amp;TEXT(J394,"yyyy-mm"))</f>
        <v/>
      </c>
      <c r="L394" s="24">
        <f>IF(K394="","",IFERROR(INDEX(Lotes!$N$5:$N$154,MATCH(K394,Lotes!$P$5:$P$154,0)),"Sem lote cadastrado"))</f>
        <v/>
      </c>
      <c r="M394" s="25">
        <f>IF(H394="Sim",G394,0)</f>
        <v>0</v>
      </c>
      <c r="N394" s="42">
        <f>IF(AND(H394="Sim",I394&lt;&gt;"Aceito"),G394+ROW()/100000,0)</f>
        <v>0</v>
      </c>
    </row>
    <row r="395">
      <c r="A395" s="35" t="n"/>
      <c r="B395" s="39" t="n"/>
      <c r="C395" s="33" t="n"/>
      <c r="D395" s="35" t="n"/>
      <c r="E395" s="33" t="n"/>
      <c r="F395" s="33" t="n"/>
      <c r="G395" s="40" t="n"/>
      <c r="H395" s="35" t="n"/>
      <c r="I395" s="35" t="n"/>
      <c r="J395" s="30">
        <f>IF(B395="","",DATE(YEAR(B395),MONTH(B395),1))</f>
        <v/>
      </c>
      <c r="K395" s="41">
        <f>IF(OR(B395="",D395=""),"",D395&amp;"|"&amp;TEXT(J395,"yyyy-mm"))</f>
        <v/>
      </c>
      <c r="L395" s="24">
        <f>IF(K395="","",IFERROR(INDEX(Lotes!$N$5:$N$154,MATCH(K395,Lotes!$P$5:$P$154,0)),"Sem lote cadastrado"))</f>
        <v/>
      </c>
      <c r="M395" s="25">
        <f>IF(H395="Sim",G395,0)</f>
        <v>0</v>
      </c>
      <c r="N395" s="42">
        <f>IF(AND(H395="Sim",I395&lt;&gt;"Aceito"),G395+ROW()/100000,0)</f>
        <v>0</v>
      </c>
    </row>
    <row r="396">
      <c r="A396" s="35" t="n"/>
      <c r="B396" s="39" t="n"/>
      <c r="C396" s="33" t="n"/>
      <c r="D396" s="35" t="n"/>
      <c r="E396" s="33" t="n"/>
      <c r="F396" s="33" t="n"/>
      <c r="G396" s="40" t="n"/>
      <c r="H396" s="35" t="n"/>
      <c r="I396" s="35" t="n"/>
      <c r="J396" s="30">
        <f>IF(B396="","",DATE(YEAR(B396),MONTH(B396),1))</f>
        <v/>
      </c>
      <c r="K396" s="41">
        <f>IF(OR(B396="",D396=""),"",D396&amp;"|"&amp;TEXT(J396,"yyyy-mm"))</f>
        <v/>
      </c>
      <c r="L396" s="24">
        <f>IF(K396="","",IFERROR(INDEX(Lotes!$N$5:$N$154,MATCH(K396,Lotes!$P$5:$P$154,0)),"Sem lote cadastrado"))</f>
        <v/>
      </c>
      <c r="M396" s="25">
        <f>IF(H396="Sim",G396,0)</f>
        <v>0</v>
      </c>
      <c r="N396" s="42">
        <f>IF(AND(H396="Sim",I396&lt;&gt;"Aceito"),G396+ROW()/100000,0)</f>
        <v>0</v>
      </c>
    </row>
    <row r="397">
      <c r="A397" s="35" t="n"/>
      <c r="B397" s="39" t="n"/>
      <c r="C397" s="33" t="n"/>
      <c r="D397" s="35" t="n"/>
      <c r="E397" s="33" t="n"/>
      <c r="F397" s="33" t="n"/>
      <c r="G397" s="40" t="n"/>
      <c r="H397" s="35" t="n"/>
      <c r="I397" s="35" t="n"/>
      <c r="J397" s="30">
        <f>IF(B397="","",DATE(YEAR(B397),MONTH(B397),1))</f>
        <v/>
      </c>
      <c r="K397" s="41">
        <f>IF(OR(B397="",D397=""),"",D397&amp;"|"&amp;TEXT(J397,"yyyy-mm"))</f>
        <v/>
      </c>
      <c r="L397" s="24">
        <f>IF(K397="","",IFERROR(INDEX(Lotes!$N$5:$N$154,MATCH(K397,Lotes!$P$5:$P$154,0)),"Sem lote cadastrado"))</f>
        <v/>
      </c>
      <c r="M397" s="25">
        <f>IF(H397="Sim",G397,0)</f>
        <v>0</v>
      </c>
      <c r="N397" s="42">
        <f>IF(AND(H397="Sim",I397&lt;&gt;"Aceito"),G397+ROW()/100000,0)</f>
        <v>0</v>
      </c>
    </row>
    <row r="398">
      <c r="A398" s="35" t="n"/>
      <c r="B398" s="39" t="n"/>
      <c r="C398" s="33" t="n"/>
      <c r="D398" s="35" t="n"/>
      <c r="E398" s="33" t="n"/>
      <c r="F398" s="33" t="n"/>
      <c r="G398" s="40" t="n"/>
      <c r="H398" s="35" t="n"/>
      <c r="I398" s="35" t="n"/>
      <c r="J398" s="30">
        <f>IF(B398="","",DATE(YEAR(B398),MONTH(B398),1))</f>
        <v/>
      </c>
      <c r="K398" s="41">
        <f>IF(OR(B398="",D398=""),"",D398&amp;"|"&amp;TEXT(J398,"yyyy-mm"))</f>
        <v/>
      </c>
      <c r="L398" s="24">
        <f>IF(K398="","",IFERROR(INDEX(Lotes!$N$5:$N$154,MATCH(K398,Lotes!$P$5:$P$154,0)),"Sem lote cadastrado"))</f>
        <v/>
      </c>
      <c r="M398" s="25">
        <f>IF(H398="Sim",G398,0)</f>
        <v>0</v>
      </c>
      <c r="N398" s="42">
        <f>IF(AND(H398="Sim",I398&lt;&gt;"Aceito"),G398+ROW()/100000,0)</f>
        <v>0</v>
      </c>
    </row>
    <row r="399">
      <c r="A399" s="35" t="n"/>
      <c r="B399" s="39" t="n"/>
      <c r="C399" s="33" t="n"/>
      <c r="D399" s="35" t="n"/>
      <c r="E399" s="33" t="n"/>
      <c r="F399" s="33" t="n"/>
      <c r="G399" s="40" t="n"/>
      <c r="H399" s="35" t="n"/>
      <c r="I399" s="35" t="n"/>
      <c r="J399" s="30">
        <f>IF(B399="","",DATE(YEAR(B399),MONTH(B399),1))</f>
        <v/>
      </c>
      <c r="K399" s="41">
        <f>IF(OR(B399="",D399=""),"",D399&amp;"|"&amp;TEXT(J399,"yyyy-mm"))</f>
        <v/>
      </c>
      <c r="L399" s="24">
        <f>IF(K399="","",IFERROR(INDEX(Lotes!$N$5:$N$154,MATCH(K399,Lotes!$P$5:$P$154,0)),"Sem lote cadastrado"))</f>
        <v/>
      </c>
      <c r="M399" s="25">
        <f>IF(H399="Sim",G399,0)</f>
        <v>0</v>
      </c>
      <c r="N399" s="42">
        <f>IF(AND(H399="Sim",I399&lt;&gt;"Aceito"),G399+ROW()/100000,0)</f>
        <v>0</v>
      </c>
    </row>
    <row r="400">
      <c r="A400" s="35" t="n"/>
      <c r="B400" s="39" t="n"/>
      <c r="C400" s="33" t="n"/>
      <c r="D400" s="35" t="n"/>
      <c r="E400" s="33" t="n"/>
      <c r="F400" s="33" t="n"/>
      <c r="G400" s="40" t="n"/>
      <c r="H400" s="35" t="n"/>
      <c r="I400" s="35" t="n"/>
      <c r="J400" s="30">
        <f>IF(B400="","",DATE(YEAR(B400),MONTH(B400),1))</f>
        <v/>
      </c>
      <c r="K400" s="41">
        <f>IF(OR(B400="",D400=""),"",D400&amp;"|"&amp;TEXT(J400,"yyyy-mm"))</f>
        <v/>
      </c>
      <c r="L400" s="24">
        <f>IF(K400="","",IFERROR(INDEX(Lotes!$N$5:$N$154,MATCH(K400,Lotes!$P$5:$P$154,0)),"Sem lote cadastrado"))</f>
        <v/>
      </c>
      <c r="M400" s="25">
        <f>IF(H400="Sim",G400,0)</f>
        <v>0</v>
      </c>
      <c r="N400" s="42">
        <f>IF(AND(H400="Sim",I400&lt;&gt;"Aceito"),G400+ROW()/100000,0)</f>
        <v>0</v>
      </c>
    </row>
    <row r="401">
      <c r="A401" s="35" t="n"/>
      <c r="B401" s="39" t="n"/>
      <c r="C401" s="33" t="n"/>
      <c r="D401" s="35" t="n"/>
      <c r="E401" s="33" t="n"/>
      <c r="F401" s="33" t="n"/>
      <c r="G401" s="40" t="n"/>
      <c r="H401" s="35" t="n"/>
      <c r="I401" s="35" t="n"/>
      <c r="J401" s="30">
        <f>IF(B401="","",DATE(YEAR(B401),MONTH(B401),1))</f>
        <v/>
      </c>
      <c r="K401" s="41">
        <f>IF(OR(B401="",D401=""),"",D401&amp;"|"&amp;TEXT(J401,"yyyy-mm"))</f>
        <v/>
      </c>
      <c r="L401" s="24">
        <f>IF(K401="","",IFERROR(INDEX(Lotes!$N$5:$N$154,MATCH(K401,Lotes!$P$5:$P$154,0)),"Sem lote cadastrado"))</f>
        <v/>
      </c>
      <c r="M401" s="25">
        <f>IF(H401="Sim",G401,0)</f>
        <v>0</v>
      </c>
      <c r="N401" s="42">
        <f>IF(AND(H401="Sim",I401&lt;&gt;"Aceito"),G401+ROW()/100000,0)</f>
        <v>0</v>
      </c>
    </row>
    <row r="402">
      <c r="A402" s="35" t="n"/>
      <c r="B402" s="39" t="n"/>
      <c r="C402" s="33" t="n"/>
      <c r="D402" s="35" t="n"/>
      <c r="E402" s="33" t="n"/>
      <c r="F402" s="33" t="n"/>
      <c r="G402" s="40" t="n"/>
      <c r="H402" s="35" t="n"/>
      <c r="I402" s="35" t="n"/>
      <c r="J402" s="30">
        <f>IF(B402="","",DATE(YEAR(B402),MONTH(B402),1))</f>
        <v/>
      </c>
      <c r="K402" s="41">
        <f>IF(OR(B402="",D402=""),"",D402&amp;"|"&amp;TEXT(J402,"yyyy-mm"))</f>
        <v/>
      </c>
      <c r="L402" s="24">
        <f>IF(K402="","",IFERROR(INDEX(Lotes!$N$5:$N$154,MATCH(K402,Lotes!$P$5:$P$154,0)),"Sem lote cadastrado"))</f>
        <v/>
      </c>
      <c r="M402" s="25">
        <f>IF(H402="Sim",G402,0)</f>
        <v>0</v>
      </c>
      <c r="N402" s="42">
        <f>IF(AND(H402="Sim",I402&lt;&gt;"Aceito"),G402+ROW()/100000,0)</f>
        <v>0</v>
      </c>
    </row>
    <row r="403">
      <c r="A403" s="35" t="n"/>
      <c r="B403" s="39" t="n"/>
      <c r="C403" s="33" t="n"/>
      <c r="D403" s="35" t="n"/>
      <c r="E403" s="33" t="n"/>
      <c r="F403" s="33" t="n"/>
      <c r="G403" s="40" t="n"/>
      <c r="H403" s="35" t="n"/>
      <c r="I403" s="35" t="n"/>
      <c r="J403" s="30">
        <f>IF(B403="","",DATE(YEAR(B403),MONTH(B403),1))</f>
        <v/>
      </c>
      <c r="K403" s="41">
        <f>IF(OR(B403="",D403=""),"",D403&amp;"|"&amp;TEXT(J403,"yyyy-mm"))</f>
        <v/>
      </c>
      <c r="L403" s="24">
        <f>IF(K403="","",IFERROR(INDEX(Lotes!$N$5:$N$154,MATCH(K403,Lotes!$P$5:$P$154,0)),"Sem lote cadastrado"))</f>
        <v/>
      </c>
      <c r="M403" s="25">
        <f>IF(H403="Sim",G403,0)</f>
        <v>0</v>
      </c>
      <c r="N403" s="42">
        <f>IF(AND(H403="Sim",I403&lt;&gt;"Aceito"),G403+ROW()/100000,0)</f>
        <v>0</v>
      </c>
    </row>
    <row r="404">
      <c r="A404" s="35" t="n"/>
      <c r="B404" s="39" t="n"/>
      <c r="C404" s="33" t="n"/>
      <c r="D404" s="35" t="n"/>
      <c r="E404" s="33" t="n"/>
      <c r="F404" s="33" t="n"/>
      <c r="G404" s="40" t="n"/>
      <c r="H404" s="35" t="n"/>
      <c r="I404" s="35" t="n"/>
      <c r="J404" s="30">
        <f>IF(B404="","",DATE(YEAR(B404),MONTH(B404),1))</f>
        <v/>
      </c>
      <c r="K404" s="41">
        <f>IF(OR(B404="",D404=""),"",D404&amp;"|"&amp;TEXT(J404,"yyyy-mm"))</f>
        <v/>
      </c>
      <c r="L404" s="24">
        <f>IF(K404="","",IFERROR(INDEX(Lotes!$N$5:$N$154,MATCH(K404,Lotes!$P$5:$P$154,0)),"Sem lote cadastrado"))</f>
        <v/>
      </c>
      <c r="M404" s="25">
        <f>IF(H404="Sim",G404,0)</f>
        <v>0</v>
      </c>
      <c r="N404" s="42">
        <f>IF(AND(H404="Sim",I404&lt;&gt;"Aceito"),G404+ROW()/100000,0)</f>
        <v>0</v>
      </c>
    </row>
    <row r="405">
      <c r="A405" s="35" t="n"/>
      <c r="B405" s="39" t="n"/>
      <c r="C405" s="33" t="n"/>
      <c r="D405" s="35" t="n"/>
      <c r="E405" s="33" t="n"/>
      <c r="F405" s="33" t="n"/>
      <c r="G405" s="40" t="n"/>
      <c r="H405" s="35" t="n"/>
      <c r="I405" s="35" t="n"/>
      <c r="J405" s="30">
        <f>IF(B405="","",DATE(YEAR(B405),MONTH(B405),1))</f>
        <v/>
      </c>
      <c r="K405" s="41">
        <f>IF(OR(B405="",D405=""),"",D405&amp;"|"&amp;TEXT(J405,"yyyy-mm"))</f>
        <v/>
      </c>
      <c r="L405" s="24">
        <f>IF(K405="","",IFERROR(INDEX(Lotes!$N$5:$N$154,MATCH(K405,Lotes!$P$5:$P$154,0)),"Sem lote cadastrado"))</f>
        <v/>
      </c>
      <c r="M405" s="25">
        <f>IF(H405="Sim",G405,0)</f>
        <v>0</v>
      </c>
      <c r="N405" s="42">
        <f>IF(AND(H405="Sim",I405&lt;&gt;"Aceito"),G405+ROW()/100000,0)</f>
        <v>0</v>
      </c>
    </row>
    <row r="406">
      <c r="A406" s="35" t="n"/>
      <c r="B406" s="39" t="n"/>
      <c r="C406" s="33" t="n"/>
      <c r="D406" s="35" t="n"/>
      <c r="E406" s="33" t="n"/>
      <c r="F406" s="33" t="n"/>
      <c r="G406" s="40" t="n"/>
      <c r="H406" s="35" t="n"/>
      <c r="I406" s="35" t="n"/>
      <c r="J406" s="30">
        <f>IF(B406="","",DATE(YEAR(B406),MONTH(B406),1))</f>
        <v/>
      </c>
      <c r="K406" s="41">
        <f>IF(OR(B406="",D406=""),"",D406&amp;"|"&amp;TEXT(J406,"yyyy-mm"))</f>
        <v/>
      </c>
      <c r="L406" s="24">
        <f>IF(K406="","",IFERROR(INDEX(Lotes!$N$5:$N$154,MATCH(K406,Lotes!$P$5:$P$154,0)),"Sem lote cadastrado"))</f>
        <v/>
      </c>
      <c r="M406" s="25">
        <f>IF(H406="Sim",G406,0)</f>
        <v>0</v>
      </c>
      <c r="N406" s="42">
        <f>IF(AND(H406="Sim",I406&lt;&gt;"Aceito"),G406+ROW()/100000,0)</f>
        <v>0</v>
      </c>
    </row>
    <row r="407">
      <c r="A407" s="35" t="n"/>
      <c r="B407" s="39" t="n"/>
      <c r="C407" s="33" t="n"/>
      <c r="D407" s="35" t="n"/>
      <c r="E407" s="33" t="n"/>
      <c r="F407" s="33" t="n"/>
      <c r="G407" s="40" t="n"/>
      <c r="H407" s="35" t="n"/>
      <c r="I407" s="35" t="n"/>
      <c r="J407" s="30">
        <f>IF(B407="","",DATE(YEAR(B407),MONTH(B407),1))</f>
        <v/>
      </c>
      <c r="K407" s="41">
        <f>IF(OR(B407="",D407=""),"",D407&amp;"|"&amp;TEXT(J407,"yyyy-mm"))</f>
        <v/>
      </c>
      <c r="L407" s="24">
        <f>IF(K407="","",IFERROR(INDEX(Lotes!$N$5:$N$154,MATCH(K407,Lotes!$P$5:$P$154,0)),"Sem lote cadastrado"))</f>
        <v/>
      </c>
      <c r="M407" s="25">
        <f>IF(H407="Sim",G407,0)</f>
        <v>0</v>
      </c>
      <c r="N407" s="42">
        <f>IF(AND(H407="Sim",I407&lt;&gt;"Aceito"),G407+ROW()/100000,0)</f>
        <v>0</v>
      </c>
    </row>
    <row r="408">
      <c r="A408" s="35" t="n"/>
      <c r="B408" s="39" t="n"/>
      <c r="C408" s="33" t="n"/>
      <c r="D408" s="35" t="n"/>
      <c r="E408" s="33" t="n"/>
      <c r="F408" s="33" t="n"/>
      <c r="G408" s="40" t="n"/>
      <c r="H408" s="35" t="n"/>
      <c r="I408" s="35" t="n"/>
      <c r="J408" s="30">
        <f>IF(B408="","",DATE(YEAR(B408),MONTH(B408),1))</f>
        <v/>
      </c>
      <c r="K408" s="41">
        <f>IF(OR(B408="",D408=""),"",D408&amp;"|"&amp;TEXT(J408,"yyyy-mm"))</f>
        <v/>
      </c>
      <c r="L408" s="24">
        <f>IF(K408="","",IFERROR(INDEX(Lotes!$N$5:$N$154,MATCH(K408,Lotes!$P$5:$P$154,0)),"Sem lote cadastrado"))</f>
        <v/>
      </c>
      <c r="M408" s="25">
        <f>IF(H408="Sim",G408,0)</f>
        <v>0</v>
      </c>
      <c r="N408" s="42">
        <f>IF(AND(H408="Sim",I408&lt;&gt;"Aceito"),G408+ROW()/100000,0)</f>
        <v>0</v>
      </c>
    </row>
    <row r="409">
      <c r="A409" s="35" t="n"/>
      <c r="B409" s="39" t="n"/>
      <c r="C409" s="33" t="n"/>
      <c r="D409" s="35" t="n"/>
      <c r="E409" s="33" t="n"/>
      <c r="F409" s="33" t="n"/>
      <c r="G409" s="40" t="n"/>
      <c r="H409" s="35" t="n"/>
      <c r="I409" s="35" t="n"/>
      <c r="J409" s="30">
        <f>IF(B409="","",DATE(YEAR(B409),MONTH(B409),1))</f>
        <v/>
      </c>
      <c r="K409" s="41">
        <f>IF(OR(B409="",D409=""),"",D409&amp;"|"&amp;TEXT(J409,"yyyy-mm"))</f>
        <v/>
      </c>
      <c r="L409" s="24">
        <f>IF(K409="","",IFERROR(INDEX(Lotes!$N$5:$N$154,MATCH(K409,Lotes!$P$5:$P$154,0)),"Sem lote cadastrado"))</f>
        <v/>
      </c>
      <c r="M409" s="25">
        <f>IF(H409="Sim",G409,0)</f>
        <v>0</v>
      </c>
      <c r="N409" s="42">
        <f>IF(AND(H409="Sim",I409&lt;&gt;"Aceito"),G409+ROW()/100000,0)</f>
        <v>0</v>
      </c>
    </row>
    <row r="410">
      <c r="A410" s="35" t="n"/>
      <c r="B410" s="39" t="n"/>
      <c r="C410" s="33" t="n"/>
      <c r="D410" s="35" t="n"/>
      <c r="E410" s="33" t="n"/>
      <c r="F410" s="33" t="n"/>
      <c r="G410" s="40" t="n"/>
      <c r="H410" s="35" t="n"/>
      <c r="I410" s="35" t="n"/>
      <c r="J410" s="30">
        <f>IF(B410="","",DATE(YEAR(B410),MONTH(B410),1))</f>
        <v/>
      </c>
      <c r="K410" s="41">
        <f>IF(OR(B410="",D410=""),"",D410&amp;"|"&amp;TEXT(J410,"yyyy-mm"))</f>
        <v/>
      </c>
      <c r="L410" s="24">
        <f>IF(K410="","",IFERROR(INDEX(Lotes!$N$5:$N$154,MATCH(K410,Lotes!$P$5:$P$154,0)),"Sem lote cadastrado"))</f>
        <v/>
      </c>
      <c r="M410" s="25">
        <f>IF(H410="Sim",G410,0)</f>
        <v>0</v>
      </c>
      <c r="N410" s="42">
        <f>IF(AND(H410="Sim",I410&lt;&gt;"Aceito"),G410+ROW()/100000,0)</f>
        <v>0</v>
      </c>
    </row>
    <row r="411">
      <c r="A411" s="35" t="n"/>
      <c r="B411" s="39" t="n"/>
      <c r="C411" s="33" t="n"/>
      <c r="D411" s="35" t="n"/>
      <c r="E411" s="33" t="n"/>
      <c r="F411" s="33" t="n"/>
      <c r="G411" s="40" t="n"/>
      <c r="H411" s="35" t="n"/>
      <c r="I411" s="35" t="n"/>
      <c r="J411" s="30">
        <f>IF(B411="","",DATE(YEAR(B411),MONTH(B411),1))</f>
        <v/>
      </c>
      <c r="K411" s="41">
        <f>IF(OR(B411="",D411=""),"",D411&amp;"|"&amp;TEXT(J411,"yyyy-mm"))</f>
        <v/>
      </c>
      <c r="L411" s="24">
        <f>IF(K411="","",IFERROR(INDEX(Lotes!$N$5:$N$154,MATCH(K411,Lotes!$P$5:$P$154,0)),"Sem lote cadastrado"))</f>
        <v/>
      </c>
      <c r="M411" s="25">
        <f>IF(H411="Sim",G411,0)</f>
        <v>0</v>
      </c>
      <c r="N411" s="42">
        <f>IF(AND(H411="Sim",I411&lt;&gt;"Aceito"),G411+ROW()/100000,0)</f>
        <v>0</v>
      </c>
    </row>
    <row r="412">
      <c r="A412" s="35" t="n"/>
      <c r="B412" s="39" t="n"/>
      <c r="C412" s="33" t="n"/>
      <c r="D412" s="35" t="n"/>
      <c r="E412" s="33" t="n"/>
      <c r="F412" s="33" t="n"/>
      <c r="G412" s="40" t="n"/>
      <c r="H412" s="35" t="n"/>
      <c r="I412" s="35" t="n"/>
      <c r="J412" s="30">
        <f>IF(B412="","",DATE(YEAR(B412),MONTH(B412),1))</f>
        <v/>
      </c>
      <c r="K412" s="41">
        <f>IF(OR(B412="",D412=""),"",D412&amp;"|"&amp;TEXT(J412,"yyyy-mm"))</f>
        <v/>
      </c>
      <c r="L412" s="24">
        <f>IF(K412="","",IFERROR(INDEX(Lotes!$N$5:$N$154,MATCH(K412,Lotes!$P$5:$P$154,0)),"Sem lote cadastrado"))</f>
        <v/>
      </c>
      <c r="M412" s="25">
        <f>IF(H412="Sim",G412,0)</f>
        <v>0</v>
      </c>
      <c r="N412" s="42">
        <f>IF(AND(H412="Sim",I412&lt;&gt;"Aceito"),G412+ROW()/100000,0)</f>
        <v>0</v>
      </c>
    </row>
    <row r="413">
      <c r="A413" s="35" t="n"/>
      <c r="B413" s="39" t="n"/>
      <c r="C413" s="33" t="n"/>
      <c r="D413" s="35" t="n"/>
      <c r="E413" s="33" t="n"/>
      <c r="F413" s="33" t="n"/>
      <c r="G413" s="40" t="n"/>
      <c r="H413" s="35" t="n"/>
      <c r="I413" s="35" t="n"/>
      <c r="J413" s="30">
        <f>IF(B413="","",DATE(YEAR(B413),MONTH(B413),1))</f>
        <v/>
      </c>
      <c r="K413" s="41">
        <f>IF(OR(B413="",D413=""),"",D413&amp;"|"&amp;TEXT(J413,"yyyy-mm"))</f>
        <v/>
      </c>
      <c r="L413" s="24">
        <f>IF(K413="","",IFERROR(INDEX(Lotes!$N$5:$N$154,MATCH(K413,Lotes!$P$5:$P$154,0)),"Sem lote cadastrado"))</f>
        <v/>
      </c>
      <c r="M413" s="25">
        <f>IF(H413="Sim",G413,0)</f>
        <v>0</v>
      </c>
      <c r="N413" s="42">
        <f>IF(AND(H413="Sim",I413&lt;&gt;"Aceito"),G413+ROW()/100000,0)</f>
        <v>0</v>
      </c>
    </row>
    <row r="414">
      <c r="A414" s="35" t="n"/>
      <c r="B414" s="39" t="n"/>
      <c r="C414" s="33" t="n"/>
      <c r="D414" s="35" t="n"/>
      <c r="E414" s="33" t="n"/>
      <c r="F414" s="33" t="n"/>
      <c r="G414" s="40" t="n"/>
      <c r="H414" s="35" t="n"/>
      <c r="I414" s="35" t="n"/>
      <c r="J414" s="30">
        <f>IF(B414="","",DATE(YEAR(B414),MONTH(B414),1))</f>
        <v/>
      </c>
      <c r="K414" s="41">
        <f>IF(OR(B414="",D414=""),"",D414&amp;"|"&amp;TEXT(J414,"yyyy-mm"))</f>
        <v/>
      </c>
      <c r="L414" s="24">
        <f>IF(K414="","",IFERROR(INDEX(Lotes!$N$5:$N$154,MATCH(K414,Lotes!$P$5:$P$154,0)),"Sem lote cadastrado"))</f>
        <v/>
      </c>
      <c r="M414" s="25">
        <f>IF(H414="Sim",G414,0)</f>
        <v>0</v>
      </c>
      <c r="N414" s="42">
        <f>IF(AND(H414="Sim",I414&lt;&gt;"Aceito"),G414+ROW()/100000,0)</f>
        <v>0</v>
      </c>
    </row>
    <row r="415">
      <c r="A415" s="35" t="n"/>
      <c r="B415" s="39" t="n"/>
      <c r="C415" s="33" t="n"/>
      <c r="D415" s="35" t="n"/>
      <c r="E415" s="33" t="n"/>
      <c r="F415" s="33" t="n"/>
      <c r="G415" s="40" t="n"/>
      <c r="H415" s="35" t="n"/>
      <c r="I415" s="35" t="n"/>
      <c r="J415" s="30">
        <f>IF(B415="","",DATE(YEAR(B415),MONTH(B415),1))</f>
        <v/>
      </c>
      <c r="K415" s="41">
        <f>IF(OR(B415="",D415=""),"",D415&amp;"|"&amp;TEXT(J415,"yyyy-mm"))</f>
        <v/>
      </c>
      <c r="L415" s="24">
        <f>IF(K415="","",IFERROR(INDEX(Lotes!$N$5:$N$154,MATCH(K415,Lotes!$P$5:$P$154,0)),"Sem lote cadastrado"))</f>
        <v/>
      </c>
      <c r="M415" s="25">
        <f>IF(H415="Sim",G415,0)</f>
        <v>0</v>
      </c>
      <c r="N415" s="42">
        <f>IF(AND(H415="Sim",I415&lt;&gt;"Aceito"),G415+ROW()/100000,0)</f>
        <v>0</v>
      </c>
    </row>
    <row r="416">
      <c r="A416" s="35" t="n"/>
      <c r="B416" s="39" t="n"/>
      <c r="C416" s="33" t="n"/>
      <c r="D416" s="35" t="n"/>
      <c r="E416" s="33" t="n"/>
      <c r="F416" s="33" t="n"/>
      <c r="G416" s="40" t="n"/>
      <c r="H416" s="35" t="n"/>
      <c r="I416" s="35" t="n"/>
      <c r="J416" s="30">
        <f>IF(B416="","",DATE(YEAR(B416),MONTH(B416),1))</f>
        <v/>
      </c>
      <c r="K416" s="41">
        <f>IF(OR(B416="",D416=""),"",D416&amp;"|"&amp;TEXT(J416,"yyyy-mm"))</f>
        <v/>
      </c>
      <c r="L416" s="24">
        <f>IF(K416="","",IFERROR(INDEX(Lotes!$N$5:$N$154,MATCH(K416,Lotes!$P$5:$P$154,0)),"Sem lote cadastrado"))</f>
        <v/>
      </c>
      <c r="M416" s="25">
        <f>IF(H416="Sim",G416,0)</f>
        <v>0</v>
      </c>
      <c r="N416" s="42">
        <f>IF(AND(H416="Sim",I416&lt;&gt;"Aceito"),G416+ROW()/100000,0)</f>
        <v>0</v>
      </c>
    </row>
    <row r="417">
      <c r="A417" s="35" t="n"/>
      <c r="B417" s="39" t="n"/>
      <c r="C417" s="33" t="n"/>
      <c r="D417" s="35" t="n"/>
      <c r="E417" s="33" t="n"/>
      <c r="F417" s="33" t="n"/>
      <c r="G417" s="40" t="n"/>
      <c r="H417" s="35" t="n"/>
      <c r="I417" s="35" t="n"/>
      <c r="J417" s="30">
        <f>IF(B417="","",DATE(YEAR(B417),MONTH(B417),1))</f>
        <v/>
      </c>
      <c r="K417" s="41">
        <f>IF(OR(B417="",D417=""),"",D417&amp;"|"&amp;TEXT(J417,"yyyy-mm"))</f>
        <v/>
      </c>
      <c r="L417" s="24">
        <f>IF(K417="","",IFERROR(INDEX(Lotes!$N$5:$N$154,MATCH(K417,Lotes!$P$5:$P$154,0)),"Sem lote cadastrado"))</f>
        <v/>
      </c>
      <c r="M417" s="25">
        <f>IF(H417="Sim",G417,0)</f>
        <v>0</v>
      </c>
      <c r="N417" s="42">
        <f>IF(AND(H417="Sim",I417&lt;&gt;"Aceito"),G417+ROW()/100000,0)</f>
        <v>0</v>
      </c>
    </row>
    <row r="418">
      <c r="A418" s="35" t="n"/>
      <c r="B418" s="39" t="n"/>
      <c r="C418" s="33" t="n"/>
      <c r="D418" s="35" t="n"/>
      <c r="E418" s="33" t="n"/>
      <c r="F418" s="33" t="n"/>
      <c r="G418" s="40" t="n"/>
      <c r="H418" s="35" t="n"/>
      <c r="I418" s="35" t="n"/>
      <c r="J418" s="30">
        <f>IF(B418="","",DATE(YEAR(B418),MONTH(B418),1))</f>
        <v/>
      </c>
      <c r="K418" s="41">
        <f>IF(OR(B418="",D418=""),"",D418&amp;"|"&amp;TEXT(J418,"yyyy-mm"))</f>
        <v/>
      </c>
      <c r="L418" s="24">
        <f>IF(K418="","",IFERROR(INDEX(Lotes!$N$5:$N$154,MATCH(K418,Lotes!$P$5:$P$154,0)),"Sem lote cadastrado"))</f>
        <v/>
      </c>
      <c r="M418" s="25">
        <f>IF(H418="Sim",G418,0)</f>
        <v>0</v>
      </c>
      <c r="N418" s="42">
        <f>IF(AND(H418="Sim",I418&lt;&gt;"Aceito"),G418+ROW()/100000,0)</f>
        <v>0</v>
      </c>
    </row>
    <row r="419">
      <c r="A419" s="35" t="n"/>
      <c r="B419" s="39" t="n"/>
      <c r="C419" s="33" t="n"/>
      <c r="D419" s="35" t="n"/>
      <c r="E419" s="33" t="n"/>
      <c r="F419" s="33" t="n"/>
      <c r="G419" s="40" t="n"/>
      <c r="H419" s="35" t="n"/>
      <c r="I419" s="35" t="n"/>
      <c r="J419" s="30">
        <f>IF(B419="","",DATE(YEAR(B419),MONTH(B419),1))</f>
        <v/>
      </c>
      <c r="K419" s="41">
        <f>IF(OR(B419="",D419=""),"",D419&amp;"|"&amp;TEXT(J419,"yyyy-mm"))</f>
        <v/>
      </c>
      <c r="L419" s="24">
        <f>IF(K419="","",IFERROR(INDEX(Lotes!$N$5:$N$154,MATCH(K419,Lotes!$P$5:$P$154,0)),"Sem lote cadastrado"))</f>
        <v/>
      </c>
      <c r="M419" s="25">
        <f>IF(H419="Sim",G419,0)</f>
        <v>0</v>
      </c>
      <c r="N419" s="42">
        <f>IF(AND(H419="Sim",I419&lt;&gt;"Aceito"),G419+ROW()/100000,0)</f>
        <v>0</v>
      </c>
    </row>
    <row r="420">
      <c r="A420" s="35" t="n"/>
      <c r="B420" s="39" t="n"/>
      <c r="C420" s="33" t="n"/>
      <c r="D420" s="35" t="n"/>
      <c r="E420" s="33" t="n"/>
      <c r="F420" s="33" t="n"/>
      <c r="G420" s="40" t="n"/>
      <c r="H420" s="35" t="n"/>
      <c r="I420" s="35" t="n"/>
      <c r="J420" s="30">
        <f>IF(B420="","",DATE(YEAR(B420),MONTH(B420),1))</f>
        <v/>
      </c>
      <c r="K420" s="41">
        <f>IF(OR(B420="",D420=""),"",D420&amp;"|"&amp;TEXT(J420,"yyyy-mm"))</f>
        <v/>
      </c>
      <c r="L420" s="24">
        <f>IF(K420="","",IFERROR(INDEX(Lotes!$N$5:$N$154,MATCH(K420,Lotes!$P$5:$P$154,0)),"Sem lote cadastrado"))</f>
        <v/>
      </c>
      <c r="M420" s="25">
        <f>IF(H420="Sim",G420,0)</f>
        <v>0</v>
      </c>
      <c r="N420" s="42">
        <f>IF(AND(H420="Sim",I420&lt;&gt;"Aceito"),G420+ROW()/100000,0)</f>
        <v>0</v>
      </c>
    </row>
    <row r="421">
      <c r="A421" s="35" t="n"/>
      <c r="B421" s="39" t="n"/>
      <c r="C421" s="33" t="n"/>
      <c r="D421" s="35" t="n"/>
      <c r="E421" s="33" t="n"/>
      <c r="F421" s="33" t="n"/>
      <c r="G421" s="40" t="n"/>
      <c r="H421" s="35" t="n"/>
      <c r="I421" s="35" t="n"/>
      <c r="J421" s="30">
        <f>IF(B421="","",DATE(YEAR(B421),MONTH(B421),1))</f>
        <v/>
      </c>
      <c r="K421" s="41">
        <f>IF(OR(B421="",D421=""),"",D421&amp;"|"&amp;TEXT(J421,"yyyy-mm"))</f>
        <v/>
      </c>
      <c r="L421" s="24">
        <f>IF(K421="","",IFERROR(INDEX(Lotes!$N$5:$N$154,MATCH(K421,Lotes!$P$5:$P$154,0)),"Sem lote cadastrado"))</f>
        <v/>
      </c>
      <c r="M421" s="25">
        <f>IF(H421="Sim",G421,0)</f>
        <v>0</v>
      </c>
      <c r="N421" s="42">
        <f>IF(AND(H421="Sim",I421&lt;&gt;"Aceito"),G421+ROW()/100000,0)</f>
        <v>0</v>
      </c>
    </row>
    <row r="422">
      <c r="A422" s="35" t="n"/>
      <c r="B422" s="39" t="n"/>
      <c r="C422" s="33" t="n"/>
      <c r="D422" s="35" t="n"/>
      <c r="E422" s="33" t="n"/>
      <c r="F422" s="33" t="n"/>
      <c r="G422" s="40" t="n"/>
      <c r="H422" s="35" t="n"/>
      <c r="I422" s="35" t="n"/>
      <c r="J422" s="30">
        <f>IF(B422="","",DATE(YEAR(B422),MONTH(B422),1))</f>
        <v/>
      </c>
      <c r="K422" s="41">
        <f>IF(OR(B422="",D422=""),"",D422&amp;"|"&amp;TEXT(J422,"yyyy-mm"))</f>
        <v/>
      </c>
      <c r="L422" s="24">
        <f>IF(K422="","",IFERROR(INDEX(Lotes!$N$5:$N$154,MATCH(K422,Lotes!$P$5:$P$154,0)),"Sem lote cadastrado"))</f>
        <v/>
      </c>
      <c r="M422" s="25">
        <f>IF(H422="Sim",G422,0)</f>
        <v>0</v>
      </c>
      <c r="N422" s="42">
        <f>IF(AND(H422="Sim",I422&lt;&gt;"Aceito"),G422+ROW()/100000,0)</f>
        <v>0</v>
      </c>
    </row>
    <row r="423">
      <c r="A423" s="35" t="n"/>
      <c r="B423" s="39" t="n"/>
      <c r="C423" s="33" t="n"/>
      <c r="D423" s="35" t="n"/>
      <c r="E423" s="33" t="n"/>
      <c r="F423" s="33" t="n"/>
      <c r="G423" s="40" t="n"/>
      <c r="H423" s="35" t="n"/>
      <c r="I423" s="35" t="n"/>
      <c r="J423" s="30">
        <f>IF(B423="","",DATE(YEAR(B423),MONTH(B423),1))</f>
        <v/>
      </c>
      <c r="K423" s="41">
        <f>IF(OR(B423="",D423=""),"",D423&amp;"|"&amp;TEXT(J423,"yyyy-mm"))</f>
        <v/>
      </c>
      <c r="L423" s="24">
        <f>IF(K423="","",IFERROR(INDEX(Lotes!$N$5:$N$154,MATCH(K423,Lotes!$P$5:$P$154,0)),"Sem lote cadastrado"))</f>
        <v/>
      </c>
      <c r="M423" s="25">
        <f>IF(H423="Sim",G423,0)</f>
        <v>0</v>
      </c>
      <c r="N423" s="42">
        <f>IF(AND(H423="Sim",I423&lt;&gt;"Aceito"),G423+ROW()/100000,0)</f>
        <v>0</v>
      </c>
    </row>
    <row r="424">
      <c r="A424" s="35" t="n"/>
      <c r="B424" s="39" t="n"/>
      <c r="C424" s="33" t="n"/>
      <c r="D424" s="35" t="n"/>
      <c r="E424" s="33" t="n"/>
      <c r="F424" s="33" t="n"/>
      <c r="G424" s="40" t="n"/>
      <c r="H424" s="35" t="n"/>
      <c r="I424" s="35" t="n"/>
      <c r="J424" s="30">
        <f>IF(B424="","",DATE(YEAR(B424),MONTH(B424),1))</f>
        <v/>
      </c>
      <c r="K424" s="41">
        <f>IF(OR(B424="",D424=""),"",D424&amp;"|"&amp;TEXT(J424,"yyyy-mm"))</f>
        <v/>
      </c>
      <c r="L424" s="24">
        <f>IF(K424="","",IFERROR(INDEX(Lotes!$N$5:$N$154,MATCH(K424,Lotes!$P$5:$P$154,0)),"Sem lote cadastrado"))</f>
        <v/>
      </c>
      <c r="M424" s="25">
        <f>IF(H424="Sim",G424,0)</f>
        <v>0</v>
      </c>
      <c r="N424" s="42">
        <f>IF(AND(H424="Sim",I424&lt;&gt;"Aceito"),G424+ROW()/100000,0)</f>
        <v>0</v>
      </c>
    </row>
    <row r="425">
      <c r="A425" s="35" t="n"/>
      <c r="B425" s="39" t="n"/>
      <c r="C425" s="33" t="n"/>
      <c r="D425" s="35" t="n"/>
      <c r="E425" s="33" t="n"/>
      <c r="F425" s="33" t="n"/>
      <c r="G425" s="40" t="n"/>
      <c r="H425" s="35" t="n"/>
      <c r="I425" s="35" t="n"/>
      <c r="J425" s="30">
        <f>IF(B425="","",DATE(YEAR(B425),MONTH(B425),1))</f>
        <v/>
      </c>
      <c r="K425" s="41">
        <f>IF(OR(B425="",D425=""),"",D425&amp;"|"&amp;TEXT(J425,"yyyy-mm"))</f>
        <v/>
      </c>
      <c r="L425" s="24">
        <f>IF(K425="","",IFERROR(INDEX(Lotes!$N$5:$N$154,MATCH(K425,Lotes!$P$5:$P$154,0)),"Sem lote cadastrado"))</f>
        <v/>
      </c>
      <c r="M425" s="25">
        <f>IF(H425="Sim",G425,0)</f>
        <v>0</v>
      </c>
      <c r="N425" s="42">
        <f>IF(AND(H425="Sim",I425&lt;&gt;"Aceito"),G425+ROW()/100000,0)</f>
        <v>0</v>
      </c>
    </row>
    <row r="426">
      <c r="A426" s="35" t="n"/>
      <c r="B426" s="39" t="n"/>
      <c r="C426" s="33" t="n"/>
      <c r="D426" s="35" t="n"/>
      <c r="E426" s="33" t="n"/>
      <c r="F426" s="33" t="n"/>
      <c r="G426" s="40" t="n"/>
      <c r="H426" s="35" t="n"/>
      <c r="I426" s="35" t="n"/>
      <c r="J426" s="30">
        <f>IF(B426="","",DATE(YEAR(B426),MONTH(B426),1))</f>
        <v/>
      </c>
      <c r="K426" s="41">
        <f>IF(OR(B426="",D426=""),"",D426&amp;"|"&amp;TEXT(J426,"yyyy-mm"))</f>
        <v/>
      </c>
      <c r="L426" s="24">
        <f>IF(K426="","",IFERROR(INDEX(Lotes!$N$5:$N$154,MATCH(K426,Lotes!$P$5:$P$154,0)),"Sem lote cadastrado"))</f>
        <v/>
      </c>
      <c r="M426" s="25">
        <f>IF(H426="Sim",G426,0)</f>
        <v>0</v>
      </c>
      <c r="N426" s="42">
        <f>IF(AND(H426="Sim",I426&lt;&gt;"Aceito"),G426+ROW()/100000,0)</f>
        <v>0</v>
      </c>
    </row>
    <row r="427">
      <c r="A427" s="35" t="n"/>
      <c r="B427" s="39" t="n"/>
      <c r="C427" s="33" t="n"/>
      <c r="D427" s="35" t="n"/>
      <c r="E427" s="33" t="n"/>
      <c r="F427" s="33" t="n"/>
      <c r="G427" s="40" t="n"/>
      <c r="H427" s="35" t="n"/>
      <c r="I427" s="35" t="n"/>
      <c r="J427" s="30">
        <f>IF(B427="","",DATE(YEAR(B427),MONTH(B427),1))</f>
        <v/>
      </c>
      <c r="K427" s="41">
        <f>IF(OR(B427="",D427=""),"",D427&amp;"|"&amp;TEXT(J427,"yyyy-mm"))</f>
        <v/>
      </c>
      <c r="L427" s="24">
        <f>IF(K427="","",IFERROR(INDEX(Lotes!$N$5:$N$154,MATCH(K427,Lotes!$P$5:$P$154,0)),"Sem lote cadastrado"))</f>
        <v/>
      </c>
      <c r="M427" s="25">
        <f>IF(H427="Sim",G427,0)</f>
        <v>0</v>
      </c>
      <c r="N427" s="42">
        <f>IF(AND(H427="Sim",I427&lt;&gt;"Aceito"),G427+ROW()/100000,0)</f>
        <v>0</v>
      </c>
    </row>
    <row r="428">
      <c r="A428" s="35" t="n"/>
      <c r="B428" s="39" t="n"/>
      <c r="C428" s="33" t="n"/>
      <c r="D428" s="35" t="n"/>
      <c r="E428" s="33" t="n"/>
      <c r="F428" s="33" t="n"/>
      <c r="G428" s="40" t="n"/>
      <c r="H428" s="35" t="n"/>
      <c r="I428" s="35" t="n"/>
      <c r="J428" s="30">
        <f>IF(B428="","",DATE(YEAR(B428),MONTH(B428),1))</f>
        <v/>
      </c>
      <c r="K428" s="41">
        <f>IF(OR(B428="",D428=""),"",D428&amp;"|"&amp;TEXT(J428,"yyyy-mm"))</f>
        <v/>
      </c>
      <c r="L428" s="24">
        <f>IF(K428="","",IFERROR(INDEX(Lotes!$N$5:$N$154,MATCH(K428,Lotes!$P$5:$P$154,0)),"Sem lote cadastrado"))</f>
        <v/>
      </c>
      <c r="M428" s="25">
        <f>IF(H428="Sim",G428,0)</f>
        <v>0</v>
      </c>
      <c r="N428" s="42">
        <f>IF(AND(H428="Sim",I428&lt;&gt;"Aceito"),G428+ROW()/100000,0)</f>
        <v>0</v>
      </c>
    </row>
    <row r="429">
      <c r="A429" s="35" t="n"/>
      <c r="B429" s="39" t="n"/>
      <c r="C429" s="33" t="n"/>
      <c r="D429" s="35" t="n"/>
      <c r="E429" s="33" t="n"/>
      <c r="F429" s="33" t="n"/>
      <c r="G429" s="40" t="n"/>
      <c r="H429" s="35" t="n"/>
      <c r="I429" s="35" t="n"/>
      <c r="J429" s="30">
        <f>IF(B429="","",DATE(YEAR(B429),MONTH(B429),1))</f>
        <v/>
      </c>
      <c r="K429" s="41">
        <f>IF(OR(B429="",D429=""),"",D429&amp;"|"&amp;TEXT(J429,"yyyy-mm"))</f>
        <v/>
      </c>
      <c r="L429" s="24">
        <f>IF(K429="","",IFERROR(INDEX(Lotes!$N$5:$N$154,MATCH(K429,Lotes!$P$5:$P$154,0)),"Sem lote cadastrado"))</f>
        <v/>
      </c>
      <c r="M429" s="25">
        <f>IF(H429="Sim",G429,0)</f>
        <v>0</v>
      </c>
      <c r="N429" s="42">
        <f>IF(AND(H429="Sim",I429&lt;&gt;"Aceito"),G429+ROW()/100000,0)</f>
        <v>0</v>
      </c>
    </row>
    <row r="430">
      <c r="A430" s="35" t="n"/>
      <c r="B430" s="39" t="n"/>
      <c r="C430" s="33" t="n"/>
      <c r="D430" s="35" t="n"/>
      <c r="E430" s="33" t="n"/>
      <c r="F430" s="33" t="n"/>
      <c r="G430" s="40" t="n"/>
      <c r="H430" s="35" t="n"/>
      <c r="I430" s="35" t="n"/>
      <c r="J430" s="30">
        <f>IF(B430="","",DATE(YEAR(B430),MONTH(B430),1))</f>
        <v/>
      </c>
      <c r="K430" s="41">
        <f>IF(OR(B430="",D430=""),"",D430&amp;"|"&amp;TEXT(J430,"yyyy-mm"))</f>
        <v/>
      </c>
      <c r="L430" s="24">
        <f>IF(K430="","",IFERROR(INDEX(Lotes!$N$5:$N$154,MATCH(K430,Lotes!$P$5:$P$154,0)),"Sem lote cadastrado"))</f>
        <v/>
      </c>
      <c r="M430" s="25">
        <f>IF(H430="Sim",G430,0)</f>
        <v>0</v>
      </c>
      <c r="N430" s="42">
        <f>IF(AND(H430="Sim",I430&lt;&gt;"Aceito"),G430+ROW()/100000,0)</f>
        <v>0</v>
      </c>
    </row>
    <row r="431">
      <c r="A431" s="35" t="n"/>
      <c r="B431" s="39" t="n"/>
      <c r="C431" s="33" t="n"/>
      <c r="D431" s="35" t="n"/>
      <c r="E431" s="33" t="n"/>
      <c r="F431" s="33" t="n"/>
      <c r="G431" s="40" t="n"/>
      <c r="H431" s="35" t="n"/>
      <c r="I431" s="35" t="n"/>
      <c r="J431" s="30">
        <f>IF(B431="","",DATE(YEAR(B431),MONTH(B431),1))</f>
        <v/>
      </c>
      <c r="K431" s="41">
        <f>IF(OR(B431="",D431=""),"",D431&amp;"|"&amp;TEXT(J431,"yyyy-mm"))</f>
        <v/>
      </c>
      <c r="L431" s="24">
        <f>IF(K431="","",IFERROR(INDEX(Lotes!$N$5:$N$154,MATCH(K431,Lotes!$P$5:$P$154,0)),"Sem lote cadastrado"))</f>
        <v/>
      </c>
      <c r="M431" s="25">
        <f>IF(H431="Sim",G431,0)</f>
        <v>0</v>
      </c>
      <c r="N431" s="42">
        <f>IF(AND(H431="Sim",I431&lt;&gt;"Aceito"),G431+ROW()/100000,0)</f>
        <v>0</v>
      </c>
    </row>
    <row r="432">
      <c r="A432" s="35" t="n"/>
      <c r="B432" s="39" t="n"/>
      <c r="C432" s="33" t="n"/>
      <c r="D432" s="35" t="n"/>
      <c r="E432" s="33" t="n"/>
      <c r="F432" s="33" t="n"/>
      <c r="G432" s="40" t="n"/>
      <c r="H432" s="35" t="n"/>
      <c r="I432" s="35" t="n"/>
      <c r="J432" s="30">
        <f>IF(B432="","",DATE(YEAR(B432),MONTH(B432),1))</f>
        <v/>
      </c>
      <c r="K432" s="41">
        <f>IF(OR(B432="",D432=""),"",D432&amp;"|"&amp;TEXT(J432,"yyyy-mm"))</f>
        <v/>
      </c>
      <c r="L432" s="24">
        <f>IF(K432="","",IFERROR(INDEX(Lotes!$N$5:$N$154,MATCH(K432,Lotes!$P$5:$P$154,0)),"Sem lote cadastrado"))</f>
        <v/>
      </c>
      <c r="M432" s="25">
        <f>IF(H432="Sim",G432,0)</f>
        <v>0</v>
      </c>
      <c r="N432" s="42">
        <f>IF(AND(H432="Sim",I432&lt;&gt;"Aceito"),G432+ROW()/100000,0)</f>
        <v>0</v>
      </c>
    </row>
    <row r="433">
      <c r="A433" s="35" t="n"/>
      <c r="B433" s="39" t="n"/>
      <c r="C433" s="33" t="n"/>
      <c r="D433" s="35" t="n"/>
      <c r="E433" s="33" t="n"/>
      <c r="F433" s="33" t="n"/>
      <c r="G433" s="40" t="n"/>
      <c r="H433" s="35" t="n"/>
      <c r="I433" s="35" t="n"/>
      <c r="J433" s="30">
        <f>IF(B433="","",DATE(YEAR(B433),MONTH(B433),1))</f>
        <v/>
      </c>
      <c r="K433" s="41">
        <f>IF(OR(B433="",D433=""),"",D433&amp;"|"&amp;TEXT(J433,"yyyy-mm"))</f>
        <v/>
      </c>
      <c r="L433" s="24">
        <f>IF(K433="","",IFERROR(INDEX(Lotes!$N$5:$N$154,MATCH(K433,Lotes!$P$5:$P$154,0)),"Sem lote cadastrado"))</f>
        <v/>
      </c>
      <c r="M433" s="25">
        <f>IF(H433="Sim",G433,0)</f>
        <v>0</v>
      </c>
      <c r="N433" s="42">
        <f>IF(AND(H433="Sim",I433&lt;&gt;"Aceito"),G433+ROW()/100000,0)</f>
        <v>0</v>
      </c>
    </row>
    <row r="434">
      <c r="A434" s="35" t="n"/>
      <c r="B434" s="39" t="n"/>
      <c r="C434" s="33" t="n"/>
      <c r="D434" s="35" t="n"/>
      <c r="E434" s="33" t="n"/>
      <c r="F434" s="33" t="n"/>
      <c r="G434" s="40" t="n"/>
      <c r="H434" s="35" t="n"/>
      <c r="I434" s="35" t="n"/>
      <c r="J434" s="30">
        <f>IF(B434="","",DATE(YEAR(B434),MONTH(B434),1))</f>
        <v/>
      </c>
      <c r="K434" s="41">
        <f>IF(OR(B434="",D434=""),"",D434&amp;"|"&amp;TEXT(J434,"yyyy-mm"))</f>
        <v/>
      </c>
      <c r="L434" s="24">
        <f>IF(K434="","",IFERROR(INDEX(Lotes!$N$5:$N$154,MATCH(K434,Lotes!$P$5:$P$154,0)),"Sem lote cadastrado"))</f>
        <v/>
      </c>
      <c r="M434" s="25">
        <f>IF(H434="Sim",G434,0)</f>
        <v>0</v>
      </c>
      <c r="N434" s="42">
        <f>IF(AND(H434="Sim",I434&lt;&gt;"Aceito"),G434+ROW()/100000,0)</f>
        <v>0</v>
      </c>
    </row>
    <row r="435">
      <c r="A435" s="35" t="n"/>
      <c r="B435" s="39" t="n"/>
      <c r="C435" s="33" t="n"/>
      <c r="D435" s="35" t="n"/>
      <c r="E435" s="33" t="n"/>
      <c r="F435" s="33" t="n"/>
      <c r="G435" s="40" t="n"/>
      <c r="H435" s="35" t="n"/>
      <c r="I435" s="35" t="n"/>
      <c r="J435" s="30">
        <f>IF(B435="","",DATE(YEAR(B435),MONTH(B435),1))</f>
        <v/>
      </c>
      <c r="K435" s="41">
        <f>IF(OR(B435="",D435=""),"",D435&amp;"|"&amp;TEXT(J435,"yyyy-mm"))</f>
        <v/>
      </c>
      <c r="L435" s="24">
        <f>IF(K435="","",IFERROR(INDEX(Lotes!$N$5:$N$154,MATCH(K435,Lotes!$P$5:$P$154,0)),"Sem lote cadastrado"))</f>
        <v/>
      </c>
      <c r="M435" s="25">
        <f>IF(H435="Sim",G435,0)</f>
        <v>0</v>
      </c>
      <c r="N435" s="42">
        <f>IF(AND(H435="Sim",I435&lt;&gt;"Aceito"),G435+ROW()/100000,0)</f>
        <v>0</v>
      </c>
    </row>
    <row r="436">
      <c r="A436" s="35" t="n"/>
      <c r="B436" s="39" t="n"/>
      <c r="C436" s="33" t="n"/>
      <c r="D436" s="35" t="n"/>
      <c r="E436" s="33" t="n"/>
      <c r="F436" s="33" t="n"/>
      <c r="G436" s="40" t="n"/>
      <c r="H436" s="35" t="n"/>
      <c r="I436" s="35" t="n"/>
      <c r="J436" s="30">
        <f>IF(B436="","",DATE(YEAR(B436),MONTH(B436),1))</f>
        <v/>
      </c>
      <c r="K436" s="41">
        <f>IF(OR(B436="",D436=""),"",D436&amp;"|"&amp;TEXT(J436,"yyyy-mm"))</f>
        <v/>
      </c>
      <c r="L436" s="24">
        <f>IF(K436="","",IFERROR(INDEX(Lotes!$N$5:$N$154,MATCH(K436,Lotes!$P$5:$P$154,0)),"Sem lote cadastrado"))</f>
        <v/>
      </c>
      <c r="M436" s="25">
        <f>IF(H436="Sim",G436,0)</f>
        <v>0</v>
      </c>
      <c r="N436" s="42">
        <f>IF(AND(H436="Sim",I436&lt;&gt;"Aceito"),G436+ROW()/100000,0)</f>
        <v>0</v>
      </c>
    </row>
    <row r="437">
      <c r="A437" s="35" t="n"/>
      <c r="B437" s="39" t="n"/>
      <c r="C437" s="33" t="n"/>
      <c r="D437" s="35" t="n"/>
      <c r="E437" s="33" t="n"/>
      <c r="F437" s="33" t="n"/>
      <c r="G437" s="40" t="n"/>
      <c r="H437" s="35" t="n"/>
      <c r="I437" s="35" t="n"/>
      <c r="J437" s="30">
        <f>IF(B437="","",DATE(YEAR(B437),MONTH(B437),1))</f>
        <v/>
      </c>
      <c r="K437" s="41">
        <f>IF(OR(B437="",D437=""),"",D437&amp;"|"&amp;TEXT(J437,"yyyy-mm"))</f>
        <v/>
      </c>
      <c r="L437" s="24">
        <f>IF(K437="","",IFERROR(INDEX(Lotes!$N$5:$N$154,MATCH(K437,Lotes!$P$5:$P$154,0)),"Sem lote cadastrado"))</f>
        <v/>
      </c>
      <c r="M437" s="25">
        <f>IF(H437="Sim",G437,0)</f>
        <v>0</v>
      </c>
      <c r="N437" s="42">
        <f>IF(AND(H437="Sim",I437&lt;&gt;"Aceito"),G437+ROW()/100000,0)</f>
        <v>0</v>
      </c>
    </row>
    <row r="438">
      <c r="A438" s="35" t="n"/>
      <c r="B438" s="39" t="n"/>
      <c r="C438" s="33" t="n"/>
      <c r="D438" s="35" t="n"/>
      <c r="E438" s="33" t="n"/>
      <c r="F438" s="33" t="n"/>
      <c r="G438" s="40" t="n"/>
      <c r="H438" s="35" t="n"/>
      <c r="I438" s="35" t="n"/>
      <c r="J438" s="30">
        <f>IF(B438="","",DATE(YEAR(B438),MONTH(B438),1))</f>
        <v/>
      </c>
      <c r="K438" s="41">
        <f>IF(OR(B438="",D438=""),"",D438&amp;"|"&amp;TEXT(J438,"yyyy-mm"))</f>
        <v/>
      </c>
      <c r="L438" s="24">
        <f>IF(K438="","",IFERROR(INDEX(Lotes!$N$5:$N$154,MATCH(K438,Lotes!$P$5:$P$154,0)),"Sem lote cadastrado"))</f>
        <v/>
      </c>
      <c r="M438" s="25">
        <f>IF(H438="Sim",G438,0)</f>
        <v>0</v>
      </c>
      <c r="N438" s="42">
        <f>IF(AND(H438="Sim",I438&lt;&gt;"Aceito"),G438+ROW()/100000,0)</f>
        <v>0</v>
      </c>
    </row>
    <row r="439">
      <c r="A439" s="35" t="n"/>
      <c r="B439" s="39" t="n"/>
      <c r="C439" s="33" t="n"/>
      <c r="D439" s="35" t="n"/>
      <c r="E439" s="33" t="n"/>
      <c r="F439" s="33" t="n"/>
      <c r="G439" s="40" t="n"/>
      <c r="H439" s="35" t="n"/>
      <c r="I439" s="35" t="n"/>
      <c r="J439" s="30">
        <f>IF(B439="","",DATE(YEAR(B439),MONTH(B439),1))</f>
        <v/>
      </c>
      <c r="K439" s="41">
        <f>IF(OR(B439="",D439=""),"",D439&amp;"|"&amp;TEXT(J439,"yyyy-mm"))</f>
        <v/>
      </c>
      <c r="L439" s="24">
        <f>IF(K439="","",IFERROR(INDEX(Lotes!$N$5:$N$154,MATCH(K439,Lotes!$P$5:$P$154,0)),"Sem lote cadastrado"))</f>
        <v/>
      </c>
      <c r="M439" s="25">
        <f>IF(H439="Sim",G439,0)</f>
        <v>0</v>
      </c>
      <c r="N439" s="42">
        <f>IF(AND(H439="Sim",I439&lt;&gt;"Aceito"),G439+ROW()/100000,0)</f>
        <v>0</v>
      </c>
    </row>
    <row r="440">
      <c r="A440" s="35" t="n"/>
      <c r="B440" s="39" t="n"/>
      <c r="C440" s="33" t="n"/>
      <c r="D440" s="35" t="n"/>
      <c r="E440" s="33" t="n"/>
      <c r="F440" s="33" t="n"/>
      <c r="G440" s="40" t="n"/>
      <c r="H440" s="35" t="n"/>
      <c r="I440" s="35" t="n"/>
      <c r="J440" s="30">
        <f>IF(B440="","",DATE(YEAR(B440),MONTH(B440),1))</f>
        <v/>
      </c>
      <c r="K440" s="41">
        <f>IF(OR(B440="",D440=""),"",D440&amp;"|"&amp;TEXT(J440,"yyyy-mm"))</f>
        <v/>
      </c>
      <c r="L440" s="24">
        <f>IF(K440="","",IFERROR(INDEX(Lotes!$N$5:$N$154,MATCH(K440,Lotes!$P$5:$P$154,0)),"Sem lote cadastrado"))</f>
        <v/>
      </c>
      <c r="M440" s="25">
        <f>IF(H440="Sim",G440,0)</f>
        <v>0</v>
      </c>
      <c r="N440" s="42">
        <f>IF(AND(H440="Sim",I440&lt;&gt;"Aceito"),G440+ROW()/100000,0)</f>
        <v>0</v>
      </c>
    </row>
    <row r="441">
      <c r="A441" s="35" t="n"/>
      <c r="B441" s="39" t="n"/>
      <c r="C441" s="33" t="n"/>
      <c r="D441" s="35" t="n"/>
      <c r="E441" s="33" t="n"/>
      <c r="F441" s="33" t="n"/>
      <c r="G441" s="40" t="n"/>
      <c r="H441" s="35" t="n"/>
      <c r="I441" s="35" t="n"/>
      <c r="J441" s="30">
        <f>IF(B441="","",DATE(YEAR(B441),MONTH(B441),1))</f>
        <v/>
      </c>
      <c r="K441" s="41">
        <f>IF(OR(B441="",D441=""),"",D441&amp;"|"&amp;TEXT(J441,"yyyy-mm"))</f>
        <v/>
      </c>
      <c r="L441" s="24">
        <f>IF(K441="","",IFERROR(INDEX(Lotes!$N$5:$N$154,MATCH(K441,Lotes!$P$5:$P$154,0)),"Sem lote cadastrado"))</f>
        <v/>
      </c>
      <c r="M441" s="25">
        <f>IF(H441="Sim",G441,0)</f>
        <v>0</v>
      </c>
      <c r="N441" s="42">
        <f>IF(AND(H441="Sim",I441&lt;&gt;"Aceito"),G441+ROW()/100000,0)</f>
        <v>0</v>
      </c>
    </row>
    <row r="442">
      <c r="A442" s="35" t="n"/>
      <c r="B442" s="39" t="n"/>
      <c r="C442" s="33" t="n"/>
      <c r="D442" s="35" t="n"/>
      <c r="E442" s="33" t="n"/>
      <c r="F442" s="33" t="n"/>
      <c r="G442" s="40" t="n"/>
      <c r="H442" s="35" t="n"/>
      <c r="I442" s="35" t="n"/>
      <c r="J442" s="30">
        <f>IF(B442="","",DATE(YEAR(B442),MONTH(B442),1))</f>
        <v/>
      </c>
      <c r="K442" s="41">
        <f>IF(OR(B442="",D442=""),"",D442&amp;"|"&amp;TEXT(J442,"yyyy-mm"))</f>
        <v/>
      </c>
      <c r="L442" s="24">
        <f>IF(K442="","",IFERROR(INDEX(Lotes!$N$5:$N$154,MATCH(K442,Lotes!$P$5:$P$154,0)),"Sem lote cadastrado"))</f>
        <v/>
      </c>
      <c r="M442" s="25">
        <f>IF(H442="Sim",G442,0)</f>
        <v>0</v>
      </c>
      <c r="N442" s="42">
        <f>IF(AND(H442="Sim",I442&lt;&gt;"Aceito"),G442+ROW()/100000,0)</f>
        <v>0</v>
      </c>
    </row>
    <row r="443">
      <c r="A443" s="35" t="n"/>
      <c r="B443" s="39" t="n"/>
      <c r="C443" s="33" t="n"/>
      <c r="D443" s="35" t="n"/>
      <c r="E443" s="33" t="n"/>
      <c r="F443" s="33" t="n"/>
      <c r="G443" s="40" t="n"/>
      <c r="H443" s="35" t="n"/>
      <c r="I443" s="35" t="n"/>
      <c r="J443" s="30">
        <f>IF(B443="","",DATE(YEAR(B443),MONTH(B443),1))</f>
        <v/>
      </c>
      <c r="K443" s="41">
        <f>IF(OR(B443="",D443=""),"",D443&amp;"|"&amp;TEXT(J443,"yyyy-mm"))</f>
        <v/>
      </c>
      <c r="L443" s="24">
        <f>IF(K443="","",IFERROR(INDEX(Lotes!$N$5:$N$154,MATCH(K443,Lotes!$P$5:$P$154,0)),"Sem lote cadastrado"))</f>
        <v/>
      </c>
      <c r="M443" s="25">
        <f>IF(H443="Sim",G443,0)</f>
        <v>0</v>
      </c>
      <c r="N443" s="42">
        <f>IF(AND(H443="Sim",I443&lt;&gt;"Aceito"),G443+ROW()/100000,0)</f>
        <v>0</v>
      </c>
    </row>
    <row r="444">
      <c r="A444" s="35" t="n"/>
      <c r="B444" s="39" t="n"/>
      <c r="C444" s="33" t="n"/>
      <c r="D444" s="35" t="n"/>
      <c r="E444" s="33" t="n"/>
      <c r="F444" s="33" t="n"/>
      <c r="G444" s="40" t="n"/>
      <c r="H444" s="35" t="n"/>
      <c r="I444" s="35" t="n"/>
      <c r="J444" s="30">
        <f>IF(B444="","",DATE(YEAR(B444),MONTH(B444),1))</f>
        <v/>
      </c>
      <c r="K444" s="41">
        <f>IF(OR(B444="",D444=""),"",D444&amp;"|"&amp;TEXT(J444,"yyyy-mm"))</f>
        <v/>
      </c>
      <c r="L444" s="24">
        <f>IF(K444="","",IFERROR(INDEX(Lotes!$N$5:$N$154,MATCH(K444,Lotes!$P$5:$P$154,0)),"Sem lote cadastrado"))</f>
        <v/>
      </c>
      <c r="M444" s="25">
        <f>IF(H444="Sim",G444,0)</f>
        <v>0</v>
      </c>
      <c r="N444" s="42">
        <f>IF(AND(H444="Sim",I444&lt;&gt;"Aceito"),G444+ROW()/100000,0)</f>
        <v>0</v>
      </c>
    </row>
    <row r="445">
      <c r="A445" s="35" t="n"/>
      <c r="B445" s="39" t="n"/>
      <c r="C445" s="33" t="n"/>
      <c r="D445" s="35" t="n"/>
      <c r="E445" s="33" t="n"/>
      <c r="F445" s="33" t="n"/>
      <c r="G445" s="40" t="n"/>
      <c r="H445" s="35" t="n"/>
      <c r="I445" s="35" t="n"/>
      <c r="J445" s="30">
        <f>IF(B445="","",DATE(YEAR(B445),MONTH(B445),1))</f>
        <v/>
      </c>
      <c r="K445" s="41">
        <f>IF(OR(B445="",D445=""),"",D445&amp;"|"&amp;TEXT(J445,"yyyy-mm"))</f>
        <v/>
      </c>
      <c r="L445" s="24">
        <f>IF(K445="","",IFERROR(INDEX(Lotes!$N$5:$N$154,MATCH(K445,Lotes!$P$5:$P$154,0)),"Sem lote cadastrado"))</f>
        <v/>
      </c>
      <c r="M445" s="25">
        <f>IF(H445="Sim",G445,0)</f>
        <v>0</v>
      </c>
      <c r="N445" s="42">
        <f>IF(AND(H445="Sim",I445&lt;&gt;"Aceito"),G445+ROW()/100000,0)</f>
        <v>0</v>
      </c>
    </row>
    <row r="446">
      <c r="A446" s="35" t="n"/>
      <c r="B446" s="39" t="n"/>
      <c r="C446" s="33" t="n"/>
      <c r="D446" s="35" t="n"/>
      <c r="E446" s="33" t="n"/>
      <c r="F446" s="33" t="n"/>
      <c r="G446" s="40" t="n"/>
      <c r="H446" s="35" t="n"/>
      <c r="I446" s="35" t="n"/>
      <c r="J446" s="30">
        <f>IF(B446="","",DATE(YEAR(B446),MONTH(B446),1))</f>
        <v/>
      </c>
      <c r="K446" s="41">
        <f>IF(OR(B446="",D446=""),"",D446&amp;"|"&amp;TEXT(J446,"yyyy-mm"))</f>
        <v/>
      </c>
      <c r="L446" s="24">
        <f>IF(K446="","",IFERROR(INDEX(Lotes!$N$5:$N$154,MATCH(K446,Lotes!$P$5:$P$154,0)),"Sem lote cadastrado"))</f>
        <v/>
      </c>
      <c r="M446" s="25">
        <f>IF(H446="Sim",G446,0)</f>
        <v>0</v>
      </c>
      <c r="N446" s="42">
        <f>IF(AND(H446="Sim",I446&lt;&gt;"Aceito"),G446+ROW()/100000,0)</f>
        <v>0</v>
      </c>
    </row>
    <row r="447">
      <c r="A447" s="35" t="n"/>
      <c r="B447" s="39" t="n"/>
      <c r="C447" s="33" t="n"/>
      <c r="D447" s="35" t="n"/>
      <c r="E447" s="33" t="n"/>
      <c r="F447" s="33" t="n"/>
      <c r="G447" s="40" t="n"/>
      <c r="H447" s="35" t="n"/>
      <c r="I447" s="35" t="n"/>
      <c r="J447" s="30">
        <f>IF(B447="","",DATE(YEAR(B447),MONTH(B447),1))</f>
        <v/>
      </c>
      <c r="K447" s="41">
        <f>IF(OR(B447="",D447=""),"",D447&amp;"|"&amp;TEXT(J447,"yyyy-mm"))</f>
        <v/>
      </c>
      <c r="L447" s="24">
        <f>IF(K447="","",IFERROR(INDEX(Lotes!$N$5:$N$154,MATCH(K447,Lotes!$P$5:$P$154,0)),"Sem lote cadastrado"))</f>
        <v/>
      </c>
      <c r="M447" s="25">
        <f>IF(H447="Sim",G447,0)</f>
        <v>0</v>
      </c>
      <c r="N447" s="42">
        <f>IF(AND(H447="Sim",I447&lt;&gt;"Aceito"),G447+ROW()/100000,0)</f>
        <v>0</v>
      </c>
    </row>
    <row r="448">
      <c r="A448" s="35" t="n"/>
      <c r="B448" s="39" t="n"/>
      <c r="C448" s="33" t="n"/>
      <c r="D448" s="35" t="n"/>
      <c r="E448" s="33" t="n"/>
      <c r="F448" s="33" t="n"/>
      <c r="G448" s="40" t="n"/>
      <c r="H448" s="35" t="n"/>
      <c r="I448" s="35" t="n"/>
      <c r="J448" s="30">
        <f>IF(B448="","",DATE(YEAR(B448),MONTH(B448),1))</f>
        <v/>
      </c>
      <c r="K448" s="41">
        <f>IF(OR(B448="",D448=""),"",D448&amp;"|"&amp;TEXT(J448,"yyyy-mm"))</f>
        <v/>
      </c>
      <c r="L448" s="24">
        <f>IF(K448="","",IFERROR(INDEX(Lotes!$N$5:$N$154,MATCH(K448,Lotes!$P$5:$P$154,0)),"Sem lote cadastrado"))</f>
        <v/>
      </c>
      <c r="M448" s="25">
        <f>IF(H448="Sim",G448,0)</f>
        <v>0</v>
      </c>
      <c r="N448" s="42">
        <f>IF(AND(H448="Sim",I448&lt;&gt;"Aceito"),G448+ROW()/100000,0)</f>
        <v>0</v>
      </c>
    </row>
    <row r="449">
      <c r="A449" s="35" t="n"/>
      <c r="B449" s="39" t="n"/>
      <c r="C449" s="33" t="n"/>
      <c r="D449" s="35" t="n"/>
      <c r="E449" s="33" t="n"/>
      <c r="F449" s="33" t="n"/>
      <c r="G449" s="40" t="n"/>
      <c r="H449" s="35" t="n"/>
      <c r="I449" s="35" t="n"/>
      <c r="J449" s="30">
        <f>IF(B449="","",DATE(YEAR(B449),MONTH(B449),1))</f>
        <v/>
      </c>
      <c r="K449" s="41">
        <f>IF(OR(B449="",D449=""),"",D449&amp;"|"&amp;TEXT(J449,"yyyy-mm"))</f>
        <v/>
      </c>
      <c r="L449" s="24">
        <f>IF(K449="","",IFERROR(INDEX(Lotes!$N$5:$N$154,MATCH(K449,Lotes!$P$5:$P$154,0)),"Sem lote cadastrado"))</f>
        <v/>
      </c>
      <c r="M449" s="25">
        <f>IF(H449="Sim",G449,0)</f>
        <v>0</v>
      </c>
      <c r="N449" s="42">
        <f>IF(AND(H449="Sim",I449&lt;&gt;"Aceito"),G449+ROW()/100000,0)</f>
        <v>0</v>
      </c>
    </row>
    <row r="450">
      <c r="A450" s="35" t="n"/>
      <c r="B450" s="39" t="n"/>
      <c r="C450" s="33" t="n"/>
      <c r="D450" s="35" t="n"/>
      <c r="E450" s="33" t="n"/>
      <c r="F450" s="33" t="n"/>
      <c r="G450" s="40" t="n"/>
      <c r="H450" s="35" t="n"/>
      <c r="I450" s="35" t="n"/>
      <c r="J450" s="30">
        <f>IF(B450="","",DATE(YEAR(B450),MONTH(B450),1))</f>
        <v/>
      </c>
      <c r="K450" s="41">
        <f>IF(OR(B450="",D450=""),"",D450&amp;"|"&amp;TEXT(J450,"yyyy-mm"))</f>
        <v/>
      </c>
      <c r="L450" s="24">
        <f>IF(K450="","",IFERROR(INDEX(Lotes!$N$5:$N$154,MATCH(K450,Lotes!$P$5:$P$154,0)),"Sem lote cadastrado"))</f>
        <v/>
      </c>
      <c r="M450" s="25">
        <f>IF(H450="Sim",G450,0)</f>
        <v>0</v>
      </c>
      <c r="N450" s="42">
        <f>IF(AND(H450="Sim",I450&lt;&gt;"Aceito"),G450+ROW()/100000,0)</f>
        <v>0</v>
      </c>
    </row>
    <row r="451">
      <c r="A451" s="35" t="n"/>
      <c r="B451" s="39" t="n"/>
      <c r="C451" s="33" t="n"/>
      <c r="D451" s="35" t="n"/>
      <c r="E451" s="33" t="n"/>
      <c r="F451" s="33" t="n"/>
      <c r="G451" s="40" t="n"/>
      <c r="H451" s="35" t="n"/>
      <c r="I451" s="35" t="n"/>
      <c r="J451" s="30">
        <f>IF(B451="","",DATE(YEAR(B451),MONTH(B451),1))</f>
        <v/>
      </c>
      <c r="K451" s="41">
        <f>IF(OR(B451="",D451=""),"",D451&amp;"|"&amp;TEXT(J451,"yyyy-mm"))</f>
        <v/>
      </c>
      <c r="L451" s="24">
        <f>IF(K451="","",IFERROR(INDEX(Lotes!$N$5:$N$154,MATCH(K451,Lotes!$P$5:$P$154,0)),"Sem lote cadastrado"))</f>
        <v/>
      </c>
      <c r="M451" s="25">
        <f>IF(H451="Sim",G451,0)</f>
        <v>0</v>
      </c>
      <c r="N451" s="42">
        <f>IF(AND(H451="Sim",I451&lt;&gt;"Aceito"),G451+ROW()/100000,0)</f>
        <v>0</v>
      </c>
    </row>
    <row r="452">
      <c r="A452" s="35" t="n"/>
      <c r="B452" s="39" t="n"/>
      <c r="C452" s="33" t="n"/>
      <c r="D452" s="35" t="n"/>
      <c r="E452" s="33" t="n"/>
      <c r="F452" s="33" t="n"/>
      <c r="G452" s="40" t="n"/>
      <c r="H452" s="35" t="n"/>
      <c r="I452" s="35" t="n"/>
      <c r="J452" s="30">
        <f>IF(B452="","",DATE(YEAR(B452),MONTH(B452),1))</f>
        <v/>
      </c>
      <c r="K452" s="41">
        <f>IF(OR(B452="",D452=""),"",D452&amp;"|"&amp;TEXT(J452,"yyyy-mm"))</f>
        <v/>
      </c>
      <c r="L452" s="24">
        <f>IF(K452="","",IFERROR(INDEX(Lotes!$N$5:$N$154,MATCH(K452,Lotes!$P$5:$P$154,0)),"Sem lote cadastrado"))</f>
        <v/>
      </c>
      <c r="M452" s="25">
        <f>IF(H452="Sim",G452,0)</f>
        <v>0</v>
      </c>
      <c r="N452" s="42">
        <f>IF(AND(H452="Sim",I452&lt;&gt;"Aceito"),G452+ROW()/100000,0)</f>
        <v>0</v>
      </c>
    </row>
    <row r="453">
      <c r="A453" s="35" t="n"/>
      <c r="B453" s="39" t="n"/>
      <c r="C453" s="33" t="n"/>
      <c r="D453" s="35" t="n"/>
      <c r="E453" s="33" t="n"/>
      <c r="F453" s="33" t="n"/>
      <c r="G453" s="40" t="n"/>
      <c r="H453" s="35" t="n"/>
      <c r="I453" s="35" t="n"/>
      <c r="J453" s="30">
        <f>IF(B453="","",DATE(YEAR(B453),MONTH(B453),1))</f>
        <v/>
      </c>
      <c r="K453" s="41">
        <f>IF(OR(B453="",D453=""),"",D453&amp;"|"&amp;TEXT(J453,"yyyy-mm"))</f>
        <v/>
      </c>
      <c r="L453" s="24">
        <f>IF(K453="","",IFERROR(INDEX(Lotes!$N$5:$N$154,MATCH(K453,Lotes!$P$5:$P$154,0)),"Sem lote cadastrado"))</f>
        <v/>
      </c>
      <c r="M453" s="25">
        <f>IF(H453="Sim",G453,0)</f>
        <v>0</v>
      </c>
      <c r="N453" s="42">
        <f>IF(AND(H453="Sim",I453&lt;&gt;"Aceito"),G453+ROW()/100000,0)</f>
        <v>0</v>
      </c>
    </row>
    <row r="454">
      <c r="A454" s="35" t="n"/>
      <c r="B454" s="39" t="n"/>
      <c r="C454" s="33" t="n"/>
      <c r="D454" s="35" t="n"/>
      <c r="E454" s="33" t="n"/>
      <c r="F454" s="33" t="n"/>
      <c r="G454" s="40" t="n"/>
      <c r="H454" s="35" t="n"/>
      <c r="I454" s="35" t="n"/>
      <c r="J454" s="30">
        <f>IF(B454="","",DATE(YEAR(B454),MONTH(B454),1))</f>
        <v/>
      </c>
      <c r="K454" s="41">
        <f>IF(OR(B454="",D454=""),"",D454&amp;"|"&amp;TEXT(J454,"yyyy-mm"))</f>
        <v/>
      </c>
      <c r="L454" s="24">
        <f>IF(K454="","",IFERROR(INDEX(Lotes!$N$5:$N$154,MATCH(K454,Lotes!$P$5:$P$154,0)),"Sem lote cadastrado"))</f>
        <v/>
      </c>
      <c r="M454" s="25">
        <f>IF(H454="Sim",G454,0)</f>
        <v>0</v>
      </c>
      <c r="N454" s="42">
        <f>IF(AND(H454="Sim",I454&lt;&gt;"Aceito"),G454+ROW()/100000,0)</f>
        <v>0</v>
      </c>
    </row>
    <row r="455">
      <c r="A455" s="35" t="n"/>
      <c r="B455" s="39" t="n"/>
      <c r="C455" s="33" t="n"/>
      <c r="D455" s="35" t="n"/>
      <c r="E455" s="33" t="n"/>
      <c r="F455" s="33" t="n"/>
      <c r="G455" s="40" t="n"/>
      <c r="H455" s="35" t="n"/>
      <c r="I455" s="35" t="n"/>
      <c r="J455" s="30">
        <f>IF(B455="","",DATE(YEAR(B455),MONTH(B455),1))</f>
        <v/>
      </c>
      <c r="K455" s="41">
        <f>IF(OR(B455="",D455=""),"",D455&amp;"|"&amp;TEXT(J455,"yyyy-mm"))</f>
        <v/>
      </c>
      <c r="L455" s="24">
        <f>IF(K455="","",IFERROR(INDEX(Lotes!$N$5:$N$154,MATCH(K455,Lotes!$P$5:$P$154,0)),"Sem lote cadastrado"))</f>
        <v/>
      </c>
      <c r="M455" s="25">
        <f>IF(H455="Sim",G455,0)</f>
        <v>0</v>
      </c>
      <c r="N455" s="42">
        <f>IF(AND(H455="Sim",I455&lt;&gt;"Aceito"),G455+ROW()/100000,0)</f>
        <v>0</v>
      </c>
    </row>
    <row r="456">
      <c r="A456" s="35" t="n"/>
      <c r="B456" s="39" t="n"/>
      <c r="C456" s="33" t="n"/>
      <c r="D456" s="35" t="n"/>
      <c r="E456" s="33" t="n"/>
      <c r="F456" s="33" t="n"/>
      <c r="G456" s="40" t="n"/>
      <c r="H456" s="35" t="n"/>
      <c r="I456" s="35" t="n"/>
      <c r="J456" s="30">
        <f>IF(B456="","",DATE(YEAR(B456),MONTH(B456),1))</f>
        <v/>
      </c>
      <c r="K456" s="41">
        <f>IF(OR(B456="",D456=""),"",D456&amp;"|"&amp;TEXT(J456,"yyyy-mm"))</f>
        <v/>
      </c>
      <c r="L456" s="24">
        <f>IF(K456="","",IFERROR(INDEX(Lotes!$N$5:$N$154,MATCH(K456,Lotes!$P$5:$P$154,0)),"Sem lote cadastrado"))</f>
        <v/>
      </c>
      <c r="M456" s="25">
        <f>IF(H456="Sim",G456,0)</f>
        <v>0</v>
      </c>
      <c r="N456" s="42">
        <f>IF(AND(H456="Sim",I456&lt;&gt;"Aceito"),G456+ROW()/100000,0)</f>
        <v>0</v>
      </c>
    </row>
    <row r="457">
      <c r="A457" s="35" t="n"/>
      <c r="B457" s="39" t="n"/>
      <c r="C457" s="33" t="n"/>
      <c r="D457" s="35" t="n"/>
      <c r="E457" s="33" t="n"/>
      <c r="F457" s="33" t="n"/>
      <c r="G457" s="40" t="n"/>
      <c r="H457" s="35" t="n"/>
      <c r="I457" s="35" t="n"/>
      <c r="J457" s="30">
        <f>IF(B457="","",DATE(YEAR(B457),MONTH(B457),1))</f>
        <v/>
      </c>
      <c r="K457" s="41">
        <f>IF(OR(B457="",D457=""),"",D457&amp;"|"&amp;TEXT(J457,"yyyy-mm"))</f>
        <v/>
      </c>
      <c r="L457" s="24">
        <f>IF(K457="","",IFERROR(INDEX(Lotes!$N$5:$N$154,MATCH(K457,Lotes!$P$5:$P$154,0)),"Sem lote cadastrado"))</f>
        <v/>
      </c>
      <c r="M457" s="25">
        <f>IF(H457="Sim",G457,0)</f>
        <v>0</v>
      </c>
      <c r="N457" s="42">
        <f>IF(AND(H457="Sim",I457&lt;&gt;"Aceito"),G457+ROW()/100000,0)</f>
        <v>0</v>
      </c>
    </row>
    <row r="458">
      <c r="A458" s="35" t="n"/>
      <c r="B458" s="39" t="n"/>
      <c r="C458" s="33" t="n"/>
      <c r="D458" s="35" t="n"/>
      <c r="E458" s="33" t="n"/>
      <c r="F458" s="33" t="n"/>
      <c r="G458" s="40" t="n"/>
      <c r="H458" s="35" t="n"/>
      <c r="I458" s="35" t="n"/>
      <c r="J458" s="30">
        <f>IF(B458="","",DATE(YEAR(B458),MONTH(B458),1))</f>
        <v/>
      </c>
      <c r="K458" s="41">
        <f>IF(OR(B458="",D458=""),"",D458&amp;"|"&amp;TEXT(J458,"yyyy-mm"))</f>
        <v/>
      </c>
      <c r="L458" s="24">
        <f>IF(K458="","",IFERROR(INDEX(Lotes!$N$5:$N$154,MATCH(K458,Lotes!$P$5:$P$154,0)),"Sem lote cadastrado"))</f>
        <v/>
      </c>
      <c r="M458" s="25">
        <f>IF(H458="Sim",G458,0)</f>
        <v>0</v>
      </c>
      <c r="N458" s="42">
        <f>IF(AND(H458="Sim",I458&lt;&gt;"Aceito"),G458+ROW()/100000,0)</f>
        <v>0</v>
      </c>
    </row>
    <row r="459">
      <c r="A459" s="35" t="n"/>
      <c r="B459" s="39" t="n"/>
      <c r="C459" s="33" t="n"/>
      <c r="D459" s="35" t="n"/>
      <c r="E459" s="33" t="n"/>
      <c r="F459" s="33" t="n"/>
      <c r="G459" s="40" t="n"/>
      <c r="H459" s="35" t="n"/>
      <c r="I459" s="35" t="n"/>
      <c r="J459" s="30">
        <f>IF(B459="","",DATE(YEAR(B459),MONTH(B459),1))</f>
        <v/>
      </c>
      <c r="K459" s="41">
        <f>IF(OR(B459="",D459=""),"",D459&amp;"|"&amp;TEXT(J459,"yyyy-mm"))</f>
        <v/>
      </c>
      <c r="L459" s="24">
        <f>IF(K459="","",IFERROR(INDEX(Lotes!$N$5:$N$154,MATCH(K459,Lotes!$P$5:$P$154,0)),"Sem lote cadastrado"))</f>
        <v/>
      </c>
      <c r="M459" s="25">
        <f>IF(H459="Sim",G459,0)</f>
        <v>0</v>
      </c>
      <c r="N459" s="42">
        <f>IF(AND(H459="Sim",I459&lt;&gt;"Aceito"),G459+ROW()/100000,0)</f>
        <v>0</v>
      </c>
    </row>
    <row r="460">
      <c r="A460" s="35" t="n"/>
      <c r="B460" s="39" t="n"/>
      <c r="C460" s="33" t="n"/>
      <c r="D460" s="35" t="n"/>
      <c r="E460" s="33" t="n"/>
      <c r="F460" s="33" t="n"/>
      <c r="G460" s="40" t="n"/>
      <c r="H460" s="35" t="n"/>
      <c r="I460" s="35" t="n"/>
      <c r="J460" s="30">
        <f>IF(B460="","",DATE(YEAR(B460),MONTH(B460),1))</f>
        <v/>
      </c>
      <c r="K460" s="41">
        <f>IF(OR(B460="",D460=""),"",D460&amp;"|"&amp;TEXT(J460,"yyyy-mm"))</f>
        <v/>
      </c>
      <c r="L460" s="24">
        <f>IF(K460="","",IFERROR(INDEX(Lotes!$N$5:$N$154,MATCH(K460,Lotes!$P$5:$P$154,0)),"Sem lote cadastrado"))</f>
        <v/>
      </c>
      <c r="M460" s="25">
        <f>IF(H460="Sim",G460,0)</f>
        <v>0</v>
      </c>
      <c r="N460" s="42">
        <f>IF(AND(H460="Sim",I460&lt;&gt;"Aceito"),G460+ROW()/100000,0)</f>
        <v>0</v>
      </c>
    </row>
    <row r="461">
      <c r="A461" s="35" t="n"/>
      <c r="B461" s="39" t="n"/>
      <c r="C461" s="33" t="n"/>
      <c r="D461" s="35" t="n"/>
      <c r="E461" s="33" t="n"/>
      <c r="F461" s="33" t="n"/>
      <c r="G461" s="40" t="n"/>
      <c r="H461" s="35" t="n"/>
      <c r="I461" s="35" t="n"/>
      <c r="J461" s="30">
        <f>IF(B461="","",DATE(YEAR(B461),MONTH(B461),1))</f>
        <v/>
      </c>
      <c r="K461" s="41">
        <f>IF(OR(B461="",D461=""),"",D461&amp;"|"&amp;TEXT(J461,"yyyy-mm"))</f>
        <v/>
      </c>
      <c r="L461" s="24">
        <f>IF(K461="","",IFERROR(INDEX(Lotes!$N$5:$N$154,MATCH(K461,Lotes!$P$5:$P$154,0)),"Sem lote cadastrado"))</f>
        <v/>
      </c>
      <c r="M461" s="25">
        <f>IF(H461="Sim",G461,0)</f>
        <v>0</v>
      </c>
      <c r="N461" s="42">
        <f>IF(AND(H461="Sim",I461&lt;&gt;"Aceito"),G461+ROW()/100000,0)</f>
        <v>0</v>
      </c>
    </row>
    <row r="462">
      <c r="A462" s="35" t="n"/>
      <c r="B462" s="39" t="n"/>
      <c r="C462" s="33" t="n"/>
      <c r="D462" s="35" t="n"/>
      <c r="E462" s="33" t="n"/>
      <c r="F462" s="33" t="n"/>
      <c r="G462" s="40" t="n"/>
      <c r="H462" s="35" t="n"/>
      <c r="I462" s="35" t="n"/>
      <c r="J462" s="30">
        <f>IF(B462="","",DATE(YEAR(B462),MONTH(B462),1))</f>
        <v/>
      </c>
      <c r="K462" s="41">
        <f>IF(OR(B462="",D462=""),"",D462&amp;"|"&amp;TEXT(J462,"yyyy-mm"))</f>
        <v/>
      </c>
      <c r="L462" s="24">
        <f>IF(K462="","",IFERROR(INDEX(Lotes!$N$5:$N$154,MATCH(K462,Lotes!$P$5:$P$154,0)),"Sem lote cadastrado"))</f>
        <v/>
      </c>
      <c r="M462" s="25">
        <f>IF(H462="Sim",G462,0)</f>
        <v>0</v>
      </c>
      <c r="N462" s="42">
        <f>IF(AND(H462="Sim",I462&lt;&gt;"Aceito"),G462+ROW()/100000,0)</f>
        <v>0</v>
      </c>
    </row>
    <row r="463">
      <c r="A463" s="35" t="n"/>
      <c r="B463" s="39" t="n"/>
      <c r="C463" s="33" t="n"/>
      <c r="D463" s="35" t="n"/>
      <c r="E463" s="33" t="n"/>
      <c r="F463" s="33" t="n"/>
      <c r="G463" s="40" t="n"/>
      <c r="H463" s="35" t="n"/>
      <c r="I463" s="35" t="n"/>
      <c r="J463" s="30">
        <f>IF(B463="","",DATE(YEAR(B463),MONTH(B463),1))</f>
        <v/>
      </c>
      <c r="K463" s="41">
        <f>IF(OR(B463="",D463=""),"",D463&amp;"|"&amp;TEXT(J463,"yyyy-mm"))</f>
        <v/>
      </c>
      <c r="L463" s="24">
        <f>IF(K463="","",IFERROR(INDEX(Lotes!$N$5:$N$154,MATCH(K463,Lotes!$P$5:$P$154,0)),"Sem lote cadastrado"))</f>
        <v/>
      </c>
      <c r="M463" s="25">
        <f>IF(H463="Sim",G463,0)</f>
        <v>0</v>
      </c>
      <c r="N463" s="42">
        <f>IF(AND(H463="Sim",I463&lt;&gt;"Aceito"),G463+ROW()/100000,0)</f>
        <v>0</v>
      </c>
    </row>
    <row r="464">
      <c r="A464" s="35" t="n"/>
      <c r="B464" s="39" t="n"/>
      <c r="C464" s="33" t="n"/>
      <c r="D464" s="35" t="n"/>
      <c r="E464" s="33" t="n"/>
      <c r="F464" s="33" t="n"/>
      <c r="G464" s="40" t="n"/>
      <c r="H464" s="35" t="n"/>
      <c r="I464" s="35" t="n"/>
      <c r="J464" s="30">
        <f>IF(B464="","",DATE(YEAR(B464),MONTH(B464),1))</f>
        <v/>
      </c>
      <c r="K464" s="41">
        <f>IF(OR(B464="",D464=""),"",D464&amp;"|"&amp;TEXT(J464,"yyyy-mm"))</f>
        <v/>
      </c>
      <c r="L464" s="24">
        <f>IF(K464="","",IFERROR(INDEX(Lotes!$N$5:$N$154,MATCH(K464,Lotes!$P$5:$P$154,0)),"Sem lote cadastrado"))</f>
        <v/>
      </c>
      <c r="M464" s="25">
        <f>IF(H464="Sim",G464,0)</f>
        <v>0</v>
      </c>
      <c r="N464" s="42">
        <f>IF(AND(H464="Sim",I464&lt;&gt;"Aceito"),G464+ROW()/100000,0)</f>
        <v>0</v>
      </c>
    </row>
    <row r="465">
      <c r="A465" s="35" t="n"/>
      <c r="B465" s="39" t="n"/>
      <c r="C465" s="33" t="n"/>
      <c r="D465" s="35" t="n"/>
      <c r="E465" s="33" t="n"/>
      <c r="F465" s="33" t="n"/>
      <c r="G465" s="40" t="n"/>
      <c r="H465" s="35" t="n"/>
      <c r="I465" s="35" t="n"/>
      <c r="J465" s="30">
        <f>IF(B465="","",DATE(YEAR(B465),MONTH(B465),1))</f>
        <v/>
      </c>
      <c r="K465" s="41">
        <f>IF(OR(B465="",D465=""),"",D465&amp;"|"&amp;TEXT(J465,"yyyy-mm"))</f>
        <v/>
      </c>
      <c r="L465" s="24">
        <f>IF(K465="","",IFERROR(INDEX(Lotes!$N$5:$N$154,MATCH(K465,Lotes!$P$5:$P$154,0)),"Sem lote cadastrado"))</f>
        <v/>
      </c>
      <c r="M465" s="25">
        <f>IF(H465="Sim",G465,0)</f>
        <v>0</v>
      </c>
      <c r="N465" s="42">
        <f>IF(AND(H465="Sim",I465&lt;&gt;"Aceito"),G465+ROW()/100000,0)</f>
        <v>0</v>
      </c>
    </row>
    <row r="466">
      <c r="A466" s="35" t="n"/>
      <c r="B466" s="39" t="n"/>
      <c r="C466" s="33" t="n"/>
      <c r="D466" s="35" t="n"/>
      <c r="E466" s="33" t="n"/>
      <c r="F466" s="33" t="n"/>
      <c r="G466" s="40" t="n"/>
      <c r="H466" s="35" t="n"/>
      <c r="I466" s="35" t="n"/>
      <c r="J466" s="30">
        <f>IF(B466="","",DATE(YEAR(B466),MONTH(B466),1))</f>
        <v/>
      </c>
      <c r="K466" s="41">
        <f>IF(OR(B466="",D466=""),"",D466&amp;"|"&amp;TEXT(J466,"yyyy-mm"))</f>
        <v/>
      </c>
      <c r="L466" s="24">
        <f>IF(K466="","",IFERROR(INDEX(Lotes!$N$5:$N$154,MATCH(K466,Lotes!$P$5:$P$154,0)),"Sem lote cadastrado"))</f>
        <v/>
      </c>
      <c r="M466" s="25">
        <f>IF(H466="Sim",G466,0)</f>
        <v>0</v>
      </c>
      <c r="N466" s="42">
        <f>IF(AND(H466="Sim",I466&lt;&gt;"Aceito"),G466+ROW()/100000,0)</f>
        <v>0</v>
      </c>
    </row>
    <row r="467">
      <c r="A467" s="35" t="n"/>
      <c r="B467" s="39" t="n"/>
      <c r="C467" s="33" t="n"/>
      <c r="D467" s="35" t="n"/>
      <c r="E467" s="33" t="n"/>
      <c r="F467" s="33" t="n"/>
      <c r="G467" s="40" t="n"/>
      <c r="H467" s="35" t="n"/>
      <c r="I467" s="35" t="n"/>
      <c r="J467" s="30">
        <f>IF(B467="","",DATE(YEAR(B467),MONTH(B467),1))</f>
        <v/>
      </c>
      <c r="K467" s="41">
        <f>IF(OR(B467="",D467=""),"",D467&amp;"|"&amp;TEXT(J467,"yyyy-mm"))</f>
        <v/>
      </c>
      <c r="L467" s="24">
        <f>IF(K467="","",IFERROR(INDEX(Lotes!$N$5:$N$154,MATCH(K467,Lotes!$P$5:$P$154,0)),"Sem lote cadastrado"))</f>
        <v/>
      </c>
      <c r="M467" s="25">
        <f>IF(H467="Sim",G467,0)</f>
        <v>0</v>
      </c>
      <c r="N467" s="42">
        <f>IF(AND(H467="Sim",I467&lt;&gt;"Aceito"),G467+ROW()/100000,0)</f>
        <v>0</v>
      </c>
    </row>
    <row r="468">
      <c r="A468" s="35" t="n"/>
      <c r="B468" s="39" t="n"/>
      <c r="C468" s="33" t="n"/>
      <c r="D468" s="35" t="n"/>
      <c r="E468" s="33" t="n"/>
      <c r="F468" s="33" t="n"/>
      <c r="G468" s="40" t="n"/>
      <c r="H468" s="35" t="n"/>
      <c r="I468" s="35" t="n"/>
      <c r="J468" s="30">
        <f>IF(B468="","",DATE(YEAR(B468),MONTH(B468),1))</f>
        <v/>
      </c>
      <c r="K468" s="41">
        <f>IF(OR(B468="",D468=""),"",D468&amp;"|"&amp;TEXT(J468,"yyyy-mm"))</f>
        <v/>
      </c>
      <c r="L468" s="24">
        <f>IF(K468="","",IFERROR(INDEX(Lotes!$N$5:$N$154,MATCH(K468,Lotes!$P$5:$P$154,0)),"Sem lote cadastrado"))</f>
        <v/>
      </c>
      <c r="M468" s="25">
        <f>IF(H468="Sim",G468,0)</f>
        <v>0</v>
      </c>
      <c r="N468" s="42">
        <f>IF(AND(H468="Sim",I468&lt;&gt;"Aceito"),G468+ROW()/100000,0)</f>
        <v>0</v>
      </c>
    </row>
    <row r="469">
      <c r="A469" s="35" t="n"/>
      <c r="B469" s="39" t="n"/>
      <c r="C469" s="33" t="n"/>
      <c r="D469" s="35" t="n"/>
      <c r="E469" s="33" t="n"/>
      <c r="F469" s="33" t="n"/>
      <c r="G469" s="40" t="n"/>
      <c r="H469" s="35" t="n"/>
      <c r="I469" s="35" t="n"/>
      <c r="J469" s="30">
        <f>IF(B469="","",DATE(YEAR(B469),MONTH(B469),1))</f>
        <v/>
      </c>
      <c r="K469" s="41">
        <f>IF(OR(B469="",D469=""),"",D469&amp;"|"&amp;TEXT(J469,"yyyy-mm"))</f>
        <v/>
      </c>
      <c r="L469" s="24">
        <f>IF(K469="","",IFERROR(INDEX(Lotes!$N$5:$N$154,MATCH(K469,Lotes!$P$5:$P$154,0)),"Sem lote cadastrado"))</f>
        <v/>
      </c>
      <c r="M469" s="25">
        <f>IF(H469="Sim",G469,0)</f>
        <v>0</v>
      </c>
      <c r="N469" s="42">
        <f>IF(AND(H469="Sim",I469&lt;&gt;"Aceito"),G469+ROW()/100000,0)</f>
        <v>0</v>
      </c>
    </row>
    <row r="470">
      <c r="A470" s="35" t="n"/>
      <c r="B470" s="39" t="n"/>
      <c r="C470" s="33" t="n"/>
      <c r="D470" s="35" t="n"/>
      <c r="E470" s="33" t="n"/>
      <c r="F470" s="33" t="n"/>
      <c r="G470" s="40" t="n"/>
      <c r="H470" s="35" t="n"/>
      <c r="I470" s="35" t="n"/>
      <c r="J470" s="30">
        <f>IF(B470="","",DATE(YEAR(B470),MONTH(B470),1))</f>
        <v/>
      </c>
      <c r="K470" s="41">
        <f>IF(OR(B470="",D470=""),"",D470&amp;"|"&amp;TEXT(J470,"yyyy-mm"))</f>
        <v/>
      </c>
      <c r="L470" s="24">
        <f>IF(K470="","",IFERROR(INDEX(Lotes!$N$5:$N$154,MATCH(K470,Lotes!$P$5:$P$154,0)),"Sem lote cadastrado"))</f>
        <v/>
      </c>
      <c r="M470" s="25">
        <f>IF(H470="Sim",G470,0)</f>
        <v>0</v>
      </c>
      <c r="N470" s="42">
        <f>IF(AND(H470="Sim",I470&lt;&gt;"Aceito"),G470+ROW()/100000,0)</f>
        <v>0</v>
      </c>
    </row>
    <row r="471">
      <c r="A471" s="35" t="n"/>
      <c r="B471" s="39" t="n"/>
      <c r="C471" s="33" t="n"/>
      <c r="D471" s="35" t="n"/>
      <c r="E471" s="33" t="n"/>
      <c r="F471" s="33" t="n"/>
      <c r="G471" s="40" t="n"/>
      <c r="H471" s="35" t="n"/>
      <c r="I471" s="35" t="n"/>
      <c r="J471" s="30">
        <f>IF(B471="","",DATE(YEAR(B471),MONTH(B471),1))</f>
        <v/>
      </c>
      <c r="K471" s="41">
        <f>IF(OR(B471="",D471=""),"",D471&amp;"|"&amp;TEXT(J471,"yyyy-mm"))</f>
        <v/>
      </c>
      <c r="L471" s="24">
        <f>IF(K471="","",IFERROR(INDEX(Lotes!$N$5:$N$154,MATCH(K471,Lotes!$P$5:$P$154,0)),"Sem lote cadastrado"))</f>
        <v/>
      </c>
      <c r="M471" s="25">
        <f>IF(H471="Sim",G471,0)</f>
        <v>0</v>
      </c>
      <c r="N471" s="42">
        <f>IF(AND(H471="Sim",I471&lt;&gt;"Aceito"),G471+ROW()/100000,0)</f>
        <v>0</v>
      </c>
    </row>
    <row r="472">
      <c r="A472" s="35" t="n"/>
      <c r="B472" s="39" t="n"/>
      <c r="C472" s="33" t="n"/>
      <c r="D472" s="35" t="n"/>
      <c r="E472" s="33" t="n"/>
      <c r="F472" s="33" t="n"/>
      <c r="G472" s="40" t="n"/>
      <c r="H472" s="35" t="n"/>
      <c r="I472" s="35" t="n"/>
      <c r="J472" s="30">
        <f>IF(B472="","",DATE(YEAR(B472),MONTH(B472),1))</f>
        <v/>
      </c>
      <c r="K472" s="41">
        <f>IF(OR(B472="",D472=""),"",D472&amp;"|"&amp;TEXT(J472,"yyyy-mm"))</f>
        <v/>
      </c>
      <c r="L472" s="24">
        <f>IF(K472="","",IFERROR(INDEX(Lotes!$N$5:$N$154,MATCH(K472,Lotes!$P$5:$P$154,0)),"Sem lote cadastrado"))</f>
        <v/>
      </c>
      <c r="M472" s="25">
        <f>IF(H472="Sim",G472,0)</f>
        <v>0</v>
      </c>
      <c r="N472" s="42">
        <f>IF(AND(H472="Sim",I472&lt;&gt;"Aceito"),G472+ROW()/100000,0)</f>
        <v>0</v>
      </c>
    </row>
    <row r="473">
      <c r="A473" s="35" t="n"/>
      <c r="B473" s="39" t="n"/>
      <c r="C473" s="33" t="n"/>
      <c r="D473" s="35" t="n"/>
      <c r="E473" s="33" t="n"/>
      <c r="F473" s="33" t="n"/>
      <c r="G473" s="40" t="n"/>
      <c r="H473" s="35" t="n"/>
      <c r="I473" s="35" t="n"/>
      <c r="J473" s="30">
        <f>IF(B473="","",DATE(YEAR(B473),MONTH(B473),1))</f>
        <v/>
      </c>
      <c r="K473" s="41">
        <f>IF(OR(B473="",D473=""),"",D473&amp;"|"&amp;TEXT(J473,"yyyy-mm"))</f>
        <v/>
      </c>
      <c r="L473" s="24">
        <f>IF(K473="","",IFERROR(INDEX(Lotes!$N$5:$N$154,MATCH(K473,Lotes!$P$5:$P$154,0)),"Sem lote cadastrado"))</f>
        <v/>
      </c>
      <c r="M473" s="25">
        <f>IF(H473="Sim",G473,0)</f>
        <v>0</v>
      </c>
      <c r="N473" s="42">
        <f>IF(AND(H473="Sim",I473&lt;&gt;"Aceito"),G473+ROW()/100000,0)</f>
        <v>0</v>
      </c>
    </row>
    <row r="474">
      <c r="A474" s="35" t="n"/>
      <c r="B474" s="39" t="n"/>
      <c r="C474" s="33" t="n"/>
      <c r="D474" s="35" t="n"/>
      <c r="E474" s="33" t="n"/>
      <c r="F474" s="33" t="n"/>
      <c r="G474" s="40" t="n"/>
      <c r="H474" s="35" t="n"/>
      <c r="I474" s="35" t="n"/>
      <c r="J474" s="30">
        <f>IF(B474="","",DATE(YEAR(B474),MONTH(B474),1))</f>
        <v/>
      </c>
      <c r="K474" s="41">
        <f>IF(OR(B474="",D474=""),"",D474&amp;"|"&amp;TEXT(J474,"yyyy-mm"))</f>
        <v/>
      </c>
      <c r="L474" s="24">
        <f>IF(K474="","",IFERROR(INDEX(Lotes!$N$5:$N$154,MATCH(K474,Lotes!$P$5:$P$154,0)),"Sem lote cadastrado"))</f>
        <v/>
      </c>
      <c r="M474" s="25">
        <f>IF(H474="Sim",G474,0)</f>
        <v>0</v>
      </c>
      <c r="N474" s="42">
        <f>IF(AND(H474="Sim",I474&lt;&gt;"Aceito"),G474+ROW()/100000,0)</f>
        <v>0</v>
      </c>
    </row>
    <row r="475">
      <c r="A475" s="35" t="n"/>
      <c r="B475" s="39" t="n"/>
      <c r="C475" s="33" t="n"/>
      <c r="D475" s="35" t="n"/>
      <c r="E475" s="33" t="n"/>
      <c r="F475" s="33" t="n"/>
      <c r="G475" s="40" t="n"/>
      <c r="H475" s="35" t="n"/>
      <c r="I475" s="35" t="n"/>
      <c r="J475" s="30">
        <f>IF(B475="","",DATE(YEAR(B475),MONTH(B475),1))</f>
        <v/>
      </c>
      <c r="K475" s="41">
        <f>IF(OR(B475="",D475=""),"",D475&amp;"|"&amp;TEXT(J475,"yyyy-mm"))</f>
        <v/>
      </c>
      <c r="L475" s="24">
        <f>IF(K475="","",IFERROR(INDEX(Lotes!$N$5:$N$154,MATCH(K475,Lotes!$P$5:$P$154,0)),"Sem lote cadastrado"))</f>
        <v/>
      </c>
      <c r="M475" s="25">
        <f>IF(H475="Sim",G475,0)</f>
        <v>0</v>
      </c>
      <c r="N475" s="42">
        <f>IF(AND(H475="Sim",I475&lt;&gt;"Aceito"),G475+ROW()/100000,0)</f>
        <v>0</v>
      </c>
    </row>
    <row r="476">
      <c r="A476" s="35" t="n"/>
      <c r="B476" s="39" t="n"/>
      <c r="C476" s="33" t="n"/>
      <c r="D476" s="35" t="n"/>
      <c r="E476" s="33" t="n"/>
      <c r="F476" s="33" t="n"/>
      <c r="G476" s="40" t="n"/>
      <c r="H476" s="35" t="n"/>
      <c r="I476" s="35" t="n"/>
      <c r="J476" s="30">
        <f>IF(B476="","",DATE(YEAR(B476),MONTH(B476),1))</f>
        <v/>
      </c>
      <c r="K476" s="41">
        <f>IF(OR(B476="",D476=""),"",D476&amp;"|"&amp;TEXT(J476,"yyyy-mm"))</f>
        <v/>
      </c>
      <c r="L476" s="24">
        <f>IF(K476="","",IFERROR(INDEX(Lotes!$N$5:$N$154,MATCH(K476,Lotes!$P$5:$P$154,0)),"Sem lote cadastrado"))</f>
        <v/>
      </c>
      <c r="M476" s="25">
        <f>IF(H476="Sim",G476,0)</f>
        <v>0</v>
      </c>
      <c r="N476" s="42">
        <f>IF(AND(H476="Sim",I476&lt;&gt;"Aceito"),G476+ROW()/100000,0)</f>
        <v>0</v>
      </c>
    </row>
    <row r="477">
      <c r="A477" s="35" t="n"/>
      <c r="B477" s="39" t="n"/>
      <c r="C477" s="33" t="n"/>
      <c r="D477" s="35" t="n"/>
      <c r="E477" s="33" t="n"/>
      <c r="F477" s="33" t="n"/>
      <c r="G477" s="40" t="n"/>
      <c r="H477" s="35" t="n"/>
      <c r="I477" s="35" t="n"/>
      <c r="J477" s="30">
        <f>IF(B477="","",DATE(YEAR(B477),MONTH(B477),1))</f>
        <v/>
      </c>
      <c r="K477" s="41">
        <f>IF(OR(B477="",D477=""),"",D477&amp;"|"&amp;TEXT(J477,"yyyy-mm"))</f>
        <v/>
      </c>
      <c r="L477" s="24">
        <f>IF(K477="","",IFERROR(INDEX(Lotes!$N$5:$N$154,MATCH(K477,Lotes!$P$5:$P$154,0)),"Sem lote cadastrado"))</f>
        <v/>
      </c>
      <c r="M477" s="25">
        <f>IF(H477="Sim",G477,0)</f>
        <v>0</v>
      </c>
      <c r="N477" s="42">
        <f>IF(AND(H477="Sim",I477&lt;&gt;"Aceito"),G477+ROW()/100000,0)</f>
        <v>0</v>
      </c>
    </row>
    <row r="478">
      <c r="A478" s="35" t="n"/>
      <c r="B478" s="39" t="n"/>
      <c r="C478" s="33" t="n"/>
      <c r="D478" s="35" t="n"/>
      <c r="E478" s="33" t="n"/>
      <c r="F478" s="33" t="n"/>
      <c r="G478" s="40" t="n"/>
      <c r="H478" s="35" t="n"/>
      <c r="I478" s="35" t="n"/>
      <c r="J478" s="30">
        <f>IF(B478="","",DATE(YEAR(B478),MONTH(B478),1))</f>
        <v/>
      </c>
      <c r="K478" s="41">
        <f>IF(OR(B478="",D478=""),"",D478&amp;"|"&amp;TEXT(J478,"yyyy-mm"))</f>
        <v/>
      </c>
      <c r="L478" s="24">
        <f>IF(K478="","",IFERROR(INDEX(Lotes!$N$5:$N$154,MATCH(K478,Lotes!$P$5:$P$154,0)),"Sem lote cadastrado"))</f>
        <v/>
      </c>
      <c r="M478" s="25">
        <f>IF(H478="Sim",G478,0)</f>
        <v>0</v>
      </c>
      <c r="N478" s="42">
        <f>IF(AND(H478="Sim",I478&lt;&gt;"Aceito"),G478+ROW()/100000,0)</f>
        <v>0</v>
      </c>
    </row>
    <row r="479">
      <c r="A479" s="35" t="n"/>
      <c r="B479" s="39" t="n"/>
      <c r="C479" s="33" t="n"/>
      <c r="D479" s="35" t="n"/>
      <c r="E479" s="33" t="n"/>
      <c r="F479" s="33" t="n"/>
      <c r="G479" s="40" t="n"/>
      <c r="H479" s="35" t="n"/>
      <c r="I479" s="35" t="n"/>
      <c r="J479" s="30">
        <f>IF(B479="","",DATE(YEAR(B479),MONTH(B479),1))</f>
        <v/>
      </c>
      <c r="K479" s="41">
        <f>IF(OR(B479="",D479=""),"",D479&amp;"|"&amp;TEXT(J479,"yyyy-mm"))</f>
        <v/>
      </c>
      <c r="L479" s="24">
        <f>IF(K479="","",IFERROR(INDEX(Lotes!$N$5:$N$154,MATCH(K479,Lotes!$P$5:$P$154,0)),"Sem lote cadastrado"))</f>
        <v/>
      </c>
      <c r="M479" s="25">
        <f>IF(H479="Sim",G479,0)</f>
        <v>0</v>
      </c>
      <c r="N479" s="42">
        <f>IF(AND(H479="Sim",I479&lt;&gt;"Aceito"),G479+ROW()/100000,0)</f>
        <v>0</v>
      </c>
    </row>
    <row r="480">
      <c r="A480" s="35" t="n"/>
      <c r="B480" s="39" t="n"/>
      <c r="C480" s="33" t="n"/>
      <c r="D480" s="35" t="n"/>
      <c r="E480" s="33" t="n"/>
      <c r="F480" s="33" t="n"/>
      <c r="G480" s="40" t="n"/>
      <c r="H480" s="35" t="n"/>
      <c r="I480" s="35" t="n"/>
      <c r="J480" s="30">
        <f>IF(B480="","",DATE(YEAR(B480),MONTH(B480),1))</f>
        <v/>
      </c>
      <c r="K480" s="41">
        <f>IF(OR(B480="",D480=""),"",D480&amp;"|"&amp;TEXT(J480,"yyyy-mm"))</f>
        <v/>
      </c>
      <c r="L480" s="24">
        <f>IF(K480="","",IFERROR(INDEX(Lotes!$N$5:$N$154,MATCH(K480,Lotes!$P$5:$P$154,0)),"Sem lote cadastrado"))</f>
        <v/>
      </c>
      <c r="M480" s="25">
        <f>IF(H480="Sim",G480,0)</f>
        <v>0</v>
      </c>
      <c r="N480" s="42">
        <f>IF(AND(H480="Sim",I480&lt;&gt;"Aceito"),G480+ROW()/100000,0)</f>
        <v>0</v>
      </c>
    </row>
    <row r="481">
      <c r="A481" s="35" t="n"/>
      <c r="B481" s="39" t="n"/>
      <c r="C481" s="33" t="n"/>
      <c r="D481" s="35" t="n"/>
      <c r="E481" s="33" t="n"/>
      <c r="F481" s="33" t="n"/>
      <c r="G481" s="40" t="n"/>
      <c r="H481" s="35" t="n"/>
      <c r="I481" s="35" t="n"/>
      <c r="J481" s="30">
        <f>IF(B481="","",DATE(YEAR(B481),MONTH(B481),1))</f>
        <v/>
      </c>
      <c r="K481" s="41">
        <f>IF(OR(B481="",D481=""),"",D481&amp;"|"&amp;TEXT(J481,"yyyy-mm"))</f>
        <v/>
      </c>
      <c r="L481" s="24">
        <f>IF(K481="","",IFERROR(INDEX(Lotes!$N$5:$N$154,MATCH(K481,Lotes!$P$5:$P$154,0)),"Sem lote cadastrado"))</f>
        <v/>
      </c>
      <c r="M481" s="25">
        <f>IF(H481="Sim",G481,0)</f>
        <v>0</v>
      </c>
      <c r="N481" s="42">
        <f>IF(AND(H481="Sim",I481&lt;&gt;"Aceito"),G481+ROW()/100000,0)</f>
        <v>0</v>
      </c>
    </row>
    <row r="482">
      <c r="A482" s="35" t="n"/>
      <c r="B482" s="39" t="n"/>
      <c r="C482" s="33" t="n"/>
      <c r="D482" s="35" t="n"/>
      <c r="E482" s="33" t="n"/>
      <c r="F482" s="33" t="n"/>
      <c r="G482" s="40" t="n"/>
      <c r="H482" s="35" t="n"/>
      <c r="I482" s="35" t="n"/>
      <c r="J482" s="30">
        <f>IF(B482="","",DATE(YEAR(B482),MONTH(B482),1))</f>
        <v/>
      </c>
      <c r="K482" s="41">
        <f>IF(OR(B482="",D482=""),"",D482&amp;"|"&amp;TEXT(J482,"yyyy-mm"))</f>
        <v/>
      </c>
      <c r="L482" s="24">
        <f>IF(K482="","",IFERROR(INDEX(Lotes!$N$5:$N$154,MATCH(K482,Lotes!$P$5:$P$154,0)),"Sem lote cadastrado"))</f>
        <v/>
      </c>
      <c r="M482" s="25">
        <f>IF(H482="Sim",G482,0)</f>
        <v>0</v>
      </c>
      <c r="N482" s="42">
        <f>IF(AND(H482="Sim",I482&lt;&gt;"Aceito"),G482+ROW()/100000,0)</f>
        <v>0</v>
      </c>
    </row>
    <row r="483">
      <c r="A483" s="35" t="n"/>
      <c r="B483" s="39" t="n"/>
      <c r="C483" s="33" t="n"/>
      <c r="D483" s="35" t="n"/>
      <c r="E483" s="33" t="n"/>
      <c r="F483" s="33" t="n"/>
      <c r="G483" s="40" t="n"/>
      <c r="H483" s="35" t="n"/>
      <c r="I483" s="35" t="n"/>
      <c r="J483" s="30">
        <f>IF(B483="","",DATE(YEAR(B483),MONTH(B483),1))</f>
        <v/>
      </c>
      <c r="K483" s="41">
        <f>IF(OR(B483="",D483=""),"",D483&amp;"|"&amp;TEXT(J483,"yyyy-mm"))</f>
        <v/>
      </c>
      <c r="L483" s="24">
        <f>IF(K483="","",IFERROR(INDEX(Lotes!$N$5:$N$154,MATCH(K483,Lotes!$P$5:$P$154,0)),"Sem lote cadastrado"))</f>
        <v/>
      </c>
      <c r="M483" s="25">
        <f>IF(H483="Sim",G483,0)</f>
        <v>0</v>
      </c>
      <c r="N483" s="42">
        <f>IF(AND(H483="Sim",I483&lt;&gt;"Aceito"),G483+ROW()/100000,0)</f>
        <v>0</v>
      </c>
    </row>
    <row r="484">
      <c r="A484" s="35" t="n"/>
      <c r="B484" s="39" t="n"/>
      <c r="C484" s="33" t="n"/>
      <c r="D484" s="35" t="n"/>
      <c r="E484" s="33" t="n"/>
      <c r="F484" s="33" t="n"/>
      <c r="G484" s="40" t="n"/>
      <c r="H484" s="35" t="n"/>
      <c r="I484" s="35" t="n"/>
      <c r="J484" s="30">
        <f>IF(B484="","",DATE(YEAR(B484),MONTH(B484),1))</f>
        <v/>
      </c>
      <c r="K484" s="41">
        <f>IF(OR(B484="",D484=""),"",D484&amp;"|"&amp;TEXT(J484,"yyyy-mm"))</f>
        <v/>
      </c>
      <c r="L484" s="24">
        <f>IF(K484="","",IFERROR(INDEX(Lotes!$N$5:$N$154,MATCH(K484,Lotes!$P$5:$P$154,0)),"Sem lote cadastrado"))</f>
        <v/>
      </c>
      <c r="M484" s="25">
        <f>IF(H484="Sim",G484,0)</f>
        <v>0</v>
      </c>
      <c r="N484" s="42">
        <f>IF(AND(H484="Sim",I484&lt;&gt;"Aceito"),G484+ROW()/100000,0)</f>
        <v>0</v>
      </c>
    </row>
    <row r="485">
      <c r="A485" s="35" t="n"/>
      <c r="B485" s="39" t="n"/>
      <c r="C485" s="33" t="n"/>
      <c r="D485" s="35" t="n"/>
      <c r="E485" s="33" t="n"/>
      <c r="F485" s="33" t="n"/>
      <c r="G485" s="40" t="n"/>
      <c r="H485" s="35" t="n"/>
      <c r="I485" s="35" t="n"/>
      <c r="J485" s="30">
        <f>IF(B485="","",DATE(YEAR(B485),MONTH(B485),1))</f>
        <v/>
      </c>
      <c r="K485" s="41">
        <f>IF(OR(B485="",D485=""),"",D485&amp;"|"&amp;TEXT(J485,"yyyy-mm"))</f>
        <v/>
      </c>
      <c r="L485" s="24">
        <f>IF(K485="","",IFERROR(INDEX(Lotes!$N$5:$N$154,MATCH(K485,Lotes!$P$5:$P$154,0)),"Sem lote cadastrado"))</f>
        <v/>
      </c>
      <c r="M485" s="25">
        <f>IF(H485="Sim",G485,0)</f>
        <v>0</v>
      </c>
      <c r="N485" s="42">
        <f>IF(AND(H485="Sim",I485&lt;&gt;"Aceito"),G485+ROW()/100000,0)</f>
        <v>0</v>
      </c>
    </row>
    <row r="486">
      <c r="A486" s="35" t="n"/>
      <c r="B486" s="39" t="n"/>
      <c r="C486" s="33" t="n"/>
      <c r="D486" s="35" t="n"/>
      <c r="E486" s="33" t="n"/>
      <c r="F486" s="33" t="n"/>
      <c r="G486" s="40" t="n"/>
      <c r="H486" s="35" t="n"/>
      <c r="I486" s="35" t="n"/>
      <c r="J486" s="30">
        <f>IF(B486="","",DATE(YEAR(B486),MONTH(B486),1))</f>
        <v/>
      </c>
      <c r="K486" s="41">
        <f>IF(OR(B486="",D486=""),"",D486&amp;"|"&amp;TEXT(J486,"yyyy-mm"))</f>
        <v/>
      </c>
      <c r="L486" s="24">
        <f>IF(K486="","",IFERROR(INDEX(Lotes!$N$5:$N$154,MATCH(K486,Lotes!$P$5:$P$154,0)),"Sem lote cadastrado"))</f>
        <v/>
      </c>
      <c r="M486" s="25">
        <f>IF(H486="Sim",G486,0)</f>
        <v>0</v>
      </c>
      <c r="N486" s="42">
        <f>IF(AND(H486="Sim",I486&lt;&gt;"Aceito"),G486+ROW()/100000,0)</f>
        <v>0</v>
      </c>
    </row>
    <row r="487">
      <c r="A487" s="35" t="n"/>
      <c r="B487" s="39" t="n"/>
      <c r="C487" s="33" t="n"/>
      <c r="D487" s="35" t="n"/>
      <c r="E487" s="33" t="n"/>
      <c r="F487" s="33" t="n"/>
      <c r="G487" s="40" t="n"/>
      <c r="H487" s="35" t="n"/>
      <c r="I487" s="35" t="n"/>
      <c r="J487" s="30">
        <f>IF(B487="","",DATE(YEAR(B487),MONTH(B487),1))</f>
        <v/>
      </c>
      <c r="K487" s="41">
        <f>IF(OR(B487="",D487=""),"",D487&amp;"|"&amp;TEXT(J487,"yyyy-mm"))</f>
        <v/>
      </c>
      <c r="L487" s="24">
        <f>IF(K487="","",IFERROR(INDEX(Lotes!$N$5:$N$154,MATCH(K487,Lotes!$P$5:$P$154,0)),"Sem lote cadastrado"))</f>
        <v/>
      </c>
      <c r="M487" s="25">
        <f>IF(H487="Sim",G487,0)</f>
        <v>0</v>
      </c>
      <c r="N487" s="42">
        <f>IF(AND(H487="Sim",I487&lt;&gt;"Aceito"),G487+ROW()/100000,0)</f>
        <v>0</v>
      </c>
    </row>
    <row r="488">
      <c r="A488" s="35" t="n"/>
      <c r="B488" s="39" t="n"/>
      <c r="C488" s="33" t="n"/>
      <c r="D488" s="35" t="n"/>
      <c r="E488" s="33" t="n"/>
      <c r="F488" s="33" t="n"/>
      <c r="G488" s="40" t="n"/>
      <c r="H488" s="35" t="n"/>
      <c r="I488" s="35" t="n"/>
      <c r="J488" s="30">
        <f>IF(B488="","",DATE(YEAR(B488),MONTH(B488),1))</f>
        <v/>
      </c>
      <c r="K488" s="41">
        <f>IF(OR(B488="",D488=""),"",D488&amp;"|"&amp;TEXT(J488,"yyyy-mm"))</f>
        <v/>
      </c>
      <c r="L488" s="24">
        <f>IF(K488="","",IFERROR(INDEX(Lotes!$N$5:$N$154,MATCH(K488,Lotes!$P$5:$P$154,0)),"Sem lote cadastrado"))</f>
        <v/>
      </c>
      <c r="M488" s="25">
        <f>IF(H488="Sim",G488,0)</f>
        <v>0</v>
      </c>
      <c r="N488" s="42">
        <f>IF(AND(H488="Sim",I488&lt;&gt;"Aceito"),G488+ROW()/100000,0)</f>
        <v>0</v>
      </c>
    </row>
    <row r="489">
      <c r="A489" s="35" t="n"/>
      <c r="B489" s="39" t="n"/>
      <c r="C489" s="33" t="n"/>
      <c r="D489" s="35" t="n"/>
      <c r="E489" s="33" t="n"/>
      <c r="F489" s="33" t="n"/>
      <c r="G489" s="40" t="n"/>
      <c r="H489" s="35" t="n"/>
      <c r="I489" s="35" t="n"/>
      <c r="J489" s="30">
        <f>IF(B489="","",DATE(YEAR(B489),MONTH(B489),1))</f>
        <v/>
      </c>
      <c r="K489" s="41">
        <f>IF(OR(B489="",D489=""),"",D489&amp;"|"&amp;TEXT(J489,"yyyy-mm"))</f>
        <v/>
      </c>
      <c r="L489" s="24">
        <f>IF(K489="","",IFERROR(INDEX(Lotes!$N$5:$N$154,MATCH(K489,Lotes!$P$5:$P$154,0)),"Sem lote cadastrado"))</f>
        <v/>
      </c>
      <c r="M489" s="25">
        <f>IF(H489="Sim",G489,0)</f>
        <v>0</v>
      </c>
      <c r="N489" s="42">
        <f>IF(AND(H489="Sim",I489&lt;&gt;"Aceito"),G489+ROW()/100000,0)</f>
        <v>0</v>
      </c>
    </row>
    <row r="490">
      <c r="A490" s="35" t="n"/>
      <c r="B490" s="39" t="n"/>
      <c r="C490" s="33" t="n"/>
      <c r="D490" s="35" t="n"/>
      <c r="E490" s="33" t="n"/>
      <c r="F490" s="33" t="n"/>
      <c r="G490" s="40" t="n"/>
      <c r="H490" s="35" t="n"/>
      <c r="I490" s="35" t="n"/>
      <c r="J490" s="30">
        <f>IF(B490="","",DATE(YEAR(B490),MONTH(B490),1))</f>
        <v/>
      </c>
      <c r="K490" s="41">
        <f>IF(OR(B490="",D490=""),"",D490&amp;"|"&amp;TEXT(J490,"yyyy-mm"))</f>
        <v/>
      </c>
      <c r="L490" s="24">
        <f>IF(K490="","",IFERROR(INDEX(Lotes!$N$5:$N$154,MATCH(K490,Lotes!$P$5:$P$154,0)),"Sem lote cadastrado"))</f>
        <v/>
      </c>
      <c r="M490" s="25">
        <f>IF(H490="Sim",G490,0)</f>
        <v>0</v>
      </c>
      <c r="N490" s="42">
        <f>IF(AND(H490="Sim",I490&lt;&gt;"Aceito"),G490+ROW()/100000,0)</f>
        <v>0</v>
      </c>
    </row>
    <row r="491">
      <c r="A491" s="35" t="n"/>
      <c r="B491" s="39" t="n"/>
      <c r="C491" s="33" t="n"/>
      <c r="D491" s="35" t="n"/>
      <c r="E491" s="33" t="n"/>
      <c r="F491" s="33" t="n"/>
      <c r="G491" s="40" t="n"/>
      <c r="H491" s="35" t="n"/>
      <c r="I491" s="35" t="n"/>
      <c r="J491" s="30">
        <f>IF(B491="","",DATE(YEAR(B491),MONTH(B491),1))</f>
        <v/>
      </c>
      <c r="K491" s="41">
        <f>IF(OR(B491="",D491=""),"",D491&amp;"|"&amp;TEXT(J491,"yyyy-mm"))</f>
        <v/>
      </c>
      <c r="L491" s="24">
        <f>IF(K491="","",IFERROR(INDEX(Lotes!$N$5:$N$154,MATCH(K491,Lotes!$P$5:$P$154,0)),"Sem lote cadastrado"))</f>
        <v/>
      </c>
      <c r="M491" s="25">
        <f>IF(H491="Sim",G491,0)</f>
        <v>0</v>
      </c>
      <c r="N491" s="42">
        <f>IF(AND(H491="Sim",I491&lt;&gt;"Aceito"),G491+ROW()/100000,0)</f>
        <v>0</v>
      </c>
    </row>
    <row r="492">
      <c r="A492" s="35" t="n"/>
      <c r="B492" s="39" t="n"/>
      <c r="C492" s="33" t="n"/>
      <c r="D492" s="35" t="n"/>
      <c r="E492" s="33" t="n"/>
      <c r="F492" s="33" t="n"/>
      <c r="G492" s="40" t="n"/>
      <c r="H492" s="35" t="n"/>
      <c r="I492" s="35" t="n"/>
      <c r="J492" s="30">
        <f>IF(B492="","",DATE(YEAR(B492),MONTH(B492),1))</f>
        <v/>
      </c>
      <c r="K492" s="41">
        <f>IF(OR(B492="",D492=""),"",D492&amp;"|"&amp;TEXT(J492,"yyyy-mm"))</f>
        <v/>
      </c>
      <c r="L492" s="24">
        <f>IF(K492="","",IFERROR(INDEX(Lotes!$N$5:$N$154,MATCH(K492,Lotes!$P$5:$P$154,0)),"Sem lote cadastrado"))</f>
        <v/>
      </c>
      <c r="M492" s="25">
        <f>IF(H492="Sim",G492,0)</f>
        <v>0</v>
      </c>
      <c r="N492" s="42">
        <f>IF(AND(H492="Sim",I492&lt;&gt;"Aceito"),G492+ROW()/100000,0)</f>
        <v>0</v>
      </c>
    </row>
    <row r="493">
      <c r="A493" s="35" t="n"/>
      <c r="B493" s="39" t="n"/>
      <c r="C493" s="33" t="n"/>
      <c r="D493" s="35" t="n"/>
      <c r="E493" s="33" t="n"/>
      <c r="F493" s="33" t="n"/>
      <c r="G493" s="40" t="n"/>
      <c r="H493" s="35" t="n"/>
      <c r="I493" s="35" t="n"/>
      <c r="J493" s="30">
        <f>IF(B493="","",DATE(YEAR(B493),MONTH(B493),1))</f>
        <v/>
      </c>
      <c r="K493" s="41">
        <f>IF(OR(B493="",D493=""),"",D493&amp;"|"&amp;TEXT(J493,"yyyy-mm"))</f>
        <v/>
      </c>
      <c r="L493" s="24">
        <f>IF(K493="","",IFERROR(INDEX(Lotes!$N$5:$N$154,MATCH(K493,Lotes!$P$5:$P$154,0)),"Sem lote cadastrado"))</f>
        <v/>
      </c>
      <c r="M493" s="25">
        <f>IF(H493="Sim",G493,0)</f>
        <v>0</v>
      </c>
      <c r="N493" s="42">
        <f>IF(AND(H493="Sim",I493&lt;&gt;"Aceito"),G493+ROW()/100000,0)</f>
        <v>0</v>
      </c>
    </row>
    <row r="494">
      <c r="A494" s="35" t="n"/>
      <c r="B494" s="39" t="n"/>
      <c r="C494" s="33" t="n"/>
      <c r="D494" s="35" t="n"/>
      <c r="E494" s="33" t="n"/>
      <c r="F494" s="33" t="n"/>
      <c r="G494" s="40" t="n"/>
      <c r="H494" s="35" t="n"/>
      <c r="I494" s="35" t="n"/>
      <c r="J494" s="30">
        <f>IF(B494="","",DATE(YEAR(B494),MONTH(B494),1))</f>
        <v/>
      </c>
      <c r="K494" s="41">
        <f>IF(OR(B494="",D494=""),"",D494&amp;"|"&amp;TEXT(J494,"yyyy-mm"))</f>
        <v/>
      </c>
      <c r="L494" s="24">
        <f>IF(K494="","",IFERROR(INDEX(Lotes!$N$5:$N$154,MATCH(K494,Lotes!$P$5:$P$154,0)),"Sem lote cadastrado"))</f>
        <v/>
      </c>
      <c r="M494" s="25">
        <f>IF(H494="Sim",G494,0)</f>
        <v>0</v>
      </c>
      <c r="N494" s="42">
        <f>IF(AND(H494="Sim",I494&lt;&gt;"Aceito"),G494+ROW()/100000,0)</f>
        <v>0</v>
      </c>
    </row>
    <row r="495">
      <c r="A495" s="35" t="n"/>
      <c r="B495" s="39" t="n"/>
      <c r="C495" s="33" t="n"/>
      <c r="D495" s="35" t="n"/>
      <c r="E495" s="33" t="n"/>
      <c r="F495" s="33" t="n"/>
      <c r="G495" s="40" t="n"/>
      <c r="H495" s="35" t="n"/>
      <c r="I495" s="35" t="n"/>
      <c r="J495" s="30">
        <f>IF(B495="","",DATE(YEAR(B495),MONTH(B495),1))</f>
        <v/>
      </c>
      <c r="K495" s="41">
        <f>IF(OR(B495="",D495=""),"",D495&amp;"|"&amp;TEXT(J495,"yyyy-mm"))</f>
        <v/>
      </c>
      <c r="L495" s="24">
        <f>IF(K495="","",IFERROR(INDEX(Lotes!$N$5:$N$154,MATCH(K495,Lotes!$P$5:$P$154,0)),"Sem lote cadastrado"))</f>
        <v/>
      </c>
      <c r="M495" s="25">
        <f>IF(H495="Sim",G495,0)</f>
        <v>0</v>
      </c>
      <c r="N495" s="42">
        <f>IF(AND(H495="Sim",I495&lt;&gt;"Aceito"),G495+ROW()/100000,0)</f>
        <v>0</v>
      </c>
    </row>
    <row r="496">
      <c r="A496" s="35" t="n"/>
      <c r="B496" s="39" t="n"/>
      <c r="C496" s="33" t="n"/>
      <c r="D496" s="35" t="n"/>
      <c r="E496" s="33" t="n"/>
      <c r="F496" s="33" t="n"/>
      <c r="G496" s="40" t="n"/>
      <c r="H496" s="35" t="n"/>
      <c r="I496" s="35" t="n"/>
      <c r="J496" s="30">
        <f>IF(B496="","",DATE(YEAR(B496),MONTH(B496),1))</f>
        <v/>
      </c>
      <c r="K496" s="41">
        <f>IF(OR(B496="",D496=""),"",D496&amp;"|"&amp;TEXT(J496,"yyyy-mm"))</f>
        <v/>
      </c>
      <c r="L496" s="24">
        <f>IF(K496="","",IFERROR(INDEX(Lotes!$N$5:$N$154,MATCH(K496,Lotes!$P$5:$P$154,0)),"Sem lote cadastrado"))</f>
        <v/>
      </c>
      <c r="M496" s="25">
        <f>IF(H496="Sim",G496,0)</f>
        <v>0</v>
      </c>
      <c r="N496" s="42">
        <f>IF(AND(H496="Sim",I496&lt;&gt;"Aceito"),G496+ROW()/100000,0)</f>
        <v>0</v>
      </c>
    </row>
    <row r="497">
      <c r="A497" s="35" t="n"/>
      <c r="B497" s="39" t="n"/>
      <c r="C497" s="33" t="n"/>
      <c r="D497" s="35" t="n"/>
      <c r="E497" s="33" t="n"/>
      <c r="F497" s="33" t="n"/>
      <c r="G497" s="40" t="n"/>
      <c r="H497" s="35" t="n"/>
      <c r="I497" s="35" t="n"/>
      <c r="J497" s="30">
        <f>IF(B497="","",DATE(YEAR(B497),MONTH(B497),1))</f>
        <v/>
      </c>
      <c r="K497" s="41">
        <f>IF(OR(B497="",D497=""),"",D497&amp;"|"&amp;TEXT(J497,"yyyy-mm"))</f>
        <v/>
      </c>
      <c r="L497" s="24">
        <f>IF(K497="","",IFERROR(INDEX(Lotes!$N$5:$N$154,MATCH(K497,Lotes!$P$5:$P$154,0)),"Sem lote cadastrado"))</f>
        <v/>
      </c>
      <c r="M497" s="25">
        <f>IF(H497="Sim",G497,0)</f>
        <v>0</v>
      </c>
      <c r="N497" s="42">
        <f>IF(AND(H497="Sim",I497&lt;&gt;"Aceito"),G497+ROW()/100000,0)</f>
        <v>0</v>
      </c>
    </row>
    <row r="498">
      <c r="A498" s="35" t="n"/>
      <c r="B498" s="39" t="n"/>
      <c r="C498" s="33" t="n"/>
      <c r="D498" s="35" t="n"/>
      <c r="E498" s="33" t="n"/>
      <c r="F498" s="33" t="n"/>
      <c r="G498" s="40" t="n"/>
      <c r="H498" s="35" t="n"/>
      <c r="I498" s="35" t="n"/>
      <c r="J498" s="30">
        <f>IF(B498="","",DATE(YEAR(B498),MONTH(B498),1))</f>
        <v/>
      </c>
      <c r="K498" s="41">
        <f>IF(OR(B498="",D498=""),"",D498&amp;"|"&amp;TEXT(J498,"yyyy-mm"))</f>
        <v/>
      </c>
      <c r="L498" s="24">
        <f>IF(K498="","",IFERROR(INDEX(Lotes!$N$5:$N$154,MATCH(K498,Lotes!$P$5:$P$154,0)),"Sem lote cadastrado"))</f>
        <v/>
      </c>
      <c r="M498" s="25">
        <f>IF(H498="Sim",G498,0)</f>
        <v>0</v>
      </c>
      <c r="N498" s="42">
        <f>IF(AND(H498="Sim",I498&lt;&gt;"Aceito"),G498+ROW()/100000,0)</f>
        <v>0</v>
      </c>
    </row>
    <row r="499">
      <c r="A499" s="35" t="n"/>
      <c r="B499" s="39" t="n"/>
      <c r="C499" s="33" t="n"/>
      <c r="D499" s="35" t="n"/>
      <c r="E499" s="33" t="n"/>
      <c r="F499" s="33" t="n"/>
      <c r="G499" s="40" t="n"/>
      <c r="H499" s="35" t="n"/>
      <c r="I499" s="35" t="n"/>
      <c r="J499" s="30">
        <f>IF(B499="","",DATE(YEAR(B499),MONTH(B499),1))</f>
        <v/>
      </c>
      <c r="K499" s="41">
        <f>IF(OR(B499="",D499=""),"",D499&amp;"|"&amp;TEXT(J499,"yyyy-mm"))</f>
        <v/>
      </c>
      <c r="L499" s="24">
        <f>IF(K499="","",IFERROR(INDEX(Lotes!$N$5:$N$154,MATCH(K499,Lotes!$P$5:$P$154,0)),"Sem lote cadastrado"))</f>
        <v/>
      </c>
      <c r="M499" s="25">
        <f>IF(H499="Sim",G499,0)</f>
        <v>0</v>
      </c>
      <c r="N499" s="42">
        <f>IF(AND(H499="Sim",I499&lt;&gt;"Aceito"),G499+ROW()/100000,0)</f>
        <v>0</v>
      </c>
    </row>
    <row r="500">
      <c r="A500" s="35" t="n"/>
      <c r="B500" s="39" t="n"/>
      <c r="C500" s="33" t="n"/>
      <c r="D500" s="35" t="n"/>
      <c r="E500" s="33" t="n"/>
      <c r="F500" s="33" t="n"/>
      <c r="G500" s="40" t="n"/>
      <c r="H500" s="35" t="n"/>
      <c r="I500" s="35" t="n"/>
      <c r="J500" s="30">
        <f>IF(B500="","",DATE(YEAR(B500),MONTH(B500),1))</f>
        <v/>
      </c>
      <c r="K500" s="41">
        <f>IF(OR(B500="",D500=""),"",D500&amp;"|"&amp;TEXT(J500,"yyyy-mm"))</f>
        <v/>
      </c>
      <c r="L500" s="24">
        <f>IF(K500="","",IFERROR(INDEX(Lotes!$N$5:$N$154,MATCH(K500,Lotes!$P$5:$P$154,0)),"Sem lote cadastrado"))</f>
        <v/>
      </c>
      <c r="M500" s="25">
        <f>IF(H500="Sim",G500,0)</f>
        <v>0</v>
      </c>
      <c r="N500" s="42">
        <f>IF(AND(H500="Sim",I500&lt;&gt;"Aceito"),G500+ROW()/100000,0)</f>
        <v>0</v>
      </c>
    </row>
    <row r="501">
      <c r="A501" s="35" t="n"/>
      <c r="B501" s="39" t="n"/>
      <c r="C501" s="33" t="n"/>
      <c r="D501" s="35" t="n"/>
      <c r="E501" s="33" t="n"/>
      <c r="F501" s="33" t="n"/>
      <c r="G501" s="40" t="n"/>
      <c r="H501" s="35" t="n"/>
      <c r="I501" s="35" t="n"/>
      <c r="J501" s="30">
        <f>IF(B501="","",DATE(YEAR(B501),MONTH(B501),1))</f>
        <v/>
      </c>
      <c r="K501" s="41">
        <f>IF(OR(B501="",D501=""),"",D501&amp;"|"&amp;TEXT(J501,"yyyy-mm"))</f>
        <v/>
      </c>
      <c r="L501" s="24">
        <f>IF(K501="","",IFERROR(INDEX(Lotes!$N$5:$N$154,MATCH(K501,Lotes!$P$5:$P$154,0)),"Sem lote cadastrado"))</f>
        <v/>
      </c>
      <c r="M501" s="25">
        <f>IF(H501="Sim",G501,0)</f>
        <v>0</v>
      </c>
      <c r="N501" s="42">
        <f>IF(AND(H501="Sim",I501&lt;&gt;"Aceito"),G501+ROW()/100000,0)</f>
        <v>0</v>
      </c>
    </row>
    <row r="502">
      <c r="A502" s="35" t="n"/>
      <c r="B502" s="39" t="n"/>
      <c r="C502" s="33" t="n"/>
      <c r="D502" s="35" t="n"/>
      <c r="E502" s="33" t="n"/>
      <c r="F502" s="33" t="n"/>
      <c r="G502" s="40" t="n"/>
      <c r="H502" s="35" t="n"/>
      <c r="I502" s="35" t="n"/>
      <c r="J502" s="30">
        <f>IF(B502="","",DATE(YEAR(B502),MONTH(B502),1))</f>
        <v/>
      </c>
      <c r="K502" s="41">
        <f>IF(OR(B502="",D502=""),"",D502&amp;"|"&amp;TEXT(J502,"yyyy-mm"))</f>
        <v/>
      </c>
      <c r="L502" s="24">
        <f>IF(K502="","",IFERROR(INDEX(Lotes!$N$5:$N$154,MATCH(K502,Lotes!$P$5:$P$154,0)),"Sem lote cadastrado"))</f>
        <v/>
      </c>
      <c r="M502" s="25">
        <f>IF(H502="Sim",G502,0)</f>
        <v>0</v>
      </c>
      <c r="N502" s="42">
        <f>IF(AND(H502="Sim",I502&lt;&gt;"Aceito"),G502+ROW()/100000,0)</f>
        <v>0</v>
      </c>
    </row>
    <row r="503">
      <c r="A503" s="35" t="n"/>
      <c r="B503" s="39" t="n"/>
      <c r="C503" s="33" t="n"/>
      <c r="D503" s="35" t="n"/>
      <c r="E503" s="33" t="n"/>
      <c r="F503" s="33" t="n"/>
      <c r="G503" s="40" t="n"/>
      <c r="H503" s="35" t="n"/>
      <c r="I503" s="35" t="n"/>
      <c r="J503" s="30">
        <f>IF(B503="","",DATE(YEAR(B503),MONTH(B503),1))</f>
        <v/>
      </c>
      <c r="K503" s="41">
        <f>IF(OR(B503="",D503=""),"",D503&amp;"|"&amp;TEXT(J503,"yyyy-mm"))</f>
        <v/>
      </c>
      <c r="L503" s="24">
        <f>IF(K503="","",IFERROR(INDEX(Lotes!$N$5:$N$154,MATCH(K503,Lotes!$P$5:$P$154,0)),"Sem lote cadastrado"))</f>
        <v/>
      </c>
      <c r="M503" s="25">
        <f>IF(H503="Sim",G503,0)</f>
        <v>0</v>
      </c>
      <c r="N503" s="42">
        <f>IF(AND(H503="Sim",I503&lt;&gt;"Aceito"),G503+ROW()/100000,0)</f>
        <v>0</v>
      </c>
    </row>
    <row r="504">
      <c r="A504" s="35" t="n"/>
      <c r="B504" s="39" t="n"/>
      <c r="C504" s="33" t="n"/>
      <c r="D504" s="35" t="n"/>
      <c r="E504" s="33" t="n"/>
      <c r="F504" s="33" t="n"/>
      <c r="G504" s="40" t="n"/>
      <c r="H504" s="35" t="n"/>
      <c r="I504" s="35" t="n"/>
      <c r="J504" s="30">
        <f>IF(B504="","",DATE(YEAR(B504),MONTH(B504),1))</f>
        <v/>
      </c>
      <c r="K504" s="41">
        <f>IF(OR(B504="",D504=""),"",D504&amp;"|"&amp;TEXT(J504,"yyyy-mm"))</f>
        <v/>
      </c>
      <c r="L504" s="24">
        <f>IF(K504="","",IFERROR(INDEX(Lotes!$N$5:$N$154,MATCH(K504,Lotes!$P$5:$P$154,0)),"Sem lote cadastrado"))</f>
        <v/>
      </c>
      <c r="M504" s="25">
        <f>IF(H504="Sim",G504,0)</f>
        <v>0</v>
      </c>
      <c r="N504" s="42">
        <f>IF(AND(H504="Sim",I504&lt;&gt;"Aceito"),G504+ROW()/100000,0)</f>
        <v>0</v>
      </c>
    </row>
    <row r="505">
      <c r="A505" s="35" t="n"/>
      <c r="B505" s="39" t="n"/>
      <c r="C505" s="33" t="n"/>
      <c r="D505" s="35" t="n"/>
      <c r="E505" s="33" t="n"/>
      <c r="F505" s="33" t="n"/>
      <c r="G505" s="40" t="n"/>
      <c r="H505" s="35" t="n"/>
      <c r="I505" s="35" t="n"/>
      <c r="J505" s="30">
        <f>IF(B505="","",DATE(YEAR(B505),MONTH(B505),1))</f>
        <v/>
      </c>
      <c r="K505" s="41">
        <f>IF(OR(B505="",D505=""),"",D505&amp;"|"&amp;TEXT(J505,"yyyy-mm"))</f>
        <v/>
      </c>
      <c r="L505" s="24">
        <f>IF(K505="","",IFERROR(INDEX(Lotes!$N$5:$N$154,MATCH(K505,Lotes!$P$5:$P$154,0)),"Sem lote cadastrado"))</f>
        <v/>
      </c>
      <c r="M505" s="25">
        <f>IF(H505="Sim",G505,0)</f>
        <v>0</v>
      </c>
      <c r="N505" s="42">
        <f>IF(AND(H505="Sim",I505&lt;&gt;"Aceito"),G505+ROW()/100000,0)</f>
        <v>0</v>
      </c>
    </row>
    <row r="506">
      <c r="A506" s="35" t="n"/>
      <c r="B506" s="39" t="n"/>
      <c r="C506" s="33" t="n"/>
      <c r="D506" s="35" t="n"/>
      <c r="E506" s="33" t="n"/>
      <c r="F506" s="33" t="n"/>
      <c r="G506" s="40" t="n"/>
      <c r="H506" s="35" t="n"/>
      <c r="I506" s="35" t="n"/>
      <c r="J506" s="30">
        <f>IF(B506="","",DATE(YEAR(B506),MONTH(B506),1))</f>
        <v/>
      </c>
      <c r="K506" s="41">
        <f>IF(OR(B506="",D506=""),"",D506&amp;"|"&amp;TEXT(J506,"yyyy-mm"))</f>
        <v/>
      </c>
      <c r="L506" s="24">
        <f>IF(K506="","",IFERROR(INDEX(Lotes!$N$5:$N$154,MATCH(K506,Lotes!$P$5:$P$154,0)),"Sem lote cadastrado"))</f>
        <v/>
      </c>
      <c r="M506" s="25">
        <f>IF(H506="Sim",G506,0)</f>
        <v>0</v>
      </c>
      <c r="N506" s="42">
        <f>IF(AND(H506="Sim",I506&lt;&gt;"Aceito"),G506+ROW()/100000,0)</f>
        <v>0</v>
      </c>
    </row>
    <row r="507">
      <c r="A507" s="35" t="n"/>
      <c r="B507" s="39" t="n"/>
      <c r="C507" s="33" t="n"/>
      <c r="D507" s="35" t="n"/>
      <c r="E507" s="33" t="n"/>
      <c r="F507" s="33" t="n"/>
      <c r="G507" s="40" t="n"/>
      <c r="H507" s="35" t="n"/>
      <c r="I507" s="35" t="n"/>
      <c r="J507" s="30">
        <f>IF(B507="","",DATE(YEAR(B507),MONTH(B507),1))</f>
        <v/>
      </c>
      <c r="K507" s="41">
        <f>IF(OR(B507="",D507=""),"",D507&amp;"|"&amp;TEXT(J507,"yyyy-mm"))</f>
        <v/>
      </c>
      <c r="L507" s="24">
        <f>IF(K507="","",IFERROR(INDEX(Lotes!$N$5:$N$154,MATCH(K507,Lotes!$P$5:$P$154,0)),"Sem lote cadastrado"))</f>
        <v/>
      </c>
      <c r="M507" s="25">
        <f>IF(H507="Sim",G507,0)</f>
        <v>0</v>
      </c>
      <c r="N507" s="42">
        <f>IF(AND(H507="Sim",I507&lt;&gt;"Aceito"),G507+ROW()/100000,0)</f>
        <v>0</v>
      </c>
    </row>
    <row r="508">
      <c r="A508" s="35" t="n"/>
      <c r="B508" s="39" t="n"/>
      <c r="C508" s="33" t="n"/>
      <c r="D508" s="35" t="n"/>
      <c r="E508" s="33" t="n"/>
      <c r="F508" s="33" t="n"/>
      <c r="G508" s="40" t="n"/>
      <c r="H508" s="35" t="n"/>
      <c r="I508" s="35" t="n"/>
      <c r="J508" s="30">
        <f>IF(B508="","",DATE(YEAR(B508),MONTH(B508),1))</f>
        <v/>
      </c>
      <c r="K508" s="41">
        <f>IF(OR(B508="",D508=""),"",D508&amp;"|"&amp;TEXT(J508,"yyyy-mm"))</f>
        <v/>
      </c>
      <c r="L508" s="24">
        <f>IF(K508="","",IFERROR(INDEX(Lotes!$N$5:$N$154,MATCH(K508,Lotes!$P$5:$P$154,0)),"Sem lote cadastrado"))</f>
        <v/>
      </c>
      <c r="M508" s="25">
        <f>IF(H508="Sim",G508,0)</f>
        <v>0</v>
      </c>
      <c r="N508" s="42">
        <f>IF(AND(H508="Sim",I508&lt;&gt;"Aceito"),G508+ROW()/100000,0)</f>
        <v>0</v>
      </c>
    </row>
    <row r="509">
      <c r="A509" s="35" t="n"/>
      <c r="B509" s="39" t="n"/>
      <c r="C509" s="33" t="n"/>
      <c r="D509" s="35" t="n"/>
      <c r="E509" s="33" t="n"/>
      <c r="F509" s="33" t="n"/>
      <c r="G509" s="40" t="n"/>
      <c r="H509" s="35" t="n"/>
      <c r="I509" s="35" t="n"/>
      <c r="J509" s="30">
        <f>IF(B509="","",DATE(YEAR(B509),MONTH(B509),1))</f>
        <v/>
      </c>
      <c r="K509" s="41">
        <f>IF(OR(B509="",D509=""),"",D509&amp;"|"&amp;TEXT(J509,"yyyy-mm"))</f>
        <v/>
      </c>
      <c r="L509" s="24">
        <f>IF(K509="","",IFERROR(INDEX(Lotes!$N$5:$N$154,MATCH(K509,Lotes!$P$5:$P$154,0)),"Sem lote cadastrado"))</f>
        <v/>
      </c>
      <c r="M509" s="25">
        <f>IF(H509="Sim",G509,0)</f>
        <v>0</v>
      </c>
      <c r="N509" s="42">
        <f>IF(AND(H509="Sim",I509&lt;&gt;"Aceito"),G509+ROW()/100000,0)</f>
        <v>0</v>
      </c>
    </row>
    <row r="510">
      <c r="A510" s="35" t="n"/>
      <c r="B510" s="39" t="n"/>
      <c r="C510" s="33" t="n"/>
      <c r="D510" s="35" t="n"/>
      <c r="E510" s="33" t="n"/>
      <c r="F510" s="33" t="n"/>
      <c r="G510" s="40" t="n"/>
      <c r="H510" s="35" t="n"/>
      <c r="I510" s="35" t="n"/>
      <c r="J510" s="30">
        <f>IF(B510="","",DATE(YEAR(B510),MONTH(B510),1))</f>
        <v/>
      </c>
      <c r="K510" s="41">
        <f>IF(OR(B510="",D510=""),"",D510&amp;"|"&amp;TEXT(J510,"yyyy-mm"))</f>
        <v/>
      </c>
      <c r="L510" s="24">
        <f>IF(K510="","",IFERROR(INDEX(Lotes!$N$5:$N$154,MATCH(K510,Lotes!$P$5:$P$154,0)),"Sem lote cadastrado"))</f>
        <v/>
      </c>
      <c r="M510" s="25">
        <f>IF(H510="Sim",G510,0)</f>
        <v>0</v>
      </c>
      <c r="N510" s="42">
        <f>IF(AND(H510="Sim",I510&lt;&gt;"Aceito"),G510+ROW()/100000,0)</f>
        <v>0</v>
      </c>
    </row>
    <row r="511">
      <c r="A511" s="35" t="n"/>
      <c r="B511" s="39" t="n"/>
      <c r="C511" s="33" t="n"/>
      <c r="D511" s="35" t="n"/>
      <c r="E511" s="33" t="n"/>
      <c r="F511" s="33" t="n"/>
      <c r="G511" s="40" t="n"/>
      <c r="H511" s="35" t="n"/>
      <c r="I511" s="35" t="n"/>
      <c r="J511" s="30">
        <f>IF(B511="","",DATE(YEAR(B511),MONTH(B511),1))</f>
        <v/>
      </c>
      <c r="K511" s="41">
        <f>IF(OR(B511="",D511=""),"",D511&amp;"|"&amp;TEXT(J511,"yyyy-mm"))</f>
        <v/>
      </c>
      <c r="L511" s="24">
        <f>IF(K511="","",IFERROR(INDEX(Lotes!$N$5:$N$154,MATCH(K511,Lotes!$P$5:$P$154,0)),"Sem lote cadastrado"))</f>
        <v/>
      </c>
      <c r="M511" s="25">
        <f>IF(H511="Sim",G511,0)</f>
        <v>0</v>
      </c>
      <c r="N511" s="42">
        <f>IF(AND(H511="Sim",I511&lt;&gt;"Aceito"),G511+ROW()/100000,0)</f>
        <v>0</v>
      </c>
    </row>
    <row r="512">
      <c r="A512" s="35" t="n"/>
      <c r="B512" s="39" t="n"/>
      <c r="C512" s="33" t="n"/>
      <c r="D512" s="35" t="n"/>
      <c r="E512" s="33" t="n"/>
      <c r="F512" s="33" t="n"/>
      <c r="G512" s="40" t="n"/>
      <c r="H512" s="35" t="n"/>
      <c r="I512" s="35" t="n"/>
      <c r="J512" s="30">
        <f>IF(B512="","",DATE(YEAR(B512),MONTH(B512),1))</f>
        <v/>
      </c>
      <c r="K512" s="41">
        <f>IF(OR(B512="",D512=""),"",D512&amp;"|"&amp;TEXT(J512,"yyyy-mm"))</f>
        <v/>
      </c>
      <c r="L512" s="24">
        <f>IF(K512="","",IFERROR(INDEX(Lotes!$N$5:$N$154,MATCH(K512,Lotes!$P$5:$P$154,0)),"Sem lote cadastrado"))</f>
        <v/>
      </c>
      <c r="M512" s="25">
        <f>IF(H512="Sim",G512,0)</f>
        <v>0</v>
      </c>
      <c r="N512" s="42">
        <f>IF(AND(H512="Sim",I512&lt;&gt;"Aceito"),G512+ROW()/100000,0)</f>
        <v>0</v>
      </c>
    </row>
    <row r="513">
      <c r="A513" s="35" t="n"/>
      <c r="B513" s="39" t="n"/>
      <c r="C513" s="33" t="n"/>
      <c r="D513" s="35" t="n"/>
      <c r="E513" s="33" t="n"/>
      <c r="F513" s="33" t="n"/>
      <c r="G513" s="40" t="n"/>
      <c r="H513" s="35" t="n"/>
      <c r="I513" s="35" t="n"/>
      <c r="J513" s="30">
        <f>IF(B513="","",DATE(YEAR(B513),MONTH(B513),1))</f>
        <v/>
      </c>
      <c r="K513" s="41">
        <f>IF(OR(B513="",D513=""),"",D513&amp;"|"&amp;TEXT(J513,"yyyy-mm"))</f>
        <v/>
      </c>
      <c r="L513" s="24">
        <f>IF(K513="","",IFERROR(INDEX(Lotes!$N$5:$N$154,MATCH(K513,Lotes!$P$5:$P$154,0)),"Sem lote cadastrado"))</f>
        <v/>
      </c>
      <c r="M513" s="25">
        <f>IF(H513="Sim",G513,0)</f>
        <v>0</v>
      </c>
      <c r="N513" s="42">
        <f>IF(AND(H513="Sim",I513&lt;&gt;"Aceito"),G513+ROW()/100000,0)</f>
        <v>0</v>
      </c>
    </row>
    <row r="514">
      <c r="A514" s="35" t="n"/>
      <c r="B514" s="39" t="n"/>
      <c r="C514" s="33" t="n"/>
      <c r="D514" s="35" t="n"/>
      <c r="E514" s="33" t="n"/>
      <c r="F514" s="33" t="n"/>
      <c r="G514" s="40" t="n"/>
      <c r="H514" s="35" t="n"/>
      <c r="I514" s="35" t="n"/>
      <c r="J514" s="30">
        <f>IF(B514="","",DATE(YEAR(B514),MONTH(B514),1))</f>
        <v/>
      </c>
      <c r="K514" s="41">
        <f>IF(OR(B514="",D514=""),"",D514&amp;"|"&amp;TEXT(J514,"yyyy-mm"))</f>
        <v/>
      </c>
      <c r="L514" s="24">
        <f>IF(K514="","",IFERROR(INDEX(Lotes!$N$5:$N$154,MATCH(K514,Lotes!$P$5:$P$154,0)),"Sem lote cadastrado"))</f>
        <v/>
      </c>
      <c r="M514" s="25">
        <f>IF(H514="Sim",G514,0)</f>
        <v>0</v>
      </c>
      <c r="N514" s="42">
        <f>IF(AND(H514="Sim",I514&lt;&gt;"Aceito"),G514+ROW()/100000,0)</f>
        <v>0</v>
      </c>
    </row>
    <row r="515">
      <c r="A515" s="35" t="n"/>
      <c r="B515" s="39" t="n"/>
      <c r="C515" s="33" t="n"/>
      <c r="D515" s="35" t="n"/>
      <c r="E515" s="33" t="n"/>
      <c r="F515" s="33" t="n"/>
      <c r="G515" s="40" t="n"/>
      <c r="H515" s="35" t="n"/>
      <c r="I515" s="35" t="n"/>
      <c r="J515" s="30">
        <f>IF(B515="","",DATE(YEAR(B515),MONTH(B515),1))</f>
        <v/>
      </c>
      <c r="K515" s="41">
        <f>IF(OR(B515="",D515=""),"",D515&amp;"|"&amp;TEXT(J515,"yyyy-mm"))</f>
        <v/>
      </c>
      <c r="L515" s="24">
        <f>IF(K515="","",IFERROR(INDEX(Lotes!$N$5:$N$154,MATCH(K515,Lotes!$P$5:$P$154,0)),"Sem lote cadastrado"))</f>
        <v/>
      </c>
      <c r="M515" s="25">
        <f>IF(H515="Sim",G515,0)</f>
        <v>0</v>
      </c>
      <c r="N515" s="42">
        <f>IF(AND(H515="Sim",I515&lt;&gt;"Aceito"),G515+ROW()/100000,0)</f>
        <v>0</v>
      </c>
    </row>
    <row r="516">
      <c r="A516" s="35" t="n"/>
      <c r="B516" s="39" t="n"/>
      <c r="C516" s="33" t="n"/>
      <c r="D516" s="35" t="n"/>
      <c r="E516" s="33" t="n"/>
      <c r="F516" s="33" t="n"/>
      <c r="G516" s="40" t="n"/>
      <c r="H516" s="35" t="n"/>
      <c r="I516" s="35" t="n"/>
      <c r="J516" s="30">
        <f>IF(B516="","",DATE(YEAR(B516),MONTH(B516),1))</f>
        <v/>
      </c>
      <c r="K516" s="41">
        <f>IF(OR(B516="",D516=""),"",D516&amp;"|"&amp;TEXT(J516,"yyyy-mm"))</f>
        <v/>
      </c>
      <c r="L516" s="24">
        <f>IF(K516="","",IFERROR(INDEX(Lotes!$N$5:$N$154,MATCH(K516,Lotes!$P$5:$P$154,0)),"Sem lote cadastrado"))</f>
        <v/>
      </c>
      <c r="M516" s="25">
        <f>IF(H516="Sim",G516,0)</f>
        <v>0</v>
      </c>
      <c r="N516" s="42">
        <f>IF(AND(H516="Sim",I516&lt;&gt;"Aceito"),G516+ROW()/100000,0)</f>
        <v>0</v>
      </c>
    </row>
    <row r="517">
      <c r="A517" s="35" t="n"/>
      <c r="B517" s="39" t="n"/>
      <c r="C517" s="33" t="n"/>
      <c r="D517" s="35" t="n"/>
      <c r="E517" s="33" t="n"/>
      <c r="F517" s="33" t="n"/>
      <c r="G517" s="40" t="n"/>
      <c r="H517" s="35" t="n"/>
      <c r="I517" s="35" t="n"/>
      <c r="J517" s="30">
        <f>IF(B517="","",DATE(YEAR(B517),MONTH(B517),1))</f>
        <v/>
      </c>
      <c r="K517" s="41">
        <f>IF(OR(B517="",D517=""),"",D517&amp;"|"&amp;TEXT(J517,"yyyy-mm"))</f>
        <v/>
      </c>
      <c r="L517" s="24">
        <f>IF(K517="","",IFERROR(INDEX(Lotes!$N$5:$N$154,MATCH(K517,Lotes!$P$5:$P$154,0)),"Sem lote cadastrado"))</f>
        <v/>
      </c>
      <c r="M517" s="25">
        <f>IF(H517="Sim",G517,0)</f>
        <v>0</v>
      </c>
      <c r="N517" s="42">
        <f>IF(AND(H517="Sim",I517&lt;&gt;"Aceito"),G517+ROW()/100000,0)</f>
        <v>0</v>
      </c>
    </row>
    <row r="518">
      <c r="A518" s="35" t="n"/>
      <c r="B518" s="39" t="n"/>
      <c r="C518" s="33" t="n"/>
      <c r="D518" s="35" t="n"/>
      <c r="E518" s="33" t="n"/>
      <c r="F518" s="33" t="n"/>
      <c r="G518" s="40" t="n"/>
      <c r="H518" s="35" t="n"/>
      <c r="I518" s="35" t="n"/>
      <c r="J518" s="30">
        <f>IF(B518="","",DATE(YEAR(B518),MONTH(B518),1))</f>
        <v/>
      </c>
      <c r="K518" s="41">
        <f>IF(OR(B518="",D518=""),"",D518&amp;"|"&amp;TEXT(J518,"yyyy-mm"))</f>
        <v/>
      </c>
      <c r="L518" s="24">
        <f>IF(K518="","",IFERROR(INDEX(Lotes!$N$5:$N$154,MATCH(K518,Lotes!$P$5:$P$154,0)),"Sem lote cadastrado"))</f>
        <v/>
      </c>
      <c r="M518" s="25">
        <f>IF(H518="Sim",G518,0)</f>
        <v>0</v>
      </c>
      <c r="N518" s="42">
        <f>IF(AND(H518="Sim",I518&lt;&gt;"Aceito"),G518+ROW()/100000,0)</f>
        <v>0</v>
      </c>
    </row>
    <row r="519">
      <c r="A519" s="35" t="n"/>
      <c r="B519" s="39" t="n"/>
      <c r="C519" s="33" t="n"/>
      <c r="D519" s="35" t="n"/>
      <c r="E519" s="33" t="n"/>
      <c r="F519" s="33" t="n"/>
      <c r="G519" s="40" t="n"/>
      <c r="H519" s="35" t="n"/>
      <c r="I519" s="35" t="n"/>
      <c r="J519" s="30">
        <f>IF(B519="","",DATE(YEAR(B519),MONTH(B519),1))</f>
        <v/>
      </c>
      <c r="K519" s="41">
        <f>IF(OR(B519="",D519=""),"",D519&amp;"|"&amp;TEXT(J519,"yyyy-mm"))</f>
        <v/>
      </c>
      <c r="L519" s="24">
        <f>IF(K519="","",IFERROR(INDEX(Lotes!$N$5:$N$154,MATCH(K519,Lotes!$P$5:$P$154,0)),"Sem lote cadastrado"))</f>
        <v/>
      </c>
      <c r="M519" s="25">
        <f>IF(H519="Sim",G519,0)</f>
        <v>0</v>
      </c>
      <c r="N519" s="42">
        <f>IF(AND(H519="Sim",I519&lt;&gt;"Aceito"),G519+ROW()/100000,0)</f>
        <v>0</v>
      </c>
    </row>
    <row r="520">
      <c r="A520" s="35" t="n"/>
      <c r="B520" s="39" t="n"/>
      <c r="C520" s="33" t="n"/>
      <c r="D520" s="35" t="n"/>
      <c r="E520" s="33" t="n"/>
      <c r="F520" s="33" t="n"/>
      <c r="G520" s="40" t="n"/>
      <c r="H520" s="35" t="n"/>
      <c r="I520" s="35" t="n"/>
      <c r="J520" s="30">
        <f>IF(B520="","",DATE(YEAR(B520),MONTH(B520),1))</f>
        <v/>
      </c>
      <c r="K520" s="41">
        <f>IF(OR(B520="",D520=""),"",D520&amp;"|"&amp;TEXT(J520,"yyyy-mm"))</f>
        <v/>
      </c>
      <c r="L520" s="24">
        <f>IF(K520="","",IFERROR(INDEX(Lotes!$N$5:$N$154,MATCH(K520,Lotes!$P$5:$P$154,0)),"Sem lote cadastrado"))</f>
        <v/>
      </c>
      <c r="M520" s="25">
        <f>IF(H520="Sim",G520,0)</f>
        <v>0</v>
      </c>
      <c r="N520" s="42">
        <f>IF(AND(H520="Sim",I520&lt;&gt;"Aceito"),G520+ROW()/100000,0)</f>
        <v>0</v>
      </c>
    </row>
    <row r="521">
      <c r="A521" s="35" t="n"/>
      <c r="B521" s="39" t="n"/>
      <c r="C521" s="33" t="n"/>
      <c r="D521" s="35" t="n"/>
      <c r="E521" s="33" t="n"/>
      <c r="F521" s="33" t="n"/>
      <c r="G521" s="40" t="n"/>
      <c r="H521" s="35" t="n"/>
      <c r="I521" s="35" t="n"/>
      <c r="J521" s="30">
        <f>IF(B521="","",DATE(YEAR(B521),MONTH(B521),1))</f>
        <v/>
      </c>
      <c r="K521" s="41">
        <f>IF(OR(B521="",D521=""),"",D521&amp;"|"&amp;TEXT(J521,"yyyy-mm"))</f>
        <v/>
      </c>
      <c r="L521" s="24">
        <f>IF(K521="","",IFERROR(INDEX(Lotes!$N$5:$N$154,MATCH(K521,Lotes!$P$5:$P$154,0)),"Sem lote cadastrado"))</f>
        <v/>
      </c>
      <c r="M521" s="25">
        <f>IF(H521="Sim",G521,0)</f>
        <v>0</v>
      </c>
      <c r="N521" s="42">
        <f>IF(AND(H521="Sim",I521&lt;&gt;"Aceito"),G521+ROW()/100000,0)</f>
        <v>0</v>
      </c>
    </row>
    <row r="522">
      <c r="A522" s="35" t="n"/>
      <c r="B522" s="39" t="n"/>
      <c r="C522" s="33" t="n"/>
      <c r="D522" s="35" t="n"/>
      <c r="E522" s="33" t="n"/>
      <c r="F522" s="33" t="n"/>
      <c r="G522" s="40" t="n"/>
      <c r="H522" s="35" t="n"/>
      <c r="I522" s="35" t="n"/>
      <c r="J522" s="30">
        <f>IF(B522="","",DATE(YEAR(B522),MONTH(B522),1))</f>
        <v/>
      </c>
      <c r="K522" s="41">
        <f>IF(OR(B522="",D522=""),"",D522&amp;"|"&amp;TEXT(J522,"yyyy-mm"))</f>
        <v/>
      </c>
      <c r="L522" s="24">
        <f>IF(K522="","",IFERROR(INDEX(Lotes!$N$5:$N$154,MATCH(K522,Lotes!$P$5:$P$154,0)),"Sem lote cadastrado"))</f>
        <v/>
      </c>
      <c r="M522" s="25">
        <f>IF(H522="Sim",G522,0)</f>
        <v>0</v>
      </c>
      <c r="N522" s="42">
        <f>IF(AND(H522="Sim",I522&lt;&gt;"Aceito"),G522+ROW()/100000,0)</f>
        <v>0</v>
      </c>
    </row>
    <row r="523">
      <c r="A523" s="35" t="n"/>
      <c r="B523" s="39" t="n"/>
      <c r="C523" s="33" t="n"/>
      <c r="D523" s="35" t="n"/>
      <c r="E523" s="33" t="n"/>
      <c r="F523" s="33" t="n"/>
      <c r="G523" s="40" t="n"/>
      <c r="H523" s="35" t="n"/>
      <c r="I523" s="35" t="n"/>
      <c r="J523" s="30">
        <f>IF(B523="","",DATE(YEAR(B523),MONTH(B523),1))</f>
        <v/>
      </c>
      <c r="K523" s="41">
        <f>IF(OR(B523="",D523=""),"",D523&amp;"|"&amp;TEXT(J523,"yyyy-mm"))</f>
        <v/>
      </c>
      <c r="L523" s="24">
        <f>IF(K523="","",IFERROR(INDEX(Lotes!$N$5:$N$154,MATCH(K523,Lotes!$P$5:$P$154,0)),"Sem lote cadastrado"))</f>
        <v/>
      </c>
      <c r="M523" s="25">
        <f>IF(H523="Sim",G523,0)</f>
        <v>0</v>
      </c>
      <c r="N523" s="42">
        <f>IF(AND(H523="Sim",I523&lt;&gt;"Aceito"),G523+ROW()/100000,0)</f>
        <v>0</v>
      </c>
    </row>
    <row r="524">
      <c r="A524" s="35" t="n"/>
      <c r="B524" s="39" t="n"/>
      <c r="C524" s="33" t="n"/>
      <c r="D524" s="35" t="n"/>
      <c r="E524" s="33" t="n"/>
      <c r="F524" s="33" t="n"/>
      <c r="G524" s="40" t="n"/>
      <c r="H524" s="35" t="n"/>
      <c r="I524" s="35" t="n"/>
      <c r="J524" s="30">
        <f>IF(B524="","",DATE(YEAR(B524),MONTH(B524),1))</f>
        <v/>
      </c>
      <c r="K524" s="41">
        <f>IF(OR(B524="",D524=""),"",D524&amp;"|"&amp;TEXT(J524,"yyyy-mm"))</f>
        <v/>
      </c>
      <c r="L524" s="24">
        <f>IF(K524="","",IFERROR(INDEX(Lotes!$N$5:$N$154,MATCH(K524,Lotes!$P$5:$P$154,0)),"Sem lote cadastrado"))</f>
        <v/>
      </c>
      <c r="M524" s="25">
        <f>IF(H524="Sim",G524,0)</f>
        <v>0</v>
      </c>
      <c r="N524" s="42">
        <f>IF(AND(H524="Sim",I524&lt;&gt;"Aceito"),G524+ROW()/100000,0)</f>
        <v>0</v>
      </c>
    </row>
    <row r="525">
      <c r="A525" s="35" t="n"/>
      <c r="B525" s="39" t="n"/>
      <c r="C525" s="33" t="n"/>
      <c r="D525" s="35" t="n"/>
      <c r="E525" s="33" t="n"/>
      <c r="F525" s="33" t="n"/>
      <c r="G525" s="40" t="n"/>
      <c r="H525" s="35" t="n"/>
      <c r="I525" s="35" t="n"/>
      <c r="J525" s="30">
        <f>IF(B525="","",DATE(YEAR(B525),MONTH(B525),1))</f>
        <v/>
      </c>
      <c r="K525" s="41">
        <f>IF(OR(B525="",D525=""),"",D525&amp;"|"&amp;TEXT(J525,"yyyy-mm"))</f>
        <v/>
      </c>
      <c r="L525" s="24">
        <f>IF(K525="","",IFERROR(INDEX(Lotes!$N$5:$N$154,MATCH(K525,Lotes!$P$5:$P$154,0)),"Sem lote cadastrado"))</f>
        <v/>
      </c>
      <c r="M525" s="25">
        <f>IF(H525="Sim",G525,0)</f>
        <v>0</v>
      </c>
      <c r="N525" s="42">
        <f>IF(AND(H525="Sim",I525&lt;&gt;"Aceito"),G525+ROW()/100000,0)</f>
        <v>0</v>
      </c>
    </row>
    <row r="526">
      <c r="A526" s="35" t="n"/>
      <c r="B526" s="39" t="n"/>
      <c r="C526" s="33" t="n"/>
      <c r="D526" s="35" t="n"/>
      <c r="E526" s="33" t="n"/>
      <c r="F526" s="33" t="n"/>
      <c r="G526" s="40" t="n"/>
      <c r="H526" s="35" t="n"/>
      <c r="I526" s="35" t="n"/>
      <c r="J526" s="30">
        <f>IF(B526="","",DATE(YEAR(B526),MONTH(B526),1))</f>
        <v/>
      </c>
      <c r="K526" s="41">
        <f>IF(OR(B526="",D526=""),"",D526&amp;"|"&amp;TEXT(J526,"yyyy-mm"))</f>
        <v/>
      </c>
      <c r="L526" s="24">
        <f>IF(K526="","",IFERROR(INDEX(Lotes!$N$5:$N$154,MATCH(K526,Lotes!$P$5:$P$154,0)),"Sem lote cadastrado"))</f>
        <v/>
      </c>
      <c r="M526" s="25">
        <f>IF(H526="Sim",G526,0)</f>
        <v>0</v>
      </c>
      <c r="N526" s="42">
        <f>IF(AND(H526="Sim",I526&lt;&gt;"Aceito"),G526+ROW()/100000,0)</f>
        <v>0</v>
      </c>
    </row>
    <row r="527">
      <c r="A527" s="35" t="n"/>
      <c r="B527" s="39" t="n"/>
      <c r="C527" s="33" t="n"/>
      <c r="D527" s="35" t="n"/>
      <c r="E527" s="33" t="n"/>
      <c r="F527" s="33" t="n"/>
      <c r="G527" s="40" t="n"/>
      <c r="H527" s="35" t="n"/>
      <c r="I527" s="35" t="n"/>
      <c r="J527" s="30">
        <f>IF(B527="","",DATE(YEAR(B527),MONTH(B527),1))</f>
        <v/>
      </c>
      <c r="K527" s="41">
        <f>IF(OR(B527="",D527=""),"",D527&amp;"|"&amp;TEXT(J527,"yyyy-mm"))</f>
        <v/>
      </c>
      <c r="L527" s="24">
        <f>IF(K527="","",IFERROR(INDEX(Lotes!$N$5:$N$154,MATCH(K527,Lotes!$P$5:$P$154,0)),"Sem lote cadastrado"))</f>
        <v/>
      </c>
      <c r="M527" s="25">
        <f>IF(H527="Sim",G527,0)</f>
        <v>0</v>
      </c>
      <c r="N527" s="42">
        <f>IF(AND(H527="Sim",I527&lt;&gt;"Aceito"),G527+ROW()/100000,0)</f>
        <v>0</v>
      </c>
    </row>
    <row r="528">
      <c r="A528" s="35" t="n"/>
      <c r="B528" s="39" t="n"/>
      <c r="C528" s="33" t="n"/>
      <c r="D528" s="35" t="n"/>
      <c r="E528" s="33" t="n"/>
      <c r="F528" s="33" t="n"/>
      <c r="G528" s="40" t="n"/>
      <c r="H528" s="35" t="n"/>
      <c r="I528" s="35" t="n"/>
      <c r="J528" s="30">
        <f>IF(B528="","",DATE(YEAR(B528),MONTH(B528),1))</f>
        <v/>
      </c>
      <c r="K528" s="41">
        <f>IF(OR(B528="",D528=""),"",D528&amp;"|"&amp;TEXT(J528,"yyyy-mm"))</f>
        <v/>
      </c>
      <c r="L528" s="24">
        <f>IF(K528="","",IFERROR(INDEX(Lotes!$N$5:$N$154,MATCH(K528,Lotes!$P$5:$P$154,0)),"Sem lote cadastrado"))</f>
        <v/>
      </c>
      <c r="M528" s="25">
        <f>IF(H528="Sim",G528,0)</f>
        <v>0</v>
      </c>
      <c r="N528" s="42">
        <f>IF(AND(H528="Sim",I528&lt;&gt;"Aceito"),G528+ROW()/100000,0)</f>
        <v>0</v>
      </c>
    </row>
    <row r="529">
      <c r="A529" s="35" t="n"/>
      <c r="B529" s="39" t="n"/>
      <c r="C529" s="33" t="n"/>
      <c r="D529" s="35" t="n"/>
      <c r="E529" s="33" t="n"/>
      <c r="F529" s="33" t="n"/>
      <c r="G529" s="40" t="n"/>
      <c r="H529" s="35" t="n"/>
      <c r="I529" s="35" t="n"/>
      <c r="J529" s="30">
        <f>IF(B529="","",DATE(YEAR(B529),MONTH(B529),1))</f>
        <v/>
      </c>
      <c r="K529" s="41">
        <f>IF(OR(B529="",D529=""),"",D529&amp;"|"&amp;TEXT(J529,"yyyy-mm"))</f>
        <v/>
      </c>
      <c r="L529" s="24">
        <f>IF(K529="","",IFERROR(INDEX(Lotes!$N$5:$N$154,MATCH(K529,Lotes!$P$5:$P$154,0)),"Sem lote cadastrado"))</f>
        <v/>
      </c>
      <c r="M529" s="25">
        <f>IF(H529="Sim",G529,0)</f>
        <v>0</v>
      </c>
      <c r="N529" s="42">
        <f>IF(AND(H529="Sim",I529&lt;&gt;"Aceito"),G529+ROW()/100000,0)</f>
        <v>0</v>
      </c>
    </row>
    <row r="530">
      <c r="A530" s="35" t="n"/>
      <c r="B530" s="39" t="n"/>
      <c r="C530" s="33" t="n"/>
      <c r="D530" s="35" t="n"/>
      <c r="E530" s="33" t="n"/>
      <c r="F530" s="33" t="n"/>
      <c r="G530" s="40" t="n"/>
      <c r="H530" s="35" t="n"/>
      <c r="I530" s="35" t="n"/>
      <c r="J530" s="30">
        <f>IF(B530="","",DATE(YEAR(B530),MONTH(B530),1))</f>
        <v/>
      </c>
      <c r="K530" s="41">
        <f>IF(OR(B530="",D530=""),"",D530&amp;"|"&amp;TEXT(J530,"yyyy-mm"))</f>
        <v/>
      </c>
      <c r="L530" s="24">
        <f>IF(K530="","",IFERROR(INDEX(Lotes!$N$5:$N$154,MATCH(K530,Lotes!$P$5:$P$154,0)),"Sem lote cadastrado"))</f>
        <v/>
      </c>
      <c r="M530" s="25">
        <f>IF(H530="Sim",G530,0)</f>
        <v>0</v>
      </c>
      <c r="N530" s="42">
        <f>IF(AND(H530="Sim",I530&lt;&gt;"Aceito"),G530+ROW()/100000,0)</f>
        <v>0</v>
      </c>
    </row>
    <row r="531">
      <c r="A531" s="35" t="n"/>
      <c r="B531" s="39" t="n"/>
      <c r="C531" s="33" t="n"/>
      <c r="D531" s="35" t="n"/>
      <c r="E531" s="33" t="n"/>
      <c r="F531" s="33" t="n"/>
      <c r="G531" s="40" t="n"/>
      <c r="H531" s="35" t="n"/>
      <c r="I531" s="35" t="n"/>
      <c r="J531" s="30">
        <f>IF(B531="","",DATE(YEAR(B531),MONTH(B531),1))</f>
        <v/>
      </c>
      <c r="K531" s="41">
        <f>IF(OR(B531="",D531=""),"",D531&amp;"|"&amp;TEXT(J531,"yyyy-mm"))</f>
        <v/>
      </c>
      <c r="L531" s="24">
        <f>IF(K531="","",IFERROR(INDEX(Lotes!$N$5:$N$154,MATCH(K531,Lotes!$P$5:$P$154,0)),"Sem lote cadastrado"))</f>
        <v/>
      </c>
      <c r="M531" s="25">
        <f>IF(H531="Sim",G531,0)</f>
        <v>0</v>
      </c>
      <c r="N531" s="42">
        <f>IF(AND(H531="Sim",I531&lt;&gt;"Aceito"),G531+ROW()/100000,0)</f>
        <v>0</v>
      </c>
    </row>
    <row r="532">
      <c r="A532" s="35" t="n"/>
      <c r="B532" s="39" t="n"/>
      <c r="C532" s="33" t="n"/>
      <c r="D532" s="35" t="n"/>
      <c r="E532" s="33" t="n"/>
      <c r="F532" s="33" t="n"/>
      <c r="G532" s="40" t="n"/>
      <c r="H532" s="35" t="n"/>
      <c r="I532" s="35" t="n"/>
      <c r="J532" s="30">
        <f>IF(B532="","",DATE(YEAR(B532),MONTH(B532),1))</f>
        <v/>
      </c>
      <c r="K532" s="41">
        <f>IF(OR(B532="",D532=""),"",D532&amp;"|"&amp;TEXT(J532,"yyyy-mm"))</f>
        <v/>
      </c>
      <c r="L532" s="24">
        <f>IF(K532="","",IFERROR(INDEX(Lotes!$N$5:$N$154,MATCH(K532,Lotes!$P$5:$P$154,0)),"Sem lote cadastrado"))</f>
        <v/>
      </c>
      <c r="M532" s="25">
        <f>IF(H532="Sim",G532,0)</f>
        <v>0</v>
      </c>
      <c r="N532" s="42">
        <f>IF(AND(H532="Sim",I532&lt;&gt;"Aceito"),G532+ROW()/100000,0)</f>
        <v>0</v>
      </c>
    </row>
    <row r="533">
      <c r="A533" s="35" t="n"/>
      <c r="B533" s="39" t="n"/>
      <c r="C533" s="33" t="n"/>
      <c r="D533" s="35" t="n"/>
      <c r="E533" s="33" t="n"/>
      <c r="F533" s="33" t="n"/>
      <c r="G533" s="40" t="n"/>
      <c r="H533" s="35" t="n"/>
      <c r="I533" s="35" t="n"/>
      <c r="J533" s="30">
        <f>IF(B533="","",DATE(YEAR(B533),MONTH(B533),1))</f>
        <v/>
      </c>
      <c r="K533" s="41">
        <f>IF(OR(B533="",D533=""),"",D533&amp;"|"&amp;TEXT(J533,"yyyy-mm"))</f>
        <v/>
      </c>
      <c r="L533" s="24">
        <f>IF(K533="","",IFERROR(INDEX(Lotes!$N$5:$N$154,MATCH(K533,Lotes!$P$5:$P$154,0)),"Sem lote cadastrado"))</f>
        <v/>
      </c>
      <c r="M533" s="25">
        <f>IF(H533="Sim",G533,0)</f>
        <v>0</v>
      </c>
      <c r="N533" s="42">
        <f>IF(AND(H533="Sim",I533&lt;&gt;"Aceito"),G533+ROW()/100000,0)</f>
        <v>0</v>
      </c>
    </row>
    <row r="534">
      <c r="A534" s="35" t="n"/>
      <c r="B534" s="39" t="n"/>
      <c r="C534" s="33" t="n"/>
      <c r="D534" s="35" t="n"/>
      <c r="E534" s="33" t="n"/>
      <c r="F534" s="33" t="n"/>
      <c r="G534" s="40" t="n"/>
      <c r="H534" s="35" t="n"/>
      <c r="I534" s="35" t="n"/>
      <c r="J534" s="30">
        <f>IF(B534="","",DATE(YEAR(B534),MONTH(B534),1))</f>
        <v/>
      </c>
      <c r="K534" s="41">
        <f>IF(OR(B534="",D534=""),"",D534&amp;"|"&amp;TEXT(J534,"yyyy-mm"))</f>
        <v/>
      </c>
      <c r="L534" s="24">
        <f>IF(K534="","",IFERROR(INDEX(Lotes!$N$5:$N$154,MATCH(K534,Lotes!$P$5:$P$154,0)),"Sem lote cadastrado"))</f>
        <v/>
      </c>
      <c r="M534" s="25">
        <f>IF(H534="Sim",G534,0)</f>
        <v>0</v>
      </c>
      <c r="N534" s="42">
        <f>IF(AND(H534="Sim",I534&lt;&gt;"Aceito"),G534+ROW()/100000,0)</f>
        <v>0</v>
      </c>
    </row>
    <row r="535">
      <c r="A535" s="35" t="n"/>
      <c r="B535" s="39" t="n"/>
      <c r="C535" s="33" t="n"/>
      <c r="D535" s="35" t="n"/>
      <c r="E535" s="33" t="n"/>
      <c r="F535" s="33" t="n"/>
      <c r="G535" s="40" t="n"/>
      <c r="H535" s="35" t="n"/>
      <c r="I535" s="35" t="n"/>
      <c r="J535" s="30">
        <f>IF(B535="","",DATE(YEAR(B535),MONTH(B535),1))</f>
        <v/>
      </c>
      <c r="K535" s="41">
        <f>IF(OR(B535="",D535=""),"",D535&amp;"|"&amp;TEXT(J535,"yyyy-mm"))</f>
        <v/>
      </c>
      <c r="L535" s="24">
        <f>IF(K535="","",IFERROR(INDEX(Lotes!$N$5:$N$154,MATCH(K535,Lotes!$P$5:$P$154,0)),"Sem lote cadastrado"))</f>
        <v/>
      </c>
      <c r="M535" s="25">
        <f>IF(H535="Sim",G535,0)</f>
        <v>0</v>
      </c>
      <c r="N535" s="42">
        <f>IF(AND(H535="Sim",I535&lt;&gt;"Aceito"),G535+ROW()/100000,0)</f>
        <v>0</v>
      </c>
    </row>
    <row r="536">
      <c r="A536" s="35" t="n"/>
      <c r="B536" s="39" t="n"/>
      <c r="C536" s="33" t="n"/>
      <c r="D536" s="35" t="n"/>
      <c r="E536" s="33" t="n"/>
      <c r="F536" s="33" t="n"/>
      <c r="G536" s="40" t="n"/>
      <c r="H536" s="35" t="n"/>
      <c r="I536" s="35" t="n"/>
      <c r="J536" s="30">
        <f>IF(B536="","",DATE(YEAR(B536),MONTH(B536),1))</f>
        <v/>
      </c>
      <c r="K536" s="41">
        <f>IF(OR(B536="",D536=""),"",D536&amp;"|"&amp;TEXT(J536,"yyyy-mm"))</f>
        <v/>
      </c>
      <c r="L536" s="24">
        <f>IF(K536="","",IFERROR(INDEX(Lotes!$N$5:$N$154,MATCH(K536,Lotes!$P$5:$P$154,0)),"Sem lote cadastrado"))</f>
        <v/>
      </c>
      <c r="M536" s="25">
        <f>IF(H536="Sim",G536,0)</f>
        <v>0</v>
      </c>
      <c r="N536" s="42">
        <f>IF(AND(H536="Sim",I536&lt;&gt;"Aceito"),G536+ROW()/100000,0)</f>
        <v>0</v>
      </c>
    </row>
    <row r="537">
      <c r="A537" s="35" t="n"/>
      <c r="B537" s="39" t="n"/>
      <c r="C537" s="33" t="n"/>
      <c r="D537" s="35" t="n"/>
      <c r="E537" s="33" t="n"/>
      <c r="F537" s="33" t="n"/>
      <c r="G537" s="40" t="n"/>
      <c r="H537" s="35" t="n"/>
      <c r="I537" s="35" t="n"/>
      <c r="J537" s="30">
        <f>IF(B537="","",DATE(YEAR(B537),MONTH(B537),1))</f>
        <v/>
      </c>
      <c r="K537" s="41">
        <f>IF(OR(B537="",D537=""),"",D537&amp;"|"&amp;TEXT(J537,"yyyy-mm"))</f>
        <v/>
      </c>
      <c r="L537" s="24">
        <f>IF(K537="","",IFERROR(INDEX(Lotes!$N$5:$N$154,MATCH(K537,Lotes!$P$5:$P$154,0)),"Sem lote cadastrado"))</f>
        <v/>
      </c>
      <c r="M537" s="25">
        <f>IF(H537="Sim",G537,0)</f>
        <v>0</v>
      </c>
      <c r="N537" s="42">
        <f>IF(AND(H537="Sim",I537&lt;&gt;"Aceito"),G537+ROW()/100000,0)</f>
        <v>0</v>
      </c>
    </row>
    <row r="538">
      <c r="A538" s="35" t="n"/>
      <c r="B538" s="39" t="n"/>
      <c r="C538" s="33" t="n"/>
      <c r="D538" s="35" t="n"/>
      <c r="E538" s="33" t="n"/>
      <c r="F538" s="33" t="n"/>
      <c r="G538" s="40" t="n"/>
      <c r="H538" s="35" t="n"/>
      <c r="I538" s="35" t="n"/>
      <c r="J538" s="30">
        <f>IF(B538="","",DATE(YEAR(B538),MONTH(B538),1))</f>
        <v/>
      </c>
      <c r="K538" s="41">
        <f>IF(OR(B538="",D538=""),"",D538&amp;"|"&amp;TEXT(J538,"yyyy-mm"))</f>
        <v/>
      </c>
      <c r="L538" s="24">
        <f>IF(K538="","",IFERROR(INDEX(Lotes!$N$5:$N$154,MATCH(K538,Lotes!$P$5:$P$154,0)),"Sem lote cadastrado"))</f>
        <v/>
      </c>
      <c r="M538" s="25">
        <f>IF(H538="Sim",G538,0)</f>
        <v>0</v>
      </c>
      <c r="N538" s="42">
        <f>IF(AND(H538="Sim",I538&lt;&gt;"Aceito"),G538+ROW()/100000,0)</f>
        <v>0</v>
      </c>
    </row>
    <row r="539">
      <c r="A539" s="35" t="n"/>
      <c r="B539" s="39" t="n"/>
      <c r="C539" s="33" t="n"/>
      <c r="D539" s="35" t="n"/>
      <c r="E539" s="33" t="n"/>
      <c r="F539" s="33" t="n"/>
      <c r="G539" s="40" t="n"/>
      <c r="H539" s="35" t="n"/>
      <c r="I539" s="35" t="n"/>
      <c r="J539" s="30">
        <f>IF(B539="","",DATE(YEAR(B539),MONTH(B539),1))</f>
        <v/>
      </c>
      <c r="K539" s="41">
        <f>IF(OR(B539="",D539=""),"",D539&amp;"|"&amp;TEXT(J539,"yyyy-mm"))</f>
        <v/>
      </c>
      <c r="L539" s="24">
        <f>IF(K539="","",IFERROR(INDEX(Lotes!$N$5:$N$154,MATCH(K539,Lotes!$P$5:$P$154,0)),"Sem lote cadastrado"))</f>
        <v/>
      </c>
      <c r="M539" s="25">
        <f>IF(H539="Sim",G539,0)</f>
        <v>0</v>
      </c>
      <c r="N539" s="42">
        <f>IF(AND(H539="Sim",I539&lt;&gt;"Aceito"),G539+ROW()/100000,0)</f>
        <v>0</v>
      </c>
    </row>
    <row r="540">
      <c r="A540" s="35" t="n"/>
      <c r="B540" s="39" t="n"/>
      <c r="C540" s="33" t="n"/>
      <c r="D540" s="35" t="n"/>
      <c r="E540" s="33" t="n"/>
      <c r="F540" s="33" t="n"/>
      <c r="G540" s="40" t="n"/>
      <c r="H540" s="35" t="n"/>
      <c r="I540" s="35" t="n"/>
      <c r="J540" s="30">
        <f>IF(B540="","",DATE(YEAR(B540),MONTH(B540),1))</f>
        <v/>
      </c>
      <c r="K540" s="41">
        <f>IF(OR(B540="",D540=""),"",D540&amp;"|"&amp;TEXT(J540,"yyyy-mm"))</f>
        <v/>
      </c>
      <c r="L540" s="24">
        <f>IF(K540="","",IFERROR(INDEX(Lotes!$N$5:$N$154,MATCH(K540,Lotes!$P$5:$P$154,0)),"Sem lote cadastrado"))</f>
        <v/>
      </c>
      <c r="M540" s="25">
        <f>IF(H540="Sim",G540,0)</f>
        <v>0</v>
      </c>
      <c r="N540" s="42">
        <f>IF(AND(H540="Sim",I540&lt;&gt;"Aceito"),G540+ROW()/100000,0)</f>
        <v>0</v>
      </c>
    </row>
    <row r="541">
      <c r="A541" s="35" t="n"/>
      <c r="B541" s="39" t="n"/>
      <c r="C541" s="33" t="n"/>
      <c r="D541" s="35" t="n"/>
      <c r="E541" s="33" t="n"/>
      <c r="F541" s="33" t="n"/>
      <c r="G541" s="40" t="n"/>
      <c r="H541" s="35" t="n"/>
      <c r="I541" s="35" t="n"/>
      <c r="J541" s="30">
        <f>IF(B541="","",DATE(YEAR(B541),MONTH(B541),1))</f>
        <v/>
      </c>
      <c r="K541" s="41">
        <f>IF(OR(B541="",D541=""),"",D541&amp;"|"&amp;TEXT(J541,"yyyy-mm"))</f>
        <v/>
      </c>
      <c r="L541" s="24">
        <f>IF(K541="","",IFERROR(INDEX(Lotes!$N$5:$N$154,MATCH(K541,Lotes!$P$5:$P$154,0)),"Sem lote cadastrado"))</f>
        <v/>
      </c>
      <c r="M541" s="25">
        <f>IF(H541="Sim",G541,0)</f>
        <v>0</v>
      </c>
      <c r="N541" s="42">
        <f>IF(AND(H541="Sim",I541&lt;&gt;"Aceito"),G541+ROW()/100000,0)</f>
        <v>0</v>
      </c>
    </row>
    <row r="542">
      <c r="A542" s="35" t="n"/>
      <c r="B542" s="39" t="n"/>
      <c r="C542" s="33" t="n"/>
      <c r="D542" s="35" t="n"/>
      <c r="E542" s="33" t="n"/>
      <c r="F542" s="33" t="n"/>
      <c r="G542" s="40" t="n"/>
      <c r="H542" s="35" t="n"/>
      <c r="I542" s="35" t="n"/>
      <c r="J542" s="30">
        <f>IF(B542="","",DATE(YEAR(B542),MONTH(B542),1))</f>
        <v/>
      </c>
      <c r="K542" s="41">
        <f>IF(OR(B542="",D542=""),"",D542&amp;"|"&amp;TEXT(J542,"yyyy-mm"))</f>
        <v/>
      </c>
      <c r="L542" s="24">
        <f>IF(K542="","",IFERROR(INDEX(Lotes!$N$5:$N$154,MATCH(K542,Lotes!$P$5:$P$154,0)),"Sem lote cadastrado"))</f>
        <v/>
      </c>
      <c r="M542" s="25">
        <f>IF(H542="Sim",G542,0)</f>
        <v>0</v>
      </c>
      <c r="N542" s="42">
        <f>IF(AND(H542="Sim",I542&lt;&gt;"Aceito"),G542+ROW()/100000,0)</f>
        <v>0</v>
      </c>
    </row>
    <row r="543">
      <c r="A543" s="35" t="n"/>
      <c r="B543" s="39" t="n"/>
      <c r="C543" s="33" t="n"/>
      <c r="D543" s="35" t="n"/>
      <c r="E543" s="33" t="n"/>
      <c r="F543" s="33" t="n"/>
      <c r="G543" s="40" t="n"/>
      <c r="H543" s="35" t="n"/>
      <c r="I543" s="35" t="n"/>
      <c r="J543" s="30">
        <f>IF(B543="","",DATE(YEAR(B543),MONTH(B543),1))</f>
        <v/>
      </c>
      <c r="K543" s="41">
        <f>IF(OR(B543="",D543=""),"",D543&amp;"|"&amp;TEXT(J543,"yyyy-mm"))</f>
        <v/>
      </c>
      <c r="L543" s="24">
        <f>IF(K543="","",IFERROR(INDEX(Lotes!$N$5:$N$154,MATCH(K543,Lotes!$P$5:$P$154,0)),"Sem lote cadastrado"))</f>
        <v/>
      </c>
      <c r="M543" s="25">
        <f>IF(H543="Sim",G543,0)</f>
        <v>0</v>
      </c>
      <c r="N543" s="42">
        <f>IF(AND(H543="Sim",I543&lt;&gt;"Aceito"),G543+ROW()/100000,0)</f>
        <v>0</v>
      </c>
    </row>
    <row r="544">
      <c r="A544" s="35" t="n"/>
      <c r="B544" s="39" t="n"/>
      <c r="C544" s="33" t="n"/>
      <c r="D544" s="35" t="n"/>
      <c r="E544" s="33" t="n"/>
      <c r="F544" s="33" t="n"/>
      <c r="G544" s="40" t="n"/>
      <c r="H544" s="35" t="n"/>
      <c r="I544" s="35" t="n"/>
      <c r="J544" s="30">
        <f>IF(B544="","",DATE(YEAR(B544),MONTH(B544),1))</f>
        <v/>
      </c>
      <c r="K544" s="41">
        <f>IF(OR(B544="",D544=""),"",D544&amp;"|"&amp;TEXT(J544,"yyyy-mm"))</f>
        <v/>
      </c>
      <c r="L544" s="24">
        <f>IF(K544="","",IFERROR(INDEX(Lotes!$N$5:$N$154,MATCH(K544,Lotes!$P$5:$P$154,0)),"Sem lote cadastrado"))</f>
        <v/>
      </c>
      <c r="M544" s="25">
        <f>IF(H544="Sim",G544,0)</f>
        <v>0</v>
      </c>
      <c r="N544" s="42">
        <f>IF(AND(H544="Sim",I544&lt;&gt;"Aceito"),G544+ROW()/100000,0)</f>
        <v>0</v>
      </c>
    </row>
    <row r="545">
      <c r="A545" s="35" t="n"/>
      <c r="B545" s="39" t="n"/>
      <c r="C545" s="33" t="n"/>
      <c r="D545" s="35" t="n"/>
      <c r="E545" s="33" t="n"/>
      <c r="F545" s="33" t="n"/>
      <c r="G545" s="40" t="n"/>
      <c r="H545" s="35" t="n"/>
      <c r="I545" s="35" t="n"/>
      <c r="J545" s="30">
        <f>IF(B545="","",DATE(YEAR(B545),MONTH(B545),1))</f>
        <v/>
      </c>
      <c r="K545" s="41">
        <f>IF(OR(B545="",D545=""),"",D545&amp;"|"&amp;TEXT(J545,"yyyy-mm"))</f>
        <v/>
      </c>
      <c r="L545" s="24">
        <f>IF(K545="","",IFERROR(INDEX(Lotes!$N$5:$N$154,MATCH(K545,Lotes!$P$5:$P$154,0)),"Sem lote cadastrado"))</f>
        <v/>
      </c>
      <c r="M545" s="25">
        <f>IF(H545="Sim",G545,0)</f>
        <v>0</v>
      </c>
      <c r="N545" s="42">
        <f>IF(AND(H545="Sim",I545&lt;&gt;"Aceito"),G545+ROW()/100000,0)</f>
        <v>0</v>
      </c>
    </row>
    <row r="546">
      <c r="A546" s="35" t="n"/>
      <c r="B546" s="39" t="n"/>
      <c r="C546" s="33" t="n"/>
      <c r="D546" s="35" t="n"/>
      <c r="E546" s="33" t="n"/>
      <c r="F546" s="33" t="n"/>
      <c r="G546" s="40" t="n"/>
      <c r="H546" s="35" t="n"/>
      <c r="I546" s="35" t="n"/>
      <c r="J546" s="30">
        <f>IF(B546="","",DATE(YEAR(B546),MONTH(B546),1))</f>
        <v/>
      </c>
      <c r="K546" s="41">
        <f>IF(OR(B546="",D546=""),"",D546&amp;"|"&amp;TEXT(J546,"yyyy-mm"))</f>
        <v/>
      </c>
      <c r="L546" s="24">
        <f>IF(K546="","",IFERROR(INDEX(Lotes!$N$5:$N$154,MATCH(K546,Lotes!$P$5:$P$154,0)),"Sem lote cadastrado"))</f>
        <v/>
      </c>
      <c r="M546" s="25">
        <f>IF(H546="Sim",G546,0)</f>
        <v>0</v>
      </c>
      <c r="N546" s="42">
        <f>IF(AND(H546="Sim",I546&lt;&gt;"Aceito"),G546+ROW()/100000,0)</f>
        <v>0</v>
      </c>
    </row>
    <row r="547">
      <c r="A547" s="35" t="n"/>
      <c r="B547" s="39" t="n"/>
      <c r="C547" s="33" t="n"/>
      <c r="D547" s="35" t="n"/>
      <c r="E547" s="33" t="n"/>
      <c r="F547" s="33" t="n"/>
      <c r="G547" s="40" t="n"/>
      <c r="H547" s="35" t="n"/>
      <c r="I547" s="35" t="n"/>
      <c r="J547" s="30">
        <f>IF(B547="","",DATE(YEAR(B547),MONTH(B547),1))</f>
        <v/>
      </c>
      <c r="K547" s="41">
        <f>IF(OR(B547="",D547=""),"",D547&amp;"|"&amp;TEXT(J547,"yyyy-mm"))</f>
        <v/>
      </c>
      <c r="L547" s="24">
        <f>IF(K547="","",IFERROR(INDEX(Lotes!$N$5:$N$154,MATCH(K547,Lotes!$P$5:$P$154,0)),"Sem lote cadastrado"))</f>
        <v/>
      </c>
      <c r="M547" s="25">
        <f>IF(H547="Sim",G547,0)</f>
        <v>0</v>
      </c>
      <c r="N547" s="42">
        <f>IF(AND(H547="Sim",I547&lt;&gt;"Aceito"),G547+ROW()/100000,0)</f>
        <v>0</v>
      </c>
    </row>
    <row r="548">
      <c r="A548" s="35" t="n"/>
      <c r="B548" s="39" t="n"/>
      <c r="C548" s="33" t="n"/>
      <c r="D548" s="35" t="n"/>
      <c r="E548" s="33" t="n"/>
      <c r="F548" s="33" t="n"/>
      <c r="G548" s="40" t="n"/>
      <c r="H548" s="35" t="n"/>
      <c r="I548" s="35" t="n"/>
      <c r="J548" s="30">
        <f>IF(B548="","",DATE(YEAR(B548),MONTH(B548),1))</f>
        <v/>
      </c>
      <c r="K548" s="41">
        <f>IF(OR(B548="",D548=""),"",D548&amp;"|"&amp;TEXT(J548,"yyyy-mm"))</f>
        <v/>
      </c>
      <c r="L548" s="24">
        <f>IF(K548="","",IFERROR(INDEX(Lotes!$N$5:$N$154,MATCH(K548,Lotes!$P$5:$P$154,0)),"Sem lote cadastrado"))</f>
        <v/>
      </c>
      <c r="M548" s="25">
        <f>IF(H548="Sim",G548,0)</f>
        <v>0</v>
      </c>
      <c r="N548" s="42">
        <f>IF(AND(H548="Sim",I548&lt;&gt;"Aceito"),G548+ROW()/100000,0)</f>
        <v>0</v>
      </c>
    </row>
    <row r="549">
      <c r="A549" s="35" t="n"/>
      <c r="B549" s="39" t="n"/>
      <c r="C549" s="33" t="n"/>
      <c r="D549" s="35" t="n"/>
      <c r="E549" s="33" t="n"/>
      <c r="F549" s="33" t="n"/>
      <c r="G549" s="40" t="n"/>
      <c r="H549" s="35" t="n"/>
      <c r="I549" s="35" t="n"/>
      <c r="J549" s="30">
        <f>IF(B549="","",DATE(YEAR(B549),MONTH(B549),1))</f>
        <v/>
      </c>
      <c r="K549" s="41">
        <f>IF(OR(B549="",D549=""),"",D549&amp;"|"&amp;TEXT(J549,"yyyy-mm"))</f>
        <v/>
      </c>
      <c r="L549" s="24">
        <f>IF(K549="","",IFERROR(INDEX(Lotes!$N$5:$N$154,MATCH(K549,Lotes!$P$5:$P$154,0)),"Sem lote cadastrado"))</f>
        <v/>
      </c>
      <c r="M549" s="25">
        <f>IF(H549="Sim",G549,0)</f>
        <v>0</v>
      </c>
      <c r="N549" s="42">
        <f>IF(AND(H549="Sim",I549&lt;&gt;"Aceito"),G549+ROW()/100000,0)</f>
        <v>0</v>
      </c>
    </row>
    <row r="550">
      <c r="A550" s="35" t="n"/>
      <c r="B550" s="39" t="n"/>
      <c r="C550" s="33" t="n"/>
      <c r="D550" s="35" t="n"/>
      <c r="E550" s="33" t="n"/>
      <c r="F550" s="33" t="n"/>
      <c r="G550" s="40" t="n"/>
      <c r="H550" s="35" t="n"/>
      <c r="I550" s="35" t="n"/>
      <c r="J550" s="30">
        <f>IF(B550="","",DATE(YEAR(B550),MONTH(B550),1))</f>
        <v/>
      </c>
      <c r="K550" s="41">
        <f>IF(OR(B550="",D550=""),"",D550&amp;"|"&amp;TEXT(J550,"yyyy-mm"))</f>
        <v/>
      </c>
      <c r="L550" s="24">
        <f>IF(K550="","",IFERROR(INDEX(Lotes!$N$5:$N$154,MATCH(K550,Lotes!$P$5:$P$154,0)),"Sem lote cadastrado"))</f>
        <v/>
      </c>
      <c r="M550" s="25">
        <f>IF(H550="Sim",G550,0)</f>
        <v>0</v>
      </c>
      <c r="N550" s="42">
        <f>IF(AND(H550="Sim",I550&lt;&gt;"Aceito"),G550+ROW()/100000,0)</f>
        <v>0</v>
      </c>
    </row>
    <row r="551">
      <c r="A551" s="35" t="n"/>
      <c r="B551" s="39" t="n"/>
      <c r="C551" s="33" t="n"/>
      <c r="D551" s="35" t="n"/>
      <c r="E551" s="33" t="n"/>
      <c r="F551" s="33" t="n"/>
      <c r="G551" s="40" t="n"/>
      <c r="H551" s="35" t="n"/>
      <c r="I551" s="35" t="n"/>
      <c r="J551" s="30">
        <f>IF(B551="","",DATE(YEAR(B551),MONTH(B551),1))</f>
        <v/>
      </c>
      <c r="K551" s="41">
        <f>IF(OR(B551="",D551=""),"",D551&amp;"|"&amp;TEXT(J551,"yyyy-mm"))</f>
        <v/>
      </c>
      <c r="L551" s="24">
        <f>IF(K551="","",IFERROR(INDEX(Lotes!$N$5:$N$154,MATCH(K551,Lotes!$P$5:$P$154,0)),"Sem lote cadastrado"))</f>
        <v/>
      </c>
      <c r="M551" s="25">
        <f>IF(H551="Sim",G551,0)</f>
        <v>0</v>
      </c>
      <c r="N551" s="42">
        <f>IF(AND(H551="Sim",I551&lt;&gt;"Aceito"),G551+ROW()/100000,0)</f>
        <v>0</v>
      </c>
    </row>
    <row r="552">
      <c r="A552" s="35" t="n"/>
      <c r="B552" s="39" t="n"/>
      <c r="C552" s="33" t="n"/>
      <c r="D552" s="35" t="n"/>
      <c r="E552" s="33" t="n"/>
      <c r="F552" s="33" t="n"/>
      <c r="G552" s="40" t="n"/>
      <c r="H552" s="35" t="n"/>
      <c r="I552" s="35" t="n"/>
      <c r="J552" s="30">
        <f>IF(B552="","",DATE(YEAR(B552),MONTH(B552),1))</f>
        <v/>
      </c>
      <c r="K552" s="41">
        <f>IF(OR(B552="",D552=""),"",D552&amp;"|"&amp;TEXT(J552,"yyyy-mm"))</f>
        <v/>
      </c>
      <c r="L552" s="24">
        <f>IF(K552="","",IFERROR(INDEX(Lotes!$N$5:$N$154,MATCH(K552,Lotes!$P$5:$P$154,0)),"Sem lote cadastrado"))</f>
        <v/>
      </c>
      <c r="M552" s="25">
        <f>IF(H552="Sim",G552,0)</f>
        <v>0</v>
      </c>
      <c r="N552" s="42">
        <f>IF(AND(H552="Sim",I552&lt;&gt;"Aceito"),G552+ROW()/100000,0)</f>
        <v>0</v>
      </c>
    </row>
    <row r="553">
      <c r="A553" s="35" t="n"/>
      <c r="B553" s="39" t="n"/>
      <c r="C553" s="33" t="n"/>
      <c r="D553" s="35" t="n"/>
      <c r="E553" s="33" t="n"/>
      <c r="F553" s="33" t="n"/>
      <c r="G553" s="40" t="n"/>
      <c r="H553" s="35" t="n"/>
      <c r="I553" s="35" t="n"/>
      <c r="J553" s="30">
        <f>IF(B553="","",DATE(YEAR(B553),MONTH(B553),1))</f>
        <v/>
      </c>
      <c r="K553" s="41">
        <f>IF(OR(B553="",D553=""),"",D553&amp;"|"&amp;TEXT(J553,"yyyy-mm"))</f>
        <v/>
      </c>
      <c r="L553" s="24">
        <f>IF(K553="","",IFERROR(INDEX(Lotes!$N$5:$N$154,MATCH(K553,Lotes!$P$5:$P$154,0)),"Sem lote cadastrado"))</f>
        <v/>
      </c>
      <c r="M553" s="25">
        <f>IF(H553="Sim",G553,0)</f>
        <v>0</v>
      </c>
      <c r="N553" s="42">
        <f>IF(AND(H553="Sim",I553&lt;&gt;"Aceito"),G553+ROW()/100000,0)</f>
        <v>0</v>
      </c>
    </row>
    <row r="554">
      <c r="A554" s="35" t="n"/>
      <c r="B554" s="39" t="n"/>
      <c r="C554" s="33" t="n"/>
      <c r="D554" s="35" t="n"/>
      <c r="E554" s="33" t="n"/>
      <c r="F554" s="33" t="n"/>
      <c r="G554" s="40" t="n"/>
      <c r="H554" s="35" t="n"/>
      <c r="I554" s="35" t="n"/>
      <c r="J554" s="30">
        <f>IF(B554="","",DATE(YEAR(B554),MONTH(B554),1))</f>
        <v/>
      </c>
      <c r="K554" s="41">
        <f>IF(OR(B554="",D554=""),"",D554&amp;"|"&amp;TEXT(J554,"yyyy-mm"))</f>
        <v/>
      </c>
      <c r="L554" s="24">
        <f>IF(K554="","",IFERROR(INDEX(Lotes!$N$5:$N$154,MATCH(K554,Lotes!$P$5:$P$154,0)),"Sem lote cadastrado"))</f>
        <v/>
      </c>
      <c r="M554" s="25">
        <f>IF(H554="Sim",G554,0)</f>
        <v>0</v>
      </c>
      <c r="N554" s="42">
        <f>IF(AND(H554="Sim",I554&lt;&gt;"Aceito"),G554+ROW()/100000,0)</f>
        <v>0</v>
      </c>
    </row>
    <row r="555">
      <c r="A555" s="35" t="n"/>
      <c r="B555" s="39" t="n"/>
      <c r="C555" s="33" t="n"/>
      <c r="D555" s="35" t="n"/>
      <c r="E555" s="33" t="n"/>
      <c r="F555" s="33" t="n"/>
      <c r="G555" s="40" t="n"/>
      <c r="H555" s="35" t="n"/>
      <c r="I555" s="35" t="n"/>
      <c r="J555" s="30">
        <f>IF(B555="","",DATE(YEAR(B555),MONTH(B555),1))</f>
        <v/>
      </c>
      <c r="K555" s="41">
        <f>IF(OR(B555="",D555=""),"",D555&amp;"|"&amp;TEXT(J555,"yyyy-mm"))</f>
        <v/>
      </c>
      <c r="L555" s="24">
        <f>IF(K555="","",IFERROR(INDEX(Lotes!$N$5:$N$154,MATCH(K555,Lotes!$P$5:$P$154,0)),"Sem lote cadastrado"))</f>
        <v/>
      </c>
      <c r="M555" s="25">
        <f>IF(H555="Sim",G555,0)</f>
        <v>0</v>
      </c>
      <c r="N555" s="42">
        <f>IF(AND(H555="Sim",I555&lt;&gt;"Aceito"),G555+ROW()/100000,0)</f>
        <v>0</v>
      </c>
    </row>
    <row r="556">
      <c r="A556" s="35" t="n"/>
      <c r="B556" s="39" t="n"/>
      <c r="C556" s="33" t="n"/>
      <c r="D556" s="35" t="n"/>
      <c r="E556" s="33" t="n"/>
      <c r="F556" s="33" t="n"/>
      <c r="G556" s="40" t="n"/>
      <c r="H556" s="35" t="n"/>
      <c r="I556" s="35" t="n"/>
      <c r="J556" s="30">
        <f>IF(B556="","",DATE(YEAR(B556),MONTH(B556),1))</f>
        <v/>
      </c>
      <c r="K556" s="41">
        <f>IF(OR(B556="",D556=""),"",D556&amp;"|"&amp;TEXT(J556,"yyyy-mm"))</f>
        <v/>
      </c>
      <c r="L556" s="24">
        <f>IF(K556="","",IFERROR(INDEX(Lotes!$N$5:$N$154,MATCH(K556,Lotes!$P$5:$P$154,0)),"Sem lote cadastrado"))</f>
        <v/>
      </c>
      <c r="M556" s="25">
        <f>IF(H556="Sim",G556,0)</f>
        <v>0</v>
      </c>
      <c r="N556" s="42">
        <f>IF(AND(H556="Sim",I556&lt;&gt;"Aceito"),G556+ROW()/100000,0)</f>
        <v>0</v>
      </c>
    </row>
    <row r="557">
      <c r="A557" s="35" t="n"/>
      <c r="B557" s="39" t="n"/>
      <c r="C557" s="33" t="n"/>
      <c r="D557" s="35" t="n"/>
      <c r="E557" s="33" t="n"/>
      <c r="F557" s="33" t="n"/>
      <c r="G557" s="40" t="n"/>
      <c r="H557" s="35" t="n"/>
      <c r="I557" s="35" t="n"/>
      <c r="J557" s="30">
        <f>IF(B557="","",DATE(YEAR(B557),MONTH(B557),1))</f>
        <v/>
      </c>
      <c r="K557" s="41">
        <f>IF(OR(B557="",D557=""),"",D557&amp;"|"&amp;TEXT(J557,"yyyy-mm"))</f>
        <v/>
      </c>
      <c r="L557" s="24">
        <f>IF(K557="","",IFERROR(INDEX(Lotes!$N$5:$N$154,MATCH(K557,Lotes!$P$5:$P$154,0)),"Sem lote cadastrado"))</f>
        <v/>
      </c>
      <c r="M557" s="25">
        <f>IF(H557="Sim",G557,0)</f>
        <v>0</v>
      </c>
      <c r="N557" s="42">
        <f>IF(AND(H557="Sim",I557&lt;&gt;"Aceito"),G557+ROW()/100000,0)</f>
        <v>0</v>
      </c>
    </row>
    <row r="558">
      <c r="A558" s="35" t="n"/>
      <c r="B558" s="39" t="n"/>
      <c r="C558" s="33" t="n"/>
      <c r="D558" s="35" t="n"/>
      <c r="E558" s="33" t="n"/>
      <c r="F558" s="33" t="n"/>
      <c r="G558" s="40" t="n"/>
      <c r="H558" s="35" t="n"/>
      <c r="I558" s="35" t="n"/>
      <c r="J558" s="30">
        <f>IF(B558="","",DATE(YEAR(B558),MONTH(B558),1))</f>
        <v/>
      </c>
      <c r="K558" s="41">
        <f>IF(OR(B558="",D558=""),"",D558&amp;"|"&amp;TEXT(J558,"yyyy-mm"))</f>
        <v/>
      </c>
      <c r="L558" s="24">
        <f>IF(K558="","",IFERROR(INDEX(Lotes!$N$5:$N$154,MATCH(K558,Lotes!$P$5:$P$154,0)),"Sem lote cadastrado"))</f>
        <v/>
      </c>
      <c r="M558" s="25">
        <f>IF(H558="Sim",G558,0)</f>
        <v>0</v>
      </c>
      <c r="N558" s="42">
        <f>IF(AND(H558="Sim",I558&lt;&gt;"Aceito"),G558+ROW()/100000,0)</f>
        <v>0</v>
      </c>
    </row>
    <row r="559">
      <c r="A559" s="35" t="n"/>
      <c r="B559" s="39" t="n"/>
      <c r="C559" s="33" t="n"/>
      <c r="D559" s="35" t="n"/>
      <c r="E559" s="33" t="n"/>
      <c r="F559" s="33" t="n"/>
      <c r="G559" s="40" t="n"/>
      <c r="H559" s="35" t="n"/>
      <c r="I559" s="35" t="n"/>
      <c r="J559" s="30">
        <f>IF(B559="","",DATE(YEAR(B559),MONTH(B559),1))</f>
        <v/>
      </c>
      <c r="K559" s="41">
        <f>IF(OR(B559="",D559=""),"",D559&amp;"|"&amp;TEXT(J559,"yyyy-mm"))</f>
        <v/>
      </c>
      <c r="L559" s="24">
        <f>IF(K559="","",IFERROR(INDEX(Lotes!$N$5:$N$154,MATCH(K559,Lotes!$P$5:$P$154,0)),"Sem lote cadastrado"))</f>
        <v/>
      </c>
      <c r="M559" s="25">
        <f>IF(H559="Sim",G559,0)</f>
        <v>0</v>
      </c>
      <c r="N559" s="42">
        <f>IF(AND(H559="Sim",I559&lt;&gt;"Aceito"),G559+ROW()/100000,0)</f>
        <v>0</v>
      </c>
    </row>
    <row r="560">
      <c r="A560" s="35" t="n"/>
      <c r="B560" s="39" t="n"/>
      <c r="C560" s="33" t="n"/>
      <c r="D560" s="35" t="n"/>
      <c r="E560" s="33" t="n"/>
      <c r="F560" s="33" t="n"/>
      <c r="G560" s="40" t="n"/>
      <c r="H560" s="35" t="n"/>
      <c r="I560" s="35" t="n"/>
      <c r="J560" s="30">
        <f>IF(B560="","",DATE(YEAR(B560),MONTH(B560),1))</f>
        <v/>
      </c>
      <c r="K560" s="41">
        <f>IF(OR(B560="",D560=""),"",D560&amp;"|"&amp;TEXT(J560,"yyyy-mm"))</f>
        <v/>
      </c>
      <c r="L560" s="24">
        <f>IF(K560="","",IFERROR(INDEX(Lotes!$N$5:$N$154,MATCH(K560,Lotes!$P$5:$P$154,0)),"Sem lote cadastrado"))</f>
        <v/>
      </c>
      <c r="M560" s="25">
        <f>IF(H560="Sim",G560,0)</f>
        <v>0</v>
      </c>
      <c r="N560" s="42">
        <f>IF(AND(H560="Sim",I560&lt;&gt;"Aceito"),G560+ROW()/100000,0)</f>
        <v>0</v>
      </c>
    </row>
    <row r="561">
      <c r="A561" s="35" t="n"/>
      <c r="B561" s="39" t="n"/>
      <c r="C561" s="33" t="n"/>
      <c r="D561" s="35" t="n"/>
      <c r="E561" s="33" t="n"/>
      <c r="F561" s="33" t="n"/>
      <c r="G561" s="40" t="n"/>
      <c r="H561" s="35" t="n"/>
      <c r="I561" s="35" t="n"/>
      <c r="J561" s="30">
        <f>IF(B561="","",DATE(YEAR(B561),MONTH(B561),1))</f>
        <v/>
      </c>
      <c r="K561" s="41">
        <f>IF(OR(B561="",D561=""),"",D561&amp;"|"&amp;TEXT(J561,"yyyy-mm"))</f>
        <v/>
      </c>
      <c r="L561" s="24">
        <f>IF(K561="","",IFERROR(INDEX(Lotes!$N$5:$N$154,MATCH(K561,Lotes!$P$5:$P$154,0)),"Sem lote cadastrado"))</f>
        <v/>
      </c>
      <c r="M561" s="25">
        <f>IF(H561="Sim",G561,0)</f>
        <v>0</v>
      </c>
      <c r="N561" s="42">
        <f>IF(AND(H561="Sim",I561&lt;&gt;"Aceito"),G561+ROW()/100000,0)</f>
        <v>0</v>
      </c>
    </row>
    <row r="562">
      <c r="A562" s="35" t="n"/>
      <c r="B562" s="39" t="n"/>
      <c r="C562" s="33" t="n"/>
      <c r="D562" s="35" t="n"/>
      <c r="E562" s="33" t="n"/>
      <c r="F562" s="33" t="n"/>
      <c r="G562" s="40" t="n"/>
      <c r="H562" s="35" t="n"/>
      <c r="I562" s="35" t="n"/>
      <c r="J562" s="30">
        <f>IF(B562="","",DATE(YEAR(B562),MONTH(B562),1))</f>
        <v/>
      </c>
      <c r="K562" s="41">
        <f>IF(OR(B562="",D562=""),"",D562&amp;"|"&amp;TEXT(J562,"yyyy-mm"))</f>
        <v/>
      </c>
      <c r="L562" s="24">
        <f>IF(K562="","",IFERROR(INDEX(Lotes!$N$5:$N$154,MATCH(K562,Lotes!$P$5:$P$154,0)),"Sem lote cadastrado"))</f>
        <v/>
      </c>
      <c r="M562" s="25">
        <f>IF(H562="Sim",G562,0)</f>
        <v>0</v>
      </c>
      <c r="N562" s="42">
        <f>IF(AND(H562="Sim",I562&lt;&gt;"Aceito"),G562+ROW()/100000,0)</f>
        <v>0</v>
      </c>
    </row>
    <row r="563">
      <c r="A563" s="35" t="n"/>
      <c r="B563" s="39" t="n"/>
      <c r="C563" s="33" t="n"/>
      <c r="D563" s="35" t="n"/>
      <c r="E563" s="33" t="n"/>
      <c r="F563" s="33" t="n"/>
      <c r="G563" s="40" t="n"/>
      <c r="H563" s="35" t="n"/>
      <c r="I563" s="35" t="n"/>
      <c r="J563" s="30">
        <f>IF(B563="","",DATE(YEAR(B563),MONTH(B563),1))</f>
        <v/>
      </c>
      <c r="K563" s="41">
        <f>IF(OR(B563="",D563=""),"",D563&amp;"|"&amp;TEXT(J563,"yyyy-mm"))</f>
        <v/>
      </c>
      <c r="L563" s="24">
        <f>IF(K563="","",IFERROR(INDEX(Lotes!$N$5:$N$154,MATCH(K563,Lotes!$P$5:$P$154,0)),"Sem lote cadastrado"))</f>
        <v/>
      </c>
      <c r="M563" s="25">
        <f>IF(H563="Sim",G563,0)</f>
        <v>0</v>
      </c>
      <c r="N563" s="42">
        <f>IF(AND(H563="Sim",I563&lt;&gt;"Aceito"),G563+ROW()/100000,0)</f>
        <v>0</v>
      </c>
    </row>
    <row r="564">
      <c r="A564" s="35" t="n"/>
      <c r="B564" s="39" t="n"/>
      <c r="C564" s="33" t="n"/>
      <c r="D564" s="35" t="n"/>
      <c r="E564" s="33" t="n"/>
      <c r="F564" s="33" t="n"/>
      <c r="G564" s="40" t="n"/>
      <c r="H564" s="35" t="n"/>
      <c r="I564" s="35" t="n"/>
      <c r="J564" s="30">
        <f>IF(B564="","",DATE(YEAR(B564),MONTH(B564),1))</f>
        <v/>
      </c>
      <c r="K564" s="41">
        <f>IF(OR(B564="",D564=""),"",D564&amp;"|"&amp;TEXT(J564,"yyyy-mm"))</f>
        <v/>
      </c>
      <c r="L564" s="24">
        <f>IF(K564="","",IFERROR(INDEX(Lotes!$N$5:$N$154,MATCH(K564,Lotes!$P$5:$P$154,0)),"Sem lote cadastrado"))</f>
        <v/>
      </c>
      <c r="M564" s="25">
        <f>IF(H564="Sim",G564,0)</f>
        <v>0</v>
      </c>
      <c r="N564" s="42">
        <f>IF(AND(H564="Sim",I564&lt;&gt;"Aceito"),G564+ROW()/100000,0)</f>
        <v>0</v>
      </c>
    </row>
    <row r="565">
      <c r="A565" s="35" t="n"/>
      <c r="B565" s="39" t="n"/>
      <c r="C565" s="33" t="n"/>
      <c r="D565" s="35" t="n"/>
      <c r="E565" s="33" t="n"/>
      <c r="F565" s="33" t="n"/>
      <c r="G565" s="40" t="n"/>
      <c r="H565" s="35" t="n"/>
      <c r="I565" s="35" t="n"/>
      <c r="J565" s="30">
        <f>IF(B565="","",DATE(YEAR(B565),MONTH(B565),1))</f>
        <v/>
      </c>
      <c r="K565" s="41">
        <f>IF(OR(B565="",D565=""),"",D565&amp;"|"&amp;TEXT(J565,"yyyy-mm"))</f>
        <v/>
      </c>
      <c r="L565" s="24">
        <f>IF(K565="","",IFERROR(INDEX(Lotes!$N$5:$N$154,MATCH(K565,Lotes!$P$5:$P$154,0)),"Sem lote cadastrado"))</f>
        <v/>
      </c>
      <c r="M565" s="25">
        <f>IF(H565="Sim",G565,0)</f>
        <v>0</v>
      </c>
      <c r="N565" s="42">
        <f>IF(AND(H565="Sim",I565&lt;&gt;"Aceito"),G565+ROW()/100000,0)</f>
        <v>0</v>
      </c>
    </row>
    <row r="566">
      <c r="A566" s="35" t="n"/>
      <c r="B566" s="39" t="n"/>
      <c r="C566" s="33" t="n"/>
      <c r="D566" s="35" t="n"/>
      <c r="E566" s="33" t="n"/>
      <c r="F566" s="33" t="n"/>
      <c r="G566" s="40" t="n"/>
      <c r="H566" s="35" t="n"/>
      <c r="I566" s="35" t="n"/>
      <c r="J566" s="30">
        <f>IF(B566="","",DATE(YEAR(B566),MONTH(B566),1))</f>
        <v/>
      </c>
      <c r="K566" s="41">
        <f>IF(OR(B566="",D566=""),"",D566&amp;"|"&amp;TEXT(J566,"yyyy-mm"))</f>
        <v/>
      </c>
      <c r="L566" s="24">
        <f>IF(K566="","",IFERROR(INDEX(Lotes!$N$5:$N$154,MATCH(K566,Lotes!$P$5:$P$154,0)),"Sem lote cadastrado"))</f>
        <v/>
      </c>
      <c r="M566" s="25">
        <f>IF(H566="Sim",G566,0)</f>
        <v>0</v>
      </c>
      <c r="N566" s="42">
        <f>IF(AND(H566="Sim",I566&lt;&gt;"Aceito"),G566+ROW()/100000,0)</f>
        <v>0</v>
      </c>
    </row>
    <row r="567">
      <c r="A567" s="35" t="n"/>
      <c r="B567" s="39" t="n"/>
      <c r="C567" s="33" t="n"/>
      <c r="D567" s="35" t="n"/>
      <c r="E567" s="33" t="n"/>
      <c r="F567" s="33" t="n"/>
      <c r="G567" s="40" t="n"/>
      <c r="H567" s="35" t="n"/>
      <c r="I567" s="35" t="n"/>
      <c r="J567" s="30">
        <f>IF(B567="","",DATE(YEAR(B567),MONTH(B567),1))</f>
        <v/>
      </c>
      <c r="K567" s="41">
        <f>IF(OR(B567="",D567=""),"",D567&amp;"|"&amp;TEXT(J567,"yyyy-mm"))</f>
        <v/>
      </c>
      <c r="L567" s="24">
        <f>IF(K567="","",IFERROR(INDEX(Lotes!$N$5:$N$154,MATCH(K567,Lotes!$P$5:$P$154,0)),"Sem lote cadastrado"))</f>
        <v/>
      </c>
      <c r="M567" s="25">
        <f>IF(H567="Sim",G567,0)</f>
        <v>0</v>
      </c>
      <c r="N567" s="42">
        <f>IF(AND(H567="Sim",I567&lt;&gt;"Aceito"),G567+ROW()/100000,0)</f>
        <v>0</v>
      </c>
    </row>
    <row r="568">
      <c r="A568" s="35" t="n"/>
      <c r="B568" s="39" t="n"/>
      <c r="C568" s="33" t="n"/>
      <c r="D568" s="35" t="n"/>
      <c r="E568" s="33" t="n"/>
      <c r="F568" s="33" t="n"/>
      <c r="G568" s="40" t="n"/>
      <c r="H568" s="35" t="n"/>
      <c r="I568" s="35" t="n"/>
      <c r="J568" s="30">
        <f>IF(B568="","",DATE(YEAR(B568),MONTH(B568),1))</f>
        <v/>
      </c>
      <c r="K568" s="41">
        <f>IF(OR(B568="",D568=""),"",D568&amp;"|"&amp;TEXT(J568,"yyyy-mm"))</f>
        <v/>
      </c>
      <c r="L568" s="24">
        <f>IF(K568="","",IFERROR(INDEX(Lotes!$N$5:$N$154,MATCH(K568,Lotes!$P$5:$P$154,0)),"Sem lote cadastrado"))</f>
        <v/>
      </c>
      <c r="M568" s="25">
        <f>IF(H568="Sim",G568,0)</f>
        <v>0</v>
      </c>
      <c r="N568" s="42">
        <f>IF(AND(H568="Sim",I568&lt;&gt;"Aceito"),G568+ROW()/100000,0)</f>
        <v>0</v>
      </c>
    </row>
    <row r="569">
      <c r="A569" s="35" t="n"/>
      <c r="B569" s="39" t="n"/>
      <c r="C569" s="33" t="n"/>
      <c r="D569" s="35" t="n"/>
      <c r="E569" s="33" t="n"/>
      <c r="F569" s="33" t="n"/>
      <c r="G569" s="40" t="n"/>
      <c r="H569" s="35" t="n"/>
      <c r="I569" s="35" t="n"/>
      <c r="J569" s="30">
        <f>IF(B569="","",DATE(YEAR(B569),MONTH(B569),1))</f>
        <v/>
      </c>
      <c r="K569" s="41">
        <f>IF(OR(B569="",D569=""),"",D569&amp;"|"&amp;TEXT(J569,"yyyy-mm"))</f>
        <v/>
      </c>
      <c r="L569" s="24">
        <f>IF(K569="","",IFERROR(INDEX(Lotes!$N$5:$N$154,MATCH(K569,Lotes!$P$5:$P$154,0)),"Sem lote cadastrado"))</f>
        <v/>
      </c>
      <c r="M569" s="25">
        <f>IF(H569="Sim",G569,0)</f>
        <v>0</v>
      </c>
      <c r="N569" s="42">
        <f>IF(AND(H569="Sim",I569&lt;&gt;"Aceito"),G569+ROW()/100000,0)</f>
        <v>0</v>
      </c>
    </row>
    <row r="570">
      <c r="A570" s="35" t="n"/>
      <c r="B570" s="39" t="n"/>
      <c r="C570" s="33" t="n"/>
      <c r="D570" s="35" t="n"/>
      <c r="E570" s="33" t="n"/>
      <c r="F570" s="33" t="n"/>
      <c r="G570" s="40" t="n"/>
      <c r="H570" s="35" t="n"/>
      <c r="I570" s="35" t="n"/>
      <c r="J570" s="30">
        <f>IF(B570="","",DATE(YEAR(B570),MONTH(B570),1))</f>
        <v/>
      </c>
      <c r="K570" s="41">
        <f>IF(OR(B570="",D570=""),"",D570&amp;"|"&amp;TEXT(J570,"yyyy-mm"))</f>
        <v/>
      </c>
      <c r="L570" s="24">
        <f>IF(K570="","",IFERROR(INDEX(Lotes!$N$5:$N$154,MATCH(K570,Lotes!$P$5:$P$154,0)),"Sem lote cadastrado"))</f>
        <v/>
      </c>
      <c r="M570" s="25">
        <f>IF(H570="Sim",G570,0)</f>
        <v>0</v>
      </c>
      <c r="N570" s="42">
        <f>IF(AND(H570="Sim",I570&lt;&gt;"Aceito"),G570+ROW()/100000,0)</f>
        <v>0</v>
      </c>
    </row>
    <row r="571">
      <c r="A571" s="35" t="n"/>
      <c r="B571" s="39" t="n"/>
      <c r="C571" s="33" t="n"/>
      <c r="D571" s="35" t="n"/>
      <c r="E571" s="33" t="n"/>
      <c r="F571" s="33" t="n"/>
      <c r="G571" s="40" t="n"/>
      <c r="H571" s="35" t="n"/>
      <c r="I571" s="35" t="n"/>
      <c r="J571" s="30">
        <f>IF(B571="","",DATE(YEAR(B571),MONTH(B571),1))</f>
        <v/>
      </c>
      <c r="K571" s="41">
        <f>IF(OR(B571="",D571=""),"",D571&amp;"|"&amp;TEXT(J571,"yyyy-mm"))</f>
        <v/>
      </c>
      <c r="L571" s="24">
        <f>IF(K571="","",IFERROR(INDEX(Lotes!$N$5:$N$154,MATCH(K571,Lotes!$P$5:$P$154,0)),"Sem lote cadastrado"))</f>
        <v/>
      </c>
      <c r="M571" s="25">
        <f>IF(H571="Sim",G571,0)</f>
        <v>0</v>
      </c>
      <c r="N571" s="42">
        <f>IF(AND(H571="Sim",I571&lt;&gt;"Aceito"),G571+ROW()/100000,0)</f>
        <v>0</v>
      </c>
    </row>
    <row r="572">
      <c r="A572" s="35" t="n"/>
      <c r="B572" s="39" t="n"/>
      <c r="C572" s="33" t="n"/>
      <c r="D572" s="35" t="n"/>
      <c r="E572" s="33" t="n"/>
      <c r="F572" s="33" t="n"/>
      <c r="G572" s="40" t="n"/>
      <c r="H572" s="35" t="n"/>
      <c r="I572" s="35" t="n"/>
      <c r="J572" s="30">
        <f>IF(B572="","",DATE(YEAR(B572),MONTH(B572),1))</f>
        <v/>
      </c>
      <c r="K572" s="41">
        <f>IF(OR(B572="",D572=""),"",D572&amp;"|"&amp;TEXT(J572,"yyyy-mm"))</f>
        <v/>
      </c>
      <c r="L572" s="24">
        <f>IF(K572="","",IFERROR(INDEX(Lotes!$N$5:$N$154,MATCH(K572,Lotes!$P$5:$P$154,0)),"Sem lote cadastrado"))</f>
        <v/>
      </c>
      <c r="M572" s="25">
        <f>IF(H572="Sim",G572,0)</f>
        <v>0</v>
      </c>
      <c r="N572" s="42">
        <f>IF(AND(H572="Sim",I572&lt;&gt;"Aceito"),G572+ROW()/100000,0)</f>
        <v>0</v>
      </c>
    </row>
    <row r="573">
      <c r="A573" s="35" t="n"/>
      <c r="B573" s="39" t="n"/>
      <c r="C573" s="33" t="n"/>
      <c r="D573" s="35" t="n"/>
      <c r="E573" s="33" t="n"/>
      <c r="F573" s="33" t="n"/>
      <c r="G573" s="40" t="n"/>
      <c r="H573" s="35" t="n"/>
      <c r="I573" s="35" t="n"/>
      <c r="J573" s="30">
        <f>IF(B573="","",DATE(YEAR(B573),MONTH(B573),1))</f>
        <v/>
      </c>
      <c r="K573" s="41">
        <f>IF(OR(B573="",D573=""),"",D573&amp;"|"&amp;TEXT(J573,"yyyy-mm"))</f>
        <v/>
      </c>
      <c r="L573" s="24">
        <f>IF(K573="","",IFERROR(INDEX(Lotes!$N$5:$N$154,MATCH(K573,Lotes!$P$5:$P$154,0)),"Sem lote cadastrado"))</f>
        <v/>
      </c>
      <c r="M573" s="25">
        <f>IF(H573="Sim",G573,0)</f>
        <v>0</v>
      </c>
      <c r="N573" s="42">
        <f>IF(AND(H573="Sim",I573&lt;&gt;"Aceito"),G573+ROW()/100000,0)</f>
        <v>0</v>
      </c>
    </row>
    <row r="574">
      <c r="A574" s="35" t="n"/>
      <c r="B574" s="39" t="n"/>
      <c r="C574" s="33" t="n"/>
      <c r="D574" s="35" t="n"/>
      <c r="E574" s="33" t="n"/>
      <c r="F574" s="33" t="n"/>
      <c r="G574" s="40" t="n"/>
      <c r="H574" s="35" t="n"/>
      <c r="I574" s="35" t="n"/>
      <c r="J574" s="30">
        <f>IF(B574="","",DATE(YEAR(B574),MONTH(B574),1))</f>
        <v/>
      </c>
      <c r="K574" s="41">
        <f>IF(OR(B574="",D574=""),"",D574&amp;"|"&amp;TEXT(J574,"yyyy-mm"))</f>
        <v/>
      </c>
      <c r="L574" s="24">
        <f>IF(K574="","",IFERROR(INDEX(Lotes!$N$5:$N$154,MATCH(K574,Lotes!$P$5:$P$154,0)),"Sem lote cadastrado"))</f>
        <v/>
      </c>
      <c r="M574" s="25">
        <f>IF(H574="Sim",G574,0)</f>
        <v>0</v>
      </c>
      <c r="N574" s="42">
        <f>IF(AND(H574="Sim",I574&lt;&gt;"Aceito"),G574+ROW()/100000,0)</f>
        <v>0</v>
      </c>
    </row>
    <row r="575">
      <c r="A575" s="35" t="n"/>
      <c r="B575" s="39" t="n"/>
      <c r="C575" s="33" t="n"/>
      <c r="D575" s="35" t="n"/>
      <c r="E575" s="33" t="n"/>
      <c r="F575" s="33" t="n"/>
      <c r="G575" s="40" t="n"/>
      <c r="H575" s="35" t="n"/>
      <c r="I575" s="35" t="n"/>
      <c r="J575" s="30">
        <f>IF(B575="","",DATE(YEAR(B575),MONTH(B575),1))</f>
        <v/>
      </c>
      <c r="K575" s="41">
        <f>IF(OR(B575="",D575=""),"",D575&amp;"|"&amp;TEXT(J575,"yyyy-mm"))</f>
        <v/>
      </c>
      <c r="L575" s="24">
        <f>IF(K575="","",IFERROR(INDEX(Lotes!$N$5:$N$154,MATCH(K575,Lotes!$P$5:$P$154,0)),"Sem lote cadastrado"))</f>
        <v/>
      </c>
      <c r="M575" s="25">
        <f>IF(H575="Sim",G575,0)</f>
        <v>0</v>
      </c>
      <c r="N575" s="42">
        <f>IF(AND(H575="Sim",I575&lt;&gt;"Aceito"),G575+ROW()/100000,0)</f>
        <v>0</v>
      </c>
    </row>
    <row r="576">
      <c r="A576" s="35" t="n"/>
      <c r="B576" s="39" t="n"/>
      <c r="C576" s="33" t="n"/>
      <c r="D576" s="35" t="n"/>
      <c r="E576" s="33" t="n"/>
      <c r="F576" s="33" t="n"/>
      <c r="G576" s="40" t="n"/>
      <c r="H576" s="35" t="n"/>
      <c r="I576" s="35" t="n"/>
      <c r="J576" s="30">
        <f>IF(B576="","",DATE(YEAR(B576),MONTH(B576),1))</f>
        <v/>
      </c>
      <c r="K576" s="41">
        <f>IF(OR(B576="",D576=""),"",D576&amp;"|"&amp;TEXT(J576,"yyyy-mm"))</f>
        <v/>
      </c>
      <c r="L576" s="24">
        <f>IF(K576="","",IFERROR(INDEX(Lotes!$N$5:$N$154,MATCH(K576,Lotes!$P$5:$P$154,0)),"Sem lote cadastrado"))</f>
        <v/>
      </c>
      <c r="M576" s="25">
        <f>IF(H576="Sim",G576,0)</f>
        <v>0</v>
      </c>
      <c r="N576" s="42">
        <f>IF(AND(H576="Sim",I576&lt;&gt;"Aceito"),G576+ROW()/100000,0)</f>
        <v>0</v>
      </c>
    </row>
    <row r="577">
      <c r="A577" s="35" t="n"/>
      <c r="B577" s="39" t="n"/>
      <c r="C577" s="33" t="n"/>
      <c r="D577" s="35" t="n"/>
      <c r="E577" s="33" t="n"/>
      <c r="F577" s="33" t="n"/>
      <c r="G577" s="40" t="n"/>
      <c r="H577" s="35" t="n"/>
      <c r="I577" s="35" t="n"/>
      <c r="J577" s="30">
        <f>IF(B577="","",DATE(YEAR(B577),MONTH(B577),1))</f>
        <v/>
      </c>
      <c r="K577" s="41">
        <f>IF(OR(B577="",D577=""),"",D577&amp;"|"&amp;TEXT(J577,"yyyy-mm"))</f>
        <v/>
      </c>
      <c r="L577" s="24">
        <f>IF(K577="","",IFERROR(INDEX(Lotes!$N$5:$N$154,MATCH(K577,Lotes!$P$5:$P$154,0)),"Sem lote cadastrado"))</f>
        <v/>
      </c>
      <c r="M577" s="25">
        <f>IF(H577="Sim",G577,0)</f>
        <v>0</v>
      </c>
      <c r="N577" s="42">
        <f>IF(AND(H577="Sim",I577&lt;&gt;"Aceito"),G577+ROW()/100000,0)</f>
        <v>0</v>
      </c>
    </row>
    <row r="578">
      <c r="A578" s="35" t="n"/>
      <c r="B578" s="39" t="n"/>
      <c r="C578" s="33" t="n"/>
      <c r="D578" s="35" t="n"/>
      <c r="E578" s="33" t="n"/>
      <c r="F578" s="33" t="n"/>
      <c r="G578" s="40" t="n"/>
      <c r="H578" s="35" t="n"/>
      <c r="I578" s="35" t="n"/>
      <c r="J578" s="30">
        <f>IF(B578="","",DATE(YEAR(B578),MONTH(B578),1))</f>
        <v/>
      </c>
      <c r="K578" s="41">
        <f>IF(OR(B578="",D578=""),"",D578&amp;"|"&amp;TEXT(J578,"yyyy-mm"))</f>
        <v/>
      </c>
      <c r="L578" s="24">
        <f>IF(K578="","",IFERROR(INDEX(Lotes!$N$5:$N$154,MATCH(K578,Lotes!$P$5:$P$154,0)),"Sem lote cadastrado"))</f>
        <v/>
      </c>
      <c r="M578" s="25">
        <f>IF(H578="Sim",G578,0)</f>
        <v>0</v>
      </c>
      <c r="N578" s="42">
        <f>IF(AND(H578="Sim",I578&lt;&gt;"Aceito"),G578+ROW()/100000,0)</f>
        <v>0</v>
      </c>
    </row>
    <row r="579">
      <c r="A579" s="35" t="n"/>
      <c r="B579" s="39" t="n"/>
      <c r="C579" s="33" t="n"/>
      <c r="D579" s="35" t="n"/>
      <c r="E579" s="33" t="n"/>
      <c r="F579" s="33" t="n"/>
      <c r="G579" s="40" t="n"/>
      <c r="H579" s="35" t="n"/>
      <c r="I579" s="35" t="n"/>
      <c r="J579" s="30">
        <f>IF(B579="","",DATE(YEAR(B579),MONTH(B579),1))</f>
        <v/>
      </c>
      <c r="K579" s="41">
        <f>IF(OR(B579="",D579=""),"",D579&amp;"|"&amp;TEXT(J579,"yyyy-mm"))</f>
        <v/>
      </c>
      <c r="L579" s="24">
        <f>IF(K579="","",IFERROR(INDEX(Lotes!$N$5:$N$154,MATCH(K579,Lotes!$P$5:$P$154,0)),"Sem lote cadastrado"))</f>
        <v/>
      </c>
      <c r="M579" s="25">
        <f>IF(H579="Sim",G579,0)</f>
        <v>0</v>
      </c>
      <c r="N579" s="42">
        <f>IF(AND(H579="Sim",I579&lt;&gt;"Aceito"),G579+ROW()/100000,0)</f>
        <v>0</v>
      </c>
    </row>
    <row r="580">
      <c r="A580" s="35" t="n"/>
      <c r="B580" s="39" t="n"/>
      <c r="C580" s="33" t="n"/>
      <c r="D580" s="35" t="n"/>
      <c r="E580" s="33" t="n"/>
      <c r="F580" s="33" t="n"/>
      <c r="G580" s="40" t="n"/>
      <c r="H580" s="35" t="n"/>
      <c r="I580" s="35" t="n"/>
      <c r="J580" s="30">
        <f>IF(B580="","",DATE(YEAR(B580),MONTH(B580),1))</f>
        <v/>
      </c>
      <c r="K580" s="41">
        <f>IF(OR(B580="",D580=""),"",D580&amp;"|"&amp;TEXT(J580,"yyyy-mm"))</f>
        <v/>
      </c>
      <c r="L580" s="24">
        <f>IF(K580="","",IFERROR(INDEX(Lotes!$N$5:$N$154,MATCH(K580,Lotes!$P$5:$P$154,0)),"Sem lote cadastrado"))</f>
        <v/>
      </c>
      <c r="M580" s="25">
        <f>IF(H580="Sim",G580,0)</f>
        <v>0</v>
      </c>
      <c r="N580" s="42">
        <f>IF(AND(H580="Sim",I580&lt;&gt;"Aceito"),G580+ROW()/100000,0)</f>
        <v>0</v>
      </c>
    </row>
    <row r="581">
      <c r="A581" s="35" t="n"/>
      <c r="B581" s="39" t="n"/>
      <c r="C581" s="33" t="n"/>
      <c r="D581" s="35" t="n"/>
      <c r="E581" s="33" t="n"/>
      <c r="F581" s="33" t="n"/>
      <c r="G581" s="40" t="n"/>
      <c r="H581" s="35" t="n"/>
      <c r="I581" s="35" t="n"/>
      <c r="J581" s="30">
        <f>IF(B581="","",DATE(YEAR(B581),MONTH(B581),1))</f>
        <v/>
      </c>
      <c r="K581" s="41">
        <f>IF(OR(B581="",D581=""),"",D581&amp;"|"&amp;TEXT(J581,"yyyy-mm"))</f>
        <v/>
      </c>
      <c r="L581" s="24">
        <f>IF(K581="","",IFERROR(INDEX(Lotes!$N$5:$N$154,MATCH(K581,Lotes!$P$5:$P$154,0)),"Sem lote cadastrado"))</f>
        <v/>
      </c>
      <c r="M581" s="25">
        <f>IF(H581="Sim",G581,0)</f>
        <v>0</v>
      </c>
      <c r="N581" s="42">
        <f>IF(AND(H581="Sim",I581&lt;&gt;"Aceito"),G581+ROW()/100000,0)</f>
        <v>0</v>
      </c>
    </row>
    <row r="582">
      <c r="A582" s="35" t="n"/>
      <c r="B582" s="39" t="n"/>
      <c r="C582" s="33" t="n"/>
      <c r="D582" s="35" t="n"/>
      <c r="E582" s="33" t="n"/>
      <c r="F582" s="33" t="n"/>
      <c r="G582" s="40" t="n"/>
      <c r="H582" s="35" t="n"/>
      <c r="I582" s="35" t="n"/>
      <c r="J582" s="30">
        <f>IF(B582="","",DATE(YEAR(B582),MONTH(B582),1))</f>
        <v/>
      </c>
      <c r="K582" s="41">
        <f>IF(OR(B582="",D582=""),"",D582&amp;"|"&amp;TEXT(J582,"yyyy-mm"))</f>
        <v/>
      </c>
      <c r="L582" s="24">
        <f>IF(K582="","",IFERROR(INDEX(Lotes!$N$5:$N$154,MATCH(K582,Lotes!$P$5:$P$154,0)),"Sem lote cadastrado"))</f>
        <v/>
      </c>
      <c r="M582" s="25">
        <f>IF(H582="Sim",G582,0)</f>
        <v>0</v>
      </c>
      <c r="N582" s="42">
        <f>IF(AND(H582="Sim",I582&lt;&gt;"Aceito"),G582+ROW()/100000,0)</f>
        <v>0</v>
      </c>
    </row>
    <row r="583">
      <c r="A583" s="35" t="n"/>
      <c r="B583" s="39" t="n"/>
      <c r="C583" s="33" t="n"/>
      <c r="D583" s="35" t="n"/>
      <c r="E583" s="33" t="n"/>
      <c r="F583" s="33" t="n"/>
      <c r="G583" s="40" t="n"/>
      <c r="H583" s="35" t="n"/>
      <c r="I583" s="35" t="n"/>
      <c r="J583" s="30">
        <f>IF(B583="","",DATE(YEAR(B583),MONTH(B583),1))</f>
        <v/>
      </c>
      <c r="K583" s="41">
        <f>IF(OR(B583="",D583=""),"",D583&amp;"|"&amp;TEXT(J583,"yyyy-mm"))</f>
        <v/>
      </c>
      <c r="L583" s="24">
        <f>IF(K583="","",IFERROR(INDEX(Lotes!$N$5:$N$154,MATCH(K583,Lotes!$P$5:$P$154,0)),"Sem lote cadastrado"))</f>
        <v/>
      </c>
      <c r="M583" s="25">
        <f>IF(H583="Sim",G583,0)</f>
        <v>0</v>
      </c>
      <c r="N583" s="42">
        <f>IF(AND(H583="Sim",I583&lt;&gt;"Aceito"),G583+ROW()/100000,0)</f>
        <v>0</v>
      </c>
    </row>
    <row r="584">
      <c r="A584" s="35" t="n"/>
      <c r="B584" s="39" t="n"/>
      <c r="C584" s="33" t="n"/>
      <c r="D584" s="35" t="n"/>
      <c r="E584" s="33" t="n"/>
      <c r="F584" s="33" t="n"/>
      <c r="G584" s="40" t="n"/>
      <c r="H584" s="35" t="n"/>
      <c r="I584" s="35" t="n"/>
      <c r="J584" s="30">
        <f>IF(B584="","",DATE(YEAR(B584),MONTH(B584),1))</f>
        <v/>
      </c>
      <c r="K584" s="41">
        <f>IF(OR(B584="",D584=""),"",D584&amp;"|"&amp;TEXT(J584,"yyyy-mm"))</f>
        <v/>
      </c>
      <c r="L584" s="24">
        <f>IF(K584="","",IFERROR(INDEX(Lotes!$N$5:$N$154,MATCH(K584,Lotes!$P$5:$P$154,0)),"Sem lote cadastrado"))</f>
        <v/>
      </c>
      <c r="M584" s="25">
        <f>IF(H584="Sim",G584,0)</f>
        <v>0</v>
      </c>
      <c r="N584" s="42">
        <f>IF(AND(H584="Sim",I584&lt;&gt;"Aceito"),G584+ROW()/100000,0)</f>
        <v>0</v>
      </c>
    </row>
    <row r="585">
      <c r="A585" s="35" t="n"/>
      <c r="B585" s="39" t="n"/>
      <c r="C585" s="33" t="n"/>
      <c r="D585" s="35" t="n"/>
      <c r="E585" s="33" t="n"/>
      <c r="F585" s="33" t="n"/>
      <c r="G585" s="40" t="n"/>
      <c r="H585" s="35" t="n"/>
      <c r="I585" s="35" t="n"/>
      <c r="J585" s="30">
        <f>IF(B585="","",DATE(YEAR(B585),MONTH(B585),1))</f>
        <v/>
      </c>
      <c r="K585" s="41">
        <f>IF(OR(B585="",D585=""),"",D585&amp;"|"&amp;TEXT(J585,"yyyy-mm"))</f>
        <v/>
      </c>
      <c r="L585" s="24">
        <f>IF(K585="","",IFERROR(INDEX(Lotes!$N$5:$N$154,MATCH(K585,Lotes!$P$5:$P$154,0)),"Sem lote cadastrado"))</f>
        <v/>
      </c>
      <c r="M585" s="25">
        <f>IF(H585="Sim",G585,0)</f>
        <v>0</v>
      </c>
      <c r="N585" s="42">
        <f>IF(AND(H585="Sim",I585&lt;&gt;"Aceito"),G585+ROW()/100000,0)</f>
        <v>0</v>
      </c>
    </row>
    <row r="586">
      <c r="A586" s="35" t="n"/>
      <c r="B586" s="39" t="n"/>
      <c r="C586" s="33" t="n"/>
      <c r="D586" s="35" t="n"/>
      <c r="E586" s="33" t="n"/>
      <c r="F586" s="33" t="n"/>
      <c r="G586" s="40" t="n"/>
      <c r="H586" s="35" t="n"/>
      <c r="I586" s="35" t="n"/>
      <c r="J586" s="30">
        <f>IF(B586="","",DATE(YEAR(B586),MONTH(B586),1))</f>
        <v/>
      </c>
      <c r="K586" s="41">
        <f>IF(OR(B586="",D586=""),"",D586&amp;"|"&amp;TEXT(J586,"yyyy-mm"))</f>
        <v/>
      </c>
      <c r="L586" s="24">
        <f>IF(K586="","",IFERROR(INDEX(Lotes!$N$5:$N$154,MATCH(K586,Lotes!$P$5:$P$154,0)),"Sem lote cadastrado"))</f>
        <v/>
      </c>
      <c r="M586" s="25">
        <f>IF(H586="Sim",G586,0)</f>
        <v>0</v>
      </c>
      <c r="N586" s="42">
        <f>IF(AND(H586="Sim",I586&lt;&gt;"Aceito"),G586+ROW()/100000,0)</f>
        <v>0</v>
      </c>
    </row>
    <row r="587">
      <c r="A587" s="35" t="n"/>
      <c r="B587" s="39" t="n"/>
      <c r="C587" s="33" t="n"/>
      <c r="D587" s="35" t="n"/>
      <c r="E587" s="33" t="n"/>
      <c r="F587" s="33" t="n"/>
      <c r="G587" s="40" t="n"/>
      <c r="H587" s="35" t="n"/>
      <c r="I587" s="35" t="n"/>
      <c r="J587" s="30">
        <f>IF(B587="","",DATE(YEAR(B587),MONTH(B587),1))</f>
        <v/>
      </c>
      <c r="K587" s="41">
        <f>IF(OR(B587="",D587=""),"",D587&amp;"|"&amp;TEXT(J587,"yyyy-mm"))</f>
        <v/>
      </c>
      <c r="L587" s="24">
        <f>IF(K587="","",IFERROR(INDEX(Lotes!$N$5:$N$154,MATCH(K587,Lotes!$P$5:$P$154,0)),"Sem lote cadastrado"))</f>
        <v/>
      </c>
      <c r="M587" s="25">
        <f>IF(H587="Sim",G587,0)</f>
        <v>0</v>
      </c>
      <c r="N587" s="42">
        <f>IF(AND(H587="Sim",I587&lt;&gt;"Aceito"),G587+ROW()/100000,0)</f>
        <v>0</v>
      </c>
    </row>
    <row r="588">
      <c r="A588" s="35" t="n"/>
      <c r="B588" s="39" t="n"/>
      <c r="C588" s="33" t="n"/>
      <c r="D588" s="35" t="n"/>
      <c r="E588" s="33" t="n"/>
      <c r="F588" s="33" t="n"/>
      <c r="G588" s="40" t="n"/>
      <c r="H588" s="35" t="n"/>
      <c r="I588" s="35" t="n"/>
      <c r="J588" s="30">
        <f>IF(B588="","",DATE(YEAR(B588),MONTH(B588),1))</f>
        <v/>
      </c>
      <c r="K588" s="41">
        <f>IF(OR(B588="",D588=""),"",D588&amp;"|"&amp;TEXT(J588,"yyyy-mm"))</f>
        <v/>
      </c>
      <c r="L588" s="24">
        <f>IF(K588="","",IFERROR(INDEX(Lotes!$N$5:$N$154,MATCH(K588,Lotes!$P$5:$P$154,0)),"Sem lote cadastrado"))</f>
        <v/>
      </c>
      <c r="M588" s="25">
        <f>IF(H588="Sim",G588,0)</f>
        <v>0</v>
      </c>
      <c r="N588" s="42">
        <f>IF(AND(H588="Sim",I588&lt;&gt;"Aceito"),G588+ROW()/100000,0)</f>
        <v>0</v>
      </c>
    </row>
    <row r="589">
      <c r="A589" s="35" t="n"/>
      <c r="B589" s="39" t="n"/>
      <c r="C589" s="33" t="n"/>
      <c r="D589" s="35" t="n"/>
      <c r="E589" s="33" t="n"/>
      <c r="F589" s="33" t="n"/>
      <c r="G589" s="40" t="n"/>
      <c r="H589" s="35" t="n"/>
      <c r="I589" s="35" t="n"/>
      <c r="J589" s="30">
        <f>IF(B589="","",DATE(YEAR(B589),MONTH(B589),1))</f>
        <v/>
      </c>
      <c r="K589" s="41">
        <f>IF(OR(B589="",D589=""),"",D589&amp;"|"&amp;TEXT(J589,"yyyy-mm"))</f>
        <v/>
      </c>
      <c r="L589" s="24">
        <f>IF(K589="","",IFERROR(INDEX(Lotes!$N$5:$N$154,MATCH(K589,Lotes!$P$5:$P$154,0)),"Sem lote cadastrado"))</f>
        <v/>
      </c>
      <c r="M589" s="25">
        <f>IF(H589="Sim",G589,0)</f>
        <v>0</v>
      </c>
      <c r="N589" s="42">
        <f>IF(AND(H589="Sim",I589&lt;&gt;"Aceito"),G589+ROW()/100000,0)</f>
        <v>0</v>
      </c>
    </row>
    <row r="590">
      <c r="A590" s="35" t="n"/>
      <c r="B590" s="39" t="n"/>
      <c r="C590" s="33" t="n"/>
      <c r="D590" s="35" t="n"/>
      <c r="E590" s="33" t="n"/>
      <c r="F590" s="33" t="n"/>
      <c r="G590" s="40" t="n"/>
      <c r="H590" s="35" t="n"/>
      <c r="I590" s="35" t="n"/>
      <c r="J590" s="30">
        <f>IF(B590="","",DATE(YEAR(B590),MONTH(B590),1))</f>
        <v/>
      </c>
      <c r="K590" s="41">
        <f>IF(OR(B590="",D590=""),"",D590&amp;"|"&amp;TEXT(J590,"yyyy-mm"))</f>
        <v/>
      </c>
      <c r="L590" s="24">
        <f>IF(K590="","",IFERROR(INDEX(Lotes!$N$5:$N$154,MATCH(K590,Lotes!$P$5:$P$154,0)),"Sem lote cadastrado"))</f>
        <v/>
      </c>
      <c r="M590" s="25">
        <f>IF(H590="Sim",G590,0)</f>
        <v>0</v>
      </c>
      <c r="N590" s="42">
        <f>IF(AND(H590="Sim",I590&lt;&gt;"Aceito"),G590+ROW()/100000,0)</f>
        <v>0</v>
      </c>
    </row>
    <row r="591">
      <c r="A591" s="35" t="n"/>
      <c r="B591" s="39" t="n"/>
      <c r="C591" s="33" t="n"/>
      <c r="D591" s="35" t="n"/>
      <c r="E591" s="33" t="n"/>
      <c r="F591" s="33" t="n"/>
      <c r="G591" s="40" t="n"/>
      <c r="H591" s="35" t="n"/>
      <c r="I591" s="35" t="n"/>
      <c r="J591" s="30">
        <f>IF(B591="","",DATE(YEAR(B591),MONTH(B591),1))</f>
        <v/>
      </c>
      <c r="K591" s="41">
        <f>IF(OR(B591="",D591=""),"",D591&amp;"|"&amp;TEXT(J591,"yyyy-mm"))</f>
        <v/>
      </c>
      <c r="L591" s="24">
        <f>IF(K591="","",IFERROR(INDEX(Lotes!$N$5:$N$154,MATCH(K591,Lotes!$P$5:$P$154,0)),"Sem lote cadastrado"))</f>
        <v/>
      </c>
      <c r="M591" s="25">
        <f>IF(H591="Sim",G591,0)</f>
        <v>0</v>
      </c>
      <c r="N591" s="42">
        <f>IF(AND(H591="Sim",I591&lt;&gt;"Aceito"),G591+ROW()/100000,0)</f>
        <v>0</v>
      </c>
    </row>
    <row r="592">
      <c r="A592" s="35" t="n"/>
      <c r="B592" s="39" t="n"/>
      <c r="C592" s="33" t="n"/>
      <c r="D592" s="35" t="n"/>
      <c r="E592" s="33" t="n"/>
      <c r="F592" s="33" t="n"/>
      <c r="G592" s="40" t="n"/>
      <c r="H592" s="35" t="n"/>
      <c r="I592" s="35" t="n"/>
      <c r="J592" s="30">
        <f>IF(B592="","",DATE(YEAR(B592),MONTH(B592),1))</f>
        <v/>
      </c>
      <c r="K592" s="41">
        <f>IF(OR(B592="",D592=""),"",D592&amp;"|"&amp;TEXT(J592,"yyyy-mm"))</f>
        <v/>
      </c>
      <c r="L592" s="24">
        <f>IF(K592="","",IFERROR(INDEX(Lotes!$N$5:$N$154,MATCH(K592,Lotes!$P$5:$P$154,0)),"Sem lote cadastrado"))</f>
        <v/>
      </c>
      <c r="M592" s="25">
        <f>IF(H592="Sim",G592,0)</f>
        <v>0</v>
      </c>
      <c r="N592" s="42">
        <f>IF(AND(H592="Sim",I592&lt;&gt;"Aceito"),G592+ROW()/100000,0)</f>
        <v>0</v>
      </c>
    </row>
    <row r="593">
      <c r="A593" s="35" t="n"/>
      <c r="B593" s="39" t="n"/>
      <c r="C593" s="33" t="n"/>
      <c r="D593" s="35" t="n"/>
      <c r="E593" s="33" t="n"/>
      <c r="F593" s="33" t="n"/>
      <c r="G593" s="40" t="n"/>
      <c r="H593" s="35" t="n"/>
      <c r="I593" s="35" t="n"/>
      <c r="J593" s="30">
        <f>IF(B593="","",DATE(YEAR(B593),MONTH(B593),1))</f>
        <v/>
      </c>
      <c r="K593" s="41">
        <f>IF(OR(B593="",D593=""),"",D593&amp;"|"&amp;TEXT(J593,"yyyy-mm"))</f>
        <v/>
      </c>
      <c r="L593" s="24">
        <f>IF(K593="","",IFERROR(INDEX(Lotes!$N$5:$N$154,MATCH(K593,Lotes!$P$5:$P$154,0)),"Sem lote cadastrado"))</f>
        <v/>
      </c>
      <c r="M593" s="25">
        <f>IF(H593="Sim",G593,0)</f>
        <v>0</v>
      </c>
      <c r="N593" s="42">
        <f>IF(AND(H593="Sim",I593&lt;&gt;"Aceito"),G593+ROW()/100000,0)</f>
        <v>0</v>
      </c>
    </row>
    <row r="594">
      <c r="A594" s="35" t="n"/>
      <c r="B594" s="39" t="n"/>
      <c r="C594" s="33" t="n"/>
      <c r="D594" s="35" t="n"/>
      <c r="E594" s="33" t="n"/>
      <c r="F594" s="33" t="n"/>
      <c r="G594" s="40" t="n"/>
      <c r="H594" s="35" t="n"/>
      <c r="I594" s="35" t="n"/>
      <c r="J594" s="30">
        <f>IF(B594="","",DATE(YEAR(B594),MONTH(B594),1))</f>
        <v/>
      </c>
      <c r="K594" s="41">
        <f>IF(OR(B594="",D594=""),"",D594&amp;"|"&amp;TEXT(J594,"yyyy-mm"))</f>
        <v/>
      </c>
      <c r="L594" s="24">
        <f>IF(K594="","",IFERROR(INDEX(Lotes!$N$5:$N$154,MATCH(K594,Lotes!$P$5:$P$154,0)),"Sem lote cadastrado"))</f>
        <v/>
      </c>
      <c r="M594" s="25">
        <f>IF(H594="Sim",G594,0)</f>
        <v>0</v>
      </c>
      <c r="N594" s="42">
        <f>IF(AND(H594="Sim",I594&lt;&gt;"Aceito"),G594+ROW()/100000,0)</f>
        <v>0</v>
      </c>
    </row>
    <row r="595">
      <c r="A595" s="35" t="n"/>
      <c r="B595" s="39" t="n"/>
      <c r="C595" s="33" t="n"/>
      <c r="D595" s="35" t="n"/>
      <c r="E595" s="33" t="n"/>
      <c r="F595" s="33" t="n"/>
      <c r="G595" s="40" t="n"/>
      <c r="H595" s="35" t="n"/>
      <c r="I595" s="35" t="n"/>
      <c r="J595" s="30">
        <f>IF(B595="","",DATE(YEAR(B595),MONTH(B595),1))</f>
        <v/>
      </c>
      <c r="K595" s="41">
        <f>IF(OR(B595="",D595=""),"",D595&amp;"|"&amp;TEXT(J595,"yyyy-mm"))</f>
        <v/>
      </c>
      <c r="L595" s="24">
        <f>IF(K595="","",IFERROR(INDEX(Lotes!$N$5:$N$154,MATCH(K595,Lotes!$P$5:$P$154,0)),"Sem lote cadastrado"))</f>
        <v/>
      </c>
      <c r="M595" s="25">
        <f>IF(H595="Sim",G595,0)</f>
        <v>0</v>
      </c>
      <c r="N595" s="42">
        <f>IF(AND(H595="Sim",I595&lt;&gt;"Aceito"),G595+ROW()/100000,0)</f>
        <v>0</v>
      </c>
    </row>
    <row r="596">
      <c r="A596" s="35" t="n"/>
      <c r="B596" s="39" t="n"/>
      <c r="C596" s="33" t="n"/>
      <c r="D596" s="35" t="n"/>
      <c r="E596" s="33" t="n"/>
      <c r="F596" s="33" t="n"/>
      <c r="G596" s="40" t="n"/>
      <c r="H596" s="35" t="n"/>
      <c r="I596" s="35" t="n"/>
      <c r="J596" s="30">
        <f>IF(B596="","",DATE(YEAR(B596),MONTH(B596),1))</f>
        <v/>
      </c>
      <c r="K596" s="41">
        <f>IF(OR(B596="",D596=""),"",D596&amp;"|"&amp;TEXT(J596,"yyyy-mm"))</f>
        <v/>
      </c>
      <c r="L596" s="24">
        <f>IF(K596="","",IFERROR(INDEX(Lotes!$N$5:$N$154,MATCH(K596,Lotes!$P$5:$P$154,0)),"Sem lote cadastrado"))</f>
        <v/>
      </c>
      <c r="M596" s="25">
        <f>IF(H596="Sim",G596,0)</f>
        <v>0</v>
      </c>
      <c r="N596" s="42">
        <f>IF(AND(H596="Sim",I596&lt;&gt;"Aceito"),G596+ROW()/100000,0)</f>
        <v>0</v>
      </c>
    </row>
    <row r="597">
      <c r="A597" s="35" t="n"/>
      <c r="B597" s="39" t="n"/>
      <c r="C597" s="33" t="n"/>
      <c r="D597" s="35" t="n"/>
      <c r="E597" s="33" t="n"/>
      <c r="F597" s="33" t="n"/>
      <c r="G597" s="40" t="n"/>
      <c r="H597" s="35" t="n"/>
      <c r="I597" s="35" t="n"/>
      <c r="J597" s="30">
        <f>IF(B597="","",DATE(YEAR(B597),MONTH(B597),1))</f>
        <v/>
      </c>
      <c r="K597" s="41">
        <f>IF(OR(B597="",D597=""),"",D597&amp;"|"&amp;TEXT(J597,"yyyy-mm"))</f>
        <v/>
      </c>
      <c r="L597" s="24">
        <f>IF(K597="","",IFERROR(INDEX(Lotes!$N$5:$N$154,MATCH(K597,Lotes!$P$5:$P$154,0)),"Sem lote cadastrado"))</f>
        <v/>
      </c>
      <c r="M597" s="25">
        <f>IF(H597="Sim",G597,0)</f>
        <v>0</v>
      </c>
      <c r="N597" s="42">
        <f>IF(AND(H597="Sim",I597&lt;&gt;"Aceito"),G597+ROW()/100000,0)</f>
        <v>0</v>
      </c>
    </row>
    <row r="598">
      <c r="A598" s="35" t="n"/>
      <c r="B598" s="39" t="n"/>
      <c r="C598" s="33" t="n"/>
      <c r="D598" s="35" t="n"/>
      <c r="E598" s="33" t="n"/>
      <c r="F598" s="33" t="n"/>
      <c r="G598" s="40" t="n"/>
      <c r="H598" s="35" t="n"/>
      <c r="I598" s="35" t="n"/>
      <c r="J598" s="30">
        <f>IF(B598="","",DATE(YEAR(B598),MONTH(B598),1))</f>
        <v/>
      </c>
      <c r="K598" s="41">
        <f>IF(OR(B598="",D598=""),"",D598&amp;"|"&amp;TEXT(J598,"yyyy-mm"))</f>
        <v/>
      </c>
      <c r="L598" s="24">
        <f>IF(K598="","",IFERROR(INDEX(Lotes!$N$5:$N$154,MATCH(K598,Lotes!$P$5:$P$154,0)),"Sem lote cadastrado"))</f>
        <v/>
      </c>
      <c r="M598" s="25">
        <f>IF(H598="Sim",G598,0)</f>
        <v>0</v>
      </c>
      <c r="N598" s="42">
        <f>IF(AND(H598="Sim",I598&lt;&gt;"Aceito"),G598+ROW()/100000,0)</f>
        <v>0</v>
      </c>
    </row>
    <row r="599">
      <c r="A599" s="35" t="n"/>
      <c r="B599" s="39" t="n"/>
      <c r="C599" s="33" t="n"/>
      <c r="D599" s="35" t="n"/>
      <c r="E599" s="33" t="n"/>
      <c r="F599" s="33" t="n"/>
      <c r="G599" s="40" t="n"/>
      <c r="H599" s="35" t="n"/>
      <c r="I599" s="35" t="n"/>
      <c r="J599" s="30">
        <f>IF(B599="","",DATE(YEAR(B599),MONTH(B599),1))</f>
        <v/>
      </c>
      <c r="K599" s="41">
        <f>IF(OR(B599="",D599=""),"",D599&amp;"|"&amp;TEXT(J599,"yyyy-mm"))</f>
        <v/>
      </c>
      <c r="L599" s="24">
        <f>IF(K599="","",IFERROR(INDEX(Lotes!$N$5:$N$154,MATCH(K599,Lotes!$P$5:$P$154,0)),"Sem lote cadastrado"))</f>
        <v/>
      </c>
      <c r="M599" s="25">
        <f>IF(H599="Sim",G599,0)</f>
        <v>0</v>
      </c>
      <c r="N599" s="42">
        <f>IF(AND(H599="Sim",I599&lt;&gt;"Aceito"),G599+ROW()/100000,0)</f>
        <v>0</v>
      </c>
    </row>
    <row r="600">
      <c r="A600" s="35" t="n"/>
      <c r="B600" s="39" t="n"/>
      <c r="C600" s="33" t="n"/>
      <c r="D600" s="35" t="n"/>
      <c r="E600" s="33" t="n"/>
      <c r="F600" s="33" t="n"/>
      <c r="G600" s="40" t="n"/>
      <c r="H600" s="35" t="n"/>
      <c r="I600" s="35" t="n"/>
      <c r="J600" s="30">
        <f>IF(B600="","",DATE(YEAR(B600),MONTH(B600),1))</f>
        <v/>
      </c>
      <c r="K600" s="41">
        <f>IF(OR(B600="",D600=""),"",D600&amp;"|"&amp;TEXT(J600,"yyyy-mm"))</f>
        <v/>
      </c>
      <c r="L600" s="24">
        <f>IF(K600="","",IFERROR(INDEX(Lotes!$N$5:$N$154,MATCH(K600,Lotes!$P$5:$P$154,0)),"Sem lote cadastrado"))</f>
        <v/>
      </c>
      <c r="M600" s="25">
        <f>IF(H600="Sim",G600,0)</f>
        <v>0</v>
      </c>
      <c r="N600" s="42">
        <f>IF(AND(H600="Sim",I600&lt;&gt;"Aceito"),G600+ROW()/100000,0)</f>
        <v>0</v>
      </c>
    </row>
    <row r="601">
      <c r="A601" s="35" t="n"/>
      <c r="B601" s="39" t="n"/>
      <c r="C601" s="33" t="n"/>
      <c r="D601" s="35" t="n"/>
      <c r="E601" s="33" t="n"/>
      <c r="F601" s="33" t="n"/>
      <c r="G601" s="40" t="n"/>
      <c r="H601" s="35" t="n"/>
      <c r="I601" s="35" t="n"/>
      <c r="J601" s="30">
        <f>IF(B601="","",DATE(YEAR(B601),MONTH(B601),1))</f>
        <v/>
      </c>
      <c r="K601" s="41">
        <f>IF(OR(B601="",D601=""),"",D601&amp;"|"&amp;TEXT(J601,"yyyy-mm"))</f>
        <v/>
      </c>
      <c r="L601" s="24">
        <f>IF(K601="","",IFERROR(INDEX(Lotes!$N$5:$N$154,MATCH(K601,Lotes!$P$5:$P$154,0)),"Sem lote cadastrado"))</f>
        <v/>
      </c>
      <c r="M601" s="25">
        <f>IF(H601="Sim",G601,0)</f>
        <v>0</v>
      </c>
      <c r="N601" s="42">
        <f>IF(AND(H601="Sim",I601&lt;&gt;"Aceito"),G601+ROW()/100000,0)</f>
        <v>0</v>
      </c>
    </row>
    <row r="602">
      <c r="A602" s="35" t="n"/>
      <c r="B602" s="39" t="n"/>
      <c r="C602" s="33" t="n"/>
      <c r="D602" s="35" t="n"/>
      <c r="E602" s="33" t="n"/>
      <c r="F602" s="33" t="n"/>
      <c r="G602" s="40" t="n"/>
      <c r="H602" s="35" t="n"/>
      <c r="I602" s="35" t="n"/>
      <c r="J602" s="30">
        <f>IF(B602="","",DATE(YEAR(B602),MONTH(B602),1))</f>
        <v/>
      </c>
      <c r="K602" s="41">
        <f>IF(OR(B602="",D602=""),"",D602&amp;"|"&amp;TEXT(J602,"yyyy-mm"))</f>
        <v/>
      </c>
      <c r="L602" s="24">
        <f>IF(K602="","",IFERROR(INDEX(Lotes!$N$5:$N$154,MATCH(K602,Lotes!$P$5:$P$154,0)),"Sem lote cadastrado"))</f>
        <v/>
      </c>
      <c r="M602" s="25">
        <f>IF(H602="Sim",G602,0)</f>
        <v>0</v>
      </c>
      <c r="N602" s="42">
        <f>IF(AND(H602="Sim",I602&lt;&gt;"Aceito"),G602+ROW()/100000,0)</f>
        <v>0</v>
      </c>
    </row>
    <row r="603">
      <c r="A603" s="35" t="n"/>
      <c r="B603" s="39" t="n"/>
      <c r="C603" s="33" t="n"/>
      <c r="D603" s="35" t="n"/>
      <c r="E603" s="33" t="n"/>
      <c r="F603" s="33" t="n"/>
      <c r="G603" s="40" t="n"/>
      <c r="H603" s="35" t="n"/>
      <c r="I603" s="35" t="n"/>
      <c r="J603" s="30">
        <f>IF(B603="","",DATE(YEAR(B603),MONTH(B603),1))</f>
        <v/>
      </c>
      <c r="K603" s="41">
        <f>IF(OR(B603="",D603=""),"",D603&amp;"|"&amp;TEXT(J603,"yyyy-mm"))</f>
        <v/>
      </c>
      <c r="L603" s="24">
        <f>IF(K603="","",IFERROR(INDEX(Lotes!$N$5:$N$154,MATCH(K603,Lotes!$P$5:$P$154,0)),"Sem lote cadastrado"))</f>
        <v/>
      </c>
      <c r="M603" s="25">
        <f>IF(H603="Sim",G603,0)</f>
        <v>0</v>
      </c>
      <c r="N603" s="42">
        <f>IF(AND(H603="Sim",I603&lt;&gt;"Aceito"),G603+ROW()/100000,0)</f>
        <v>0</v>
      </c>
    </row>
    <row r="604">
      <c r="A604" s="35" t="n"/>
      <c r="B604" s="39" t="n"/>
      <c r="C604" s="33" t="n"/>
      <c r="D604" s="35" t="n"/>
      <c r="E604" s="33" t="n"/>
      <c r="F604" s="33" t="n"/>
      <c r="G604" s="40" t="n"/>
      <c r="H604" s="35" t="n"/>
      <c r="I604" s="35" t="n"/>
      <c r="J604" s="30">
        <f>IF(B604="","",DATE(YEAR(B604),MONTH(B604),1))</f>
        <v/>
      </c>
      <c r="K604" s="41">
        <f>IF(OR(B604="",D604=""),"",D604&amp;"|"&amp;TEXT(J604,"yyyy-mm"))</f>
        <v/>
      </c>
      <c r="L604" s="24">
        <f>IF(K604="","",IFERROR(INDEX(Lotes!$N$5:$N$154,MATCH(K604,Lotes!$P$5:$P$154,0)),"Sem lote cadastrado"))</f>
        <v/>
      </c>
      <c r="M604" s="25">
        <f>IF(H604="Sim",G604,0)</f>
        <v>0</v>
      </c>
      <c r="N604" s="42">
        <f>IF(AND(H604="Sim",I604&lt;&gt;"Aceito"),G604+ROW()/100000,0)</f>
        <v>0</v>
      </c>
    </row>
    <row r="605">
      <c r="A605" s="35" t="n"/>
      <c r="B605" s="39" t="n"/>
      <c r="C605" s="33" t="n"/>
      <c r="D605" s="35" t="n"/>
      <c r="E605" s="33" t="n"/>
      <c r="F605" s="33" t="n"/>
      <c r="G605" s="40" t="n"/>
      <c r="H605" s="35" t="n"/>
      <c r="I605" s="35" t="n"/>
      <c r="J605" s="30">
        <f>IF(B605="","",DATE(YEAR(B605),MONTH(B605),1))</f>
        <v/>
      </c>
      <c r="K605" s="41">
        <f>IF(OR(B605="",D605=""),"",D605&amp;"|"&amp;TEXT(J605,"yyyy-mm"))</f>
        <v/>
      </c>
      <c r="L605" s="24">
        <f>IF(K605="","",IFERROR(INDEX(Lotes!$N$5:$N$154,MATCH(K605,Lotes!$P$5:$P$154,0)),"Sem lote cadastrado"))</f>
        <v/>
      </c>
      <c r="M605" s="25">
        <f>IF(H605="Sim",G605,0)</f>
        <v>0</v>
      </c>
      <c r="N605" s="42">
        <f>IF(AND(H605="Sim",I605&lt;&gt;"Aceito"),G605+ROW()/100000,0)</f>
        <v>0</v>
      </c>
    </row>
    <row r="606">
      <c r="A606" s="35" t="n"/>
      <c r="B606" s="39" t="n"/>
      <c r="C606" s="33" t="n"/>
      <c r="D606" s="35" t="n"/>
      <c r="E606" s="33" t="n"/>
      <c r="F606" s="33" t="n"/>
      <c r="G606" s="40" t="n"/>
      <c r="H606" s="35" t="n"/>
      <c r="I606" s="35" t="n"/>
      <c r="J606" s="30">
        <f>IF(B606="","",DATE(YEAR(B606),MONTH(B606),1))</f>
        <v/>
      </c>
      <c r="K606" s="41">
        <f>IF(OR(B606="",D606=""),"",D606&amp;"|"&amp;TEXT(J606,"yyyy-mm"))</f>
        <v/>
      </c>
      <c r="L606" s="24">
        <f>IF(K606="","",IFERROR(INDEX(Lotes!$N$5:$N$154,MATCH(K606,Lotes!$P$5:$P$154,0)),"Sem lote cadastrado"))</f>
        <v/>
      </c>
      <c r="M606" s="25">
        <f>IF(H606="Sim",G606,0)</f>
        <v>0</v>
      </c>
      <c r="N606" s="42">
        <f>IF(AND(H606="Sim",I606&lt;&gt;"Aceito"),G606+ROW()/100000,0)</f>
        <v>0</v>
      </c>
    </row>
    <row r="607">
      <c r="A607" s="35" t="n"/>
      <c r="B607" s="39" t="n"/>
      <c r="C607" s="33" t="n"/>
      <c r="D607" s="35" t="n"/>
      <c r="E607" s="33" t="n"/>
      <c r="F607" s="33" t="n"/>
      <c r="G607" s="40" t="n"/>
      <c r="H607" s="35" t="n"/>
      <c r="I607" s="35" t="n"/>
      <c r="J607" s="30">
        <f>IF(B607="","",DATE(YEAR(B607),MONTH(B607),1))</f>
        <v/>
      </c>
      <c r="K607" s="41">
        <f>IF(OR(B607="",D607=""),"",D607&amp;"|"&amp;TEXT(J607,"yyyy-mm"))</f>
        <v/>
      </c>
      <c r="L607" s="24">
        <f>IF(K607="","",IFERROR(INDEX(Lotes!$N$5:$N$154,MATCH(K607,Lotes!$P$5:$P$154,0)),"Sem lote cadastrado"))</f>
        <v/>
      </c>
      <c r="M607" s="25">
        <f>IF(H607="Sim",G607,0)</f>
        <v>0</v>
      </c>
      <c r="N607" s="42">
        <f>IF(AND(H607="Sim",I607&lt;&gt;"Aceito"),G607+ROW()/100000,0)</f>
        <v>0</v>
      </c>
    </row>
    <row r="608">
      <c r="A608" s="35" t="n"/>
      <c r="B608" s="39" t="n"/>
      <c r="C608" s="33" t="n"/>
      <c r="D608" s="35" t="n"/>
      <c r="E608" s="33" t="n"/>
      <c r="F608" s="33" t="n"/>
      <c r="G608" s="40" t="n"/>
      <c r="H608" s="35" t="n"/>
      <c r="I608" s="35" t="n"/>
      <c r="J608" s="30">
        <f>IF(B608="","",DATE(YEAR(B608),MONTH(B608),1))</f>
        <v/>
      </c>
      <c r="K608" s="41">
        <f>IF(OR(B608="",D608=""),"",D608&amp;"|"&amp;TEXT(J608,"yyyy-mm"))</f>
        <v/>
      </c>
      <c r="L608" s="24">
        <f>IF(K608="","",IFERROR(INDEX(Lotes!$N$5:$N$154,MATCH(K608,Lotes!$P$5:$P$154,0)),"Sem lote cadastrado"))</f>
        <v/>
      </c>
      <c r="M608" s="25">
        <f>IF(H608="Sim",G608,0)</f>
        <v>0</v>
      </c>
      <c r="N608" s="42">
        <f>IF(AND(H608="Sim",I608&lt;&gt;"Aceito"),G608+ROW()/100000,0)</f>
        <v>0</v>
      </c>
    </row>
    <row r="609">
      <c r="A609" s="35" t="n"/>
      <c r="B609" s="39" t="n"/>
      <c r="C609" s="33" t="n"/>
      <c r="D609" s="35" t="n"/>
      <c r="E609" s="33" t="n"/>
      <c r="F609" s="33" t="n"/>
      <c r="G609" s="40" t="n"/>
      <c r="H609" s="35" t="n"/>
      <c r="I609" s="35" t="n"/>
      <c r="J609" s="30">
        <f>IF(B609="","",DATE(YEAR(B609),MONTH(B609),1))</f>
        <v/>
      </c>
      <c r="K609" s="41">
        <f>IF(OR(B609="",D609=""),"",D609&amp;"|"&amp;TEXT(J609,"yyyy-mm"))</f>
        <v/>
      </c>
      <c r="L609" s="24">
        <f>IF(K609="","",IFERROR(INDEX(Lotes!$N$5:$N$154,MATCH(K609,Lotes!$P$5:$P$154,0)),"Sem lote cadastrado"))</f>
        <v/>
      </c>
      <c r="M609" s="25">
        <f>IF(H609="Sim",G609,0)</f>
        <v>0</v>
      </c>
      <c r="N609" s="42">
        <f>IF(AND(H609="Sim",I609&lt;&gt;"Aceito"),G609+ROW()/100000,0)</f>
        <v>0</v>
      </c>
    </row>
    <row r="610">
      <c r="A610" s="35" t="n"/>
      <c r="B610" s="39" t="n"/>
      <c r="C610" s="33" t="n"/>
      <c r="D610" s="35" t="n"/>
      <c r="E610" s="33" t="n"/>
      <c r="F610" s="33" t="n"/>
      <c r="G610" s="40" t="n"/>
      <c r="H610" s="35" t="n"/>
      <c r="I610" s="35" t="n"/>
      <c r="J610" s="30">
        <f>IF(B610="","",DATE(YEAR(B610),MONTH(B610),1))</f>
        <v/>
      </c>
      <c r="K610" s="41">
        <f>IF(OR(B610="",D610=""),"",D610&amp;"|"&amp;TEXT(J610,"yyyy-mm"))</f>
        <v/>
      </c>
      <c r="L610" s="24">
        <f>IF(K610="","",IFERROR(INDEX(Lotes!$N$5:$N$154,MATCH(K610,Lotes!$P$5:$P$154,0)),"Sem lote cadastrado"))</f>
        <v/>
      </c>
      <c r="M610" s="25">
        <f>IF(H610="Sim",G610,0)</f>
        <v>0</v>
      </c>
      <c r="N610" s="42">
        <f>IF(AND(H610="Sim",I610&lt;&gt;"Aceito"),G610+ROW()/100000,0)</f>
        <v>0</v>
      </c>
    </row>
    <row r="611">
      <c r="A611" s="35" t="n"/>
      <c r="B611" s="39" t="n"/>
      <c r="C611" s="33" t="n"/>
      <c r="D611" s="35" t="n"/>
      <c r="E611" s="33" t="n"/>
      <c r="F611" s="33" t="n"/>
      <c r="G611" s="40" t="n"/>
      <c r="H611" s="35" t="n"/>
      <c r="I611" s="35" t="n"/>
      <c r="J611" s="30">
        <f>IF(B611="","",DATE(YEAR(B611),MONTH(B611),1))</f>
        <v/>
      </c>
      <c r="K611" s="41">
        <f>IF(OR(B611="",D611=""),"",D611&amp;"|"&amp;TEXT(J611,"yyyy-mm"))</f>
        <v/>
      </c>
      <c r="L611" s="24">
        <f>IF(K611="","",IFERROR(INDEX(Lotes!$N$5:$N$154,MATCH(K611,Lotes!$P$5:$P$154,0)),"Sem lote cadastrado"))</f>
        <v/>
      </c>
      <c r="M611" s="25">
        <f>IF(H611="Sim",G611,0)</f>
        <v>0</v>
      </c>
      <c r="N611" s="42">
        <f>IF(AND(H611="Sim",I611&lt;&gt;"Aceito"),G611+ROW()/100000,0)</f>
        <v>0</v>
      </c>
    </row>
    <row r="612">
      <c r="A612" s="35" t="n"/>
      <c r="B612" s="39" t="n"/>
      <c r="C612" s="33" t="n"/>
      <c r="D612" s="35" t="n"/>
      <c r="E612" s="33" t="n"/>
      <c r="F612" s="33" t="n"/>
      <c r="G612" s="40" t="n"/>
      <c r="H612" s="35" t="n"/>
      <c r="I612" s="35" t="n"/>
      <c r="J612" s="30">
        <f>IF(B612="","",DATE(YEAR(B612),MONTH(B612),1))</f>
        <v/>
      </c>
      <c r="K612" s="41">
        <f>IF(OR(B612="",D612=""),"",D612&amp;"|"&amp;TEXT(J612,"yyyy-mm"))</f>
        <v/>
      </c>
      <c r="L612" s="24">
        <f>IF(K612="","",IFERROR(INDEX(Lotes!$N$5:$N$154,MATCH(K612,Lotes!$P$5:$P$154,0)),"Sem lote cadastrado"))</f>
        <v/>
      </c>
      <c r="M612" s="25">
        <f>IF(H612="Sim",G612,0)</f>
        <v>0</v>
      </c>
      <c r="N612" s="42">
        <f>IF(AND(H612="Sim",I612&lt;&gt;"Aceito"),G612+ROW()/100000,0)</f>
        <v>0</v>
      </c>
    </row>
    <row r="613">
      <c r="A613" s="35" t="n"/>
      <c r="B613" s="39" t="n"/>
      <c r="C613" s="33" t="n"/>
      <c r="D613" s="35" t="n"/>
      <c r="E613" s="33" t="n"/>
      <c r="F613" s="33" t="n"/>
      <c r="G613" s="40" t="n"/>
      <c r="H613" s="35" t="n"/>
      <c r="I613" s="35" t="n"/>
      <c r="J613" s="30">
        <f>IF(B613="","",DATE(YEAR(B613),MONTH(B613),1))</f>
        <v/>
      </c>
      <c r="K613" s="41">
        <f>IF(OR(B613="",D613=""),"",D613&amp;"|"&amp;TEXT(J613,"yyyy-mm"))</f>
        <v/>
      </c>
      <c r="L613" s="24">
        <f>IF(K613="","",IFERROR(INDEX(Lotes!$N$5:$N$154,MATCH(K613,Lotes!$P$5:$P$154,0)),"Sem lote cadastrado"))</f>
        <v/>
      </c>
      <c r="M613" s="25">
        <f>IF(H613="Sim",G613,0)</f>
        <v>0</v>
      </c>
      <c r="N613" s="42">
        <f>IF(AND(H613="Sim",I613&lt;&gt;"Aceito"),G613+ROW()/100000,0)</f>
        <v>0</v>
      </c>
    </row>
    <row r="614">
      <c r="A614" s="35" t="n"/>
      <c r="B614" s="39" t="n"/>
      <c r="C614" s="33" t="n"/>
      <c r="D614" s="35" t="n"/>
      <c r="E614" s="33" t="n"/>
      <c r="F614" s="33" t="n"/>
      <c r="G614" s="40" t="n"/>
      <c r="H614" s="35" t="n"/>
      <c r="I614" s="35" t="n"/>
      <c r="J614" s="30">
        <f>IF(B614="","",DATE(YEAR(B614),MONTH(B614),1))</f>
        <v/>
      </c>
      <c r="K614" s="41">
        <f>IF(OR(B614="",D614=""),"",D614&amp;"|"&amp;TEXT(J614,"yyyy-mm"))</f>
        <v/>
      </c>
      <c r="L614" s="24">
        <f>IF(K614="","",IFERROR(INDEX(Lotes!$N$5:$N$154,MATCH(K614,Lotes!$P$5:$P$154,0)),"Sem lote cadastrado"))</f>
        <v/>
      </c>
      <c r="M614" s="25">
        <f>IF(H614="Sim",G614,0)</f>
        <v>0</v>
      </c>
      <c r="N614" s="42">
        <f>IF(AND(H614="Sim",I614&lt;&gt;"Aceito"),G614+ROW()/100000,0)</f>
        <v>0</v>
      </c>
    </row>
    <row r="615">
      <c r="A615" s="35" t="n"/>
      <c r="B615" s="39" t="n"/>
      <c r="C615" s="33" t="n"/>
      <c r="D615" s="35" t="n"/>
      <c r="E615" s="33" t="n"/>
      <c r="F615" s="33" t="n"/>
      <c r="G615" s="40" t="n"/>
      <c r="H615" s="35" t="n"/>
      <c r="I615" s="35" t="n"/>
      <c r="J615" s="30">
        <f>IF(B615="","",DATE(YEAR(B615),MONTH(B615),1))</f>
        <v/>
      </c>
      <c r="K615" s="41">
        <f>IF(OR(B615="",D615=""),"",D615&amp;"|"&amp;TEXT(J615,"yyyy-mm"))</f>
        <v/>
      </c>
      <c r="L615" s="24">
        <f>IF(K615="","",IFERROR(INDEX(Lotes!$N$5:$N$154,MATCH(K615,Lotes!$P$5:$P$154,0)),"Sem lote cadastrado"))</f>
        <v/>
      </c>
      <c r="M615" s="25">
        <f>IF(H615="Sim",G615,0)</f>
        <v>0</v>
      </c>
      <c r="N615" s="42">
        <f>IF(AND(H615="Sim",I615&lt;&gt;"Aceito"),G615+ROW()/100000,0)</f>
        <v>0</v>
      </c>
    </row>
    <row r="616">
      <c r="A616" s="35" t="n"/>
      <c r="B616" s="39" t="n"/>
      <c r="C616" s="33" t="n"/>
      <c r="D616" s="35" t="n"/>
      <c r="E616" s="33" t="n"/>
      <c r="F616" s="33" t="n"/>
      <c r="G616" s="40" t="n"/>
      <c r="H616" s="35" t="n"/>
      <c r="I616" s="35" t="n"/>
      <c r="J616" s="30">
        <f>IF(B616="","",DATE(YEAR(B616),MONTH(B616),1))</f>
        <v/>
      </c>
      <c r="K616" s="41">
        <f>IF(OR(B616="",D616=""),"",D616&amp;"|"&amp;TEXT(J616,"yyyy-mm"))</f>
        <v/>
      </c>
      <c r="L616" s="24">
        <f>IF(K616="","",IFERROR(INDEX(Lotes!$N$5:$N$154,MATCH(K616,Lotes!$P$5:$P$154,0)),"Sem lote cadastrado"))</f>
        <v/>
      </c>
      <c r="M616" s="25">
        <f>IF(H616="Sim",G616,0)</f>
        <v>0</v>
      </c>
      <c r="N616" s="42">
        <f>IF(AND(H616="Sim",I616&lt;&gt;"Aceito"),G616+ROW()/100000,0)</f>
        <v>0</v>
      </c>
    </row>
    <row r="617">
      <c r="A617" s="35" t="n"/>
      <c r="B617" s="39" t="n"/>
      <c r="C617" s="33" t="n"/>
      <c r="D617" s="35" t="n"/>
      <c r="E617" s="33" t="n"/>
      <c r="F617" s="33" t="n"/>
      <c r="G617" s="40" t="n"/>
      <c r="H617" s="35" t="n"/>
      <c r="I617" s="35" t="n"/>
      <c r="J617" s="30">
        <f>IF(B617="","",DATE(YEAR(B617),MONTH(B617),1))</f>
        <v/>
      </c>
      <c r="K617" s="41">
        <f>IF(OR(B617="",D617=""),"",D617&amp;"|"&amp;TEXT(J617,"yyyy-mm"))</f>
        <v/>
      </c>
      <c r="L617" s="24">
        <f>IF(K617="","",IFERROR(INDEX(Lotes!$N$5:$N$154,MATCH(K617,Lotes!$P$5:$P$154,0)),"Sem lote cadastrado"))</f>
        <v/>
      </c>
      <c r="M617" s="25">
        <f>IF(H617="Sim",G617,0)</f>
        <v>0</v>
      </c>
      <c r="N617" s="42">
        <f>IF(AND(H617="Sim",I617&lt;&gt;"Aceito"),G617+ROW()/100000,0)</f>
        <v>0</v>
      </c>
    </row>
    <row r="618">
      <c r="A618" s="35" t="n"/>
      <c r="B618" s="39" t="n"/>
      <c r="C618" s="33" t="n"/>
      <c r="D618" s="35" t="n"/>
      <c r="E618" s="33" t="n"/>
      <c r="F618" s="33" t="n"/>
      <c r="G618" s="40" t="n"/>
      <c r="H618" s="35" t="n"/>
      <c r="I618" s="35" t="n"/>
      <c r="J618" s="30">
        <f>IF(B618="","",DATE(YEAR(B618),MONTH(B618),1))</f>
        <v/>
      </c>
      <c r="K618" s="41">
        <f>IF(OR(B618="",D618=""),"",D618&amp;"|"&amp;TEXT(J618,"yyyy-mm"))</f>
        <v/>
      </c>
      <c r="L618" s="24">
        <f>IF(K618="","",IFERROR(INDEX(Lotes!$N$5:$N$154,MATCH(K618,Lotes!$P$5:$P$154,0)),"Sem lote cadastrado"))</f>
        <v/>
      </c>
      <c r="M618" s="25">
        <f>IF(H618="Sim",G618,0)</f>
        <v>0</v>
      </c>
      <c r="N618" s="42">
        <f>IF(AND(H618="Sim",I618&lt;&gt;"Aceito"),G618+ROW()/100000,0)</f>
        <v>0</v>
      </c>
    </row>
    <row r="619">
      <c r="A619" s="35" t="n"/>
      <c r="B619" s="39" t="n"/>
      <c r="C619" s="33" t="n"/>
      <c r="D619" s="35" t="n"/>
      <c r="E619" s="33" t="n"/>
      <c r="F619" s="33" t="n"/>
      <c r="G619" s="40" t="n"/>
      <c r="H619" s="35" t="n"/>
      <c r="I619" s="35" t="n"/>
      <c r="J619" s="30">
        <f>IF(B619="","",DATE(YEAR(B619),MONTH(B619),1))</f>
        <v/>
      </c>
      <c r="K619" s="41">
        <f>IF(OR(B619="",D619=""),"",D619&amp;"|"&amp;TEXT(J619,"yyyy-mm"))</f>
        <v/>
      </c>
      <c r="L619" s="24">
        <f>IF(K619="","",IFERROR(INDEX(Lotes!$N$5:$N$154,MATCH(K619,Lotes!$P$5:$P$154,0)),"Sem lote cadastrado"))</f>
        <v/>
      </c>
      <c r="M619" s="25">
        <f>IF(H619="Sim",G619,0)</f>
        <v>0</v>
      </c>
      <c r="N619" s="42">
        <f>IF(AND(H619="Sim",I619&lt;&gt;"Aceito"),G619+ROW()/100000,0)</f>
        <v>0</v>
      </c>
    </row>
    <row r="620">
      <c r="A620" s="35" t="n"/>
      <c r="B620" s="39" t="n"/>
      <c r="C620" s="33" t="n"/>
      <c r="D620" s="35" t="n"/>
      <c r="E620" s="33" t="n"/>
      <c r="F620" s="33" t="n"/>
      <c r="G620" s="40" t="n"/>
      <c r="H620" s="35" t="n"/>
      <c r="I620" s="35" t="n"/>
      <c r="J620" s="30">
        <f>IF(B620="","",DATE(YEAR(B620),MONTH(B620),1))</f>
        <v/>
      </c>
      <c r="K620" s="41">
        <f>IF(OR(B620="",D620=""),"",D620&amp;"|"&amp;TEXT(J620,"yyyy-mm"))</f>
        <v/>
      </c>
      <c r="L620" s="24">
        <f>IF(K620="","",IFERROR(INDEX(Lotes!$N$5:$N$154,MATCH(K620,Lotes!$P$5:$P$154,0)),"Sem lote cadastrado"))</f>
        <v/>
      </c>
      <c r="M620" s="25">
        <f>IF(H620="Sim",G620,0)</f>
        <v>0</v>
      </c>
      <c r="N620" s="42">
        <f>IF(AND(H620="Sim",I620&lt;&gt;"Aceito"),G620+ROW()/100000,0)</f>
        <v>0</v>
      </c>
    </row>
    <row r="621">
      <c r="A621" s="35" t="n"/>
      <c r="B621" s="39" t="n"/>
      <c r="C621" s="33" t="n"/>
      <c r="D621" s="35" t="n"/>
      <c r="E621" s="33" t="n"/>
      <c r="F621" s="33" t="n"/>
      <c r="G621" s="40" t="n"/>
      <c r="H621" s="35" t="n"/>
      <c r="I621" s="35" t="n"/>
      <c r="J621" s="30">
        <f>IF(B621="","",DATE(YEAR(B621),MONTH(B621),1))</f>
        <v/>
      </c>
      <c r="K621" s="41">
        <f>IF(OR(B621="",D621=""),"",D621&amp;"|"&amp;TEXT(J621,"yyyy-mm"))</f>
        <v/>
      </c>
      <c r="L621" s="24">
        <f>IF(K621="","",IFERROR(INDEX(Lotes!$N$5:$N$154,MATCH(K621,Lotes!$P$5:$P$154,0)),"Sem lote cadastrado"))</f>
        <v/>
      </c>
      <c r="M621" s="25">
        <f>IF(H621="Sim",G621,0)</f>
        <v>0</v>
      </c>
      <c r="N621" s="42">
        <f>IF(AND(H621="Sim",I621&lt;&gt;"Aceito"),G621+ROW()/100000,0)</f>
        <v>0</v>
      </c>
    </row>
    <row r="622">
      <c r="A622" s="35" t="n"/>
      <c r="B622" s="39" t="n"/>
      <c r="C622" s="33" t="n"/>
      <c r="D622" s="35" t="n"/>
      <c r="E622" s="33" t="n"/>
      <c r="F622" s="33" t="n"/>
      <c r="G622" s="40" t="n"/>
      <c r="H622" s="35" t="n"/>
      <c r="I622" s="35" t="n"/>
      <c r="J622" s="30">
        <f>IF(B622="","",DATE(YEAR(B622),MONTH(B622),1))</f>
        <v/>
      </c>
      <c r="K622" s="41">
        <f>IF(OR(B622="",D622=""),"",D622&amp;"|"&amp;TEXT(J622,"yyyy-mm"))</f>
        <v/>
      </c>
      <c r="L622" s="24">
        <f>IF(K622="","",IFERROR(INDEX(Lotes!$N$5:$N$154,MATCH(K622,Lotes!$P$5:$P$154,0)),"Sem lote cadastrado"))</f>
        <v/>
      </c>
      <c r="M622" s="25">
        <f>IF(H622="Sim",G622,0)</f>
        <v>0</v>
      </c>
      <c r="N622" s="42">
        <f>IF(AND(H622="Sim",I622&lt;&gt;"Aceito"),G622+ROW()/100000,0)</f>
        <v>0</v>
      </c>
    </row>
    <row r="623">
      <c r="A623" s="35" t="n"/>
      <c r="B623" s="39" t="n"/>
      <c r="C623" s="33" t="n"/>
      <c r="D623" s="35" t="n"/>
      <c r="E623" s="33" t="n"/>
      <c r="F623" s="33" t="n"/>
      <c r="G623" s="40" t="n"/>
      <c r="H623" s="35" t="n"/>
      <c r="I623" s="35" t="n"/>
      <c r="J623" s="30">
        <f>IF(B623="","",DATE(YEAR(B623),MONTH(B623),1))</f>
        <v/>
      </c>
      <c r="K623" s="41">
        <f>IF(OR(B623="",D623=""),"",D623&amp;"|"&amp;TEXT(J623,"yyyy-mm"))</f>
        <v/>
      </c>
      <c r="L623" s="24">
        <f>IF(K623="","",IFERROR(INDEX(Lotes!$N$5:$N$154,MATCH(K623,Lotes!$P$5:$P$154,0)),"Sem lote cadastrado"))</f>
        <v/>
      </c>
      <c r="M623" s="25">
        <f>IF(H623="Sim",G623,0)</f>
        <v>0</v>
      </c>
      <c r="N623" s="42">
        <f>IF(AND(H623="Sim",I623&lt;&gt;"Aceito"),G623+ROW()/100000,0)</f>
        <v>0</v>
      </c>
    </row>
    <row r="624">
      <c r="A624" s="35" t="n"/>
      <c r="B624" s="39" t="n"/>
      <c r="C624" s="33" t="n"/>
      <c r="D624" s="35" t="n"/>
      <c r="E624" s="33" t="n"/>
      <c r="F624" s="33" t="n"/>
      <c r="G624" s="40" t="n"/>
      <c r="H624" s="35" t="n"/>
      <c r="I624" s="35" t="n"/>
      <c r="J624" s="30">
        <f>IF(B624="","",DATE(YEAR(B624),MONTH(B624),1))</f>
        <v/>
      </c>
      <c r="K624" s="41">
        <f>IF(OR(B624="",D624=""),"",D624&amp;"|"&amp;TEXT(J624,"yyyy-mm"))</f>
        <v/>
      </c>
      <c r="L624" s="24">
        <f>IF(K624="","",IFERROR(INDEX(Lotes!$N$5:$N$154,MATCH(K624,Lotes!$P$5:$P$154,0)),"Sem lote cadastrado"))</f>
        <v/>
      </c>
      <c r="M624" s="25">
        <f>IF(H624="Sim",G624,0)</f>
        <v>0</v>
      </c>
      <c r="N624" s="42">
        <f>IF(AND(H624="Sim",I624&lt;&gt;"Aceito"),G624+ROW()/100000,0)</f>
        <v>0</v>
      </c>
    </row>
    <row r="625">
      <c r="A625" s="35" t="n"/>
      <c r="B625" s="39" t="n"/>
      <c r="C625" s="33" t="n"/>
      <c r="D625" s="35" t="n"/>
      <c r="E625" s="33" t="n"/>
      <c r="F625" s="33" t="n"/>
      <c r="G625" s="40" t="n"/>
      <c r="H625" s="35" t="n"/>
      <c r="I625" s="35" t="n"/>
      <c r="J625" s="30">
        <f>IF(B625="","",DATE(YEAR(B625),MONTH(B625),1))</f>
        <v/>
      </c>
      <c r="K625" s="41">
        <f>IF(OR(B625="",D625=""),"",D625&amp;"|"&amp;TEXT(J625,"yyyy-mm"))</f>
        <v/>
      </c>
      <c r="L625" s="24">
        <f>IF(K625="","",IFERROR(INDEX(Lotes!$N$5:$N$154,MATCH(K625,Lotes!$P$5:$P$154,0)),"Sem lote cadastrado"))</f>
        <v/>
      </c>
      <c r="M625" s="25">
        <f>IF(H625="Sim",G625,0)</f>
        <v>0</v>
      </c>
      <c r="N625" s="42">
        <f>IF(AND(H625="Sim",I625&lt;&gt;"Aceito"),G625+ROW()/100000,0)</f>
        <v>0</v>
      </c>
    </row>
    <row r="626">
      <c r="A626" s="35" t="n"/>
      <c r="B626" s="39" t="n"/>
      <c r="C626" s="33" t="n"/>
      <c r="D626" s="35" t="n"/>
      <c r="E626" s="33" t="n"/>
      <c r="F626" s="33" t="n"/>
      <c r="G626" s="40" t="n"/>
      <c r="H626" s="35" t="n"/>
      <c r="I626" s="35" t="n"/>
      <c r="J626" s="30">
        <f>IF(B626="","",DATE(YEAR(B626),MONTH(B626),1))</f>
        <v/>
      </c>
      <c r="K626" s="41">
        <f>IF(OR(B626="",D626=""),"",D626&amp;"|"&amp;TEXT(J626,"yyyy-mm"))</f>
        <v/>
      </c>
      <c r="L626" s="24">
        <f>IF(K626="","",IFERROR(INDEX(Lotes!$N$5:$N$154,MATCH(K626,Lotes!$P$5:$P$154,0)),"Sem lote cadastrado"))</f>
        <v/>
      </c>
      <c r="M626" s="25">
        <f>IF(H626="Sim",G626,0)</f>
        <v>0</v>
      </c>
      <c r="N626" s="42">
        <f>IF(AND(H626="Sim",I626&lt;&gt;"Aceito"),G626+ROW()/100000,0)</f>
        <v>0</v>
      </c>
    </row>
    <row r="627">
      <c r="A627" s="35" t="n"/>
      <c r="B627" s="39" t="n"/>
      <c r="C627" s="33" t="n"/>
      <c r="D627" s="35" t="n"/>
      <c r="E627" s="33" t="n"/>
      <c r="F627" s="33" t="n"/>
      <c r="G627" s="40" t="n"/>
      <c r="H627" s="35" t="n"/>
      <c r="I627" s="35" t="n"/>
      <c r="J627" s="30">
        <f>IF(B627="","",DATE(YEAR(B627),MONTH(B627),1))</f>
        <v/>
      </c>
      <c r="K627" s="41">
        <f>IF(OR(B627="",D627=""),"",D627&amp;"|"&amp;TEXT(J627,"yyyy-mm"))</f>
        <v/>
      </c>
      <c r="L627" s="24">
        <f>IF(K627="","",IFERROR(INDEX(Lotes!$N$5:$N$154,MATCH(K627,Lotes!$P$5:$P$154,0)),"Sem lote cadastrado"))</f>
        <v/>
      </c>
      <c r="M627" s="25">
        <f>IF(H627="Sim",G627,0)</f>
        <v>0</v>
      </c>
      <c r="N627" s="42">
        <f>IF(AND(H627="Sim",I627&lt;&gt;"Aceito"),G627+ROW()/100000,0)</f>
        <v>0</v>
      </c>
    </row>
    <row r="628">
      <c r="A628" s="35" t="n"/>
      <c r="B628" s="39" t="n"/>
      <c r="C628" s="33" t="n"/>
      <c r="D628" s="35" t="n"/>
      <c r="E628" s="33" t="n"/>
      <c r="F628" s="33" t="n"/>
      <c r="G628" s="40" t="n"/>
      <c r="H628" s="35" t="n"/>
      <c r="I628" s="35" t="n"/>
      <c r="J628" s="30">
        <f>IF(B628="","",DATE(YEAR(B628),MONTH(B628),1))</f>
        <v/>
      </c>
      <c r="K628" s="41">
        <f>IF(OR(B628="",D628=""),"",D628&amp;"|"&amp;TEXT(J628,"yyyy-mm"))</f>
        <v/>
      </c>
      <c r="L628" s="24">
        <f>IF(K628="","",IFERROR(INDEX(Lotes!$N$5:$N$154,MATCH(K628,Lotes!$P$5:$P$154,0)),"Sem lote cadastrado"))</f>
        <v/>
      </c>
      <c r="M628" s="25">
        <f>IF(H628="Sim",G628,0)</f>
        <v>0</v>
      </c>
      <c r="N628" s="42">
        <f>IF(AND(H628="Sim",I628&lt;&gt;"Aceito"),G628+ROW()/100000,0)</f>
        <v>0</v>
      </c>
    </row>
    <row r="629">
      <c r="A629" s="35" t="n"/>
      <c r="B629" s="39" t="n"/>
      <c r="C629" s="33" t="n"/>
      <c r="D629" s="35" t="n"/>
      <c r="E629" s="33" t="n"/>
      <c r="F629" s="33" t="n"/>
      <c r="G629" s="40" t="n"/>
      <c r="H629" s="35" t="n"/>
      <c r="I629" s="35" t="n"/>
      <c r="J629" s="30">
        <f>IF(B629="","",DATE(YEAR(B629),MONTH(B629),1))</f>
        <v/>
      </c>
      <c r="K629" s="41">
        <f>IF(OR(B629="",D629=""),"",D629&amp;"|"&amp;TEXT(J629,"yyyy-mm"))</f>
        <v/>
      </c>
      <c r="L629" s="24">
        <f>IF(K629="","",IFERROR(INDEX(Lotes!$N$5:$N$154,MATCH(K629,Lotes!$P$5:$P$154,0)),"Sem lote cadastrado"))</f>
        <v/>
      </c>
      <c r="M629" s="25">
        <f>IF(H629="Sim",G629,0)</f>
        <v>0</v>
      </c>
      <c r="N629" s="42">
        <f>IF(AND(H629="Sim",I629&lt;&gt;"Aceito"),G629+ROW()/100000,0)</f>
        <v>0</v>
      </c>
    </row>
    <row r="630">
      <c r="A630" s="35" t="n"/>
      <c r="B630" s="39" t="n"/>
      <c r="C630" s="33" t="n"/>
      <c r="D630" s="35" t="n"/>
      <c r="E630" s="33" t="n"/>
      <c r="F630" s="33" t="n"/>
      <c r="G630" s="40" t="n"/>
      <c r="H630" s="35" t="n"/>
      <c r="I630" s="35" t="n"/>
      <c r="J630" s="30">
        <f>IF(B630="","",DATE(YEAR(B630),MONTH(B630),1))</f>
        <v/>
      </c>
      <c r="K630" s="41">
        <f>IF(OR(B630="",D630=""),"",D630&amp;"|"&amp;TEXT(J630,"yyyy-mm"))</f>
        <v/>
      </c>
      <c r="L630" s="24">
        <f>IF(K630="","",IFERROR(INDEX(Lotes!$N$5:$N$154,MATCH(K630,Lotes!$P$5:$P$154,0)),"Sem lote cadastrado"))</f>
        <v/>
      </c>
      <c r="M630" s="25">
        <f>IF(H630="Sim",G630,0)</f>
        <v>0</v>
      </c>
      <c r="N630" s="42">
        <f>IF(AND(H630="Sim",I630&lt;&gt;"Aceito"),G630+ROW()/100000,0)</f>
        <v>0</v>
      </c>
    </row>
    <row r="631">
      <c r="A631" s="35" t="n"/>
      <c r="B631" s="39" t="n"/>
      <c r="C631" s="33" t="n"/>
      <c r="D631" s="35" t="n"/>
      <c r="E631" s="33" t="n"/>
      <c r="F631" s="33" t="n"/>
      <c r="G631" s="40" t="n"/>
      <c r="H631" s="35" t="n"/>
      <c r="I631" s="35" t="n"/>
      <c r="J631" s="30">
        <f>IF(B631="","",DATE(YEAR(B631),MONTH(B631),1))</f>
        <v/>
      </c>
      <c r="K631" s="41">
        <f>IF(OR(B631="",D631=""),"",D631&amp;"|"&amp;TEXT(J631,"yyyy-mm"))</f>
        <v/>
      </c>
      <c r="L631" s="24">
        <f>IF(K631="","",IFERROR(INDEX(Lotes!$N$5:$N$154,MATCH(K631,Lotes!$P$5:$P$154,0)),"Sem lote cadastrado"))</f>
        <v/>
      </c>
      <c r="M631" s="25">
        <f>IF(H631="Sim",G631,0)</f>
        <v>0</v>
      </c>
      <c r="N631" s="42">
        <f>IF(AND(H631="Sim",I631&lt;&gt;"Aceito"),G631+ROW()/100000,0)</f>
        <v>0</v>
      </c>
    </row>
    <row r="632">
      <c r="A632" s="35" t="n"/>
      <c r="B632" s="39" t="n"/>
      <c r="C632" s="33" t="n"/>
      <c r="D632" s="35" t="n"/>
      <c r="E632" s="33" t="n"/>
      <c r="F632" s="33" t="n"/>
      <c r="G632" s="40" t="n"/>
      <c r="H632" s="35" t="n"/>
      <c r="I632" s="35" t="n"/>
      <c r="J632" s="30">
        <f>IF(B632="","",DATE(YEAR(B632),MONTH(B632),1))</f>
        <v/>
      </c>
      <c r="K632" s="41">
        <f>IF(OR(B632="",D632=""),"",D632&amp;"|"&amp;TEXT(J632,"yyyy-mm"))</f>
        <v/>
      </c>
      <c r="L632" s="24">
        <f>IF(K632="","",IFERROR(INDEX(Lotes!$N$5:$N$154,MATCH(K632,Lotes!$P$5:$P$154,0)),"Sem lote cadastrado"))</f>
        <v/>
      </c>
      <c r="M632" s="25">
        <f>IF(H632="Sim",G632,0)</f>
        <v>0</v>
      </c>
      <c r="N632" s="42">
        <f>IF(AND(H632="Sim",I632&lt;&gt;"Aceito"),G632+ROW()/100000,0)</f>
        <v>0</v>
      </c>
    </row>
    <row r="633">
      <c r="A633" s="35" t="n"/>
      <c r="B633" s="39" t="n"/>
      <c r="C633" s="33" t="n"/>
      <c r="D633" s="35" t="n"/>
      <c r="E633" s="33" t="n"/>
      <c r="F633" s="33" t="n"/>
      <c r="G633" s="40" t="n"/>
      <c r="H633" s="35" t="n"/>
      <c r="I633" s="35" t="n"/>
      <c r="J633" s="30">
        <f>IF(B633="","",DATE(YEAR(B633),MONTH(B633),1))</f>
        <v/>
      </c>
      <c r="K633" s="41">
        <f>IF(OR(B633="",D633=""),"",D633&amp;"|"&amp;TEXT(J633,"yyyy-mm"))</f>
        <v/>
      </c>
      <c r="L633" s="24">
        <f>IF(K633="","",IFERROR(INDEX(Lotes!$N$5:$N$154,MATCH(K633,Lotes!$P$5:$P$154,0)),"Sem lote cadastrado"))</f>
        <v/>
      </c>
      <c r="M633" s="25">
        <f>IF(H633="Sim",G633,0)</f>
        <v>0</v>
      </c>
      <c r="N633" s="42">
        <f>IF(AND(H633="Sim",I633&lt;&gt;"Aceito"),G633+ROW()/100000,0)</f>
        <v>0</v>
      </c>
    </row>
    <row r="634">
      <c r="A634" s="35" t="n"/>
      <c r="B634" s="39" t="n"/>
      <c r="C634" s="33" t="n"/>
      <c r="D634" s="35" t="n"/>
      <c r="E634" s="33" t="n"/>
      <c r="F634" s="33" t="n"/>
      <c r="G634" s="40" t="n"/>
      <c r="H634" s="35" t="n"/>
      <c r="I634" s="35" t="n"/>
      <c r="J634" s="30">
        <f>IF(B634="","",DATE(YEAR(B634),MONTH(B634),1))</f>
        <v/>
      </c>
      <c r="K634" s="41">
        <f>IF(OR(B634="",D634=""),"",D634&amp;"|"&amp;TEXT(J634,"yyyy-mm"))</f>
        <v/>
      </c>
      <c r="L634" s="24">
        <f>IF(K634="","",IFERROR(INDEX(Lotes!$N$5:$N$154,MATCH(K634,Lotes!$P$5:$P$154,0)),"Sem lote cadastrado"))</f>
        <v/>
      </c>
      <c r="M634" s="25">
        <f>IF(H634="Sim",G634,0)</f>
        <v>0</v>
      </c>
      <c r="N634" s="42">
        <f>IF(AND(H634="Sim",I634&lt;&gt;"Aceito"),G634+ROW()/100000,0)</f>
        <v>0</v>
      </c>
    </row>
    <row r="635">
      <c r="A635" s="35" t="n"/>
      <c r="B635" s="39" t="n"/>
      <c r="C635" s="33" t="n"/>
      <c r="D635" s="35" t="n"/>
      <c r="E635" s="33" t="n"/>
      <c r="F635" s="33" t="n"/>
      <c r="G635" s="40" t="n"/>
      <c r="H635" s="35" t="n"/>
      <c r="I635" s="35" t="n"/>
      <c r="J635" s="30">
        <f>IF(B635="","",DATE(YEAR(B635),MONTH(B635),1))</f>
        <v/>
      </c>
      <c r="K635" s="41">
        <f>IF(OR(B635="",D635=""),"",D635&amp;"|"&amp;TEXT(J635,"yyyy-mm"))</f>
        <v/>
      </c>
      <c r="L635" s="24">
        <f>IF(K635="","",IFERROR(INDEX(Lotes!$N$5:$N$154,MATCH(K635,Lotes!$P$5:$P$154,0)),"Sem lote cadastrado"))</f>
        <v/>
      </c>
      <c r="M635" s="25">
        <f>IF(H635="Sim",G635,0)</f>
        <v>0</v>
      </c>
      <c r="N635" s="42">
        <f>IF(AND(H635="Sim",I635&lt;&gt;"Aceito"),G635+ROW()/100000,0)</f>
        <v>0</v>
      </c>
    </row>
    <row r="636">
      <c r="A636" s="35" t="n"/>
      <c r="B636" s="39" t="n"/>
      <c r="C636" s="33" t="n"/>
      <c r="D636" s="35" t="n"/>
      <c r="E636" s="33" t="n"/>
      <c r="F636" s="33" t="n"/>
      <c r="G636" s="40" t="n"/>
      <c r="H636" s="35" t="n"/>
      <c r="I636" s="35" t="n"/>
      <c r="J636" s="30">
        <f>IF(B636="","",DATE(YEAR(B636),MONTH(B636),1))</f>
        <v/>
      </c>
      <c r="K636" s="41">
        <f>IF(OR(B636="",D636=""),"",D636&amp;"|"&amp;TEXT(J636,"yyyy-mm"))</f>
        <v/>
      </c>
      <c r="L636" s="24">
        <f>IF(K636="","",IFERROR(INDEX(Lotes!$N$5:$N$154,MATCH(K636,Lotes!$P$5:$P$154,0)),"Sem lote cadastrado"))</f>
        <v/>
      </c>
      <c r="M636" s="25">
        <f>IF(H636="Sim",G636,0)</f>
        <v>0</v>
      </c>
      <c r="N636" s="42">
        <f>IF(AND(H636="Sim",I636&lt;&gt;"Aceito"),G636+ROW()/100000,0)</f>
        <v>0</v>
      </c>
    </row>
    <row r="637">
      <c r="A637" s="35" t="n"/>
      <c r="B637" s="39" t="n"/>
      <c r="C637" s="33" t="n"/>
      <c r="D637" s="35" t="n"/>
      <c r="E637" s="33" t="n"/>
      <c r="F637" s="33" t="n"/>
      <c r="G637" s="40" t="n"/>
      <c r="H637" s="35" t="n"/>
      <c r="I637" s="35" t="n"/>
      <c r="J637" s="30">
        <f>IF(B637="","",DATE(YEAR(B637),MONTH(B637),1))</f>
        <v/>
      </c>
      <c r="K637" s="41">
        <f>IF(OR(B637="",D637=""),"",D637&amp;"|"&amp;TEXT(J637,"yyyy-mm"))</f>
        <v/>
      </c>
      <c r="L637" s="24">
        <f>IF(K637="","",IFERROR(INDEX(Lotes!$N$5:$N$154,MATCH(K637,Lotes!$P$5:$P$154,0)),"Sem lote cadastrado"))</f>
        <v/>
      </c>
      <c r="M637" s="25">
        <f>IF(H637="Sim",G637,0)</f>
        <v>0</v>
      </c>
      <c r="N637" s="42">
        <f>IF(AND(H637="Sim",I637&lt;&gt;"Aceito"),G637+ROW()/100000,0)</f>
        <v>0</v>
      </c>
    </row>
    <row r="638">
      <c r="A638" s="35" t="n"/>
      <c r="B638" s="39" t="n"/>
      <c r="C638" s="33" t="n"/>
      <c r="D638" s="35" t="n"/>
      <c r="E638" s="33" t="n"/>
      <c r="F638" s="33" t="n"/>
      <c r="G638" s="40" t="n"/>
      <c r="H638" s="35" t="n"/>
      <c r="I638" s="35" t="n"/>
      <c r="J638" s="30">
        <f>IF(B638="","",DATE(YEAR(B638),MONTH(B638),1))</f>
        <v/>
      </c>
      <c r="K638" s="41">
        <f>IF(OR(B638="",D638=""),"",D638&amp;"|"&amp;TEXT(J638,"yyyy-mm"))</f>
        <v/>
      </c>
      <c r="L638" s="24">
        <f>IF(K638="","",IFERROR(INDEX(Lotes!$N$5:$N$154,MATCH(K638,Lotes!$P$5:$P$154,0)),"Sem lote cadastrado"))</f>
        <v/>
      </c>
      <c r="M638" s="25">
        <f>IF(H638="Sim",G638,0)</f>
        <v>0</v>
      </c>
      <c r="N638" s="42">
        <f>IF(AND(H638="Sim",I638&lt;&gt;"Aceito"),G638+ROW()/100000,0)</f>
        <v>0</v>
      </c>
    </row>
    <row r="639">
      <c r="A639" s="35" t="n"/>
      <c r="B639" s="39" t="n"/>
      <c r="C639" s="33" t="n"/>
      <c r="D639" s="35" t="n"/>
      <c r="E639" s="33" t="n"/>
      <c r="F639" s="33" t="n"/>
      <c r="G639" s="40" t="n"/>
      <c r="H639" s="35" t="n"/>
      <c r="I639" s="35" t="n"/>
      <c r="J639" s="30">
        <f>IF(B639="","",DATE(YEAR(B639),MONTH(B639),1))</f>
        <v/>
      </c>
      <c r="K639" s="41">
        <f>IF(OR(B639="",D639=""),"",D639&amp;"|"&amp;TEXT(J639,"yyyy-mm"))</f>
        <v/>
      </c>
      <c r="L639" s="24">
        <f>IF(K639="","",IFERROR(INDEX(Lotes!$N$5:$N$154,MATCH(K639,Lotes!$P$5:$P$154,0)),"Sem lote cadastrado"))</f>
        <v/>
      </c>
      <c r="M639" s="25">
        <f>IF(H639="Sim",G639,0)</f>
        <v>0</v>
      </c>
      <c r="N639" s="42">
        <f>IF(AND(H639="Sim",I639&lt;&gt;"Aceito"),G639+ROW()/100000,0)</f>
        <v>0</v>
      </c>
    </row>
    <row r="640">
      <c r="A640" s="35" t="n"/>
      <c r="B640" s="39" t="n"/>
      <c r="C640" s="33" t="n"/>
      <c r="D640" s="35" t="n"/>
      <c r="E640" s="33" t="n"/>
      <c r="F640" s="33" t="n"/>
      <c r="G640" s="40" t="n"/>
      <c r="H640" s="35" t="n"/>
      <c r="I640" s="35" t="n"/>
      <c r="J640" s="30">
        <f>IF(B640="","",DATE(YEAR(B640),MONTH(B640),1))</f>
        <v/>
      </c>
      <c r="K640" s="41">
        <f>IF(OR(B640="",D640=""),"",D640&amp;"|"&amp;TEXT(J640,"yyyy-mm"))</f>
        <v/>
      </c>
      <c r="L640" s="24">
        <f>IF(K640="","",IFERROR(INDEX(Lotes!$N$5:$N$154,MATCH(K640,Lotes!$P$5:$P$154,0)),"Sem lote cadastrado"))</f>
        <v/>
      </c>
      <c r="M640" s="25">
        <f>IF(H640="Sim",G640,0)</f>
        <v>0</v>
      </c>
      <c r="N640" s="42">
        <f>IF(AND(H640="Sim",I640&lt;&gt;"Aceito"),G640+ROW()/100000,0)</f>
        <v>0</v>
      </c>
    </row>
    <row r="641">
      <c r="A641" s="35" t="n"/>
      <c r="B641" s="39" t="n"/>
      <c r="C641" s="33" t="n"/>
      <c r="D641" s="35" t="n"/>
      <c r="E641" s="33" t="n"/>
      <c r="F641" s="33" t="n"/>
      <c r="G641" s="40" t="n"/>
      <c r="H641" s="35" t="n"/>
      <c r="I641" s="35" t="n"/>
      <c r="J641" s="30">
        <f>IF(B641="","",DATE(YEAR(B641),MONTH(B641),1))</f>
        <v/>
      </c>
      <c r="K641" s="41">
        <f>IF(OR(B641="",D641=""),"",D641&amp;"|"&amp;TEXT(J641,"yyyy-mm"))</f>
        <v/>
      </c>
      <c r="L641" s="24">
        <f>IF(K641="","",IFERROR(INDEX(Lotes!$N$5:$N$154,MATCH(K641,Lotes!$P$5:$P$154,0)),"Sem lote cadastrado"))</f>
        <v/>
      </c>
      <c r="M641" s="25">
        <f>IF(H641="Sim",G641,0)</f>
        <v>0</v>
      </c>
      <c r="N641" s="42">
        <f>IF(AND(H641="Sim",I641&lt;&gt;"Aceito"),G641+ROW()/100000,0)</f>
        <v>0</v>
      </c>
    </row>
    <row r="642">
      <c r="A642" s="35" t="n"/>
      <c r="B642" s="39" t="n"/>
      <c r="C642" s="33" t="n"/>
      <c r="D642" s="35" t="n"/>
      <c r="E642" s="33" t="n"/>
      <c r="F642" s="33" t="n"/>
      <c r="G642" s="40" t="n"/>
      <c r="H642" s="35" t="n"/>
      <c r="I642" s="35" t="n"/>
      <c r="J642" s="30">
        <f>IF(B642="","",DATE(YEAR(B642),MONTH(B642),1))</f>
        <v/>
      </c>
      <c r="K642" s="41">
        <f>IF(OR(B642="",D642=""),"",D642&amp;"|"&amp;TEXT(J642,"yyyy-mm"))</f>
        <v/>
      </c>
      <c r="L642" s="24">
        <f>IF(K642="","",IFERROR(INDEX(Lotes!$N$5:$N$154,MATCH(K642,Lotes!$P$5:$P$154,0)),"Sem lote cadastrado"))</f>
        <v/>
      </c>
      <c r="M642" s="25">
        <f>IF(H642="Sim",G642,0)</f>
        <v>0</v>
      </c>
      <c r="N642" s="42">
        <f>IF(AND(H642="Sim",I642&lt;&gt;"Aceito"),G642+ROW()/100000,0)</f>
        <v>0</v>
      </c>
    </row>
    <row r="643">
      <c r="A643" s="35" t="n"/>
      <c r="B643" s="39" t="n"/>
      <c r="C643" s="33" t="n"/>
      <c r="D643" s="35" t="n"/>
      <c r="E643" s="33" t="n"/>
      <c r="F643" s="33" t="n"/>
      <c r="G643" s="40" t="n"/>
      <c r="H643" s="35" t="n"/>
      <c r="I643" s="35" t="n"/>
      <c r="J643" s="30">
        <f>IF(B643="","",DATE(YEAR(B643),MONTH(B643),1))</f>
        <v/>
      </c>
      <c r="K643" s="41">
        <f>IF(OR(B643="",D643=""),"",D643&amp;"|"&amp;TEXT(J643,"yyyy-mm"))</f>
        <v/>
      </c>
      <c r="L643" s="24">
        <f>IF(K643="","",IFERROR(INDEX(Lotes!$N$5:$N$154,MATCH(K643,Lotes!$P$5:$P$154,0)),"Sem lote cadastrado"))</f>
        <v/>
      </c>
      <c r="M643" s="25">
        <f>IF(H643="Sim",G643,0)</f>
        <v>0</v>
      </c>
      <c r="N643" s="42">
        <f>IF(AND(H643="Sim",I643&lt;&gt;"Aceito"),G643+ROW()/100000,0)</f>
        <v>0</v>
      </c>
    </row>
    <row r="644">
      <c r="A644" s="35" t="n"/>
      <c r="B644" s="39" t="n"/>
      <c r="C644" s="33" t="n"/>
      <c r="D644" s="35" t="n"/>
      <c r="E644" s="33" t="n"/>
      <c r="F644" s="33" t="n"/>
      <c r="G644" s="40" t="n"/>
      <c r="H644" s="35" t="n"/>
      <c r="I644" s="35" t="n"/>
      <c r="J644" s="30">
        <f>IF(B644="","",DATE(YEAR(B644),MONTH(B644),1))</f>
        <v/>
      </c>
      <c r="K644" s="41">
        <f>IF(OR(B644="",D644=""),"",D644&amp;"|"&amp;TEXT(J644,"yyyy-mm"))</f>
        <v/>
      </c>
      <c r="L644" s="24">
        <f>IF(K644="","",IFERROR(INDEX(Lotes!$N$5:$N$154,MATCH(K644,Lotes!$P$5:$P$154,0)),"Sem lote cadastrado"))</f>
        <v/>
      </c>
      <c r="M644" s="25">
        <f>IF(H644="Sim",G644,0)</f>
        <v>0</v>
      </c>
      <c r="N644" s="42">
        <f>IF(AND(H644="Sim",I644&lt;&gt;"Aceito"),G644+ROW()/100000,0)</f>
        <v>0</v>
      </c>
    </row>
    <row r="645">
      <c r="A645" s="35" t="n"/>
      <c r="B645" s="39" t="n"/>
      <c r="C645" s="33" t="n"/>
      <c r="D645" s="35" t="n"/>
      <c r="E645" s="33" t="n"/>
      <c r="F645" s="33" t="n"/>
      <c r="G645" s="40" t="n"/>
      <c r="H645" s="35" t="n"/>
      <c r="I645" s="35" t="n"/>
      <c r="J645" s="30">
        <f>IF(B645="","",DATE(YEAR(B645),MONTH(B645),1))</f>
        <v/>
      </c>
      <c r="K645" s="41">
        <f>IF(OR(B645="",D645=""),"",D645&amp;"|"&amp;TEXT(J645,"yyyy-mm"))</f>
        <v/>
      </c>
      <c r="L645" s="24">
        <f>IF(K645="","",IFERROR(INDEX(Lotes!$N$5:$N$154,MATCH(K645,Lotes!$P$5:$P$154,0)),"Sem lote cadastrado"))</f>
        <v/>
      </c>
      <c r="M645" s="25">
        <f>IF(H645="Sim",G645,0)</f>
        <v>0</v>
      </c>
      <c r="N645" s="42">
        <f>IF(AND(H645="Sim",I645&lt;&gt;"Aceito"),G645+ROW()/100000,0)</f>
        <v>0</v>
      </c>
    </row>
    <row r="646">
      <c r="A646" s="35" t="n"/>
      <c r="B646" s="39" t="n"/>
      <c r="C646" s="33" t="n"/>
      <c r="D646" s="35" t="n"/>
      <c r="E646" s="33" t="n"/>
      <c r="F646" s="33" t="n"/>
      <c r="G646" s="40" t="n"/>
      <c r="H646" s="35" t="n"/>
      <c r="I646" s="35" t="n"/>
      <c r="J646" s="30">
        <f>IF(B646="","",DATE(YEAR(B646),MONTH(B646),1))</f>
        <v/>
      </c>
      <c r="K646" s="41">
        <f>IF(OR(B646="",D646=""),"",D646&amp;"|"&amp;TEXT(J646,"yyyy-mm"))</f>
        <v/>
      </c>
      <c r="L646" s="24">
        <f>IF(K646="","",IFERROR(INDEX(Lotes!$N$5:$N$154,MATCH(K646,Lotes!$P$5:$P$154,0)),"Sem lote cadastrado"))</f>
        <v/>
      </c>
      <c r="M646" s="25">
        <f>IF(H646="Sim",G646,0)</f>
        <v>0</v>
      </c>
      <c r="N646" s="42">
        <f>IF(AND(H646="Sim",I646&lt;&gt;"Aceito"),G646+ROW()/100000,0)</f>
        <v>0</v>
      </c>
    </row>
    <row r="647">
      <c r="A647" s="35" t="n"/>
      <c r="B647" s="39" t="n"/>
      <c r="C647" s="33" t="n"/>
      <c r="D647" s="35" t="n"/>
      <c r="E647" s="33" t="n"/>
      <c r="F647" s="33" t="n"/>
      <c r="G647" s="40" t="n"/>
      <c r="H647" s="35" t="n"/>
      <c r="I647" s="35" t="n"/>
      <c r="J647" s="30">
        <f>IF(B647="","",DATE(YEAR(B647),MONTH(B647),1))</f>
        <v/>
      </c>
      <c r="K647" s="41">
        <f>IF(OR(B647="",D647=""),"",D647&amp;"|"&amp;TEXT(J647,"yyyy-mm"))</f>
        <v/>
      </c>
      <c r="L647" s="24">
        <f>IF(K647="","",IFERROR(INDEX(Lotes!$N$5:$N$154,MATCH(K647,Lotes!$P$5:$P$154,0)),"Sem lote cadastrado"))</f>
        <v/>
      </c>
      <c r="M647" s="25">
        <f>IF(H647="Sim",G647,0)</f>
        <v>0</v>
      </c>
      <c r="N647" s="42">
        <f>IF(AND(H647="Sim",I647&lt;&gt;"Aceito"),G647+ROW()/100000,0)</f>
        <v>0</v>
      </c>
    </row>
    <row r="648">
      <c r="A648" s="35" t="n"/>
      <c r="B648" s="39" t="n"/>
      <c r="C648" s="33" t="n"/>
      <c r="D648" s="35" t="n"/>
      <c r="E648" s="33" t="n"/>
      <c r="F648" s="33" t="n"/>
      <c r="G648" s="40" t="n"/>
      <c r="H648" s="35" t="n"/>
      <c r="I648" s="35" t="n"/>
      <c r="J648" s="30">
        <f>IF(B648="","",DATE(YEAR(B648),MONTH(B648),1))</f>
        <v/>
      </c>
      <c r="K648" s="41">
        <f>IF(OR(B648="",D648=""),"",D648&amp;"|"&amp;TEXT(J648,"yyyy-mm"))</f>
        <v/>
      </c>
      <c r="L648" s="24">
        <f>IF(K648="","",IFERROR(INDEX(Lotes!$N$5:$N$154,MATCH(K648,Lotes!$P$5:$P$154,0)),"Sem lote cadastrado"))</f>
        <v/>
      </c>
      <c r="M648" s="25">
        <f>IF(H648="Sim",G648,0)</f>
        <v>0</v>
      </c>
      <c r="N648" s="42">
        <f>IF(AND(H648="Sim",I648&lt;&gt;"Aceito"),G648+ROW()/100000,0)</f>
        <v>0</v>
      </c>
    </row>
    <row r="649">
      <c r="A649" s="35" t="n"/>
      <c r="B649" s="39" t="n"/>
      <c r="C649" s="33" t="n"/>
      <c r="D649" s="35" t="n"/>
      <c r="E649" s="33" t="n"/>
      <c r="F649" s="33" t="n"/>
      <c r="G649" s="40" t="n"/>
      <c r="H649" s="35" t="n"/>
      <c r="I649" s="35" t="n"/>
      <c r="J649" s="30">
        <f>IF(B649="","",DATE(YEAR(B649),MONTH(B649),1))</f>
        <v/>
      </c>
      <c r="K649" s="41">
        <f>IF(OR(B649="",D649=""),"",D649&amp;"|"&amp;TEXT(J649,"yyyy-mm"))</f>
        <v/>
      </c>
      <c r="L649" s="24">
        <f>IF(K649="","",IFERROR(INDEX(Lotes!$N$5:$N$154,MATCH(K649,Lotes!$P$5:$P$154,0)),"Sem lote cadastrado"))</f>
        <v/>
      </c>
      <c r="M649" s="25">
        <f>IF(H649="Sim",G649,0)</f>
        <v>0</v>
      </c>
      <c r="N649" s="42">
        <f>IF(AND(H649="Sim",I649&lt;&gt;"Aceito"),G649+ROW()/100000,0)</f>
        <v>0</v>
      </c>
    </row>
    <row r="650">
      <c r="A650" s="35" t="n"/>
      <c r="B650" s="39" t="n"/>
      <c r="C650" s="33" t="n"/>
      <c r="D650" s="35" t="n"/>
      <c r="E650" s="33" t="n"/>
      <c r="F650" s="33" t="n"/>
      <c r="G650" s="40" t="n"/>
      <c r="H650" s="35" t="n"/>
      <c r="I650" s="35" t="n"/>
      <c r="J650" s="30">
        <f>IF(B650="","",DATE(YEAR(B650),MONTH(B650),1))</f>
        <v/>
      </c>
      <c r="K650" s="41">
        <f>IF(OR(B650="",D650=""),"",D650&amp;"|"&amp;TEXT(J650,"yyyy-mm"))</f>
        <v/>
      </c>
      <c r="L650" s="24">
        <f>IF(K650="","",IFERROR(INDEX(Lotes!$N$5:$N$154,MATCH(K650,Lotes!$P$5:$P$154,0)),"Sem lote cadastrado"))</f>
        <v/>
      </c>
      <c r="M650" s="25">
        <f>IF(H650="Sim",G650,0)</f>
        <v>0</v>
      </c>
      <c r="N650" s="42">
        <f>IF(AND(H650="Sim",I650&lt;&gt;"Aceito"),G650+ROW()/100000,0)</f>
        <v>0</v>
      </c>
    </row>
    <row r="651">
      <c r="A651" s="35" t="n"/>
      <c r="B651" s="39" t="n"/>
      <c r="C651" s="33" t="n"/>
      <c r="D651" s="35" t="n"/>
      <c r="E651" s="33" t="n"/>
      <c r="F651" s="33" t="n"/>
      <c r="G651" s="40" t="n"/>
      <c r="H651" s="35" t="n"/>
      <c r="I651" s="35" t="n"/>
      <c r="J651" s="30">
        <f>IF(B651="","",DATE(YEAR(B651),MONTH(B651),1))</f>
        <v/>
      </c>
      <c r="K651" s="41">
        <f>IF(OR(B651="",D651=""),"",D651&amp;"|"&amp;TEXT(J651,"yyyy-mm"))</f>
        <v/>
      </c>
      <c r="L651" s="24">
        <f>IF(K651="","",IFERROR(INDEX(Lotes!$N$5:$N$154,MATCH(K651,Lotes!$P$5:$P$154,0)),"Sem lote cadastrado"))</f>
        <v/>
      </c>
      <c r="M651" s="25">
        <f>IF(H651="Sim",G651,0)</f>
        <v>0</v>
      </c>
      <c r="N651" s="42">
        <f>IF(AND(H651="Sim",I651&lt;&gt;"Aceito"),G651+ROW()/100000,0)</f>
        <v>0</v>
      </c>
    </row>
    <row r="652">
      <c r="A652" s="35" t="n"/>
      <c r="B652" s="39" t="n"/>
      <c r="C652" s="33" t="n"/>
      <c r="D652" s="35" t="n"/>
      <c r="E652" s="33" t="n"/>
      <c r="F652" s="33" t="n"/>
      <c r="G652" s="40" t="n"/>
      <c r="H652" s="35" t="n"/>
      <c r="I652" s="35" t="n"/>
      <c r="J652" s="30">
        <f>IF(B652="","",DATE(YEAR(B652),MONTH(B652),1))</f>
        <v/>
      </c>
      <c r="K652" s="41">
        <f>IF(OR(B652="",D652=""),"",D652&amp;"|"&amp;TEXT(J652,"yyyy-mm"))</f>
        <v/>
      </c>
      <c r="L652" s="24">
        <f>IF(K652="","",IFERROR(INDEX(Lotes!$N$5:$N$154,MATCH(K652,Lotes!$P$5:$P$154,0)),"Sem lote cadastrado"))</f>
        <v/>
      </c>
      <c r="M652" s="25">
        <f>IF(H652="Sim",G652,0)</f>
        <v>0</v>
      </c>
      <c r="N652" s="42">
        <f>IF(AND(H652="Sim",I652&lt;&gt;"Aceito"),G652+ROW()/100000,0)</f>
        <v>0</v>
      </c>
    </row>
    <row r="653">
      <c r="A653" s="35" t="n"/>
      <c r="B653" s="39" t="n"/>
      <c r="C653" s="33" t="n"/>
      <c r="D653" s="35" t="n"/>
      <c r="E653" s="33" t="n"/>
      <c r="F653" s="33" t="n"/>
      <c r="G653" s="40" t="n"/>
      <c r="H653" s="35" t="n"/>
      <c r="I653" s="35" t="n"/>
      <c r="J653" s="30">
        <f>IF(B653="","",DATE(YEAR(B653),MONTH(B653),1))</f>
        <v/>
      </c>
      <c r="K653" s="41">
        <f>IF(OR(B653="",D653=""),"",D653&amp;"|"&amp;TEXT(J653,"yyyy-mm"))</f>
        <v/>
      </c>
      <c r="L653" s="24">
        <f>IF(K653="","",IFERROR(INDEX(Lotes!$N$5:$N$154,MATCH(K653,Lotes!$P$5:$P$154,0)),"Sem lote cadastrado"))</f>
        <v/>
      </c>
      <c r="M653" s="25">
        <f>IF(H653="Sim",G653,0)</f>
        <v>0</v>
      </c>
      <c r="N653" s="42">
        <f>IF(AND(H653="Sim",I653&lt;&gt;"Aceito"),G653+ROW()/100000,0)</f>
        <v>0</v>
      </c>
    </row>
    <row r="654">
      <c r="A654" s="35" t="n"/>
      <c r="B654" s="39" t="n"/>
      <c r="C654" s="33" t="n"/>
      <c r="D654" s="35" t="n"/>
      <c r="E654" s="33" t="n"/>
      <c r="F654" s="33" t="n"/>
      <c r="G654" s="40" t="n"/>
      <c r="H654" s="35" t="n"/>
      <c r="I654" s="35" t="n"/>
      <c r="J654" s="30">
        <f>IF(B654="","",DATE(YEAR(B654),MONTH(B654),1))</f>
        <v/>
      </c>
      <c r="K654" s="41">
        <f>IF(OR(B654="",D654=""),"",D654&amp;"|"&amp;TEXT(J654,"yyyy-mm"))</f>
        <v/>
      </c>
      <c r="L654" s="24">
        <f>IF(K654="","",IFERROR(INDEX(Lotes!$N$5:$N$154,MATCH(K654,Lotes!$P$5:$P$154,0)),"Sem lote cadastrado"))</f>
        <v/>
      </c>
      <c r="M654" s="25">
        <f>IF(H654="Sim",G654,0)</f>
        <v>0</v>
      </c>
      <c r="N654" s="42">
        <f>IF(AND(H654="Sim",I654&lt;&gt;"Aceito"),G654+ROW()/100000,0)</f>
        <v>0</v>
      </c>
    </row>
    <row r="655">
      <c r="A655" s="35" t="n"/>
      <c r="B655" s="39" t="n"/>
      <c r="C655" s="33" t="n"/>
      <c r="D655" s="35" t="n"/>
      <c r="E655" s="33" t="n"/>
      <c r="F655" s="33" t="n"/>
      <c r="G655" s="40" t="n"/>
      <c r="H655" s="35" t="n"/>
      <c r="I655" s="35" t="n"/>
      <c r="J655" s="30">
        <f>IF(B655="","",DATE(YEAR(B655),MONTH(B655),1))</f>
        <v/>
      </c>
      <c r="K655" s="41">
        <f>IF(OR(B655="",D655=""),"",D655&amp;"|"&amp;TEXT(J655,"yyyy-mm"))</f>
        <v/>
      </c>
      <c r="L655" s="24">
        <f>IF(K655="","",IFERROR(INDEX(Lotes!$N$5:$N$154,MATCH(K655,Lotes!$P$5:$P$154,0)),"Sem lote cadastrado"))</f>
        <v/>
      </c>
      <c r="M655" s="25">
        <f>IF(H655="Sim",G655,0)</f>
        <v>0</v>
      </c>
      <c r="N655" s="42">
        <f>IF(AND(H655="Sim",I655&lt;&gt;"Aceito"),G655+ROW()/100000,0)</f>
        <v>0</v>
      </c>
    </row>
    <row r="656">
      <c r="A656" s="35" t="n"/>
      <c r="B656" s="39" t="n"/>
      <c r="C656" s="33" t="n"/>
      <c r="D656" s="35" t="n"/>
      <c r="E656" s="33" t="n"/>
      <c r="F656" s="33" t="n"/>
      <c r="G656" s="40" t="n"/>
      <c r="H656" s="35" t="n"/>
      <c r="I656" s="35" t="n"/>
      <c r="J656" s="30">
        <f>IF(B656="","",DATE(YEAR(B656),MONTH(B656),1))</f>
        <v/>
      </c>
      <c r="K656" s="41">
        <f>IF(OR(B656="",D656=""),"",D656&amp;"|"&amp;TEXT(J656,"yyyy-mm"))</f>
        <v/>
      </c>
      <c r="L656" s="24">
        <f>IF(K656="","",IFERROR(INDEX(Lotes!$N$5:$N$154,MATCH(K656,Lotes!$P$5:$P$154,0)),"Sem lote cadastrado"))</f>
        <v/>
      </c>
      <c r="M656" s="25">
        <f>IF(H656="Sim",G656,0)</f>
        <v>0</v>
      </c>
      <c r="N656" s="42">
        <f>IF(AND(H656="Sim",I656&lt;&gt;"Aceito"),G656+ROW()/100000,0)</f>
        <v>0</v>
      </c>
    </row>
    <row r="657">
      <c r="A657" s="35" t="n"/>
      <c r="B657" s="39" t="n"/>
      <c r="C657" s="33" t="n"/>
      <c r="D657" s="35" t="n"/>
      <c r="E657" s="33" t="n"/>
      <c r="F657" s="33" t="n"/>
      <c r="G657" s="40" t="n"/>
      <c r="H657" s="35" t="n"/>
      <c r="I657" s="35" t="n"/>
      <c r="J657" s="30">
        <f>IF(B657="","",DATE(YEAR(B657),MONTH(B657),1))</f>
        <v/>
      </c>
      <c r="K657" s="41">
        <f>IF(OR(B657="",D657=""),"",D657&amp;"|"&amp;TEXT(J657,"yyyy-mm"))</f>
        <v/>
      </c>
      <c r="L657" s="24">
        <f>IF(K657="","",IFERROR(INDEX(Lotes!$N$5:$N$154,MATCH(K657,Lotes!$P$5:$P$154,0)),"Sem lote cadastrado"))</f>
        <v/>
      </c>
      <c r="M657" s="25">
        <f>IF(H657="Sim",G657,0)</f>
        <v>0</v>
      </c>
      <c r="N657" s="42">
        <f>IF(AND(H657="Sim",I657&lt;&gt;"Aceito"),G657+ROW()/100000,0)</f>
        <v>0</v>
      </c>
    </row>
    <row r="658">
      <c r="A658" s="35" t="n"/>
      <c r="B658" s="39" t="n"/>
      <c r="C658" s="33" t="n"/>
      <c r="D658" s="35" t="n"/>
      <c r="E658" s="33" t="n"/>
      <c r="F658" s="33" t="n"/>
      <c r="G658" s="40" t="n"/>
      <c r="H658" s="35" t="n"/>
      <c r="I658" s="35" t="n"/>
      <c r="J658" s="30">
        <f>IF(B658="","",DATE(YEAR(B658),MONTH(B658),1))</f>
        <v/>
      </c>
      <c r="K658" s="41">
        <f>IF(OR(B658="",D658=""),"",D658&amp;"|"&amp;TEXT(J658,"yyyy-mm"))</f>
        <v/>
      </c>
      <c r="L658" s="24">
        <f>IF(K658="","",IFERROR(INDEX(Lotes!$N$5:$N$154,MATCH(K658,Lotes!$P$5:$P$154,0)),"Sem lote cadastrado"))</f>
        <v/>
      </c>
      <c r="M658" s="25">
        <f>IF(H658="Sim",G658,0)</f>
        <v>0</v>
      </c>
      <c r="N658" s="42">
        <f>IF(AND(H658="Sim",I658&lt;&gt;"Aceito"),G658+ROW()/100000,0)</f>
        <v>0</v>
      </c>
    </row>
    <row r="659">
      <c r="A659" s="35" t="n"/>
      <c r="B659" s="39" t="n"/>
      <c r="C659" s="33" t="n"/>
      <c r="D659" s="35" t="n"/>
      <c r="E659" s="33" t="n"/>
      <c r="F659" s="33" t="n"/>
      <c r="G659" s="40" t="n"/>
      <c r="H659" s="35" t="n"/>
      <c r="I659" s="35" t="n"/>
      <c r="J659" s="30">
        <f>IF(B659="","",DATE(YEAR(B659),MONTH(B659),1))</f>
        <v/>
      </c>
      <c r="K659" s="41">
        <f>IF(OR(B659="",D659=""),"",D659&amp;"|"&amp;TEXT(J659,"yyyy-mm"))</f>
        <v/>
      </c>
      <c r="L659" s="24">
        <f>IF(K659="","",IFERROR(INDEX(Lotes!$N$5:$N$154,MATCH(K659,Lotes!$P$5:$P$154,0)),"Sem lote cadastrado"))</f>
        <v/>
      </c>
      <c r="M659" s="25">
        <f>IF(H659="Sim",G659,0)</f>
        <v>0</v>
      </c>
      <c r="N659" s="42">
        <f>IF(AND(H659="Sim",I659&lt;&gt;"Aceito"),G659+ROW()/100000,0)</f>
        <v>0</v>
      </c>
    </row>
    <row r="660">
      <c r="A660" s="35" t="n"/>
      <c r="B660" s="39" t="n"/>
      <c r="C660" s="33" t="n"/>
      <c r="D660" s="35" t="n"/>
      <c r="E660" s="33" t="n"/>
      <c r="F660" s="33" t="n"/>
      <c r="G660" s="40" t="n"/>
      <c r="H660" s="35" t="n"/>
      <c r="I660" s="35" t="n"/>
      <c r="J660" s="30">
        <f>IF(B660="","",DATE(YEAR(B660),MONTH(B660),1))</f>
        <v/>
      </c>
      <c r="K660" s="41">
        <f>IF(OR(B660="",D660=""),"",D660&amp;"|"&amp;TEXT(J660,"yyyy-mm"))</f>
        <v/>
      </c>
      <c r="L660" s="24">
        <f>IF(K660="","",IFERROR(INDEX(Lotes!$N$5:$N$154,MATCH(K660,Lotes!$P$5:$P$154,0)),"Sem lote cadastrado"))</f>
        <v/>
      </c>
      <c r="M660" s="25">
        <f>IF(H660="Sim",G660,0)</f>
        <v>0</v>
      </c>
      <c r="N660" s="42">
        <f>IF(AND(H660="Sim",I660&lt;&gt;"Aceito"),G660+ROW()/100000,0)</f>
        <v>0</v>
      </c>
    </row>
    <row r="661">
      <c r="A661" s="35" t="n"/>
      <c r="B661" s="39" t="n"/>
      <c r="C661" s="33" t="n"/>
      <c r="D661" s="35" t="n"/>
      <c r="E661" s="33" t="n"/>
      <c r="F661" s="33" t="n"/>
      <c r="G661" s="40" t="n"/>
      <c r="H661" s="35" t="n"/>
      <c r="I661" s="35" t="n"/>
      <c r="J661" s="30">
        <f>IF(B661="","",DATE(YEAR(B661),MONTH(B661),1))</f>
        <v/>
      </c>
      <c r="K661" s="41">
        <f>IF(OR(B661="",D661=""),"",D661&amp;"|"&amp;TEXT(J661,"yyyy-mm"))</f>
        <v/>
      </c>
      <c r="L661" s="24">
        <f>IF(K661="","",IFERROR(INDEX(Lotes!$N$5:$N$154,MATCH(K661,Lotes!$P$5:$P$154,0)),"Sem lote cadastrado"))</f>
        <v/>
      </c>
      <c r="M661" s="25">
        <f>IF(H661="Sim",G661,0)</f>
        <v>0</v>
      </c>
      <c r="N661" s="42">
        <f>IF(AND(H661="Sim",I661&lt;&gt;"Aceito"),G661+ROW()/100000,0)</f>
        <v>0</v>
      </c>
    </row>
    <row r="662">
      <c r="A662" s="35" t="n"/>
      <c r="B662" s="39" t="n"/>
      <c r="C662" s="33" t="n"/>
      <c r="D662" s="35" t="n"/>
      <c r="E662" s="33" t="n"/>
      <c r="F662" s="33" t="n"/>
      <c r="G662" s="40" t="n"/>
      <c r="H662" s="35" t="n"/>
      <c r="I662" s="35" t="n"/>
      <c r="J662" s="30">
        <f>IF(B662="","",DATE(YEAR(B662),MONTH(B662),1))</f>
        <v/>
      </c>
      <c r="K662" s="41">
        <f>IF(OR(B662="",D662=""),"",D662&amp;"|"&amp;TEXT(J662,"yyyy-mm"))</f>
        <v/>
      </c>
      <c r="L662" s="24">
        <f>IF(K662="","",IFERROR(INDEX(Lotes!$N$5:$N$154,MATCH(K662,Lotes!$P$5:$P$154,0)),"Sem lote cadastrado"))</f>
        <v/>
      </c>
      <c r="M662" s="25">
        <f>IF(H662="Sim",G662,0)</f>
        <v>0</v>
      </c>
      <c r="N662" s="42">
        <f>IF(AND(H662="Sim",I662&lt;&gt;"Aceito"),G662+ROW()/100000,0)</f>
        <v>0</v>
      </c>
    </row>
    <row r="663">
      <c r="A663" s="35" t="n"/>
      <c r="B663" s="39" t="n"/>
      <c r="C663" s="33" t="n"/>
      <c r="D663" s="35" t="n"/>
      <c r="E663" s="33" t="n"/>
      <c r="F663" s="33" t="n"/>
      <c r="G663" s="40" t="n"/>
      <c r="H663" s="35" t="n"/>
      <c r="I663" s="35" t="n"/>
      <c r="J663" s="30">
        <f>IF(B663="","",DATE(YEAR(B663),MONTH(B663),1))</f>
        <v/>
      </c>
      <c r="K663" s="41">
        <f>IF(OR(B663="",D663=""),"",D663&amp;"|"&amp;TEXT(J663,"yyyy-mm"))</f>
        <v/>
      </c>
      <c r="L663" s="24">
        <f>IF(K663="","",IFERROR(INDEX(Lotes!$N$5:$N$154,MATCH(K663,Lotes!$P$5:$P$154,0)),"Sem lote cadastrado"))</f>
        <v/>
      </c>
      <c r="M663" s="25">
        <f>IF(H663="Sim",G663,0)</f>
        <v>0</v>
      </c>
      <c r="N663" s="42">
        <f>IF(AND(H663="Sim",I663&lt;&gt;"Aceito"),G663+ROW()/100000,0)</f>
        <v>0</v>
      </c>
    </row>
    <row r="664">
      <c r="A664" s="35" t="n"/>
      <c r="B664" s="39" t="n"/>
      <c r="C664" s="33" t="n"/>
      <c r="D664" s="35" t="n"/>
      <c r="E664" s="33" t="n"/>
      <c r="F664" s="33" t="n"/>
      <c r="G664" s="40" t="n"/>
      <c r="H664" s="35" t="n"/>
      <c r="I664" s="35" t="n"/>
      <c r="J664" s="30">
        <f>IF(B664="","",DATE(YEAR(B664),MONTH(B664),1))</f>
        <v/>
      </c>
      <c r="K664" s="41">
        <f>IF(OR(B664="",D664=""),"",D664&amp;"|"&amp;TEXT(J664,"yyyy-mm"))</f>
        <v/>
      </c>
      <c r="L664" s="24">
        <f>IF(K664="","",IFERROR(INDEX(Lotes!$N$5:$N$154,MATCH(K664,Lotes!$P$5:$P$154,0)),"Sem lote cadastrado"))</f>
        <v/>
      </c>
      <c r="M664" s="25">
        <f>IF(H664="Sim",G664,0)</f>
        <v>0</v>
      </c>
      <c r="N664" s="42">
        <f>IF(AND(H664="Sim",I664&lt;&gt;"Aceito"),G664+ROW()/100000,0)</f>
        <v>0</v>
      </c>
    </row>
    <row r="665">
      <c r="A665" s="35" t="n"/>
      <c r="B665" s="39" t="n"/>
      <c r="C665" s="33" t="n"/>
      <c r="D665" s="35" t="n"/>
      <c r="E665" s="33" t="n"/>
      <c r="F665" s="33" t="n"/>
      <c r="G665" s="40" t="n"/>
      <c r="H665" s="35" t="n"/>
      <c r="I665" s="35" t="n"/>
      <c r="J665" s="30">
        <f>IF(B665="","",DATE(YEAR(B665),MONTH(B665),1))</f>
        <v/>
      </c>
      <c r="K665" s="41">
        <f>IF(OR(B665="",D665=""),"",D665&amp;"|"&amp;TEXT(J665,"yyyy-mm"))</f>
        <v/>
      </c>
      <c r="L665" s="24">
        <f>IF(K665="","",IFERROR(INDEX(Lotes!$N$5:$N$154,MATCH(K665,Lotes!$P$5:$P$154,0)),"Sem lote cadastrado"))</f>
        <v/>
      </c>
      <c r="M665" s="25">
        <f>IF(H665="Sim",G665,0)</f>
        <v>0</v>
      </c>
      <c r="N665" s="42">
        <f>IF(AND(H665="Sim",I665&lt;&gt;"Aceito"),G665+ROW()/100000,0)</f>
        <v>0</v>
      </c>
    </row>
    <row r="666">
      <c r="A666" s="35" t="n"/>
      <c r="B666" s="39" t="n"/>
      <c r="C666" s="33" t="n"/>
      <c r="D666" s="35" t="n"/>
      <c r="E666" s="33" t="n"/>
      <c r="F666" s="33" t="n"/>
      <c r="G666" s="40" t="n"/>
      <c r="H666" s="35" t="n"/>
      <c r="I666" s="35" t="n"/>
      <c r="J666" s="30">
        <f>IF(B666="","",DATE(YEAR(B666),MONTH(B666),1))</f>
        <v/>
      </c>
      <c r="K666" s="41">
        <f>IF(OR(B666="",D666=""),"",D666&amp;"|"&amp;TEXT(J666,"yyyy-mm"))</f>
        <v/>
      </c>
      <c r="L666" s="24">
        <f>IF(K666="","",IFERROR(INDEX(Lotes!$N$5:$N$154,MATCH(K666,Lotes!$P$5:$P$154,0)),"Sem lote cadastrado"))</f>
        <v/>
      </c>
      <c r="M666" s="25">
        <f>IF(H666="Sim",G666,0)</f>
        <v>0</v>
      </c>
      <c r="N666" s="42">
        <f>IF(AND(H666="Sim",I666&lt;&gt;"Aceito"),G666+ROW()/100000,0)</f>
        <v>0</v>
      </c>
    </row>
    <row r="667">
      <c r="A667" s="35" t="n"/>
      <c r="B667" s="39" t="n"/>
      <c r="C667" s="33" t="n"/>
      <c r="D667" s="35" t="n"/>
      <c r="E667" s="33" t="n"/>
      <c r="F667" s="33" t="n"/>
      <c r="G667" s="40" t="n"/>
      <c r="H667" s="35" t="n"/>
      <c r="I667" s="35" t="n"/>
      <c r="J667" s="30">
        <f>IF(B667="","",DATE(YEAR(B667),MONTH(B667),1))</f>
        <v/>
      </c>
      <c r="K667" s="41">
        <f>IF(OR(B667="",D667=""),"",D667&amp;"|"&amp;TEXT(J667,"yyyy-mm"))</f>
        <v/>
      </c>
      <c r="L667" s="24">
        <f>IF(K667="","",IFERROR(INDEX(Lotes!$N$5:$N$154,MATCH(K667,Lotes!$P$5:$P$154,0)),"Sem lote cadastrado"))</f>
        <v/>
      </c>
      <c r="M667" s="25">
        <f>IF(H667="Sim",G667,0)</f>
        <v>0</v>
      </c>
      <c r="N667" s="42">
        <f>IF(AND(H667="Sim",I667&lt;&gt;"Aceito"),G667+ROW()/100000,0)</f>
        <v>0</v>
      </c>
    </row>
    <row r="668">
      <c r="A668" s="35" t="n"/>
      <c r="B668" s="39" t="n"/>
      <c r="C668" s="33" t="n"/>
      <c r="D668" s="35" t="n"/>
      <c r="E668" s="33" t="n"/>
      <c r="F668" s="33" t="n"/>
      <c r="G668" s="40" t="n"/>
      <c r="H668" s="35" t="n"/>
      <c r="I668" s="35" t="n"/>
      <c r="J668" s="30">
        <f>IF(B668="","",DATE(YEAR(B668),MONTH(B668),1))</f>
        <v/>
      </c>
      <c r="K668" s="41">
        <f>IF(OR(B668="",D668=""),"",D668&amp;"|"&amp;TEXT(J668,"yyyy-mm"))</f>
        <v/>
      </c>
      <c r="L668" s="24">
        <f>IF(K668="","",IFERROR(INDEX(Lotes!$N$5:$N$154,MATCH(K668,Lotes!$P$5:$P$154,0)),"Sem lote cadastrado"))</f>
        <v/>
      </c>
      <c r="M668" s="25">
        <f>IF(H668="Sim",G668,0)</f>
        <v>0</v>
      </c>
      <c r="N668" s="42">
        <f>IF(AND(H668="Sim",I668&lt;&gt;"Aceito"),G668+ROW()/100000,0)</f>
        <v>0</v>
      </c>
    </row>
    <row r="669">
      <c r="A669" s="35" t="n"/>
      <c r="B669" s="39" t="n"/>
      <c r="C669" s="33" t="n"/>
      <c r="D669" s="35" t="n"/>
      <c r="E669" s="33" t="n"/>
      <c r="F669" s="33" t="n"/>
      <c r="G669" s="40" t="n"/>
      <c r="H669" s="35" t="n"/>
      <c r="I669" s="35" t="n"/>
      <c r="J669" s="30">
        <f>IF(B669="","",DATE(YEAR(B669),MONTH(B669),1))</f>
        <v/>
      </c>
      <c r="K669" s="41">
        <f>IF(OR(B669="",D669=""),"",D669&amp;"|"&amp;TEXT(J669,"yyyy-mm"))</f>
        <v/>
      </c>
      <c r="L669" s="24">
        <f>IF(K669="","",IFERROR(INDEX(Lotes!$N$5:$N$154,MATCH(K669,Lotes!$P$5:$P$154,0)),"Sem lote cadastrado"))</f>
        <v/>
      </c>
      <c r="M669" s="25">
        <f>IF(H669="Sim",G669,0)</f>
        <v>0</v>
      </c>
      <c r="N669" s="42">
        <f>IF(AND(H669="Sim",I669&lt;&gt;"Aceito"),G669+ROW()/100000,0)</f>
        <v>0</v>
      </c>
    </row>
    <row r="670">
      <c r="A670" s="35" t="n"/>
      <c r="B670" s="39" t="n"/>
      <c r="C670" s="33" t="n"/>
      <c r="D670" s="35" t="n"/>
      <c r="E670" s="33" t="n"/>
      <c r="F670" s="33" t="n"/>
      <c r="G670" s="40" t="n"/>
      <c r="H670" s="35" t="n"/>
      <c r="I670" s="35" t="n"/>
      <c r="J670" s="30">
        <f>IF(B670="","",DATE(YEAR(B670),MONTH(B670),1))</f>
        <v/>
      </c>
      <c r="K670" s="41">
        <f>IF(OR(B670="",D670=""),"",D670&amp;"|"&amp;TEXT(J670,"yyyy-mm"))</f>
        <v/>
      </c>
      <c r="L670" s="24">
        <f>IF(K670="","",IFERROR(INDEX(Lotes!$N$5:$N$154,MATCH(K670,Lotes!$P$5:$P$154,0)),"Sem lote cadastrado"))</f>
        <v/>
      </c>
      <c r="M670" s="25">
        <f>IF(H670="Sim",G670,0)</f>
        <v>0</v>
      </c>
      <c r="N670" s="42">
        <f>IF(AND(H670="Sim",I670&lt;&gt;"Aceito"),G670+ROW()/100000,0)</f>
        <v>0</v>
      </c>
    </row>
    <row r="671">
      <c r="A671" s="35" t="n"/>
      <c r="B671" s="39" t="n"/>
      <c r="C671" s="33" t="n"/>
      <c r="D671" s="35" t="n"/>
      <c r="E671" s="33" t="n"/>
      <c r="F671" s="33" t="n"/>
      <c r="G671" s="40" t="n"/>
      <c r="H671" s="35" t="n"/>
      <c r="I671" s="35" t="n"/>
      <c r="J671" s="30">
        <f>IF(B671="","",DATE(YEAR(B671),MONTH(B671),1))</f>
        <v/>
      </c>
      <c r="K671" s="41">
        <f>IF(OR(B671="",D671=""),"",D671&amp;"|"&amp;TEXT(J671,"yyyy-mm"))</f>
        <v/>
      </c>
      <c r="L671" s="24">
        <f>IF(K671="","",IFERROR(INDEX(Lotes!$N$5:$N$154,MATCH(K671,Lotes!$P$5:$P$154,0)),"Sem lote cadastrado"))</f>
        <v/>
      </c>
      <c r="M671" s="25">
        <f>IF(H671="Sim",G671,0)</f>
        <v>0</v>
      </c>
      <c r="N671" s="42">
        <f>IF(AND(H671="Sim",I671&lt;&gt;"Aceito"),G671+ROW()/100000,0)</f>
        <v>0</v>
      </c>
    </row>
    <row r="672">
      <c r="A672" s="35" t="n"/>
      <c r="B672" s="39" t="n"/>
      <c r="C672" s="33" t="n"/>
      <c r="D672" s="35" t="n"/>
      <c r="E672" s="33" t="n"/>
      <c r="F672" s="33" t="n"/>
      <c r="G672" s="40" t="n"/>
      <c r="H672" s="35" t="n"/>
      <c r="I672" s="35" t="n"/>
      <c r="J672" s="30">
        <f>IF(B672="","",DATE(YEAR(B672),MONTH(B672),1))</f>
        <v/>
      </c>
      <c r="K672" s="41">
        <f>IF(OR(B672="",D672=""),"",D672&amp;"|"&amp;TEXT(J672,"yyyy-mm"))</f>
        <v/>
      </c>
      <c r="L672" s="24">
        <f>IF(K672="","",IFERROR(INDEX(Lotes!$N$5:$N$154,MATCH(K672,Lotes!$P$5:$P$154,0)),"Sem lote cadastrado"))</f>
        <v/>
      </c>
      <c r="M672" s="25">
        <f>IF(H672="Sim",G672,0)</f>
        <v>0</v>
      </c>
      <c r="N672" s="42">
        <f>IF(AND(H672="Sim",I672&lt;&gt;"Aceito"),G672+ROW()/100000,0)</f>
        <v>0</v>
      </c>
    </row>
    <row r="673">
      <c r="A673" s="35" t="n"/>
      <c r="B673" s="39" t="n"/>
      <c r="C673" s="33" t="n"/>
      <c r="D673" s="35" t="n"/>
      <c r="E673" s="33" t="n"/>
      <c r="F673" s="33" t="n"/>
      <c r="G673" s="40" t="n"/>
      <c r="H673" s="35" t="n"/>
      <c r="I673" s="35" t="n"/>
      <c r="J673" s="30">
        <f>IF(B673="","",DATE(YEAR(B673),MONTH(B673),1))</f>
        <v/>
      </c>
      <c r="K673" s="41">
        <f>IF(OR(B673="",D673=""),"",D673&amp;"|"&amp;TEXT(J673,"yyyy-mm"))</f>
        <v/>
      </c>
      <c r="L673" s="24">
        <f>IF(K673="","",IFERROR(INDEX(Lotes!$N$5:$N$154,MATCH(K673,Lotes!$P$5:$P$154,0)),"Sem lote cadastrado"))</f>
        <v/>
      </c>
      <c r="M673" s="25">
        <f>IF(H673="Sim",G673,0)</f>
        <v>0</v>
      </c>
      <c r="N673" s="42">
        <f>IF(AND(H673="Sim",I673&lt;&gt;"Aceito"),G673+ROW()/100000,0)</f>
        <v>0</v>
      </c>
    </row>
    <row r="674">
      <c r="A674" s="35" t="n"/>
      <c r="B674" s="39" t="n"/>
      <c r="C674" s="33" t="n"/>
      <c r="D674" s="35" t="n"/>
      <c r="E674" s="33" t="n"/>
      <c r="F674" s="33" t="n"/>
      <c r="G674" s="40" t="n"/>
      <c r="H674" s="35" t="n"/>
      <c r="I674" s="35" t="n"/>
      <c r="J674" s="30">
        <f>IF(B674="","",DATE(YEAR(B674),MONTH(B674),1))</f>
        <v/>
      </c>
      <c r="K674" s="41">
        <f>IF(OR(B674="",D674=""),"",D674&amp;"|"&amp;TEXT(J674,"yyyy-mm"))</f>
        <v/>
      </c>
      <c r="L674" s="24">
        <f>IF(K674="","",IFERROR(INDEX(Lotes!$N$5:$N$154,MATCH(K674,Lotes!$P$5:$P$154,0)),"Sem lote cadastrado"))</f>
        <v/>
      </c>
      <c r="M674" s="25">
        <f>IF(H674="Sim",G674,0)</f>
        <v>0</v>
      </c>
      <c r="N674" s="42">
        <f>IF(AND(H674="Sim",I674&lt;&gt;"Aceito"),G674+ROW()/100000,0)</f>
        <v>0</v>
      </c>
    </row>
    <row r="675">
      <c r="A675" s="35" t="n"/>
      <c r="B675" s="39" t="n"/>
      <c r="C675" s="33" t="n"/>
      <c r="D675" s="35" t="n"/>
      <c r="E675" s="33" t="n"/>
      <c r="F675" s="33" t="n"/>
      <c r="G675" s="40" t="n"/>
      <c r="H675" s="35" t="n"/>
      <c r="I675" s="35" t="n"/>
      <c r="J675" s="30">
        <f>IF(B675="","",DATE(YEAR(B675),MONTH(B675),1))</f>
        <v/>
      </c>
      <c r="K675" s="41">
        <f>IF(OR(B675="",D675=""),"",D675&amp;"|"&amp;TEXT(J675,"yyyy-mm"))</f>
        <v/>
      </c>
      <c r="L675" s="24">
        <f>IF(K675="","",IFERROR(INDEX(Lotes!$N$5:$N$154,MATCH(K675,Lotes!$P$5:$P$154,0)),"Sem lote cadastrado"))</f>
        <v/>
      </c>
      <c r="M675" s="25">
        <f>IF(H675="Sim",G675,0)</f>
        <v>0</v>
      </c>
      <c r="N675" s="42">
        <f>IF(AND(H675="Sim",I675&lt;&gt;"Aceito"),G675+ROW()/100000,0)</f>
        <v>0</v>
      </c>
    </row>
    <row r="676">
      <c r="A676" s="35" t="n"/>
      <c r="B676" s="39" t="n"/>
      <c r="C676" s="33" t="n"/>
      <c r="D676" s="35" t="n"/>
      <c r="E676" s="33" t="n"/>
      <c r="F676" s="33" t="n"/>
      <c r="G676" s="40" t="n"/>
      <c r="H676" s="35" t="n"/>
      <c r="I676" s="35" t="n"/>
      <c r="J676" s="30">
        <f>IF(B676="","",DATE(YEAR(B676),MONTH(B676),1))</f>
        <v/>
      </c>
      <c r="K676" s="41">
        <f>IF(OR(B676="",D676=""),"",D676&amp;"|"&amp;TEXT(J676,"yyyy-mm"))</f>
        <v/>
      </c>
      <c r="L676" s="24">
        <f>IF(K676="","",IFERROR(INDEX(Lotes!$N$5:$N$154,MATCH(K676,Lotes!$P$5:$P$154,0)),"Sem lote cadastrado"))</f>
        <v/>
      </c>
      <c r="M676" s="25">
        <f>IF(H676="Sim",G676,0)</f>
        <v>0</v>
      </c>
      <c r="N676" s="42">
        <f>IF(AND(H676="Sim",I676&lt;&gt;"Aceito"),G676+ROW()/100000,0)</f>
        <v>0</v>
      </c>
    </row>
    <row r="677">
      <c r="A677" s="35" t="n"/>
      <c r="B677" s="39" t="n"/>
      <c r="C677" s="33" t="n"/>
      <c r="D677" s="35" t="n"/>
      <c r="E677" s="33" t="n"/>
      <c r="F677" s="33" t="n"/>
      <c r="G677" s="40" t="n"/>
      <c r="H677" s="35" t="n"/>
      <c r="I677" s="35" t="n"/>
      <c r="J677" s="30">
        <f>IF(B677="","",DATE(YEAR(B677),MONTH(B677),1))</f>
        <v/>
      </c>
      <c r="K677" s="41">
        <f>IF(OR(B677="",D677=""),"",D677&amp;"|"&amp;TEXT(J677,"yyyy-mm"))</f>
        <v/>
      </c>
      <c r="L677" s="24">
        <f>IF(K677="","",IFERROR(INDEX(Lotes!$N$5:$N$154,MATCH(K677,Lotes!$P$5:$P$154,0)),"Sem lote cadastrado"))</f>
        <v/>
      </c>
      <c r="M677" s="25">
        <f>IF(H677="Sim",G677,0)</f>
        <v>0</v>
      </c>
      <c r="N677" s="42">
        <f>IF(AND(H677="Sim",I677&lt;&gt;"Aceito"),G677+ROW()/100000,0)</f>
        <v>0</v>
      </c>
    </row>
    <row r="678">
      <c r="A678" s="35" t="n"/>
      <c r="B678" s="39" t="n"/>
      <c r="C678" s="33" t="n"/>
      <c r="D678" s="35" t="n"/>
      <c r="E678" s="33" t="n"/>
      <c r="F678" s="33" t="n"/>
      <c r="G678" s="40" t="n"/>
      <c r="H678" s="35" t="n"/>
      <c r="I678" s="35" t="n"/>
      <c r="J678" s="30">
        <f>IF(B678="","",DATE(YEAR(B678),MONTH(B678),1))</f>
        <v/>
      </c>
      <c r="K678" s="41">
        <f>IF(OR(B678="",D678=""),"",D678&amp;"|"&amp;TEXT(J678,"yyyy-mm"))</f>
        <v/>
      </c>
      <c r="L678" s="24">
        <f>IF(K678="","",IFERROR(INDEX(Lotes!$N$5:$N$154,MATCH(K678,Lotes!$P$5:$P$154,0)),"Sem lote cadastrado"))</f>
        <v/>
      </c>
      <c r="M678" s="25">
        <f>IF(H678="Sim",G678,0)</f>
        <v>0</v>
      </c>
      <c r="N678" s="42">
        <f>IF(AND(H678="Sim",I678&lt;&gt;"Aceito"),G678+ROW()/100000,0)</f>
        <v>0</v>
      </c>
    </row>
    <row r="679">
      <c r="A679" s="35" t="n"/>
      <c r="B679" s="39" t="n"/>
      <c r="C679" s="33" t="n"/>
      <c r="D679" s="35" t="n"/>
      <c r="E679" s="33" t="n"/>
      <c r="F679" s="33" t="n"/>
      <c r="G679" s="40" t="n"/>
      <c r="H679" s="35" t="n"/>
      <c r="I679" s="35" t="n"/>
      <c r="J679" s="30">
        <f>IF(B679="","",DATE(YEAR(B679),MONTH(B679),1))</f>
        <v/>
      </c>
      <c r="K679" s="41">
        <f>IF(OR(B679="",D679=""),"",D679&amp;"|"&amp;TEXT(J679,"yyyy-mm"))</f>
        <v/>
      </c>
      <c r="L679" s="24">
        <f>IF(K679="","",IFERROR(INDEX(Lotes!$N$5:$N$154,MATCH(K679,Lotes!$P$5:$P$154,0)),"Sem lote cadastrado"))</f>
        <v/>
      </c>
      <c r="M679" s="25">
        <f>IF(H679="Sim",G679,0)</f>
        <v>0</v>
      </c>
      <c r="N679" s="42">
        <f>IF(AND(H679="Sim",I679&lt;&gt;"Aceito"),G679+ROW()/100000,0)</f>
        <v>0</v>
      </c>
    </row>
    <row r="680">
      <c r="A680" s="35" t="n"/>
      <c r="B680" s="39" t="n"/>
      <c r="C680" s="33" t="n"/>
      <c r="D680" s="35" t="n"/>
      <c r="E680" s="33" t="n"/>
      <c r="F680" s="33" t="n"/>
      <c r="G680" s="40" t="n"/>
      <c r="H680" s="35" t="n"/>
      <c r="I680" s="35" t="n"/>
      <c r="J680" s="30">
        <f>IF(B680="","",DATE(YEAR(B680),MONTH(B680),1))</f>
        <v/>
      </c>
      <c r="K680" s="41">
        <f>IF(OR(B680="",D680=""),"",D680&amp;"|"&amp;TEXT(J680,"yyyy-mm"))</f>
        <v/>
      </c>
      <c r="L680" s="24">
        <f>IF(K680="","",IFERROR(INDEX(Lotes!$N$5:$N$154,MATCH(K680,Lotes!$P$5:$P$154,0)),"Sem lote cadastrado"))</f>
        <v/>
      </c>
      <c r="M680" s="25">
        <f>IF(H680="Sim",G680,0)</f>
        <v>0</v>
      </c>
      <c r="N680" s="42">
        <f>IF(AND(H680="Sim",I680&lt;&gt;"Aceito"),G680+ROW()/100000,0)</f>
        <v>0</v>
      </c>
    </row>
    <row r="681">
      <c r="A681" s="35" t="n"/>
      <c r="B681" s="39" t="n"/>
      <c r="C681" s="33" t="n"/>
      <c r="D681" s="35" t="n"/>
      <c r="E681" s="33" t="n"/>
      <c r="F681" s="33" t="n"/>
      <c r="G681" s="40" t="n"/>
      <c r="H681" s="35" t="n"/>
      <c r="I681" s="35" t="n"/>
      <c r="J681" s="30">
        <f>IF(B681="","",DATE(YEAR(B681),MONTH(B681),1))</f>
        <v/>
      </c>
      <c r="K681" s="41">
        <f>IF(OR(B681="",D681=""),"",D681&amp;"|"&amp;TEXT(J681,"yyyy-mm"))</f>
        <v/>
      </c>
      <c r="L681" s="24">
        <f>IF(K681="","",IFERROR(INDEX(Lotes!$N$5:$N$154,MATCH(K681,Lotes!$P$5:$P$154,0)),"Sem lote cadastrado"))</f>
        <v/>
      </c>
      <c r="M681" s="25">
        <f>IF(H681="Sim",G681,0)</f>
        <v>0</v>
      </c>
      <c r="N681" s="42">
        <f>IF(AND(H681="Sim",I681&lt;&gt;"Aceito"),G681+ROW()/100000,0)</f>
        <v>0</v>
      </c>
    </row>
    <row r="682">
      <c r="A682" s="35" t="n"/>
      <c r="B682" s="39" t="n"/>
      <c r="C682" s="33" t="n"/>
      <c r="D682" s="35" t="n"/>
      <c r="E682" s="33" t="n"/>
      <c r="F682" s="33" t="n"/>
      <c r="G682" s="40" t="n"/>
      <c r="H682" s="35" t="n"/>
      <c r="I682" s="35" t="n"/>
      <c r="J682" s="30">
        <f>IF(B682="","",DATE(YEAR(B682),MONTH(B682),1))</f>
        <v/>
      </c>
      <c r="K682" s="41">
        <f>IF(OR(B682="",D682=""),"",D682&amp;"|"&amp;TEXT(J682,"yyyy-mm"))</f>
        <v/>
      </c>
      <c r="L682" s="24">
        <f>IF(K682="","",IFERROR(INDEX(Lotes!$N$5:$N$154,MATCH(K682,Lotes!$P$5:$P$154,0)),"Sem lote cadastrado"))</f>
        <v/>
      </c>
      <c r="M682" s="25">
        <f>IF(H682="Sim",G682,0)</f>
        <v>0</v>
      </c>
      <c r="N682" s="42">
        <f>IF(AND(H682="Sim",I682&lt;&gt;"Aceito"),G682+ROW()/100000,0)</f>
        <v>0</v>
      </c>
    </row>
    <row r="683">
      <c r="A683" s="35" t="n"/>
      <c r="B683" s="39" t="n"/>
      <c r="C683" s="33" t="n"/>
      <c r="D683" s="35" t="n"/>
      <c r="E683" s="33" t="n"/>
      <c r="F683" s="33" t="n"/>
      <c r="G683" s="40" t="n"/>
      <c r="H683" s="35" t="n"/>
      <c r="I683" s="35" t="n"/>
      <c r="J683" s="30">
        <f>IF(B683="","",DATE(YEAR(B683),MONTH(B683),1))</f>
        <v/>
      </c>
      <c r="K683" s="41">
        <f>IF(OR(B683="",D683=""),"",D683&amp;"|"&amp;TEXT(J683,"yyyy-mm"))</f>
        <v/>
      </c>
      <c r="L683" s="24">
        <f>IF(K683="","",IFERROR(INDEX(Lotes!$N$5:$N$154,MATCH(K683,Lotes!$P$5:$P$154,0)),"Sem lote cadastrado"))</f>
        <v/>
      </c>
      <c r="M683" s="25">
        <f>IF(H683="Sim",G683,0)</f>
        <v>0</v>
      </c>
      <c r="N683" s="42">
        <f>IF(AND(H683="Sim",I683&lt;&gt;"Aceito"),G683+ROW()/100000,0)</f>
        <v>0</v>
      </c>
    </row>
    <row r="684">
      <c r="A684" s="35" t="n"/>
      <c r="B684" s="39" t="n"/>
      <c r="C684" s="33" t="n"/>
      <c r="D684" s="35" t="n"/>
      <c r="E684" s="33" t="n"/>
      <c r="F684" s="33" t="n"/>
      <c r="G684" s="40" t="n"/>
      <c r="H684" s="35" t="n"/>
      <c r="I684" s="35" t="n"/>
      <c r="J684" s="30">
        <f>IF(B684="","",DATE(YEAR(B684),MONTH(B684),1))</f>
        <v/>
      </c>
      <c r="K684" s="41">
        <f>IF(OR(B684="",D684=""),"",D684&amp;"|"&amp;TEXT(J684,"yyyy-mm"))</f>
        <v/>
      </c>
      <c r="L684" s="24">
        <f>IF(K684="","",IFERROR(INDEX(Lotes!$N$5:$N$154,MATCH(K684,Lotes!$P$5:$P$154,0)),"Sem lote cadastrado"))</f>
        <v/>
      </c>
      <c r="M684" s="25">
        <f>IF(H684="Sim",G684,0)</f>
        <v>0</v>
      </c>
      <c r="N684" s="42">
        <f>IF(AND(H684="Sim",I684&lt;&gt;"Aceito"),G684+ROW()/100000,0)</f>
        <v>0</v>
      </c>
    </row>
    <row r="685">
      <c r="A685" s="35" t="n"/>
      <c r="B685" s="39" t="n"/>
      <c r="C685" s="33" t="n"/>
      <c r="D685" s="35" t="n"/>
      <c r="E685" s="33" t="n"/>
      <c r="F685" s="33" t="n"/>
      <c r="G685" s="40" t="n"/>
      <c r="H685" s="35" t="n"/>
      <c r="I685" s="35" t="n"/>
      <c r="J685" s="30">
        <f>IF(B685="","",DATE(YEAR(B685),MONTH(B685),1))</f>
        <v/>
      </c>
      <c r="K685" s="41">
        <f>IF(OR(B685="",D685=""),"",D685&amp;"|"&amp;TEXT(J685,"yyyy-mm"))</f>
        <v/>
      </c>
      <c r="L685" s="24">
        <f>IF(K685="","",IFERROR(INDEX(Lotes!$N$5:$N$154,MATCH(K685,Lotes!$P$5:$P$154,0)),"Sem lote cadastrado"))</f>
        <v/>
      </c>
      <c r="M685" s="25">
        <f>IF(H685="Sim",G685,0)</f>
        <v>0</v>
      </c>
      <c r="N685" s="42">
        <f>IF(AND(H685="Sim",I685&lt;&gt;"Aceito"),G685+ROW()/100000,0)</f>
        <v>0</v>
      </c>
    </row>
    <row r="686">
      <c r="A686" s="35" t="n"/>
      <c r="B686" s="39" t="n"/>
      <c r="C686" s="33" t="n"/>
      <c r="D686" s="35" t="n"/>
      <c r="E686" s="33" t="n"/>
      <c r="F686" s="33" t="n"/>
      <c r="G686" s="40" t="n"/>
      <c r="H686" s="35" t="n"/>
      <c r="I686" s="35" t="n"/>
      <c r="J686" s="30">
        <f>IF(B686="","",DATE(YEAR(B686),MONTH(B686),1))</f>
        <v/>
      </c>
      <c r="K686" s="41">
        <f>IF(OR(B686="",D686=""),"",D686&amp;"|"&amp;TEXT(J686,"yyyy-mm"))</f>
        <v/>
      </c>
      <c r="L686" s="24">
        <f>IF(K686="","",IFERROR(INDEX(Lotes!$N$5:$N$154,MATCH(K686,Lotes!$P$5:$P$154,0)),"Sem lote cadastrado"))</f>
        <v/>
      </c>
      <c r="M686" s="25">
        <f>IF(H686="Sim",G686,0)</f>
        <v>0</v>
      </c>
      <c r="N686" s="42">
        <f>IF(AND(H686="Sim",I686&lt;&gt;"Aceito"),G686+ROW()/100000,0)</f>
        <v>0</v>
      </c>
    </row>
    <row r="687">
      <c r="A687" s="35" t="n"/>
      <c r="B687" s="39" t="n"/>
      <c r="C687" s="33" t="n"/>
      <c r="D687" s="35" t="n"/>
      <c r="E687" s="33" t="n"/>
      <c r="F687" s="33" t="n"/>
      <c r="G687" s="40" t="n"/>
      <c r="H687" s="35" t="n"/>
      <c r="I687" s="35" t="n"/>
      <c r="J687" s="30">
        <f>IF(B687="","",DATE(YEAR(B687),MONTH(B687),1))</f>
        <v/>
      </c>
      <c r="K687" s="41">
        <f>IF(OR(B687="",D687=""),"",D687&amp;"|"&amp;TEXT(J687,"yyyy-mm"))</f>
        <v/>
      </c>
      <c r="L687" s="24">
        <f>IF(K687="","",IFERROR(INDEX(Lotes!$N$5:$N$154,MATCH(K687,Lotes!$P$5:$P$154,0)),"Sem lote cadastrado"))</f>
        <v/>
      </c>
      <c r="M687" s="25">
        <f>IF(H687="Sim",G687,0)</f>
        <v>0</v>
      </c>
      <c r="N687" s="42">
        <f>IF(AND(H687="Sim",I687&lt;&gt;"Aceito"),G687+ROW()/100000,0)</f>
        <v>0</v>
      </c>
    </row>
    <row r="688">
      <c r="A688" s="35" t="n"/>
      <c r="B688" s="39" t="n"/>
      <c r="C688" s="33" t="n"/>
      <c r="D688" s="35" t="n"/>
      <c r="E688" s="33" t="n"/>
      <c r="F688" s="33" t="n"/>
      <c r="G688" s="40" t="n"/>
      <c r="H688" s="35" t="n"/>
      <c r="I688" s="35" t="n"/>
      <c r="J688" s="30">
        <f>IF(B688="","",DATE(YEAR(B688),MONTH(B688),1))</f>
        <v/>
      </c>
      <c r="K688" s="41">
        <f>IF(OR(B688="",D688=""),"",D688&amp;"|"&amp;TEXT(J688,"yyyy-mm"))</f>
        <v/>
      </c>
      <c r="L688" s="24">
        <f>IF(K688="","",IFERROR(INDEX(Lotes!$N$5:$N$154,MATCH(K688,Lotes!$P$5:$P$154,0)),"Sem lote cadastrado"))</f>
        <v/>
      </c>
      <c r="M688" s="25">
        <f>IF(H688="Sim",G688,0)</f>
        <v>0</v>
      </c>
      <c r="N688" s="42">
        <f>IF(AND(H688="Sim",I688&lt;&gt;"Aceito"),G688+ROW()/100000,0)</f>
        <v>0</v>
      </c>
    </row>
    <row r="689">
      <c r="A689" s="35" t="n"/>
      <c r="B689" s="39" t="n"/>
      <c r="C689" s="33" t="n"/>
      <c r="D689" s="35" t="n"/>
      <c r="E689" s="33" t="n"/>
      <c r="F689" s="33" t="n"/>
      <c r="G689" s="40" t="n"/>
      <c r="H689" s="35" t="n"/>
      <c r="I689" s="35" t="n"/>
      <c r="J689" s="30">
        <f>IF(B689="","",DATE(YEAR(B689),MONTH(B689),1))</f>
        <v/>
      </c>
      <c r="K689" s="41">
        <f>IF(OR(B689="",D689=""),"",D689&amp;"|"&amp;TEXT(J689,"yyyy-mm"))</f>
        <v/>
      </c>
      <c r="L689" s="24">
        <f>IF(K689="","",IFERROR(INDEX(Lotes!$N$5:$N$154,MATCH(K689,Lotes!$P$5:$P$154,0)),"Sem lote cadastrado"))</f>
        <v/>
      </c>
      <c r="M689" s="25">
        <f>IF(H689="Sim",G689,0)</f>
        <v>0</v>
      </c>
      <c r="N689" s="42">
        <f>IF(AND(H689="Sim",I689&lt;&gt;"Aceito"),G689+ROW()/100000,0)</f>
        <v>0</v>
      </c>
    </row>
    <row r="690">
      <c r="A690" s="35" t="n"/>
      <c r="B690" s="39" t="n"/>
      <c r="C690" s="33" t="n"/>
      <c r="D690" s="35" t="n"/>
      <c r="E690" s="33" t="n"/>
      <c r="F690" s="33" t="n"/>
      <c r="G690" s="40" t="n"/>
      <c r="H690" s="35" t="n"/>
      <c r="I690" s="35" t="n"/>
      <c r="J690" s="30">
        <f>IF(B690="","",DATE(YEAR(B690),MONTH(B690),1))</f>
        <v/>
      </c>
      <c r="K690" s="41">
        <f>IF(OR(B690="",D690=""),"",D690&amp;"|"&amp;TEXT(J690,"yyyy-mm"))</f>
        <v/>
      </c>
      <c r="L690" s="24">
        <f>IF(K690="","",IFERROR(INDEX(Lotes!$N$5:$N$154,MATCH(K690,Lotes!$P$5:$P$154,0)),"Sem lote cadastrado"))</f>
        <v/>
      </c>
      <c r="M690" s="25">
        <f>IF(H690="Sim",G690,0)</f>
        <v>0</v>
      </c>
      <c r="N690" s="42">
        <f>IF(AND(H690="Sim",I690&lt;&gt;"Aceito"),G690+ROW()/100000,0)</f>
        <v>0</v>
      </c>
    </row>
    <row r="691">
      <c r="A691" s="35" t="n"/>
      <c r="B691" s="39" t="n"/>
      <c r="C691" s="33" t="n"/>
      <c r="D691" s="35" t="n"/>
      <c r="E691" s="33" t="n"/>
      <c r="F691" s="33" t="n"/>
      <c r="G691" s="40" t="n"/>
      <c r="H691" s="35" t="n"/>
      <c r="I691" s="35" t="n"/>
      <c r="J691" s="30">
        <f>IF(B691="","",DATE(YEAR(B691),MONTH(B691),1))</f>
        <v/>
      </c>
      <c r="K691" s="41">
        <f>IF(OR(B691="",D691=""),"",D691&amp;"|"&amp;TEXT(J691,"yyyy-mm"))</f>
        <v/>
      </c>
      <c r="L691" s="24">
        <f>IF(K691="","",IFERROR(INDEX(Lotes!$N$5:$N$154,MATCH(K691,Lotes!$P$5:$P$154,0)),"Sem lote cadastrado"))</f>
        <v/>
      </c>
      <c r="M691" s="25">
        <f>IF(H691="Sim",G691,0)</f>
        <v>0</v>
      </c>
      <c r="N691" s="42">
        <f>IF(AND(H691="Sim",I691&lt;&gt;"Aceito"),G691+ROW()/100000,0)</f>
        <v>0</v>
      </c>
    </row>
    <row r="692">
      <c r="A692" s="35" t="n"/>
      <c r="B692" s="39" t="n"/>
      <c r="C692" s="33" t="n"/>
      <c r="D692" s="35" t="n"/>
      <c r="E692" s="33" t="n"/>
      <c r="F692" s="33" t="n"/>
      <c r="G692" s="40" t="n"/>
      <c r="H692" s="35" t="n"/>
      <c r="I692" s="35" t="n"/>
      <c r="J692" s="30">
        <f>IF(B692="","",DATE(YEAR(B692),MONTH(B692),1))</f>
        <v/>
      </c>
      <c r="K692" s="41">
        <f>IF(OR(B692="",D692=""),"",D692&amp;"|"&amp;TEXT(J692,"yyyy-mm"))</f>
        <v/>
      </c>
      <c r="L692" s="24">
        <f>IF(K692="","",IFERROR(INDEX(Lotes!$N$5:$N$154,MATCH(K692,Lotes!$P$5:$P$154,0)),"Sem lote cadastrado"))</f>
        <v/>
      </c>
      <c r="M692" s="25">
        <f>IF(H692="Sim",G692,0)</f>
        <v>0</v>
      </c>
      <c r="N692" s="42">
        <f>IF(AND(H692="Sim",I692&lt;&gt;"Aceito"),G692+ROW()/100000,0)</f>
        <v>0</v>
      </c>
    </row>
    <row r="693">
      <c r="A693" s="35" t="n"/>
      <c r="B693" s="39" t="n"/>
      <c r="C693" s="33" t="n"/>
      <c r="D693" s="35" t="n"/>
      <c r="E693" s="33" t="n"/>
      <c r="F693" s="33" t="n"/>
      <c r="G693" s="40" t="n"/>
      <c r="H693" s="35" t="n"/>
      <c r="I693" s="35" t="n"/>
      <c r="J693" s="30">
        <f>IF(B693="","",DATE(YEAR(B693),MONTH(B693),1))</f>
        <v/>
      </c>
      <c r="K693" s="41">
        <f>IF(OR(B693="",D693=""),"",D693&amp;"|"&amp;TEXT(J693,"yyyy-mm"))</f>
        <v/>
      </c>
      <c r="L693" s="24">
        <f>IF(K693="","",IFERROR(INDEX(Lotes!$N$5:$N$154,MATCH(K693,Lotes!$P$5:$P$154,0)),"Sem lote cadastrado"))</f>
        <v/>
      </c>
      <c r="M693" s="25">
        <f>IF(H693="Sim",G693,0)</f>
        <v>0</v>
      </c>
      <c r="N693" s="42">
        <f>IF(AND(H693="Sim",I693&lt;&gt;"Aceito"),G693+ROW()/100000,0)</f>
        <v>0</v>
      </c>
    </row>
    <row r="694">
      <c r="A694" s="35" t="n"/>
      <c r="B694" s="39" t="n"/>
      <c r="C694" s="33" t="n"/>
      <c r="D694" s="35" t="n"/>
      <c r="E694" s="33" t="n"/>
      <c r="F694" s="33" t="n"/>
      <c r="G694" s="40" t="n"/>
      <c r="H694" s="35" t="n"/>
      <c r="I694" s="35" t="n"/>
      <c r="J694" s="30">
        <f>IF(B694="","",DATE(YEAR(B694),MONTH(B694),1))</f>
        <v/>
      </c>
      <c r="K694" s="41">
        <f>IF(OR(B694="",D694=""),"",D694&amp;"|"&amp;TEXT(J694,"yyyy-mm"))</f>
        <v/>
      </c>
      <c r="L694" s="24">
        <f>IF(K694="","",IFERROR(INDEX(Lotes!$N$5:$N$154,MATCH(K694,Lotes!$P$5:$P$154,0)),"Sem lote cadastrado"))</f>
        <v/>
      </c>
      <c r="M694" s="25">
        <f>IF(H694="Sim",G694,0)</f>
        <v>0</v>
      </c>
      <c r="N694" s="42">
        <f>IF(AND(H694="Sim",I694&lt;&gt;"Aceito"),G694+ROW()/100000,0)</f>
        <v>0</v>
      </c>
    </row>
    <row r="695">
      <c r="A695" s="35" t="n"/>
      <c r="B695" s="39" t="n"/>
      <c r="C695" s="33" t="n"/>
      <c r="D695" s="35" t="n"/>
      <c r="E695" s="33" t="n"/>
      <c r="F695" s="33" t="n"/>
      <c r="G695" s="40" t="n"/>
      <c r="H695" s="35" t="n"/>
      <c r="I695" s="35" t="n"/>
      <c r="J695" s="30">
        <f>IF(B695="","",DATE(YEAR(B695),MONTH(B695),1))</f>
        <v/>
      </c>
      <c r="K695" s="41">
        <f>IF(OR(B695="",D695=""),"",D695&amp;"|"&amp;TEXT(J695,"yyyy-mm"))</f>
        <v/>
      </c>
      <c r="L695" s="24">
        <f>IF(K695="","",IFERROR(INDEX(Lotes!$N$5:$N$154,MATCH(K695,Lotes!$P$5:$P$154,0)),"Sem lote cadastrado"))</f>
        <v/>
      </c>
      <c r="M695" s="25">
        <f>IF(H695="Sim",G695,0)</f>
        <v>0</v>
      </c>
      <c r="N695" s="42">
        <f>IF(AND(H695="Sim",I695&lt;&gt;"Aceito"),G695+ROW()/100000,0)</f>
        <v>0</v>
      </c>
    </row>
    <row r="696">
      <c r="A696" s="35" t="n"/>
      <c r="B696" s="39" t="n"/>
      <c r="C696" s="33" t="n"/>
      <c r="D696" s="35" t="n"/>
      <c r="E696" s="33" t="n"/>
      <c r="F696" s="33" t="n"/>
      <c r="G696" s="40" t="n"/>
      <c r="H696" s="35" t="n"/>
      <c r="I696" s="35" t="n"/>
      <c r="J696" s="30">
        <f>IF(B696="","",DATE(YEAR(B696),MONTH(B696),1))</f>
        <v/>
      </c>
      <c r="K696" s="41">
        <f>IF(OR(B696="",D696=""),"",D696&amp;"|"&amp;TEXT(J696,"yyyy-mm"))</f>
        <v/>
      </c>
      <c r="L696" s="24">
        <f>IF(K696="","",IFERROR(INDEX(Lotes!$N$5:$N$154,MATCH(K696,Lotes!$P$5:$P$154,0)),"Sem lote cadastrado"))</f>
        <v/>
      </c>
      <c r="M696" s="25">
        <f>IF(H696="Sim",G696,0)</f>
        <v>0</v>
      </c>
      <c r="N696" s="42">
        <f>IF(AND(H696="Sim",I696&lt;&gt;"Aceito"),G696+ROW()/100000,0)</f>
        <v>0</v>
      </c>
    </row>
    <row r="697">
      <c r="A697" s="35" t="n"/>
      <c r="B697" s="39" t="n"/>
      <c r="C697" s="33" t="n"/>
      <c r="D697" s="35" t="n"/>
      <c r="E697" s="33" t="n"/>
      <c r="F697" s="33" t="n"/>
      <c r="G697" s="40" t="n"/>
      <c r="H697" s="35" t="n"/>
      <c r="I697" s="35" t="n"/>
      <c r="J697" s="30">
        <f>IF(B697="","",DATE(YEAR(B697),MONTH(B697),1))</f>
        <v/>
      </c>
      <c r="K697" s="41">
        <f>IF(OR(B697="",D697=""),"",D697&amp;"|"&amp;TEXT(J697,"yyyy-mm"))</f>
        <v/>
      </c>
      <c r="L697" s="24">
        <f>IF(K697="","",IFERROR(INDEX(Lotes!$N$5:$N$154,MATCH(K697,Lotes!$P$5:$P$154,0)),"Sem lote cadastrado"))</f>
        <v/>
      </c>
      <c r="M697" s="25">
        <f>IF(H697="Sim",G697,0)</f>
        <v>0</v>
      </c>
      <c r="N697" s="42">
        <f>IF(AND(H697="Sim",I697&lt;&gt;"Aceito"),G697+ROW()/100000,0)</f>
        <v>0</v>
      </c>
    </row>
    <row r="698">
      <c r="A698" s="35" t="n"/>
      <c r="B698" s="39" t="n"/>
      <c r="C698" s="33" t="n"/>
      <c r="D698" s="35" t="n"/>
      <c r="E698" s="33" t="n"/>
      <c r="F698" s="33" t="n"/>
      <c r="G698" s="40" t="n"/>
      <c r="H698" s="35" t="n"/>
      <c r="I698" s="35" t="n"/>
      <c r="J698" s="30">
        <f>IF(B698="","",DATE(YEAR(B698),MONTH(B698),1))</f>
        <v/>
      </c>
      <c r="K698" s="41">
        <f>IF(OR(B698="",D698=""),"",D698&amp;"|"&amp;TEXT(J698,"yyyy-mm"))</f>
        <v/>
      </c>
      <c r="L698" s="24">
        <f>IF(K698="","",IFERROR(INDEX(Lotes!$N$5:$N$154,MATCH(K698,Lotes!$P$5:$P$154,0)),"Sem lote cadastrado"))</f>
        <v/>
      </c>
      <c r="M698" s="25">
        <f>IF(H698="Sim",G698,0)</f>
        <v>0</v>
      </c>
      <c r="N698" s="42">
        <f>IF(AND(H698="Sim",I698&lt;&gt;"Aceito"),G698+ROW()/100000,0)</f>
        <v>0</v>
      </c>
    </row>
    <row r="699">
      <c r="A699" s="35" t="n"/>
      <c r="B699" s="39" t="n"/>
      <c r="C699" s="33" t="n"/>
      <c r="D699" s="35" t="n"/>
      <c r="E699" s="33" t="n"/>
      <c r="F699" s="33" t="n"/>
      <c r="G699" s="40" t="n"/>
      <c r="H699" s="35" t="n"/>
      <c r="I699" s="35" t="n"/>
      <c r="J699" s="30">
        <f>IF(B699="","",DATE(YEAR(B699),MONTH(B699),1))</f>
        <v/>
      </c>
      <c r="K699" s="41">
        <f>IF(OR(B699="",D699=""),"",D699&amp;"|"&amp;TEXT(J699,"yyyy-mm"))</f>
        <v/>
      </c>
      <c r="L699" s="24">
        <f>IF(K699="","",IFERROR(INDEX(Lotes!$N$5:$N$154,MATCH(K699,Lotes!$P$5:$P$154,0)),"Sem lote cadastrado"))</f>
        <v/>
      </c>
      <c r="M699" s="25">
        <f>IF(H699="Sim",G699,0)</f>
        <v>0</v>
      </c>
      <c r="N699" s="42">
        <f>IF(AND(H699="Sim",I699&lt;&gt;"Aceito"),G699+ROW()/100000,0)</f>
        <v>0</v>
      </c>
    </row>
    <row r="700">
      <c r="A700" s="35" t="n"/>
      <c r="B700" s="39" t="n"/>
      <c r="C700" s="33" t="n"/>
      <c r="D700" s="35" t="n"/>
      <c r="E700" s="33" t="n"/>
      <c r="F700" s="33" t="n"/>
      <c r="G700" s="40" t="n"/>
      <c r="H700" s="35" t="n"/>
      <c r="I700" s="35" t="n"/>
      <c r="J700" s="30">
        <f>IF(B700="","",DATE(YEAR(B700),MONTH(B700),1))</f>
        <v/>
      </c>
      <c r="K700" s="41">
        <f>IF(OR(B700="",D700=""),"",D700&amp;"|"&amp;TEXT(J700,"yyyy-mm"))</f>
        <v/>
      </c>
      <c r="L700" s="24">
        <f>IF(K700="","",IFERROR(INDEX(Lotes!$N$5:$N$154,MATCH(K700,Lotes!$P$5:$P$154,0)),"Sem lote cadastrado"))</f>
        <v/>
      </c>
      <c r="M700" s="25">
        <f>IF(H700="Sim",G700,0)</f>
        <v>0</v>
      </c>
      <c r="N700" s="42">
        <f>IF(AND(H700="Sim",I700&lt;&gt;"Aceito"),G700+ROW()/100000,0)</f>
        <v>0</v>
      </c>
    </row>
    <row r="701">
      <c r="A701" s="35" t="n"/>
      <c r="B701" s="39" t="n"/>
      <c r="C701" s="33" t="n"/>
      <c r="D701" s="35" t="n"/>
      <c r="E701" s="33" t="n"/>
      <c r="F701" s="33" t="n"/>
      <c r="G701" s="40" t="n"/>
      <c r="H701" s="35" t="n"/>
      <c r="I701" s="35" t="n"/>
      <c r="J701" s="30">
        <f>IF(B701="","",DATE(YEAR(B701),MONTH(B701),1))</f>
        <v/>
      </c>
      <c r="K701" s="41">
        <f>IF(OR(B701="",D701=""),"",D701&amp;"|"&amp;TEXT(J701,"yyyy-mm"))</f>
        <v/>
      </c>
      <c r="L701" s="24">
        <f>IF(K701="","",IFERROR(INDEX(Lotes!$N$5:$N$154,MATCH(K701,Lotes!$P$5:$P$154,0)),"Sem lote cadastrado"))</f>
        <v/>
      </c>
      <c r="M701" s="25">
        <f>IF(H701="Sim",G701,0)</f>
        <v>0</v>
      </c>
      <c r="N701" s="42">
        <f>IF(AND(H701="Sim",I701&lt;&gt;"Aceito"),G701+ROW()/100000,0)</f>
        <v>0</v>
      </c>
    </row>
    <row r="702">
      <c r="A702" s="35" t="n"/>
      <c r="B702" s="39" t="n"/>
      <c r="C702" s="33" t="n"/>
      <c r="D702" s="35" t="n"/>
      <c r="E702" s="33" t="n"/>
      <c r="F702" s="33" t="n"/>
      <c r="G702" s="40" t="n"/>
      <c r="H702" s="35" t="n"/>
      <c r="I702" s="35" t="n"/>
      <c r="J702" s="30">
        <f>IF(B702="","",DATE(YEAR(B702),MONTH(B702),1))</f>
        <v/>
      </c>
      <c r="K702" s="41">
        <f>IF(OR(B702="",D702=""),"",D702&amp;"|"&amp;TEXT(J702,"yyyy-mm"))</f>
        <v/>
      </c>
      <c r="L702" s="24">
        <f>IF(K702="","",IFERROR(INDEX(Lotes!$N$5:$N$154,MATCH(K702,Lotes!$P$5:$P$154,0)),"Sem lote cadastrado"))</f>
        <v/>
      </c>
      <c r="M702" s="25">
        <f>IF(H702="Sim",G702,0)</f>
        <v>0</v>
      </c>
      <c r="N702" s="42">
        <f>IF(AND(H702="Sim",I702&lt;&gt;"Aceito"),G702+ROW()/100000,0)</f>
        <v>0</v>
      </c>
    </row>
    <row r="703">
      <c r="A703" s="35" t="n"/>
      <c r="B703" s="39" t="n"/>
      <c r="C703" s="33" t="n"/>
      <c r="D703" s="35" t="n"/>
      <c r="E703" s="33" t="n"/>
      <c r="F703" s="33" t="n"/>
      <c r="G703" s="40" t="n"/>
      <c r="H703" s="35" t="n"/>
      <c r="I703" s="35" t="n"/>
      <c r="J703" s="30">
        <f>IF(B703="","",DATE(YEAR(B703),MONTH(B703),1))</f>
        <v/>
      </c>
      <c r="K703" s="41">
        <f>IF(OR(B703="",D703=""),"",D703&amp;"|"&amp;TEXT(J703,"yyyy-mm"))</f>
        <v/>
      </c>
      <c r="L703" s="24">
        <f>IF(K703="","",IFERROR(INDEX(Lotes!$N$5:$N$154,MATCH(K703,Lotes!$P$5:$P$154,0)),"Sem lote cadastrado"))</f>
        <v/>
      </c>
      <c r="M703" s="25">
        <f>IF(H703="Sim",G703,0)</f>
        <v>0</v>
      </c>
      <c r="N703" s="42">
        <f>IF(AND(H703="Sim",I703&lt;&gt;"Aceito"),G703+ROW()/100000,0)</f>
        <v>0</v>
      </c>
    </row>
    <row r="704">
      <c r="A704" s="35" t="n"/>
      <c r="B704" s="39" t="n"/>
      <c r="C704" s="33" t="n"/>
      <c r="D704" s="35" t="n"/>
      <c r="E704" s="33" t="n"/>
      <c r="F704" s="33" t="n"/>
      <c r="G704" s="40" t="n"/>
      <c r="H704" s="35" t="n"/>
      <c r="I704" s="35" t="n"/>
      <c r="J704" s="30">
        <f>IF(B704="","",DATE(YEAR(B704),MONTH(B704),1))</f>
        <v/>
      </c>
      <c r="K704" s="41">
        <f>IF(OR(B704="",D704=""),"",D704&amp;"|"&amp;TEXT(J704,"yyyy-mm"))</f>
        <v/>
      </c>
      <c r="L704" s="24">
        <f>IF(K704="","",IFERROR(INDEX(Lotes!$N$5:$N$154,MATCH(K704,Lotes!$P$5:$P$154,0)),"Sem lote cadastrado"))</f>
        <v/>
      </c>
      <c r="M704" s="25">
        <f>IF(H704="Sim",G704,0)</f>
        <v>0</v>
      </c>
      <c r="N704" s="42">
        <f>IF(AND(H704="Sim",I704&lt;&gt;"Aceito"),G704+ROW()/100000,0)</f>
        <v>0</v>
      </c>
    </row>
    <row r="705">
      <c r="A705" s="35" t="n"/>
      <c r="B705" s="39" t="n"/>
      <c r="C705" s="33" t="n"/>
      <c r="D705" s="35" t="n"/>
      <c r="E705" s="33" t="n"/>
      <c r="F705" s="33" t="n"/>
      <c r="G705" s="40" t="n"/>
      <c r="H705" s="35" t="n"/>
      <c r="I705" s="35" t="n"/>
      <c r="J705" s="30">
        <f>IF(B705="","",DATE(YEAR(B705),MONTH(B705),1))</f>
        <v/>
      </c>
      <c r="K705" s="41">
        <f>IF(OR(B705="",D705=""),"",D705&amp;"|"&amp;TEXT(J705,"yyyy-mm"))</f>
        <v/>
      </c>
      <c r="L705" s="24">
        <f>IF(K705="","",IFERROR(INDEX(Lotes!$N$5:$N$154,MATCH(K705,Lotes!$P$5:$P$154,0)),"Sem lote cadastrado"))</f>
        <v/>
      </c>
      <c r="M705" s="25">
        <f>IF(H705="Sim",G705,0)</f>
        <v>0</v>
      </c>
      <c r="N705" s="42">
        <f>IF(AND(H705="Sim",I705&lt;&gt;"Aceito"),G705+ROW()/100000,0)</f>
        <v>0</v>
      </c>
    </row>
    <row r="706">
      <c r="A706" s="35" t="n"/>
      <c r="B706" s="39" t="n"/>
      <c r="C706" s="33" t="n"/>
      <c r="D706" s="35" t="n"/>
      <c r="E706" s="33" t="n"/>
      <c r="F706" s="33" t="n"/>
      <c r="G706" s="40" t="n"/>
      <c r="H706" s="35" t="n"/>
      <c r="I706" s="35" t="n"/>
      <c r="J706" s="30">
        <f>IF(B706="","",DATE(YEAR(B706),MONTH(B706),1))</f>
        <v/>
      </c>
      <c r="K706" s="41">
        <f>IF(OR(B706="",D706=""),"",D706&amp;"|"&amp;TEXT(J706,"yyyy-mm"))</f>
        <v/>
      </c>
      <c r="L706" s="24">
        <f>IF(K706="","",IFERROR(INDEX(Lotes!$N$5:$N$154,MATCH(K706,Lotes!$P$5:$P$154,0)),"Sem lote cadastrado"))</f>
        <v/>
      </c>
      <c r="M706" s="25">
        <f>IF(H706="Sim",G706,0)</f>
        <v>0</v>
      </c>
      <c r="N706" s="42">
        <f>IF(AND(H706="Sim",I706&lt;&gt;"Aceito"),G706+ROW()/100000,0)</f>
        <v>0</v>
      </c>
    </row>
    <row r="707">
      <c r="A707" s="35" t="n"/>
      <c r="B707" s="39" t="n"/>
      <c r="C707" s="33" t="n"/>
      <c r="D707" s="35" t="n"/>
      <c r="E707" s="33" t="n"/>
      <c r="F707" s="33" t="n"/>
      <c r="G707" s="40" t="n"/>
      <c r="H707" s="35" t="n"/>
      <c r="I707" s="35" t="n"/>
      <c r="J707" s="30">
        <f>IF(B707="","",DATE(YEAR(B707),MONTH(B707),1))</f>
        <v/>
      </c>
      <c r="K707" s="41">
        <f>IF(OR(B707="",D707=""),"",D707&amp;"|"&amp;TEXT(J707,"yyyy-mm"))</f>
        <v/>
      </c>
      <c r="L707" s="24">
        <f>IF(K707="","",IFERROR(INDEX(Lotes!$N$5:$N$154,MATCH(K707,Lotes!$P$5:$P$154,0)),"Sem lote cadastrado"))</f>
        <v/>
      </c>
      <c r="M707" s="25">
        <f>IF(H707="Sim",G707,0)</f>
        <v>0</v>
      </c>
      <c r="N707" s="42">
        <f>IF(AND(H707="Sim",I707&lt;&gt;"Aceito"),G707+ROW()/100000,0)</f>
        <v>0</v>
      </c>
    </row>
    <row r="708">
      <c r="A708" s="35" t="n"/>
      <c r="B708" s="39" t="n"/>
      <c r="C708" s="33" t="n"/>
      <c r="D708" s="35" t="n"/>
      <c r="E708" s="33" t="n"/>
      <c r="F708" s="33" t="n"/>
      <c r="G708" s="40" t="n"/>
      <c r="H708" s="35" t="n"/>
      <c r="I708" s="35" t="n"/>
      <c r="J708" s="30">
        <f>IF(B708="","",DATE(YEAR(B708),MONTH(B708),1))</f>
        <v/>
      </c>
      <c r="K708" s="41">
        <f>IF(OR(B708="",D708=""),"",D708&amp;"|"&amp;TEXT(J708,"yyyy-mm"))</f>
        <v/>
      </c>
      <c r="L708" s="24">
        <f>IF(K708="","",IFERROR(INDEX(Lotes!$N$5:$N$154,MATCH(K708,Lotes!$P$5:$P$154,0)),"Sem lote cadastrado"))</f>
        <v/>
      </c>
      <c r="M708" s="25">
        <f>IF(H708="Sim",G708,0)</f>
        <v>0</v>
      </c>
      <c r="N708" s="42">
        <f>IF(AND(H708="Sim",I708&lt;&gt;"Aceito"),G708+ROW()/100000,0)</f>
        <v>0</v>
      </c>
    </row>
    <row r="709">
      <c r="A709" s="35" t="n"/>
      <c r="B709" s="39" t="n"/>
      <c r="C709" s="33" t="n"/>
      <c r="D709" s="35" t="n"/>
      <c r="E709" s="33" t="n"/>
      <c r="F709" s="33" t="n"/>
      <c r="G709" s="40" t="n"/>
      <c r="H709" s="35" t="n"/>
      <c r="I709" s="35" t="n"/>
      <c r="J709" s="30">
        <f>IF(B709="","",DATE(YEAR(B709),MONTH(B709),1))</f>
        <v/>
      </c>
      <c r="K709" s="41">
        <f>IF(OR(B709="",D709=""),"",D709&amp;"|"&amp;TEXT(J709,"yyyy-mm"))</f>
        <v/>
      </c>
      <c r="L709" s="24">
        <f>IF(K709="","",IFERROR(INDEX(Lotes!$N$5:$N$154,MATCH(K709,Lotes!$P$5:$P$154,0)),"Sem lote cadastrado"))</f>
        <v/>
      </c>
      <c r="M709" s="25">
        <f>IF(H709="Sim",G709,0)</f>
        <v>0</v>
      </c>
      <c r="N709" s="42">
        <f>IF(AND(H709="Sim",I709&lt;&gt;"Aceito"),G709+ROW()/100000,0)</f>
        <v>0</v>
      </c>
    </row>
    <row r="710">
      <c r="A710" s="35" t="n"/>
      <c r="B710" s="39" t="n"/>
      <c r="C710" s="33" t="n"/>
      <c r="D710" s="35" t="n"/>
      <c r="E710" s="33" t="n"/>
      <c r="F710" s="33" t="n"/>
      <c r="G710" s="40" t="n"/>
      <c r="H710" s="35" t="n"/>
      <c r="I710" s="35" t="n"/>
      <c r="J710" s="30">
        <f>IF(B710="","",DATE(YEAR(B710),MONTH(B710),1))</f>
        <v/>
      </c>
      <c r="K710" s="41">
        <f>IF(OR(B710="",D710=""),"",D710&amp;"|"&amp;TEXT(J710,"yyyy-mm"))</f>
        <v/>
      </c>
      <c r="L710" s="24">
        <f>IF(K710="","",IFERROR(INDEX(Lotes!$N$5:$N$154,MATCH(K710,Lotes!$P$5:$P$154,0)),"Sem lote cadastrado"))</f>
        <v/>
      </c>
      <c r="M710" s="25">
        <f>IF(H710="Sim",G710,0)</f>
        <v>0</v>
      </c>
      <c r="N710" s="42">
        <f>IF(AND(H710="Sim",I710&lt;&gt;"Aceito"),G710+ROW()/100000,0)</f>
        <v>0</v>
      </c>
    </row>
    <row r="711">
      <c r="A711" s="35" t="n"/>
      <c r="B711" s="39" t="n"/>
      <c r="C711" s="33" t="n"/>
      <c r="D711" s="35" t="n"/>
      <c r="E711" s="33" t="n"/>
      <c r="F711" s="33" t="n"/>
      <c r="G711" s="40" t="n"/>
      <c r="H711" s="35" t="n"/>
      <c r="I711" s="35" t="n"/>
      <c r="J711" s="30">
        <f>IF(B711="","",DATE(YEAR(B711),MONTH(B711),1))</f>
        <v/>
      </c>
      <c r="K711" s="41">
        <f>IF(OR(B711="",D711=""),"",D711&amp;"|"&amp;TEXT(J711,"yyyy-mm"))</f>
        <v/>
      </c>
      <c r="L711" s="24">
        <f>IF(K711="","",IFERROR(INDEX(Lotes!$N$5:$N$154,MATCH(K711,Lotes!$P$5:$P$154,0)),"Sem lote cadastrado"))</f>
        <v/>
      </c>
      <c r="M711" s="25">
        <f>IF(H711="Sim",G711,0)</f>
        <v>0</v>
      </c>
      <c r="N711" s="42">
        <f>IF(AND(H711="Sim",I711&lt;&gt;"Aceito"),G711+ROW()/100000,0)</f>
        <v>0</v>
      </c>
    </row>
    <row r="712">
      <c r="A712" s="35" t="n"/>
      <c r="B712" s="39" t="n"/>
      <c r="C712" s="33" t="n"/>
      <c r="D712" s="35" t="n"/>
      <c r="E712" s="33" t="n"/>
      <c r="F712" s="33" t="n"/>
      <c r="G712" s="40" t="n"/>
      <c r="H712" s="35" t="n"/>
      <c r="I712" s="35" t="n"/>
      <c r="J712" s="30">
        <f>IF(B712="","",DATE(YEAR(B712),MONTH(B712),1))</f>
        <v/>
      </c>
      <c r="K712" s="41">
        <f>IF(OR(B712="",D712=""),"",D712&amp;"|"&amp;TEXT(J712,"yyyy-mm"))</f>
        <v/>
      </c>
      <c r="L712" s="24">
        <f>IF(K712="","",IFERROR(INDEX(Lotes!$N$5:$N$154,MATCH(K712,Lotes!$P$5:$P$154,0)),"Sem lote cadastrado"))</f>
        <v/>
      </c>
      <c r="M712" s="25">
        <f>IF(H712="Sim",G712,0)</f>
        <v>0</v>
      </c>
      <c r="N712" s="42">
        <f>IF(AND(H712="Sim",I712&lt;&gt;"Aceito"),G712+ROW()/100000,0)</f>
        <v>0</v>
      </c>
    </row>
    <row r="713">
      <c r="A713" s="35" t="n"/>
      <c r="B713" s="39" t="n"/>
      <c r="C713" s="33" t="n"/>
      <c r="D713" s="35" t="n"/>
      <c r="E713" s="33" t="n"/>
      <c r="F713" s="33" t="n"/>
      <c r="G713" s="40" t="n"/>
      <c r="H713" s="35" t="n"/>
      <c r="I713" s="35" t="n"/>
      <c r="J713" s="30">
        <f>IF(B713="","",DATE(YEAR(B713),MONTH(B713),1))</f>
        <v/>
      </c>
      <c r="K713" s="41">
        <f>IF(OR(B713="",D713=""),"",D713&amp;"|"&amp;TEXT(J713,"yyyy-mm"))</f>
        <v/>
      </c>
      <c r="L713" s="24">
        <f>IF(K713="","",IFERROR(INDEX(Lotes!$N$5:$N$154,MATCH(K713,Lotes!$P$5:$P$154,0)),"Sem lote cadastrado"))</f>
        <v/>
      </c>
      <c r="M713" s="25">
        <f>IF(H713="Sim",G713,0)</f>
        <v>0</v>
      </c>
      <c r="N713" s="42">
        <f>IF(AND(H713="Sim",I713&lt;&gt;"Aceito"),G713+ROW()/100000,0)</f>
        <v>0</v>
      </c>
    </row>
    <row r="714">
      <c r="A714" s="35" t="n"/>
      <c r="B714" s="39" t="n"/>
      <c r="C714" s="33" t="n"/>
      <c r="D714" s="35" t="n"/>
      <c r="E714" s="33" t="n"/>
      <c r="F714" s="33" t="n"/>
      <c r="G714" s="40" t="n"/>
      <c r="H714" s="35" t="n"/>
      <c r="I714" s="35" t="n"/>
      <c r="J714" s="30">
        <f>IF(B714="","",DATE(YEAR(B714),MONTH(B714),1))</f>
        <v/>
      </c>
      <c r="K714" s="41">
        <f>IF(OR(B714="",D714=""),"",D714&amp;"|"&amp;TEXT(J714,"yyyy-mm"))</f>
        <v/>
      </c>
      <c r="L714" s="24">
        <f>IF(K714="","",IFERROR(INDEX(Lotes!$N$5:$N$154,MATCH(K714,Lotes!$P$5:$P$154,0)),"Sem lote cadastrado"))</f>
        <v/>
      </c>
      <c r="M714" s="25">
        <f>IF(H714="Sim",G714,0)</f>
        <v>0</v>
      </c>
      <c r="N714" s="42">
        <f>IF(AND(H714="Sim",I714&lt;&gt;"Aceito"),G714+ROW()/100000,0)</f>
        <v>0</v>
      </c>
    </row>
    <row r="715">
      <c r="A715" s="35" t="n"/>
      <c r="B715" s="39" t="n"/>
      <c r="C715" s="33" t="n"/>
      <c r="D715" s="35" t="n"/>
      <c r="E715" s="33" t="n"/>
      <c r="F715" s="33" t="n"/>
      <c r="G715" s="40" t="n"/>
      <c r="H715" s="35" t="n"/>
      <c r="I715" s="35" t="n"/>
      <c r="J715" s="30">
        <f>IF(B715="","",DATE(YEAR(B715),MONTH(B715),1))</f>
        <v/>
      </c>
      <c r="K715" s="41">
        <f>IF(OR(B715="",D715=""),"",D715&amp;"|"&amp;TEXT(J715,"yyyy-mm"))</f>
        <v/>
      </c>
      <c r="L715" s="24">
        <f>IF(K715="","",IFERROR(INDEX(Lotes!$N$5:$N$154,MATCH(K715,Lotes!$P$5:$P$154,0)),"Sem lote cadastrado"))</f>
        <v/>
      </c>
      <c r="M715" s="25">
        <f>IF(H715="Sim",G715,0)</f>
        <v>0</v>
      </c>
      <c r="N715" s="42">
        <f>IF(AND(H715="Sim",I715&lt;&gt;"Aceito"),G715+ROW()/100000,0)</f>
        <v>0</v>
      </c>
    </row>
    <row r="716">
      <c r="A716" s="35" t="n"/>
      <c r="B716" s="39" t="n"/>
      <c r="C716" s="33" t="n"/>
      <c r="D716" s="35" t="n"/>
      <c r="E716" s="33" t="n"/>
      <c r="F716" s="33" t="n"/>
      <c r="G716" s="40" t="n"/>
      <c r="H716" s="35" t="n"/>
      <c r="I716" s="35" t="n"/>
      <c r="J716" s="30">
        <f>IF(B716="","",DATE(YEAR(B716),MONTH(B716),1))</f>
        <v/>
      </c>
      <c r="K716" s="41">
        <f>IF(OR(B716="",D716=""),"",D716&amp;"|"&amp;TEXT(J716,"yyyy-mm"))</f>
        <v/>
      </c>
      <c r="L716" s="24">
        <f>IF(K716="","",IFERROR(INDEX(Lotes!$N$5:$N$154,MATCH(K716,Lotes!$P$5:$P$154,0)),"Sem lote cadastrado"))</f>
        <v/>
      </c>
      <c r="M716" s="25">
        <f>IF(H716="Sim",G716,0)</f>
        <v>0</v>
      </c>
      <c r="N716" s="42">
        <f>IF(AND(H716="Sim",I716&lt;&gt;"Aceito"),G716+ROW()/100000,0)</f>
        <v>0</v>
      </c>
    </row>
    <row r="717">
      <c r="A717" s="35" t="n"/>
      <c r="B717" s="39" t="n"/>
      <c r="C717" s="33" t="n"/>
      <c r="D717" s="35" t="n"/>
      <c r="E717" s="33" t="n"/>
      <c r="F717" s="33" t="n"/>
      <c r="G717" s="40" t="n"/>
      <c r="H717" s="35" t="n"/>
      <c r="I717" s="35" t="n"/>
      <c r="J717" s="30">
        <f>IF(B717="","",DATE(YEAR(B717),MONTH(B717),1))</f>
        <v/>
      </c>
      <c r="K717" s="41">
        <f>IF(OR(B717="",D717=""),"",D717&amp;"|"&amp;TEXT(J717,"yyyy-mm"))</f>
        <v/>
      </c>
      <c r="L717" s="24">
        <f>IF(K717="","",IFERROR(INDEX(Lotes!$N$5:$N$154,MATCH(K717,Lotes!$P$5:$P$154,0)),"Sem lote cadastrado"))</f>
        <v/>
      </c>
      <c r="M717" s="25">
        <f>IF(H717="Sim",G717,0)</f>
        <v>0</v>
      </c>
      <c r="N717" s="42">
        <f>IF(AND(H717="Sim",I717&lt;&gt;"Aceito"),G717+ROW()/100000,0)</f>
        <v>0</v>
      </c>
    </row>
    <row r="718">
      <c r="A718" s="35" t="n"/>
      <c r="B718" s="39" t="n"/>
      <c r="C718" s="33" t="n"/>
      <c r="D718" s="35" t="n"/>
      <c r="E718" s="33" t="n"/>
      <c r="F718" s="33" t="n"/>
      <c r="G718" s="40" t="n"/>
      <c r="H718" s="35" t="n"/>
      <c r="I718" s="35" t="n"/>
      <c r="J718" s="30">
        <f>IF(B718="","",DATE(YEAR(B718),MONTH(B718),1))</f>
        <v/>
      </c>
      <c r="K718" s="41">
        <f>IF(OR(B718="",D718=""),"",D718&amp;"|"&amp;TEXT(J718,"yyyy-mm"))</f>
        <v/>
      </c>
      <c r="L718" s="24">
        <f>IF(K718="","",IFERROR(INDEX(Lotes!$N$5:$N$154,MATCH(K718,Lotes!$P$5:$P$154,0)),"Sem lote cadastrado"))</f>
        <v/>
      </c>
      <c r="M718" s="25">
        <f>IF(H718="Sim",G718,0)</f>
        <v>0</v>
      </c>
      <c r="N718" s="42">
        <f>IF(AND(H718="Sim",I718&lt;&gt;"Aceito"),G718+ROW()/100000,0)</f>
        <v>0</v>
      </c>
    </row>
    <row r="719">
      <c r="A719" s="35" t="n"/>
      <c r="B719" s="39" t="n"/>
      <c r="C719" s="33" t="n"/>
      <c r="D719" s="35" t="n"/>
      <c r="E719" s="33" t="n"/>
      <c r="F719" s="33" t="n"/>
      <c r="G719" s="40" t="n"/>
      <c r="H719" s="35" t="n"/>
      <c r="I719" s="35" t="n"/>
      <c r="J719" s="30">
        <f>IF(B719="","",DATE(YEAR(B719),MONTH(B719),1))</f>
        <v/>
      </c>
      <c r="K719" s="41">
        <f>IF(OR(B719="",D719=""),"",D719&amp;"|"&amp;TEXT(J719,"yyyy-mm"))</f>
        <v/>
      </c>
      <c r="L719" s="24">
        <f>IF(K719="","",IFERROR(INDEX(Lotes!$N$5:$N$154,MATCH(K719,Lotes!$P$5:$P$154,0)),"Sem lote cadastrado"))</f>
        <v/>
      </c>
      <c r="M719" s="25">
        <f>IF(H719="Sim",G719,0)</f>
        <v>0</v>
      </c>
      <c r="N719" s="42">
        <f>IF(AND(H719="Sim",I719&lt;&gt;"Aceito"),G719+ROW()/100000,0)</f>
        <v>0</v>
      </c>
    </row>
    <row r="720">
      <c r="A720" s="35" t="n"/>
      <c r="B720" s="39" t="n"/>
      <c r="C720" s="33" t="n"/>
      <c r="D720" s="35" t="n"/>
      <c r="E720" s="33" t="n"/>
      <c r="F720" s="33" t="n"/>
      <c r="G720" s="40" t="n"/>
      <c r="H720" s="35" t="n"/>
      <c r="I720" s="35" t="n"/>
      <c r="J720" s="30">
        <f>IF(B720="","",DATE(YEAR(B720),MONTH(B720),1))</f>
        <v/>
      </c>
      <c r="K720" s="41">
        <f>IF(OR(B720="",D720=""),"",D720&amp;"|"&amp;TEXT(J720,"yyyy-mm"))</f>
        <v/>
      </c>
      <c r="L720" s="24">
        <f>IF(K720="","",IFERROR(INDEX(Lotes!$N$5:$N$154,MATCH(K720,Lotes!$P$5:$P$154,0)),"Sem lote cadastrado"))</f>
        <v/>
      </c>
      <c r="M720" s="25">
        <f>IF(H720="Sim",G720,0)</f>
        <v>0</v>
      </c>
      <c r="N720" s="42">
        <f>IF(AND(H720="Sim",I720&lt;&gt;"Aceito"),G720+ROW()/100000,0)</f>
        <v>0</v>
      </c>
    </row>
    <row r="721">
      <c r="A721" s="35" t="n"/>
      <c r="B721" s="39" t="n"/>
      <c r="C721" s="33" t="n"/>
      <c r="D721" s="35" t="n"/>
      <c r="E721" s="33" t="n"/>
      <c r="F721" s="33" t="n"/>
      <c r="G721" s="40" t="n"/>
      <c r="H721" s="35" t="n"/>
      <c r="I721" s="35" t="n"/>
      <c r="J721" s="30">
        <f>IF(B721="","",DATE(YEAR(B721),MONTH(B721),1))</f>
        <v/>
      </c>
      <c r="K721" s="41">
        <f>IF(OR(B721="",D721=""),"",D721&amp;"|"&amp;TEXT(J721,"yyyy-mm"))</f>
        <v/>
      </c>
      <c r="L721" s="24">
        <f>IF(K721="","",IFERROR(INDEX(Lotes!$N$5:$N$154,MATCH(K721,Lotes!$P$5:$P$154,0)),"Sem lote cadastrado"))</f>
        <v/>
      </c>
      <c r="M721" s="25">
        <f>IF(H721="Sim",G721,0)</f>
        <v>0</v>
      </c>
      <c r="N721" s="42">
        <f>IF(AND(H721="Sim",I721&lt;&gt;"Aceito"),G721+ROW()/100000,0)</f>
        <v>0</v>
      </c>
    </row>
    <row r="722">
      <c r="A722" s="35" t="n"/>
      <c r="B722" s="39" t="n"/>
      <c r="C722" s="33" t="n"/>
      <c r="D722" s="35" t="n"/>
      <c r="E722" s="33" t="n"/>
      <c r="F722" s="33" t="n"/>
      <c r="G722" s="40" t="n"/>
      <c r="H722" s="35" t="n"/>
      <c r="I722" s="35" t="n"/>
      <c r="J722" s="30">
        <f>IF(B722="","",DATE(YEAR(B722),MONTH(B722),1))</f>
        <v/>
      </c>
      <c r="K722" s="41">
        <f>IF(OR(B722="",D722=""),"",D722&amp;"|"&amp;TEXT(J722,"yyyy-mm"))</f>
        <v/>
      </c>
      <c r="L722" s="24">
        <f>IF(K722="","",IFERROR(INDEX(Lotes!$N$5:$N$154,MATCH(K722,Lotes!$P$5:$P$154,0)),"Sem lote cadastrado"))</f>
        <v/>
      </c>
      <c r="M722" s="25">
        <f>IF(H722="Sim",G722,0)</f>
        <v>0</v>
      </c>
      <c r="N722" s="42">
        <f>IF(AND(H722="Sim",I722&lt;&gt;"Aceito"),G722+ROW()/100000,0)</f>
        <v>0</v>
      </c>
    </row>
    <row r="723">
      <c r="A723" s="35" t="n"/>
      <c r="B723" s="39" t="n"/>
      <c r="C723" s="33" t="n"/>
      <c r="D723" s="35" t="n"/>
      <c r="E723" s="33" t="n"/>
      <c r="F723" s="33" t="n"/>
      <c r="G723" s="40" t="n"/>
      <c r="H723" s="35" t="n"/>
      <c r="I723" s="35" t="n"/>
      <c r="J723" s="30">
        <f>IF(B723="","",DATE(YEAR(B723),MONTH(B723),1))</f>
        <v/>
      </c>
      <c r="K723" s="41">
        <f>IF(OR(B723="",D723=""),"",D723&amp;"|"&amp;TEXT(J723,"yyyy-mm"))</f>
        <v/>
      </c>
      <c r="L723" s="24">
        <f>IF(K723="","",IFERROR(INDEX(Lotes!$N$5:$N$154,MATCH(K723,Lotes!$P$5:$P$154,0)),"Sem lote cadastrado"))</f>
        <v/>
      </c>
      <c r="M723" s="25">
        <f>IF(H723="Sim",G723,0)</f>
        <v>0</v>
      </c>
      <c r="N723" s="42">
        <f>IF(AND(H723="Sim",I723&lt;&gt;"Aceito"),G723+ROW()/100000,0)</f>
        <v>0</v>
      </c>
    </row>
    <row r="724">
      <c r="A724" s="35" t="n"/>
      <c r="B724" s="39" t="n"/>
      <c r="C724" s="33" t="n"/>
      <c r="D724" s="35" t="n"/>
      <c r="E724" s="33" t="n"/>
      <c r="F724" s="33" t="n"/>
      <c r="G724" s="40" t="n"/>
      <c r="H724" s="35" t="n"/>
      <c r="I724" s="35" t="n"/>
      <c r="J724" s="30">
        <f>IF(B724="","",DATE(YEAR(B724),MONTH(B724),1))</f>
        <v/>
      </c>
      <c r="K724" s="41">
        <f>IF(OR(B724="",D724=""),"",D724&amp;"|"&amp;TEXT(J724,"yyyy-mm"))</f>
        <v/>
      </c>
      <c r="L724" s="24">
        <f>IF(K724="","",IFERROR(INDEX(Lotes!$N$5:$N$154,MATCH(K724,Lotes!$P$5:$P$154,0)),"Sem lote cadastrado"))</f>
        <v/>
      </c>
      <c r="M724" s="25">
        <f>IF(H724="Sim",G724,0)</f>
        <v>0</v>
      </c>
      <c r="N724" s="42">
        <f>IF(AND(H724="Sim",I724&lt;&gt;"Aceito"),G724+ROW()/100000,0)</f>
        <v>0</v>
      </c>
    </row>
    <row r="725">
      <c r="A725" s="35" t="n"/>
      <c r="B725" s="39" t="n"/>
      <c r="C725" s="33" t="n"/>
      <c r="D725" s="35" t="n"/>
      <c r="E725" s="33" t="n"/>
      <c r="F725" s="33" t="n"/>
      <c r="G725" s="40" t="n"/>
      <c r="H725" s="35" t="n"/>
      <c r="I725" s="35" t="n"/>
      <c r="J725" s="30">
        <f>IF(B725="","",DATE(YEAR(B725),MONTH(B725),1))</f>
        <v/>
      </c>
      <c r="K725" s="41">
        <f>IF(OR(B725="",D725=""),"",D725&amp;"|"&amp;TEXT(J725,"yyyy-mm"))</f>
        <v/>
      </c>
      <c r="L725" s="24">
        <f>IF(K725="","",IFERROR(INDEX(Lotes!$N$5:$N$154,MATCH(K725,Lotes!$P$5:$P$154,0)),"Sem lote cadastrado"))</f>
        <v/>
      </c>
      <c r="M725" s="25">
        <f>IF(H725="Sim",G725,0)</f>
        <v>0</v>
      </c>
      <c r="N725" s="42">
        <f>IF(AND(H725="Sim",I725&lt;&gt;"Aceito"),G725+ROW()/100000,0)</f>
        <v>0</v>
      </c>
    </row>
    <row r="726">
      <c r="A726" s="35" t="n"/>
      <c r="B726" s="39" t="n"/>
      <c r="C726" s="33" t="n"/>
      <c r="D726" s="35" t="n"/>
      <c r="E726" s="33" t="n"/>
      <c r="F726" s="33" t="n"/>
      <c r="G726" s="40" t="n"/>
      <c r="H726" s="35" t="n"/>
      <c r="I726" s="35" t="n"/>
      <c r="J726" s="30">
        <f>IF(B726="","",DATE(YEAR(B726),MONTH(B726),1))</f>
        <v/>
      </c>
      <c r="K726" s="41">
        <f>IF(OR(B726="",D726=""),"",D726&amp;"|"&amp;TEXT(J726,"yyyy-mm"))</f>
        <v/>
      </c>
      <c r="L726" s="24">
        <f>IF(K726="","",IFERROR(INDEX(Lotes!$N$5:$N$154,MATCH(K726,Lotes!$P$5:$P$154,0)),"Sem lote cadastrado"))</f>
        <v/>
      </c>
      <c r="M726" s="25">
        <f>IF(H726="Sim",G726,0)</f>
        <v>0</v>
      </c>
      <c r="N726" s="42">
        <f>IF(AND(H726="Sim",I726&lt;&gt;"Aceito"),G726+ROW()/100000,0)</f>
        <v>0</v>
      </c>
    </row>
    <row r="727">
      <c r="A727" s="35" t="n"/>
      <c r="B727" s="39" t="n"/>
      <c r="C727" s="33" t="n"/>
      <c r="D727" s="35" t="n"/>
      <c r="E727" s="33" t="n"/>
      <c r="F727" s="33" t="n"/>
      <c r="G727" s="40" t="n"/>
      <c r="H727" s="35" t="n"/>
      <c r="I727" s="35" t="n"/>
      <c r="J727" s="30">
        <f>IF(B727="","",DATE(YEAR(B727),MONTH(B727),1))</f>
        <v/>
      </c>
      <c r="K727" s="41">
        <f>IF(OR(B727="",D727=""),"",D727&amp;"|"&amp;TEXT(J727,"yyyy-mm"))</f>
        <v/>
      </c>
      <c r="L727" s="24">
        <f>IF(K727="","",IFERROR(INDEX(Lotes!$N$5:$N$154,MATCH(K727,Lotes!$P$5:$P$154,0)),"Sem lote cadastrado"))</f>
        <v/>
      </c>
      <c r="M727" s="25">
        <f>IF(H727="Sim",G727,0)</f>
        <v>0</v>
      </c>
      <c r="N727" s="42">
        <f>IF(AND(H727="Sim",I727&lt;&gt;"Aceito"),G727+ROW()/100000,0)</f>
        <v>0</v>
      </c>
    </row>
    <row r="728">
      <c r="A728" s="35" t="n"/>
      <c r="B728" s="39" t="n"/>
      <c r="C728" s="33" t="n"/>
      <c r="D728" s="35" t="n"/>
      <c r="E728" s="33" t="n"/>
      <c r="F728" s="33" t="n"/>
      <c r="G728" s="40" t="n"/>
      <c r="H728" s="35" t="n"/>
      <c r="I728" s="35" t="n"/>
      <c r="J728" s="30">
        <f>IF(B728="","",DATE(YEAR(B728),MONTH(B728),1))</f>
        <v/>
      </c>
      <c r="K728" s="41">
        <f>IF(OR(B728="",D728=""),"",D728&amp;"|"&amp;TEXT(J728,"yyyy-mm"))</f>
        <v/>
      </c>
      <c r="L728" s="24">
        <f>IF(K728="","",IFERROR(INDEX(Lotes!$N$5:$N$154,MATCH(K728,Lotes!$P$5:$P$154,0)),"Sem lote cadastrado"))</f>
        <v/>
      </c>
      <c r="M728" s="25">
        <f>IF(H728="Sim",G728,0)</f>
        <v>0</v>
      </c>
      <c r="N728" s="42">
        <f>IF(AND(H728="Sim",I728&lt;&gt;"Aceito"),G728+ROW()/100000,0)</f>
        <v>0</v>
      </c>
    </row>
    <row r="729">
      <c r="A729" s="35" t="n"/>
      <c r="B729" s="39" t="n"/>
      <c r="C729" s="33" t="n"/>
      <c r="D729" s="35" t="n"/>
      <c r="E729" s="33" t="n"/>
      <c r="F729" s="33" t="n"/>
      <c r="G729" s="40" t="n"/>
      <c r="H729" s="35" t="n"/>
      <c r="I729" s="35" t="n"/>
      <c r="J729" s="30">
        <f>IF(B729="","",DATE(YEAR(B729),MONTH(B729),1))</f>
        <v/>
      </c>
      <c r="K729" s="41">
        <f>IF(OR(B729="",D729=""),"",D729&amp;"|"&amp;TEXT(J729,"yyyy-mm"))</f>
        <v/>
      </c>
      <c r="L729" s="24">
        <f>IF(K729="","",IFERROR(INDEX(Lotes!$N$5:$N$154,MATCH(K729,Lotes!$P$5:$P$154,0)),"Sem lote cadastrado"))</f>
        <v/>
      </c>
      <c r="M729" s="25">
        <f>IF(H729="Sim",G729,0)</f>
        <v>0</v>
      </c>
      <c r="N729" s="42">
        <f>IF(AND(H729="Sim",I729&lt;&gt;"Aceito"),G729+ROW()/100000,0)</f>
        <v>0</v>
      </c>
    </row>
    <row r="730">
      <c r="A730" s="35" t="n"/>
      <c r="B730" s="39" t="n"/>
      <c r="C730" s="33" t="n"/>
      <c r="D730" s="35" t="n"/>
      <c r="E730" s="33" t="n"/>
      <c r="F730" s="33" t="n"/>
      <c r="G730" s="40" t="n"/>
      <c r="H730" s="35" t="n"/>
      <c r="I730" s="35" t="n"/>
      <c r="J730" s="30">
        <f>IF(B730="","",DATE(YEAR(B730),MONTH(B730),1))</f>
        <v/>
      </c>
      <c r="K730" s="41">
        <f>IF(OR(B730="",D730=""),"",D730&amp;"|"&amp;TEXT(J730,"yyyy-mm"))</f>
        <v/>
      </c>
      <c r="L730" s="24">
        <f>IF(K730="","",IFERROR(INDEX(Lotes!$N$5:$N$154,MATCH(K730,Lotes!$P$5:$P$154,0)),"Sem lote cadastrado"))</f>
        <v/>
      </c>
      <c r="M730" s="25">
        <f>IF(H730="Sim",G730,0)</f>
        <v>0</v>
      </c>
      <c r="N730" s="42">
        <f>IF(AND(H730="Sim",I730&lt;&gt;"Aceito"),G730+ROW()/100000,0)</f>
        <v>0</v>
      </c>
    </row>
    <row r="731">
      <c r="A731" s="35" t="n"/>
      <c r="B731" s="39" t="n"/>
      <c r="C731" s="33" t="n"/>
      <c r="D731" s="35" t="n"/>
      <c r="E731" s="33" t="n"/>
      <c r="F731" s="33" t="n"/>
      <c r="G731" s="40" t="n"/>
      <c r="H731" s="35" t="n"/>
      <c r="I731" s="35" t="n"/>
      <c r="J731" s="30">
        <f>IF(B731="","",DATE(YEAR(B731),MONTH(B731),1))</f>
        <v/>
      </c>
      <c r="K731" s="41">
        <f>IF(OR(B731="",D731=""),"",D731&amp;"|"&amp;TEXT(J731,"yyyy-mm"))</f>
        <v/>
      </c>
      <c r="L731" s="24">
        <f>IF(K731="","",IFERROR(INDEX(Lotes!$N$5:$N$154,MATCH(K731,Lotes!$P$5:$P$154,0)),"Sem lote cadastrado"))</f>
        <v/>
      </c>
      <c r="M731" s="25">
        <f>IF(H731="Sim",G731,0)</f>
        <v>0</v>
      </c>
      <c r="N731" s="42">
        <f>IF(AND(H731="Sim",I731&lt;&gt;"Aceito"),G731+ROW()/100000,0)</f>
        <v>0</v>
      </c>
    </row>
    <row r="732">
      <c r="A732" s="35" t="n"/>
      <c r="B732" s="39" t="n"/>
      <c r="C732" s="33" t="n"/>
      <c r="D732" s="35" t="n"/>
      <c r="E732" s="33" t="n"/>
      <c r="F732" s="33" t="n"/>
      <c r="G732" s="40" t="n"/>
      <c r="H732" s="35" t="n"/>
      <c r="I732" s="35" t="n"/>
      <c r="J732" s="30">
        <f>IF(B732="","",DATE(YEAR(B732),MONTH(B732),1))</f>
        <v/>
      </c>
      <c r="K732" s="41">
        <f>IF(OR(B732="",D732=""),"",D732&amp;"|"&amp;TEXT(J732,"yyyy-mm"))</f>
        <v/>
      </c>
      <c r="L732" s="24">
        <f>IF(K732="","",IFERROR(INDEX(Lotes!$N$5:$N$154,MATCH(K732,Lotes!$P$5:$P$154,0)),"Sem lote cadastrado"))</f>
        <v/>
      </c>
      <c r="M732" s="25">
        <f>IF(H732="Sim",G732,0)</f>
        <v>0</v>
      </c>
      <c r="N732" s="42">
        <f>IF(AND(H732="Sim",I732&lt;&gt;"Aceito"),G732+ROW()/100000,0)</f>
        <v>0</v>
      </c>
    </row>
    <row r="733">
      <c r="A733" s="35" t="n"/>
      <c r="B733" s="39" t="n"/>
      <c r="C733" s="33" t="n"/>
      <c r="D733" s="35" t="n"/>
      <c r="E733" s="33" t="n"/>
      <c r="F733" s="33" t="n"/>
      <c r="G733" s="40" t="n"/>
      <c r="H733" s="35" t="n"/>
      <c r="I733" s="35" t="n"/>
      <c r="J733" s="30">
        <f>IF(B733="","",DATE(YEAR(B733),MONTH(B733),1))</f>
        <v/>
      </c>
      <c r="K733" s="41">
        <f>IF(OR(B733="",D733=""),"",D733&amp;"|"&amp;TEXT(J733,"yyyy-mm"))</f>
        <v/>
      </c>
      <c r="L733" s="24">
        <f>IF(K733="","",IFERROR(INDEX(Lotes!$N$5:$N$154,MATCH(K733,Lotes!$P$5:$P$154,0)),"Sem lote cadastrado"))</f>
        <v/>
      </c>
      <c r="M733" s="25">
        <f>IF(H733="Sim",G733,0)</f>
        <v>0</v>
      </c>
      <c r="N733" s="42">
        <f>IF(AND(H733="Sim",I733&lt;&gt;"Aceito"),G733+ROW()/100000,0)</f>
        <v>0</v>
      </c>
    </row>
    <row r="734">
      <c r="A734" s="35" t="n"/>
      <c r="B734" s="39" t="n"/>
      <c r="C734" s="33" t="n"/>
      <c r="D734" s="35" t="n"/>
      <c r="E734" s="33" t="n"/>
      <c r="F734" s="33" t="n"/>
      <c r="G734" s="40" t="n"/>
      <c r="H734" s="35" t="n"/>
      <c r="I734" s="35" t="n"/>
      <c r="J734" s="30">
        <f>IF(B734="","",DATE(YEAR(B734),MONTH(B734),1))</f>
        <v/>
      </c>
      <c r="K734" s="41">
        <f>IF(OR(B734="",D734=""),"",D734&amp;"|"&amp;TEXT(J734,"yyyy-mm"))</f>
        <v/>
      </c>
      <c r="L734" s="24">
        <f>IF(K734="","",IFERROR(INDEX(Lotes!$N$5:$N$154,MATCH(K734,Lotes!$P$5:$P$154,0)),"Sem lote cadastrado"))</f>
        <v/>
      </c>
      <c r="M734" s="25">
        <f>IF(H734="Sim",G734,0)</f>
        <v>0</v>
      </c>
      <c r="N734" s="42">
        <f>IF(AND(H734="Sim",I734&lt;&gt;"Aceito"),G734+ROW()/100000,0)</f>
        <v>0</v>
      </c>
    </row>
    <row r="735">
      <c r="A735" s="35" t="n"/>
      <c r="B735" s="39" t="n"/>
      <c r="C735" s="33" t="n"/>
      <c r="D735" s="35" t="n"/>
      <c r="E735" s="33" t="n"/>
      <c r="F735" s="33" t="n"/>
      <c r="G735" s="40" t="n"/>
      <c r="H735" s="35" t="n"/>
      <c r="I735" s="35" t="n"/>
      <c r="J735" s="30">
        <f>IF(B735="","",DATE(YEAR(B735),MONTH(B735),1))</f>
        <v/>
      </c>
      <c r="K735" s="41">
        <f>IF(OR(B735="",D735=""),"",D735&amp;"|"&amp;TEXT(J735,"yyyy-mm"))</f>
        <v/>
      </c>
      <c r="L735" s="24">
        <f>IF(K735="","",IFERROR(INDEX(Lotes!$N$5:$N$154,MATCH(K735,Lotes!$P$5:$P$154,0)),"Sem lote cadastrado"))</f>
        <v/>
      </c>
      <c r="M735" s="25">
        <f>IF(H735="Sim",G735,0)</f>
        <v>0</v>
      </c>
      <c r="N735" s="42">
        <f>IF(AND(H735="Sim",I735&lt;&gt;"Aceito"),G735+ROW()/100000,0)</f>
        <v>0</v>
      </c>
    </row>
    <row r="736">
      <c r="A736" s="35" t="n"/>
      <c r="B736" s="39" t="n"/>
      <c r="C736" s="33" t="n"/>
      <c r="D736" s="35" t="n"/>
      <c r="E736" s="33" t="n"/>
      <c r="F736" s="33" t="n"/>
      <c r="G736" s="40" t="n"/>
      <c r="H736" s="35" t="n"/>
      <c r="I736" s="35" t="n"/>
      <c r="J736" s="30">
        <f>IF(B736="","",DATE(YEAR(B736),MONTH(B736),1))</f>
        <v/>
      </c>
      <c r="K736" s="41">
        <f>IF(OR(B736="",D736=""),"",D736&amp;"|"&amp;TEXT(J736,"yyyy-mm"))</f>
        <v/>
      </c>
      <c r="L736" s="24">
        <f>IF(K736="","",IFERROR(INDEX(Lotes!$N$5:$N$154,MATCH(K736,Lotes!$P$5:$P$154,0)),"Sem lote cadastrado"))</f>
        <v/>
      </c>
      <c r="M736" s="25">
        <f>IF(H736="Sim",G736,0)</f>
        <v>0</v>
      </c>
      <c r="N736" s="42">
        <f>IF(AND(H736="Sim",I736&lt;&gt;"Aceito"),G736+ROW()/100000,0)</f>
        <v>0</v>
      </c>
    </row>
    <row r="737">
      <c r="A737" s="35" t="n"/>
      <c r="B737" s="39" t="n"/>
      <c r="C737" s="33" t="n"/>
      <c r="D737" s="35" t="n"/>
      <c r="E737" s="33" t="n"/>
      <c r="F737" s="33" t="n"/>
      <c r="G737" s="40" t="n"/>
      <c r="H737" s="35" t="n"/>
      <c r="I737" s="35" t="n"/>
      <c r="J737" s="30">
        <f>IF(B737="","",DATE(YEAR(B737),MONTH(B737),1))</f>
        <v/>
      </c>
      <c r="K737" s="41">
        <f>IF(OR(B737="",D737=""),"",D737&amp;"|"&amp;TEXT(J737,"yyyy-mm"))</f>
        <v/>
      </c>
      <c r="L737" s="24">
        <f>IF(K737="","",IFERROR(INDEX(Lotes!$N$5:$N$154,MATCH(K737,Lotes!$P$5:$P$154,0)),"Sem lote cadastrado"))</f>
        <v/>
      </c>
      <c r="M737" s="25">
        <f>IF(H737="Sim",G737,0)</f>
        <v>0</v>
      </c>
      <c r="N737" s="42">
        <f>IF(AND(H737="Sim",I737&lt;&gt;"Aceito"),G737+ROW()/100000,0)</f>
        <v>0</v>
      </c>
    </row>
    <row r="738">
      <c r="A738" s="35" t="n"/>
      <c r="B738" s="39" t="n"/>
      <c r="C738" s="33" t="n"/>
      <c r="D738" s="35" t="n"/>
      <c r="E738" s="33" t="n"/>
      <c r="F738" s="33" t="n"/>
      <c r="G738" s="40" t="n"/>
      <c r="H738" s="35" t="n"/>
      <c r="I738" s="35" t="n"/>
      <c r="J738" s="30">
        <f>IF(B738="","",DATE(YEAR(B738),MONTH(B738),1))</f>
        <v/>
      </c>
      <c r="K738" s="41">
        <f>IF(OR(B738="",D738=""),"",D738&amp;"|"&amp;TEXT(J738,"yyyy-mm"))</f>
        <v/>
      </c>
      <c r="L738" s="24">
        <f>IF(K738="","",IFERROR(INDEX(Lotes!$N$5:$N$154,MATCH(K738,Lotes!$P$5:$P$154,0)),"Sem lote cadastrado"))</f>
        <v/>
      </c>
      <c r="M738" s="25">
        <f>IF(H738="Sim",G738,0)</f>
        <v>0</v>
      </c>
      <c r="N738" s="42">
        <f>IF(AND(H738="Sim",I738&lt;&gt;"Aceito"),G738+ROW()/100000,0)</f>
        <v>0</v>
      </c>
    </row>
    <row r="739">
      <c r="A739" s="35" t="n"/>
      <c r="B739" s="39" t="n"/>
      <c r="C739" s="33" t="n"/>
      <c r="D739" s="35" t="n"/>
      <c r="E739" s="33" t="n"/>
      <c r="F739" s="33" t="n"/>
      <c r="G739" s="40" t="n"/>
      <c r="H739" s="35" t="n"/>
      <c r="I739" s="35" t="n"/>
      <c r="J739" s="30">
        <f>IF(B739="","",DATE(YEAR(B739),MONTH(B739),1))</f>
        <v/>
      </c>
      <c r="K739" s="41">
        <f>IF(OR(B739="",D739=""),"",D739&amp;"|"&amp;TEXT(J739,"yyyy-mm"))</f>
        <v/>
      </c>
      <c r="L739" s="24">
        <f>IF(K739="","",IFERROR(INDEX(Lotes!$N$5:$N$154,MATCH(K739,Lotes!$P$5:$P$154,0)),"Sem lote cadastrado"))</f>
        <v/>
      </c>
      <c r="M739" s="25">
        <f>IF(H739="Sim",G739,0)</f>
        <v>0</v>
      </c>
      <c r="N739" s="42">
        <f>IF(AND(H739="Sim",I739&lt;&gt;"Aceito"),G739+ROW()/100000,0)</f>
        <v>0</v>
      </c>
    </row>
    <row r="740">
      <c r="A740" s="35" t="n"/>
      <c r="B740" s="39" t="n"/>
      <c r="C740" s="33" t="n"/>
      <c r="D740" s="35" t="n"/>
      <c r="E740" s="33" t="n"/>
      <c r="F740" s="33" t="n"/>
      <c r="G740" s="40" t="n"/>
      <c r="H740" s="35" t="n"/>
      <c r="I740" s="35" t="n"/>
      <c r="J740" s="30">
        <f>IF(B740="","",DATE(YEAR(B740),MONTH(B740),1))</f>
        <v/>
      </c>
      <c r="K740" s="41">
        <f>IF(OR(B740="",D740=""),"",D740&amp;"|"&amp;TEXT(J740,"yyyy-mm"))</f>
        <v/>
      </c>
      <c r="L740" s="24">
        <f>IF(K740="","",IFERROR(INDEX(Lotes!$N$5:$N$154,MATCH(K740,Lotes!$P$5:$P$154,0)),"Sem lote cadastrado"))</f>
        <v/>
      </c>
      <c r="M740" s="25">
        <f>IF(H740="Sim",G740,0)</f>
        <v>0</v>
      </c>
      <c r="N740" s="42">
        <f>IF(AND(H740="Sim",I740&lt;&gt;"Aceito"),G740+ROW()/100000,0)</f>
        <v>0</v>
      </c>
    </row>
    <row r="741">
      <c r="A741" s="35" t="n"/>
      <c r="B741" s="39" t="n"/>
      <c r="C741" s="33" t="n"/>
      <c r="D741" s="35" t="n"/>
      <c r="E741" s="33" t="n"/>
      <c r="F741" s="33" t="n"/>
      <c r="G741" s="40" t="n"/>
      <c r="H741" s="35" t="n"/>
      <c r="I741" s="35" t="n"/>
      <c r="J741" s="30">
        <f>IF(B741="","",DATE(YEAR(B741),MONTH(B741),1))</f>
        <v/>
      </c>
      <c r="K741" s="41">
        <f>IF(OR(B741="",D741=""),"",D741&amp;"|"&amp;TEXT(J741,"yyyy-mm"))</f>
        <v/>
      </c>
      <c r="L741" s="24">
        <f>IF(K741="","",IFERROR(INDEX(Lotes!$N$5:$N$154,MATCH(K741,Lotes!$P$5:$P$154,0)),"Sem lote cadastrado"))</f>
        <v/>
      </c>
      <c r="M741" s="25">
        <f>IF(H741="Sim",G741,0)</f>
        <v>0</v>
      </c>
      <c r="N741" s="42">
        <f>IF(AND(H741="Sim",I741&lt;&gt;"Aceito"),G741+ROW()/100000,0)</f>
        <v>0</v>
      </c>
    </row>
    <row r="742">
      <c r="A742" s="35" t="n"/>
      <c r="B742" s="39" t="n"/>
      <c r="C742" s="33" t="n"/>
      <c r="D742" s="35" t="n"/>
      <c r="E742" s="33" t="n"/>
      <c r="F742" s="33" t="n"/>
      <c r="G742" s="40" t="n"/>
      <c r="H742" s="35" t="n"/>
      <c r="I742" s="35" t="n"/>
      <c r="J742" s="30">
        <f>IF(B742="","",DATE(YEAR(B742),MONTH(B742),1))</f>
        <v/>
      </c>
      <c r="K742" s="41">
        <f>IF(OR(B742="",D742=""),"",D742&amp;"|"&amp;TEXT(J742,"yyyy-mm"))</f>
        <v/>
      </c>
      <c r="L742" s="24">
        <f>IF(K742="","",IFERROR(INDEX(Lotes!$N$5:$N$154,MATCH(K742,Lotes!$P$5:$P$154,0)),"Sem lote cadastrado"))</f>
        <v/>
      </c>
      <c r="M742" s="25">
        <f>IF(H742="Sim",G742,0)</f>
        <v>0</v>
      </c>
      <c r="N742" s="42">
        <f>IF(AND(H742="Sim",I742&lt;&gt;"Aceito"),G742+ROW()/100000,0)</f>
        <v>0</v>
      </c>
    </row>
    <row r="743">
      <c r="A743" s="35" t="n"/>
      <c r="B743" s="39" t="n"/>
      <c r="C743" s="33" t="n"/>
      <c r="D743" s="35" t="n"/>
      <c r="E743" s="33" t="n"/>
      <c r="F743" s="33" t="n"/>
      <c r="G743" s="40" t="n"/>
      <c r="H743" s="35" t="n"/>
      <c r="I743" s="35" t="n"/>
      <c r="J743" s="30">
        <f>IF(B743="","",DATE(YEAR(B743),MONTH(B743),1))</f>
        <v/>
      </c>
      <c r="K743" s="41">
        <f>IF(OR(B743="",D743=""),"",D743&amp;"|"&amp;TEXT(J743,"yyyy-mm"))</f>
        <v/>
      </c>
      <c r="L743" s="24">
        <f>IF(K743="","",IFERROR(INDEX(Lotes!$N$5:$N$154,MATCH(K743,Lotes!$P$5:$P$154,0)),"Sem lote cadastrado"))</f>
        <v/>
      </c>
      <c r="M743" s="25">
        <f>IF(H743="Sim",G743,0)</f>
        <v>0</v>
      </c>
      <c r="N743" s="42">
        <f>IF(AND(H743="Sim",I743&lt;&gt;"Aceito"),G743+ROW()/100000,0)</f>
        <v>0</v>
      </c>
    </row>
    <row r="744">
      <c r="A744" s="35" t="n"/>
      <c r="B744" s="39" t="n"/>
      <c r="C744" s="33" t="n"/>
      <c r="D744" s="35" t="n"/>
      <c r="E744" s="33" t="n"/>
      <c r="F744" s="33" t="n"/>
      <c r="G744" s="40" t="n"/>
      <c r="H744" s="35" t="n"/>
      <c r="I744" s="35" t="n"/>
      <c r="J744" s="30">
        <f>IF(B744="","",DATE(YEAR(B744),MONTH(B744),1))</f>
        <v/>
      </c>
      <c r="K744" s="41">
        <f>IF(OR(B744="",D744=""),"",D744&amp;"|"&amp;TEXT(J744,"yyyy-mm"))</f>
        <v/>
      </c>
      <c r="L744" s="24">
        <f>IF(K744="","",IFERROR(INDEX(Lotes!$N$5:$N$154,MATCH(K744,Lotes!$P$5:$P$154,0)),"Sem lote cadastrado"))</f>
        <v/>
      </c>
      <c r="M744" s="25">
        <f>IF(H744="Sim",G744,0)</f>
        <v>0</v>
      </c>
      <c r="N744" s="42">
        <f>IF(AND(H744="Sim",I744&lt;&gt;"Aceito"),G744+ROW()/100000,0)</f>
        <v>0</v>
      </c>
    </row>
    <row r="745">
      <c r="A745" s="35" t="n"/>
      <c r="B745" s="39" t="n"/>
      <c r="C745" s="33" t="n"/>
      <c r="D745" s="35" t="n"/>
      <c r="E745" s="33" t="n"/>
      <c r="F745" s="33" t="n"/>
      <c r="G745" s="40" t="n"/>
      <c r="H745" s="35" t="n"/>
      <c r="I745" s="35" t="n"/>
      <c r="J745" s="30">
        <f>IF(B745="","",DATE(YEAR(B745),MONTH(B745),1))</f>
        <v/>
      </c>
      <c r="K745" s="41">
        <f>IF(OR(B745="",D745=""),"",D745&amp;"|"&amp;TEXT(J745,"yyyy-mm"))</f>
        <v/>
      </c>
      <c r="L745" s="24">
        <f>IF(K745="","",IFERROR(INDEX(Lotes!$N$5:$N$154,MATCH(K745,Lotes!$P$5:$P$154,0)),"Sem lote cadastrado"))</f>
        <v/>
      </c>
      <c r="M745" s="25">
        <f>IF(H745="Sim",G745,0)</f>
        <v>0</v>
      </c>
      <c r="N745" s="42">
        <f>IF(AND(H745="Sim",I745&lt;&gt;"Aceito"),G745+ROW()/100000,0)</f>
        <v>0</v>
      </c>
    </row>
    <row r="746">
      <c r="A746" s="35" t="n"/>
      <c r="B746" s="39" t="n"/>
      <c r="C746" s="33" t="n"/>
      <c r="D746" s="35" t="n"/>
      <c r="E746" s="33" t="n"/>
      <c r="F746" s="33" t="n"/>
      <c r="G746" s="40" t="n"/>
      <c r="H746" s="35" t="n"/>
      <c r="I746" s="35" t="n"/>
      <c r="J746" s="30">
        <f>IF(B746="","",DATE(YEAR(B746),MONTH(B746),1))</f>
        <v/>
      </c>
      <c r="K746" s="41">
        <f>IF(OR(B746="",D746=""),"",D746&amp;"|"&amp;TEXT(J746,"yyyy-mm"))</f>
        <v/>
      </c>
      <c r="L746" s="24">
        <f>IF(K746="","",IFERROR(INDEX(Lotes!$N$5:$N$154,MATCH(K746,Lotes!$P$5:$P$154,0)),"Sem lote cadastrado"))</f>
        <v/>
      </c>
      <c r="M746" s="25">
        <f>IF(H746="Sim",G746,0)</f>
        <v>0</v>
      </c>
      <c r="N746" s="42">
        <f>IF(AND(H746="Sim",I746&lt;&gt;"Aceito"),G746+ROW()/100000,0)</f>
        <v>0</v>
      </c>
    </row>
    <row r="747">
      <c r="A747" s="35" t="n"/>
      <c r="B747" s="39" t="n"/>
      <c r="C747" s="33" t="n"/>
      <c r="D747" s="35" t="n"/>
      <c r="E747" s="33" t="n"/>
      <c r="F747" s="33" t="n"/>
      <c r="G747" s="40" t="n"/>
      <c r="H747" s="35" t="n"/>
      <c r="I747" s="35" t="n"/>
      <c r="J747" s="30">
        <f>IF(B747="","",DATE(YEAR(B747),MONTH(B747),1))</f>
        <v/>
      </c>
      <c r="K747" s="41">
        <f>IF(OR(B747="",D747=""),"",D747&amp;"|"&amp;TEXT(J747,"yyyy-mm"))</f>
        <v/>
      </c>
      <c r="L747" s="24">
        <f>IF(K747="","",IFERROR(INDEX(Lotes!$N$5:$N$154,MATCH(K747,Lotes!$P$5:$P$154,0)),"Sem lote cadastrado"))</f>
        <v/>
      </c>
      <c r="M747" s="25">
        <f>IF(H747="Sim",G747,0)</f>
        <v>0</v>
      </c>
      <c r="N747" s="42">
        <f>IF(AND(H747="Sim",I747&lt;&gt;"Aceito"),G747+ROW()/100000,0)</f>
        <v>0</v>
      </c>
    </row>
    <row r="748">
      <c r="A748" s="35" t="n"/>
      <c r="B748" s="39" t="n"/>
      <c r="C748" s="33" t="n"/>
      <c r="D748" s="35" t="n"/>
      <c r="E748" s="33" t="n"/>
      <c r="F748" s="33" t="n"/>
      <c r="G748" s="40" t="n"/>
      <c r="H748" s="35" t="n"/>
      <c r="I748" s="35" t="n"/>
      <c r="J748" s="30">
        <f>IF(B748="","",DATE(YEAR(B748),MONTH(B748),1))</f>
        <v/>
      </c>
      <c r="K748" s="41">
        <f>IF(OR(B748="",D748=""),"",D748&amp;"|"&amp;TEXT(J748,"yyyy-mm"))</f>
        <v/>
      </c>
      <c r="L748" s="24">
        <f>IF(K748="","",IFERROR(INDEX(Lotes!$N$5:$N$154,MATCH(K748,Lotes!$P$5:$P$154,0)),"Sem lote cadastrado"))</f>
        <v/>
      </c>
      <c r="M748" s="25">
        <f>IF(H748="Sim",G748,0)</f>
        <v>0</v>
      </c>
      <c r="N748" s="42">
        <f>IF(AND(H748="Sim",I748&lt;&gt;"Aceito"),G748+ROW()/100000,0)</f>
        <v>0</v>
      </c>
    </row>
    <row r="749">
      <c r="A749" s="35" t="n"/>
      <c r="B749" s="39" t="n"/>
      <c r="C749" s="33" t="n"/>
      <c r="D749" s="35" t="n"/>
      <c r="E749" s="33" t="n"/>
      <c r="F749" s="33" t="n"/>
      <c r="G749" s="40" t="n"/>
      <c r="H749" s="35" t="n"/>
      <c r="I749" s="35" t="n"/>
      <c r="J749" s="30">
        <f>IF(B749="","",DATE(YEAR(B749),MONTH(B749),1))</f>
        <v/>
      </c>
      <c r="K749" s="41">
        <f>IF(OR(B749="",D749=""),"",D749&amp;"|"&amp;TEXT(J749,"yyyy-mm"))</f>
        <v/>
      </c>
      <c r="L749" s="24">
        <f>IF(K749="","",IFERROR(INDEX(Lotes!$N$5:$N$154,MATCH(K749,Lotes!$P$5:$P$154,0)),"Sem lote cadastrado"))</f>
        <v/>
      </c>
      <c r="M749" s="25">
        <f>IF(H749="Sim",G749,0)</f>
        <v>0</v>
      </c>
      <c r="N749" s="42">
        <f>IF(AND(H749="Sim",I749&lt;&gt;"Aceito"),G749+ROW()/100000,0)</f>
        <v>0</v>
      </c>
    </row>
    <row r="750">
      <c r="A750" s="35" t="n"/>
      <c r="B750" s="39" t="n"/>
      <c r="C750" s="33" t="n"/>
      <c r="D750" s="35" t="n"/>
      <c r="E750" s="33" t="n"/>
      <c r="F750" s="33" t="n"/>
      <c r="G750" s="40" t="n"/>
      <c r="H750" s="35" t="n"/>
      <c r="I750" s="35" t="n"/>
      <c r="J750" s="30">
        <f>IF(B750="","",DATE(YEAR(B750),MONTH(B750),1))</f>
        <v/>
      </c>
      <c r="K750" s="41">
        <f>IF(OR(B750="",D750=""),"",D750&amp;"|"&amp;TEXT(J750,"yyyy-mm"))</f>
        <v/>
      </c>
      <c r="L750" s="24">
        <f>IF(K750="","",IFERROR(INDEX(Lotes!$N$5:$N$154,MATCH(K750,Lotes!$P$5:$P$154,0)),"Sem lote cadastrado"))</f>
        <v/>
      </c>
      <c r="M750" s="25">
        <f>IF(H750="Sim",G750,0)</f>
        <v>0</v>
      </c>
      <c r="N750" s="42">
        <f>IF(AND(H750="Sim",I750&lt;&gt;"Aceito"),G750+ROW()/100000,0)</f>
        <v>0</v>
      </c>
    </row>
    <row r="751">
      <c r="A751" s="35" t="n"/>
      <c r="B751" s="39" t="n"/>
      <c r="C751" s="33" t="n"/>
      <c r="D751" s="35" t="n"/>
      <c r="E751" s="33" t="n"/>
      <c r="F751" s="33" t="n"/>
      <c r="G751" s="40" t="n"/>
      <c r="H751" s="35" t="n"/>
      <c r="I751" s="35" t="n"/>
      <c r="J751" s="30">
        <f>IF(B751="","",DATE(YEAR(B751),MONTH(B751),1))</f>
        <v/>
      </c>
      <c r="K751" s="41">
        <f>IF(OR(B751="",D751=""),"",D751&amp;"|"&amp;TEXT(J751,"yyyy-mm"))</f>
        <v/>
      </c>
      <c r="L751" s="24">
        <f>IF(K751="","",IFERROR(INDEX(Lotes!$N$5:$N$154,MATCH(K751,Lotes!$P$5:$P$154,0)),"Sem lote cadastrado"))</f>
        <v/>
      </c>
      <c r="M751" s="25">
        <f>IF(H751="Sim",G751,0)</f>
        <v>0</v>
      </c>
      <c r="N751" s="42">
        <f>IF(AND(H751="Sim",I751&lt;&gt;"Aceito"),G751+ROW()/100000,0)</f>
        <v>0</v>
      </c>
    </row>
    <row r="752">
      <c r="A752" s="35" t="n"/>
      <c r="B752" s="39" t="n"/>
      <c r="C752" s="33" t="n"/>
      <c r="D752" s="35" t="n"/>
      <c r="E752" s="33" t="n"/>
      <c r="F752" s="33" t="n"/>
      <c r="G752" s="40" t="n"/>
      <c r="H752" s="35" t="n"/>
      <c r="I752" s="35" t="n"/>
      <c r="J752" s="30">
        <f>IF(B752="","",DATE(YEAR(B752),MONTH(B752),1))</f>
        <v/>
      </c>
      <c r="K752" s="41">
        <f>IF(OR(B752="",D752=""),"",D752&amp;"|"&amp;TEXT(J752,"yyyy-mm"))</f>
        <v/>
      </c>
      <c r="L752" s="24">
        <f>IF(K752="","",IFERROR(INDEX(Lotes!$N$5:$N$154,MATCH(K752,Lotes!$P$5:$P$154,0)),"Sem lote cadastrado"))</f>
        <v/>
      </c>
      <c r="M752" s="25">
        <f>IF(H752="Sim",G752,0)</f>
        <v>0</v>
      </c>
      <c r="N752" s="42">
        <f>IF(AND(H752="Sim",I752&lt;&gt;"Aceito"),G752+ROW()/100000,0)</f>
        <v>0</v>
      </c>
    </row>
    <row r="753">
      <c r="A753" s="35" t="n"/>
      <c r="B753" s="39" t="n"/>
      <c r="C753" s="33" t="n"/>
      <c r="D753" s="35" t="n"/>
      <c r="E753" s="33" t="n"/>
      <c r="F753" s="33" t="n"/>
      <c r="G753" s="40" t="n"/>
      <c r="H753" s="35" t="n"/>
      <c r="I753" s="35" t="n"/>
      <c r="J753" s="30">
        <f>IF(B753="","",DATE(YEAR(B753),MONTH(B753),1))</f>
        <v/>
      </c>
      <c r="K753" s="41">
        <f>IF(OR(B753="",D753=""),"",D753&amp;"|"&amp;TEXT(J753,"yyyy-mm"))</f>
        <v/>
      </c>
      <c r="L753" s="24">
        <f>IF(K753="","",IFERROR(INDEX(Lotes!$N$5:$N$154,MATCH(K753,Lotes!$P$5:$P$154,0)),"Sem lote cadastrado"))</f>
        <v/>
      </c>
      <c r="M753" s="25">
        <f>IF(H753="Sim",G753,0)</f>
        <v>0</v>
      </c>
      <c r="N753" s="42">
        <f>IF(AND(H753="Sim",I753&lt;&gt;"Aceito"),G753+ROW()/100000,0)</f>
        <v>0</v>
      </c>
    </row>
    <row r="754">
      <c r="A754" s="35" t="n"/>
      <c r="B754" s="39" t="n"/>
      <c r="C754" s="33" t="n"/>
      <c r="D754" s="35" t="n"/>
      <c r="E754" s="33" t="n"/>
      <c r="F754" s="33" t="n"/>
      <c r="G754" s="40" t="n"/>
      <c r="H754" s="35" t="n"/>
      <c r="I754" s="35" t="n"/>
      <c r="J754" s="30">
        <f>IF(B754="","",DATE(YEAR(B754),MONTH(B754),1))</f>
        <v/>
      </c>
      <c r="K754" s="41">
        <f>IF(OR(B754="",D754=""),"",D754&amp;"|"&amp;TEXT(J754,"yyyy-mm"))</f>
        <v/>
      </c>
      <c r="L754" s="24">
        <f>IF(K754="","",IFERROR(INDEX(Lotes!$N$5:$N$154,MATCH(K754,Lotes!$P$5:$P$154,0)),"Sem lote cadastrado"))</f>
        <v/>
      </c>
      <c r="M754" s="25">
        <f>IF(H754="Sim",G754,0)</f>
        <v>0</v>
      </c>
      <c r="N754" s="42">
        <f>IF(AND(H754="Sim",I754&lt;&gt;"Aceito"),G754+ROW()/100000,0)</f>
        <v>0</v>
      </c>
    </row>
    <row r="755">
      <c r="A755" s="35" t="n"/>
      <c r="B755" s="39" t="n"/>
      <c r="C755" s="33" t="n"/>
      <c r="D755" s="35" t="n"/>
      <c r="E755" s="33" t="n"/>
      <c r="F755" s="33" t="n"/>
      <c r="G755" s="40" t="n"/>
      <c r="H755" s="35" t="n"/>
      <c r="I755" s="35" t="n"/>
      <c r="J755" s="30">
        <f>IF(B755="","",DATE(YEAR(B755),MONTH(B755),1))</f>
        <v/>
      </c>
      <c r="K755" s="41">
        <f>IF(OR(B755="",D755=""),"",D755&amp;"|"&amp;TEXT(J755,"yyyy-mm"))</f>
        <v/>
      </c>
      <c r="L755" s="24">
        <f>IF(K755="","",IFERROR(INDEX(Lotes!$N$5:$N$154,MATCH(K755,Lotes!$P$5:$P$154,0)),"Sem lote cadastrado"))</f>
        <v/>
      </c>
      <c r="M755" s="25">
        <f>IF(H755="Sim",G755,0)</f>
        <v>0</v>
      </c>
      <c r="N755" s="42">
        <f>IF(AND(H755="Sim",I755&lt;&gt;"Aceito"),G755+ROW()/100000,0)</f>
        <v>0</v>
      </c>
    </row>
    <row r="756">
      <c r="A756" s="35" t="n"/>
      <c r="B756" s="39" t="n"/>
      <c r="C756" s="33" t="n"/>
      <c r="D756" s="35" t="n"/>
      <c r="E756" s="33" t="n"/>
      <c r="F756" s="33" t="n"/>
      <c r="G756" s="40" t="n"/>
      <c r="H756" s="35" t="n"/>
      <c r="I756" s="35" t="n"/>
      <c r="J756" s="30">
        <f>IF(B756="","",DATE(YEAR(B756),MONTH(B756),1))</f>
        <v/>
      </c>
      <c r="K756" s="41">
        <f>IF(OR(B756="",D756=""),"",D756&amp;"|"&amp;TEXT(J756,"yyyy-mm"))</f>
        <v/>
      </c>
      <c r="L756" s="24">
        <f>IF(K756="","",IFERROR(INDEX(Lotes!$N$5:$N$154,MATCH(K756,Lotes!$P$5:$P$154,0)),"Sem lote cadastrado"))</f>
        <v/>
      </c>
      <c r="M756" s="25">
        <f>IF(H756="Sim",G756,0)</f>
        <v>0</v>
      </c>
      <c r="N756" s="42">
        <f>IF(AND(H756="Sim",I756&lt;&gt;"Aceito"),G756+ROW()/100000,0)</f>
        <v>0</v>
      </c>
    </row>
    <row r="757">
      <c r="A757" s="35" t="n"/>
      <c r="B757" s="39" t="n"/>
      <c r="C757" s="33" t="n"/>
      <c r="D757" s="35" t="n"/>
      <c r="E757" s="33" t="n"/>
      <c r="F757" s="33" t="n"/>
      <c r="G757" s="40" t="n"/>
      <c r="H757" s="35" t="n"/>
      <c r="I757" s="35" t="n"/>
      <c r="J757" s="30">
        <f>IF(B757="","",DATE(YEAR(B757),MONTH(B757),1))</f>
        <v/>
      </c>
      <c r="K757" s="41">
        <f>IF(OR(B757="",D757=""),"",D757&amp;"|"&amp;TEXT(J757,"yyyy-mm"))</f>
        <v/>
      </c>
      <c r="L757" s="24">
        <f>IF(K757="","",IFERROR(INDEX(Lotes!$N$5:$N$154,MATCH(K757,Lotes!$P$5:$P$154,0)),"Sem lote cadastrado"))</f>
        <v/>
      </c>
      <c r="M757" s="25">
        <f>IF(H757="Sim",G757,0)</f>
        <v>0</v>
      </c>
      <c r="N757" s="42">
        <f>IF(AND(H757="Sim",I757&lt;&gt;"Aceito"),G757+ROW()/100000,0)</f>
        <v>0</v>
      </c>
    </row>
    <row r="758">
      <c r="A758" s="35" t="n"/>
      <c r="B758" s="39" t="n"/>
      <c r="C758" s="33" t="n"/>
      <c r="D758" s="35" t="n"/>
      <c r="E758" s="33" t="n"/>
      <c r="F758" s="33" t="n"/>
      <c r="G758" s="40" t="n"/>
      <c r="H758" s="35" t="n"/>
      <c r="I758" s="35" t="n"/>
      <c r="J758" s="30">
        <f>IF(B758="","",DATE(YEAR(B758),MONTH(B758),1))</f>
        <v/>
      </c>
      <c r="K758" s="41">
        <f>IF(OR(B758="",D758=""),"",D758&amp;"|"&amp;TEXT(J758,"yyyy-mm"))</f>
        <v/>
      </c>
      <c r="L758" s="24">
        <f>IF(K758="","",IFERROR(INDEX(Lotes!$N$5:$N$154,MATCH(K758,Lotes!$P$5:$P$154,0)),"Sem lote cadastrado"))</f>
        <v/>
      </c>
      <c r="M758" s="25">
        <f>IF(H758="Sim",G758,0)</f>
        <v>0</v>
      </c>
      <c r="N758" s="42">
        <f>IF(AND(H758="Sim",I758&lt;&gt;"Aceito"),G758+ROW()/100000,0)</f>
        <v>0</v>
      </c>
    </row>
    <row r="759">
      <c r="A759" s="35" t="n"/>
      <c r="B759" s="39" t="n"/>
      <c r="C759" s="33" t="n"/>
      <c r="D759" s="35" t="n"/>
      <c r="E759" s="33" t="n"/>
      <c r="F759" s="33" t="n"/>
      <c r="G759" s="40" t="n"/>
      <c r="H759" s="35" t="n"/>
      <c r="I759" s="35" t="n"/>
      <c r="J759" s="30">
        <f>IF(B759="","",DATE(YEAR(B759),MONTH(B759),1))</f>
        <v/>
      </c>
      <c r="K759" s="41">
        <f>IF(OR(B759="",D759=""),"",D759&amp;"|"&amp;TEXT(J759,"yyyy-mm"))</f>
        <v/>
      </c>
      <c r="L759" s="24">
        <f>IF(K759="","",IFERROR(INDEX(Lotes!$N$5:$N$154,MATCH(K759,Lotes!$P$5:$P$154,0)),"Sem lote cadastrado"))</f>
        <v/>
      </c>
      <c r="M759" s="25">
        <f>IF(H759="Sim",G759,0)</f>
        <v>0</v>
      </c>
      <c r="N759" s="42">
        <f>IF(AND(H759="Sim",I759&lt;&gt;"Aceito"),G759+ROW()/100000,0)</f>
        <v>0</v>
      </c>
    </row>
    <row r="760">
      <c r="A760" s="35" t="n"/>
      <c r="B760" s="39" t="n"/>
      <c r="C760" s="33" t="n"/>
      <c r="D760" s="35" t="n"/>
      <c r="E760" s="33" t="n"/>
      <c r="F760" s="33" t="n"/>
      <c r="G760" s="40" t="n"/>
      <c r="H760" s="35" t="n"/>
      <c r="I760" s="35" t="n"/>
      <c r="J760" s="30">
        <f>IF(B760="","",DATE(YEAR(B760),MONTH(B760),1))</f>
        <v/>
      </c>
      <c r="K760" s="41">
        <f>IF(OR(B760="",D760=""),"",D760&amp;"|"&amp;TEXT(J760,"yyyy-mm"))</f>
        <v/>
      </c>
      <c r="L760" s="24">
        <f>IF(K760="","",IFERROR(INDEX(Lotes!$N$5:$N$154,MATCH(K760,Lotes!$P$5:$P$154,0)),"Sem lote cadastrado"))</f>
        <v/>
      </c>
      <c r="M760" s="25">
        <f>IF(H760="Sim",G760,0)</f>
        <v>0</v>
      </c>
      <c r="N760" s="42">
        <f>IF(AND(H760="Sim",I760&lt;&gt;"Aceito"),G760+ROW()/100000,0)</f>
        <v>0</v>
      </c>
    </row>
    <row r="761">
      <c r="A761" s="35" t="n"/>
      <c r="B761" s="39" t="n"/>
      <c r="C761" s="33" t="n"/>
      <c r="D761" s="35" t="n"/>
      <c r="E761" s="33" t="n"/>
      <c r="F761" s="33" t="n"/>
      <c r="G761" s="40" t="n"/>
      <c r="H761" s="35" t="n"/>
      <c r="I761" s="35" t="n"/>
      <c r="J761" s="30">
        <f>IF(B761="","",DATE(YEAR(B761),MONTH(B761),1))</f>
        <v/>
      </c>
      <c r="K761" s="41">
        <f>IF(OR(B761="",D761=""),"",D761&amp;"|"&amp;TEXT(J761,"yyyy-mm"))</f>
        <v/>
      </c>
      <c r="L761" s="24">
        <f>IF(K761="","",IFERROR(INDEX(Lotes!$N$5:$N$154,MATCH(K761,Lotes!$P$5:$P$154,0)),"Sem lote cadastrado"))</f>
        <v/>
      </c>
      <c r="M761" s="25">
        <f>IF(H761="Sim",G761,0)</f>
        <v>0</v>
      </c>
      <c r="N761" s="42">
        <f>IF(AND(H761="Sim",I761&lt;&gt;"Aceito"),G761+ROW()/100000,0)</f>
        <v>0</v>
      </c>
    </row>
    <row r="762">
      <c r="A762" s="35" t="n"/>
      <c r="B762" s="39" t="n"/>
      <c r="C762" s="33" t="n"/>
      <c r="D762" s="35" t="n"/>
      <c r="E762" s="33" t="n"/>
      <c r="F762" s="33" t="n"/>
      <c r="G762" s="40" t="n"/>
      <c r="H762" s="35" t="n"/>
      <c r="I762" s="35" t="n"/>
      <c r="J762" s="30">
        <f>IF(B762="","",DATE(YEAR(B762),MONTH(B762),1))</f>
        <v/>
      </c>
      <c r="K762" s="41">
        <f>IF(OR(B762="",D762=""),"",D762&amp;"|"&amp;TEXT(J762,"yyyy-mm"))</f>
        <v/>
      </c>
      <c r="L762" s="24">
        <f>IF(K762="","",IFERROR(INDEX(Lotes!$N$5:$N$154,MATCH(K762,Lotes!$P$5:$P$154,0)),"Sem lote cadastrado"))</f>
        <v/>
      </c>
      <c r="M762" s="25">
        <f>IF(H762="Sim",G762,0)</f>
        <v>0</v>
      </c>
      <c r="N762" s="42">
        <f>IF(AND(H762="Sim",I762&lt;&gt;"Aceito"),G762+ROW()/100000,0)</f>
        <v>0</v>
      </c>
    </row>
    <row r="763">
      <c r="A763" s="35" t="n"/>
      <c r="B763" s="39" t="n"/>
      <c r="C763" s="33" t="n"/>
      <c r="D763" s="35" t="n"/>
      <c r="E763" s="33" t="n"/>
      <c r="F763" s="33" t="n"/>
      <c r="G763" s="40" t="n"/>
      <c r="H763" s="35" t="n"/>
      <c r="I763" s="35" t="n"/>
      <c r="J763" s="30">
        <f>IF(B763="","",DATE(YEAR(B763),MONTH(B763),1))</f>
        <v/>
      </c>
      <c r="K763" s="41">
        <f>IF(OR(B763="",D763=""),"",D763&amp;"|"&amp;TEXT(J763,"yyyy-mm"))</f>
        <v/>
      </c>
      <c r="L763" s="24">
        <f>IF(K763="","",IFERROR(INDEX(Lotes!$N$5:$N$154,MATCH(K763,Lotes!$P$5:$P$154,0)),"Sem lote cadastrado"))</f>
        <v/>
      </c>
      <c r="M763" s="25">
        <f>IF(H763="Sim",G763,0)</f>
        <v>0</v>
      </c>
      <c r="N763" s="42">
        <f>IF(AND(H763="Sim",I763&lt;&gt;"Aceito"),G763+ROW()/100000,0)</f>
        <v>0</v>
      </c>
    </row>
    <row r="764">
      <c r="A764" s="35" t="n"/>
      <c r="B764" s="39" t="n"/>
      <c r="C764" s="33" t="n"/>
      <c r="D764" s="35" t="n"/>
      <c r="E764" s="33" t="n"/>
      <c r="F764" s="33" t="n"/>
      <c r="G764" s="40" t="n"/>
      <c r="H764" s="35" t="n"/>
      <c r="I764" s="35" t="n"/>
      <c r="J764" s="30">
        <f>IF(B764="","",DATE(YEAR(B764),MONTH(B764),1))</f>
        <v/>
      </c>
      <c r="K764" s="41">
        <f>IF(OR(B764="",D764=""),"",D764&amp;"|"&amp;TEXT(J764,"yyyy-mm"))</f>
        <v/>
      </c>
      <c r="L764" s="24">
        <f>IF(K764="","",IFERROR(INDEX(Lotes!$N$5:$N$154,MATCH(K764,Lotes!$P$5:$P$154,0)),"Sem lote cadastrado"))</f>
        <v/>
      </c>
      <c r="M764" s="25">
        <f>IF(H764="Sim",G764,0)</f>
        <v>0</v>
      </c>
      <c r="N764" s="42">
        <f>IF(AND(H764="Sim",I764&lt;&gt;"Aceito"),G764+ROW()/100000,0)</f>
        <v>0</v>
      </c>
    </row>
    <row r="765">
      <c r="A765" s="35" t="n"/>
      <c r="B765" s="39" t="n"/>
      <c r="C765" s="33" t="n"/>
      <c r="D765" s="35" t="n"/>
      <c r="E765" s="33" t="n"/>
      <c r="F765" s="33" t="n"/>
      <c r="G765" s="40" t="n"/>
      <c r="H765" s="35" t="n"/>
      <c r="I765" s="35" t="n"/>
      <c r="J765" s="30">
        <f>IF(B765="","",DATE(YEAR(B765),MONTH(B765),1))</f>
        <v/>
      </c>
      <c r="K765" s="41">
        <f>IF(OR(B765="",D765=""),"",D765&amp;"|"&amp;TEXT(J765,"yyyy-mm"))</f>
        <v/>
      </c>
      <c r="L765" s="24">
        <f>IF(K765="","",IFERROR(INDEX(Lotes!$N$5:$N$154,MATCH(K765,Lotes!$P$5:$P$154,0)),"Sem lote cadastrado"))</f>
        <v/>
      </c>
      <c r="M765" s="25">
        <f>IF(H765="Sim",G765,0)</f>
        <v>0</v>
      </c>
      <c r="N765" s="42">
        <f>IF(AND(H765="Sim",I765&lt;&gt;"Aceito"),G765+ROW()/100000,0)</f>
        <v>0</v>
      </c>
    </row>
    <row r="766">
      <c r="A766" s="35" t="n"/>
      <c r="B766" s="39" t="n"/>
      <c r="C766" s="33" t="n"/>
      <c r="D766" s="35" t="n"/>
      <c r="E766" s="33" t="n"/>
      <c r="F766" s="33" t="n"/>
      <c r="G766" s="40" t="n"/>
      <c r="H766" s="35" t="n"/>
      <c r="I766" s="35" t="n"/>
      <c r="J766" s="30">
        <f>IF(B766="","",DATE(YEAR(B766),MONTH(B766),1))</f>
        <v/>
      </c>
      <c r="K766" s="41">
        <f>IF(OR(B766="",D766=""),"",D766&amp;"|"&amp;TEXT(J766,"yyyy-mm"))</f>
        <v/>
      </c>
      <c r="L766" s="24">
        <f>IF(K766="","",IFERROR(INDEX(Lotes!$N$5:$N$154,MATCH(K766,Lotes!$P$5:$P$154,0)),"Sem lote cadastrado"))</f>
        <v/>
      </c>
      <c r="M766" s="25">
        <f>IF(H766="Sim",G766,0)</f>
        <v>0</v>
      </c>
      <c r="N766" s="42">
        <f>IF(AND(H766="Sim",I766&lt;&gt;"Aceito"),G766+ROW()/100000,0)</f>
        <v>0</v>
      </c>
    </row>
    <row r="767">
      <c r="A767" s="35" t="n"/>
      <c r="B767" s="39" t="n"/>
      <c r="C767" s="33" t="n"/>
      <c r="D767" s="35" t="n"/>
      <c r="E767" s="33" t="n"/>
      <c r="F767" s="33" t="n"/>
      <c r="G767" s="40" t="n"/>
      <c r="H767" s="35" t="n"/>
      <c r="I767" s="35" t="n"/>
      <c r="J767" s="30">
        <f>IF(B767="","",DATE(YEAR(B767),MONTH(B767),1))</f>
        <v/>
      </c>
      <c r="K767" s="41">
        <f>IF(OR(B767="",D767=""),"",D767&amp;"|"&amp;TEXT(J767,"yyyy-mm"))</f>
        <v/>
      </c>
      <c r="L767" s="24">
        <f>IF(K767="","",IFERROR(INDEX(Lotes!$N$5:$N$154,MATCH(K767,Lotes!$P$5:$P$154,0)),"Sem lote cadastrado"))</f>
        <v/>
      </c>
      <c r="M767" s="25">
        <f>IF(H767="Sim",G767,0)</f>
        <v>0</v>
      </c>
      <c r="N767" s="42">
        <f>IF(AND(H767="Sim",I767&lt;&gt;"Aceito"),G767+ROW()/100000,0)</f>
        <v>0</v>
      </c>
    </row>
    <row r="768">
      <c r="A768" s="35" t="n"/>
      <c r="B768" s="39" t="n"/>
      <c r="C768" s="33" t="n"/>
      <c r="D768" s="35" t="n"/>
      <c r="E768" s="33" t="n"/>
      <c r="F768" s="33" t="n"/>
      <c r="G768" s="40" t="n"/>
      <c r="H768" s="35" t="n"/>
      <c r="I768" s="35" t="n"/>
      <c r="J768" s="30">
        <f>IF(B768="","",DATE(YEAR(B768),MONTH(B768),1))</f>
        <v/>
      </c>
      <c r="K768" s="41">
        <f>IF(OR(B768="",D768=""),"",D768&amp;"|"&amp;TEXT(J768,"yyyy-mm"))</f>
        <v/>
      </c>
      <c r="L768" s="24">
        <f>IF(K768="","",IFERROR(INDEX(Lotes!$N$5:$N$154,MATCH(K768,Lotes!$P$5:$P$154,0)),"Sem lote cadastrado"))</f>
        <v/>
      </c>
      <c r="M768" s="25">
        <f>IF(H768="Sim",G768,0)</f>
        <v>0</v>
      </c>
      <c r="N768" s="42">
        <f>IF(AND(H768="Sim",I768&lt;&gt;"Aceito"),G768+ROW()/100000,0)</f>
        <v>0</v>
      </c>
    </row>
    <row r="769">
      <c r="A769" s="35" t="n"/>
      <c r="B769" s="39" t="n"/>
      <c r="C769" s="33" t="n"/>
      <c r="D769" s="35" t="n"/>
      <c r="E769" s="33" t="n"/>
      <c r="F769" s="33" t="n"/>
      <c r="G769" s="40" t="n"/>
      <c r="H769" s="35" t="n"/>
      <c r="I769" s="35" t="n"/>
      <c r="J769" s="30">
        <f>IF(B769="","",DATE(YEAR(B769),MONTH(B769),1))</f>
        <v/>
      </c>
      <c r="K769" s="41">
        <f>IF(OR(B769="",D769=""),"",D769&amp;"|"&amp;TEXT(J769,"yyyy-mm"))</f>
        <v/>
      </c>
      <c r="L769" s="24">
        <f>IF(K769="","",IFERROR(INDEX(Lotes!$N$5:$N$154,MATCH(K769,Lotes!$P$5:$P$154,0)),"Sem lote cadastrado"))</f>
        <v/>
      </c>
      <c r="M769" s="25">
        <f>IF(H769="Sim",G769,0)</f>
        <v>0</v>
      </c>
      <c r="N769" s="42">
        <f>IF(AND(H769="Sim",I769&lt;&gt;"Aceito"),G769+ROW()/100000,0)</f>
        <v>0</v>
      </c>
    </row>
    <row r="770">
      <c r="A770" s="35" t="n"/>
      <c r="B770" s="39" t="n"/>
      <c r="C770" s="33" t="n"/>
      <c r="D770" s="35" t="n"/>
      <c r="E770" s="33" t="n"/>
      <c r="F770" s="33" t="n"/>
      <c r="G770" s="40" t="n"/>
      <c r="H770" s="35" t="n"/>
      <c r="I770" s="35" t="n"/>
      <c r="J770" s="30">
        <f>IF(B770="","",DATE(YEAR(B770),MONTH(B770),1))</f>
        <v/>
      </c>
      <c r="K770" s="41">
        <f>IF(OR(B770="",D770=""),"",D770&amp;"|"&amp;TEXT(J770,"yyyy-mm"))</f>
        <v/>
      </c>
      <c r="L770" s="24">
        <f>IF(K770="","",IFERROR(INDEX(Lotes!$N$5:$N$154,MATCH(K770,Lotes!$P$5:$P$154,0)),"Sem lote cadastrado"))</f>
        <v/>
      </c>
      <c r="M770" s="25">
        <f>IF(H770="Sim",G770,0)</f>
        <v>0</v>
      </c>
      <c r="N770" s="42">
        <f>IF(AND(H770="Sim",I770&lt;&gt;"Aceito"),G770+ROW()/100000,0)</f>
        <v>0</v>
      </c>
    </row>
    <row r="771">
      <c r="A771" s="35" t="n"/>
      <c r="B771" s="39" t="n"/>
      <c r="C771" s="33" t="n"/>
      <c r="D771" s="35" t="n"/>
      <c r="E771" s="33" t="n"/>
      <c r="F771" s="33" t="n"/>
      <c r="G771" s="40" t="n"/>
      <c r="H771" s="35" t="n"/>
      <c r="I771" s="35" t="n"/>
      <c r="J771" s="30">
        <f>IF(B771="","",DATE(YEAR(B771),MONTH(B771),1))</f>
        <v/>
      </c>
      <c r="K771" s="41">
        <f>IF(OR(B771="",D771=""),"",D771&amp;"|"&amp;TEXT(J771,"yyyy-mm"))</f>
        <v/>
      </c>
      <c r="L771" s="24">
        <f>IF(K771="","",IFERROR(INDEX(Lotes!$N$5:$N$154,MATCH(K771,Lotes!$P$5:$P$154,0)),"Sem lote cadastrado"))</f>
        <v/>
      </c>
      <c r="M771" s="25">
        <f>IF(H771="Sim",G771,0)</f>
        <v>0</v>
      </c>
      <c r="N771" s="42">
        <f>IF(AND(H771="Sim",I771&lt;&gt;"Aceito"),G771+ROW()/100000,0)</f>
        <v>0</v>
      </c>
    </row>
    <row r="772">
      <c r="A772" s="35" t="n"/>
      <c r="B772" s="39" t="n"/>
      <c r="C772" s="33" t="n"/>
      <c r="D772" s="35" t="n"/>
      <c r="E772" s="33" t="n"/>
      <c r="F772" s="33" t="n"/>
      <c r="G772" s="40" t="n"/>
      <c r="H772" s="35" t="n"/>
      <c r="I772" s="35" t="n"/>
      <c r="J772" s="30">
        <f>IF(B772="","",DATE(YEAR(B772),MONTH(B772),1))</f>
        <v/>
      </c>
      <c r="K772" s="41">
        <f>IF(OR(B772="",D772=""),"",D772&amp;"|"&amp;TEXT(J772,"yyyy-mm"))</f>
        <v/>
      </c>
      <c r="L772" s="24">
        <f>IF(K772="","",IFERROR(INDEX(Lotes!$N$5:$N$154,MATCH(K772,Lotes!$P$5:$P$154,0)),"Sem lote cadastrado"))</f>
        <v/>
      </c>
      <c r="M772" s="25">
        <f>IF(H772="Sim",G772,0)</f>
        <v>0</v>
      </c>
      <c r="N772" s="42">
        <f>IF(AND(H772="Sim",I772&lt;&gt;"Aceito"),G772+ROW()/100000,0)</f>
        <v>0</v>
      </c>
    </row>
    <row r="773">
      <c r="A773" s="35" t="n"/>
      <c r="B773" s="39" t="n"/>
      <c r="C773" s="33" t="n"/>
      <c r="D773" s="35" t="n"/>
      <c r="E773" s="33" t="n"/>
      <c r="F773" s="33" t="n"/>
      <c r="G773" s="40" t="n"/>
      <c r="H773" s="35" t="n"/>
      <c r="I773" s="35" t="n"/>
      <c r="J773" s="30">
        <f>IF(B773="","",DATE(YEAR(B773),MONTH(B773),1))</f>
        <v/>
      </c>
      <c r="K773" s="41">
        <f>IF(OR(B773="",D773=""),"",D773&amp;"|"&amp;TEXT(J773,"yyyy-mm"))</f>
        <v/>
      </c>
      <c r="L773" s="24">
        <f>IF(K773="","",IFERROR(INDEX(Lotes!$N$5:$N$154,MATCH(K773,Lotes!$P$5:$P$154,0)),"Sem lote cadastrado"))</f>
        <v/>
      </c>
      <c r="M773" s="25">
        <f>IF(H773="Sim",G773,0)</f>
        <v>0</v>
      </c>
      <c r="N773" s="42">
        <f>IF(AND(H773="Sim",I773&lt;&gt;"Aceito"),G773+ROW()/100000,0)</f>
        <v>0</v>
      </c>
    </row>
    <row r="774">
      <c r="A774" s="35" t="n"/>
      <c r="B774" s="39" t="n"/>
      <c r="C774" s="33" t="n"/>
      <c r="D774" s="35" t="n"/>
      <c r="E774" s="33" t="n"/>
      <c r="F774" s="33" t="n"/>
      <c r="G774" s="40" t="n"/>
      <c r="H774" s="35" t="n"/>
      <c r="I774" s="35" t="n"/>
      <c r="J774" s="30">
        <f>IF(B774="","",DATE(YEAR(B774),MONTH(B774),1))</f>
        <v/>
      </c>
      <c r="K774" s="41">
        <f>IF(OR(B774="",D774=""),"",D774&amp;"|"&amp;TEXT(J774,"yyyy-mm"))</f>
        <v/>
      </c>
      <c r="L774" s="24">
        <f>IF(K774="","",IFERROR(INDEX(Lotes!$N$5:$N$154,MATCH(K774,Lotes!$P$5:$P$154,0)),"Sem lote cadastrado"))</f>
        <v/>
      </c>
      <c r="M774" s="25">
        <f>IF(H774="Sim",G774,0)</f>
        <v>0</v>
      </c>
      <c r="N774" s="42">
        <f>IF(AND(H774="Sim",I774&lt;&gt;"Aceito"),G774+ROW()/100000,0)</f>
        <v>0</v>
      </c>
    </row>
    <row r="775">
      <c r="A775" s="35" t="n"/>
      <c r="B775" s="39" t="n"/>
      <c r="C775" s="33" t="n"/>
      <c r="D775" s="35" t="n"/>
      <c r="E775" s="33" t="n"/>
      <c r="F775" s="33" t="n"/>
      <c r="G775" s="40" t="n"/>
      <c r="H775" s="35" t="n"/>
      <c r="I775" s="35" t="n"/>
      <c r="J775" s="30">
        <f>IF(B775="","",DATE(YEAR(B775),MONTH(B775),1))</f>
        <v/>
      </c>
      <c r="K775" s="41">
        <f>IF(OR(B775="",D775=""),"",D775&amp;"|"&amp;TEXT(J775,"yyyy-mm"))</f>
        <v/>
      </c>
      <c r="L775" s="24">
        <f>IF(K775="","",IFERROR(INDEX(Lotes!$N$5:$N$154,MATCH(K775,Lotes!$P$5:$P$154,0)),"Sem lote cadastrado"))</f>
        <v/>
      </c>
      <c r="M775" s="25">
        <f>IF(H775="Sim",G775,0)</f>
        <v>0</v>
      </c>
      <c r="N775" s="42">
        <f>IF(AND(H775="Sim",I775&lt;&gt;"Aceito"),G775+ROW()/100000,0)</f>
        <v>0</v>
      </c>
    </row>
    <row r="776">
      <c r="A776" s="35" t="n"/>
      <c r="B776" s="39" t="n"/>
      <c r="C776" s="33" t="n"/>
      <c r="D776" s="35" t="n"/>
      <c r="E776" s="33" t="n"/>
      <c r="F776" s="33" t="n"/>
      <c r="G776" s="40" t="n"/>
      <c r="H776" s="35" t="n"/>
      <c r="I776" s="35" t="n"/>
      <c r="J776" s="30">
        <f>IF(B776="","",DATE(YEAR(B776),MONTH(B776),1))</f>
        <v/>
      </c>
      <c r="K776" s="41">
        <f>IF(OR(B776="",D776=""),"",D776&amp;"|"&amp;TEXT(J776,"yyyy-mm"))</f>
        <v/>
      </c>
      <c r="L776" s="24">
        <f>IF(K776="","",IFERROR(INDEX(Lotes!$N$5:$N$154,MATCH(K776,Lotes!$P$5:$P$154,0)),"Sem lote cadastrado"))</f>
        <v/>
      </c>
      <c r="M776" s="25">
        <f>IF(H776="Sim",G776,0)</f>
        <v>0</v>
      </c>
      <c r="N776" s="42">
        <f>IF(AND(H776="Sim",I776&lt;&gt;"Aceito"),G776+ROW()/100000,0)</f>
        <v>0</v>
      </c>
    </row>
    <row r="777">
      <c r="A777" s="35" t="n"/>
      <c r="B777" s="39" t="n"/>
      <c r="C777" s="33" t="n"/>
      <c r="D777" s="35" t="n"/>
      <c r="E777" s="33" t="n"/>
      <c r="F777" s="33" t="n"/>
      <c r="G777" s="40" t="n"/>
      <c r="H777" s="35" t="n"/>
      <c r="I777" s="35" t="n"/>
      <c r="J777" s="30">
        <f>IF(B777="","",DATE(YEAR(B777),MONTH(B777),1))</f>
        <v/>
      </c>
      <c r="K777" s="41">
        <f>IF(OR(B777="",D777=""),"",D777&amp;"|"&amp;TEXT(J777,"yyyy-mm"))</f>
        <v/>
      </c>
      <c r="L777" s="24">
        <f>IF(K777="","",IFERROR(INDEX(Lotes!$N$5:$N$154,MATCH(K777,Lotes!$P$5:$P$154,0)),"Sem lote cadastrado"))</f>
        <v/>
      </c>
      <c r="M777" s="25">
        <f>IF(H777="Sim",G777,0)</f>
        <v>0</v>
      </c>
      <c r="N777" s="42">
        <f>IF(AND(H777="Sim",I777&lt;&gt;"Aceito"),G777+ROW()/100000,0)</f>
        <v>0</v>
      </c>
    </row>
    <row r="778">
      <c r="A778" s="35" t="n"/>
      <c r="B778" s="39" t="n"/>
      <c r="C778" s="33" t="n"/>
      <c r="D778" s="35" t="n"/>
      <c r="E778" s="33" t="n"/>
      <c r="F778" s="33" t="n"/>
      <c r="G778" s="40" t="n"/>
      <c r="H778" s="35" t="n"/>
      <c r="I778" s="35" t="n"/>
      <c r="J778" s="30">
        <f>IF(B778="","",DATE(YEAR(B778),MONTH(B778),1))</f>
        <v/>
      </c>
      <c r="K778" s="41">
        <f>IF(OR(B778="",D778=""),"",D778&amp;"|"&amp;TEXT(J778,"yyyy-mm"))</f>
        <v/>
      </c>
      <c r="L778" s="24">
        <f>IF(K778="","",IFERROR(INDEX(Lotes!$N$5:$N$154,MATCH(K778,Lotes!$P$5:$P$154,0)),"Sem lote cadastrado"))</f>
        <v/>
      </c>
      <c r="M778" s="25">
        <f>IF(H778="Sim",G778,0)</f>
        <v>0</v>
      </c>
      <c r="N778" s="42">
        <f>IF(AND(H778="Sim",I778&lt;&gt;"Aceito"),G778+ROW()/100000,0)</f>
        <v>0</v>
      </c>
    </row>
    <row r="779">
      <c r="A779" s="35" t="n"/>
      <c r="B779" s="39" t="n"/>
      <c r="C779" s="33" t="n"/>
      <c r="D779" s="35" t="n"/>
      <c r="E779" s="33" t="n"/>
      <c r="F779" s="33" t="n"/>
      <c r="G779" s="40" t="n"/>
      <c r="H779" s="35" t="n"/>
      <c r="I779" s="35" t="n"/>
      <c r="J779" s="30">
        <f>IF(B779="","",DATE(YEAR(B779),MONTH(B779),1))</f>
        <v/>
      </c>
      <c r="K779" s="41">
        <f>IF(OR(B779="",D779=""),"",D779&amp;"|"&amp;TEXT(J779,"yyyy-mm"))</f>
        <v/>
      </c>
      <c r="L779" s="24">
        <f>IF(K779="","",IFERROR(INDEX(Lotes!$N$5:$N$154,MATCH(K779,Lotes!$P$5:$P$154,0)),"Sem lote cadastrado"))</f>
        <v/>
      </c>
      <c r="M779" s="25">
        <f>IF(H779="Sim",G779,0)</f>
        <v>0</v>
      </c>
      <c r="N779" s="42">
        <f>IF(AND(H779="Sim",I779&lt;&gt;"Aceito"),G779+ROW()/100000,0)</f>
        <v>0</v>
      </c>
    </row>
    <row r="780">
      <c r="A780" s="35" t="n"/>
      <c r="B780" s="39" t="n"/>
      <c r="C780" s="33" t="n"/>
      <c r="D780" s="35" t="n"/>
      <c r="E780" s="33" t="n"/>
      <c r="F780" s="33" t="n"/>
      <c r="G780" s="40" t="n"/>
      <c r="H780" s="35" t="n"/>
      <c r="I780" s="35" t="n"/>
      <c r="J780" s="30">
        <f>IF(B780="","",DATE(YEAR(B780),MONTH(B780),1))</f>
        <v/>
      </c>
      <c r="K780" s="41">
        <f>IF(OR(B780="",D780=""),"",D780&amp;"|"&amp;TEXT(J780,"yyyy-mm"))</f>
        <v/>
      </c>
      <c r="L780" s="24">
        <f>IF(K780="","",IFERROR(INDEX(Lotes!$N$5:$N$154,MATCH(K780,Lotes!$P$5:$P$154,0)),"Sem lote cadastrado"))</f>
        <v/>
      </c>
      <c r="M780" s="25">
        <f>IF(H780="Sim",G780,0)</f>
        <v>0</v>
      </c>
      <c r="N780" s="42">
        <f>IF(AND(H780="Sim",I780&lt;&gt;"Aceito"),G780+ROW()/100000,0)</f>
        <v>0</v>
      </c>
    </row>
    <row r="781">
      <c r="A781" s="35" t="n"/>
      <c r="B781" s="39" t="n"/>
      <c r="C781" s="33" t="n"/>
      <c r="D781" s="35" t="n"/>
      <c r="E781" s="33" t="n"/>
      <c r="F781" s="33" t="n"/>
      <c r="G781" s="40" t="n"/>
      <c r="H781" s="35" t="n"/>
      <c r="I781" s="35" t="n"/>
      <c r="J781" s="30">
        <f>IF(B781="","",DATE(YEAR(B781),MONTH(B781),1))</f>
        <v/>
      </c>
      <c r="K781" s="41">
        <f>IF(OR(B781="",D781=""),"",D781&amp;"|"&amp;TEXT(J781,"yyyy-mm"))</f>
        <v/>
      </c>
      <c r="L781" s="24">
        <f>IF(K781="","",IFERROR(INDEX(Lotes!$N$5:$N$154,MATCH(K781,Lotes!$P$5:$P$154,0)),"Sem lote cadastrado"))</f>
        <v/>
      </c>
      <c r="M781" s="25">
        <f>IF(H781="Sim",G781,0)</f>
        <v>0</v>
      </c>
      <c r="N781" s="42">
        <f>IF(AND(H781="Sim",I781&lt;&gt;"Aceito"),G781+ROW()/100000,0)</f>
        <v>0</v>
      </c>
    </row>
    <row r="782">
      <c r="A782" s="35" t="n"/>
      <c r="B782" s="39" t="n"/>
      <c r="C782" s="33" t="n"/>
      <c r="D782" s="35" t="n"/>
      <c r="E782" s="33" t="n"/>
      <c r="F782" s="33" t="n"/>
      <c r="G782" s="40" t="n"/>
      <c r="H782" s="35" t="n"/>
      <c r="I782" s="35" t="n"/>
      <c r="J782" s="30">
        <f>IF(B782="","",DATE(YEAR(B782),MONTH(B782),1))</f>
        <v/>
      </c>
      <c r="K782" s="41">
        <f>IF(OR(B782="",D782=""),"",D782&amp;"|"&amp;TEXT(J782,"yyyy-mm"))</f>
        <v/>
      </c>
      <c r="L782" s="24">
        <f>IF(K782="","",IFERROR(INDEX(Lotes!$N$5:$N$154,MATCH(K782,Lotes!$P$5:$P$154,0)),"Sem lote cadastrado"))</f>
        <v/>
      </c>
      <c r="M782" s="25">
        <f>IF(H782="Sim",G782,0)</f>
        <v>0</v>
      </c>
      <c r="N782" s="42">
        <f>IF(AND(H782="Sim",I782&lt;&gt;"Aceito"),G782+ROW()/100000,0)</f>
        <v>0</v>
      </c>
    </row>
    <row r="783">
      <c r="A783" s="35" t="n"/>
      <c r="B783" s="39" t="n"/>
      <c r="C783" s="33" t="n"/>
      <c r="D783" s="35" t="n"/>
      <c r="E783" s="33" t="n"/>
      <c r="F783" s="33" t="n"/>
      <c r="G783" s="40" t="n"/>
      <c r="H783" s="35" t="n"/>
      <c r="I783" s="35" t="n"/>
      <c r="J783" s="30">
        <f>IF(B783="","",DATE(YEAR(B783),MONTH(B783),1))</f>
        <v/>
      </c>
      <c r="K783" s="41">
        <f>IF(OR(B783="",D783=""),"",D783&amp;"|"&amp;TEXT(J783,"yyyy-mm"))</f>
        <v/>
      </c>
      <c r="L783" s="24">
        <f>IF(K783="","",IFERROR(INDEX(Lotes!$N$5:$N$154,MATCH(K783,Lotes!$P$5:$P$154,0)),"Sem lote cadastrado"))</f>
        <v/>
      </c>
      <c r="M783" s="25">
        <f>IF(H783="Sim",G783,0)</f>
        <v>0</v>
      </c>
      <c r="N783" s="42">
        <f>IF(AND(H783="Sim",I783&lt;&gt;"Aceito"),G783+ROW()/100000,0)</f>
        <v>0</v>
      </c>
    </row>
    <row r="784">
      <c r="A784" s="35" t="n"/>
      <c r="B784" s="39" t="n"/>
      <c r="C784" s="33" t="n"/>
      <c r="D784" s="35" t="n"/>
      <c r="E784" s="33" t="n"/>
      <c r="F784" s="33" t="n"/>
      <c r="G784" s="40" t="n"/>
      <c r="H784" s="35" t="n"/>
      <c r="I784" s="35" t="n"/>
      <c r="J784" s="30">
        <f>IF(B784="","",DATE(YEAR(B784),MONTH(B784),1))</f>
        <v/>
      </c>
      <c r="K784" s="41">
        <f>IF(OR(B784="",D784=""),"",D784&amp;"|"&amp;TEXT(J784,"yyyy-mm"))</f>
        <v/>
      </c>
      <c r="L784" s="24">
        <f>IF(K784="","",IFERROR(INDEX(Lotes!$N$5:$N$154,MATCH(K784,Lotes!$P$5:$P$154,0)),"Sem lote cadastrado"))</f>
        <v/>
      </c>
      <c r="M784" s="25">
        <f>IF(H784="Sim",G784,0)</f>
        <v>0</v>
      </c>
      <c r="N784" s="42">
        <f>IF(AND(H784="Sim",I784&lt;&gt;"Aceito"),G784+ROW()/100000,0)</f>
        <v>0</v>
      </c>
    </row>
    <row r="785">
      <c r="A785" s="35" t="n"/>
      <c r="B785" s="39" t="n"/>
      <c r="C785" s="33" t="n"/>
      <c r="D785" s="35" t="n"/>
      <c r="E785" s="33" t="n"/>
      <c r="F785" s="33" t="n"/>
      <c r="G785" s="40" t="n"/>
      <c r="H785" s="35" t="n"/>
      <c r="I785" s="35" t="n"/>
      <c r="J785" s="30">
        <f>IF(B785="","",DATE(YEAR(B785),MONTH(B785),1))</f>
        <v/>
      </c>
      <c r="K785" s="41">
        <f>IF(OR(B785="",D785=""),"",D785&amp;"|"&amp;TEXT(J785,"yyyy-mm"))</f>
        <v/>
      </c>
      <c r="L785" s="24">
        <f>IF(K785="","",IFERROR(INDEX(Lotes!$N$5:$N$154,MATCH(K785,Lotes!$P$5:$P$154,0)),"Sem lote cadastrado"))</f>
        <v/>
      </c>
      <c r="M785" s="25">
        <f>IF(H785="Sim",G785,0)</f>
        <v>0</v>
      </c>
      <c r="N785" s="42">
        <f>IF(AND(H785="Sim",I785&lt;&gt;"Aceito"),G785+ROW()/100000,0)</f>
        <v>0</v>
      </c>
    </row>
    <row r="786">
      <c r="A786" s="35" t="n"/>
      <c r="B786" s="39" t="n"/>
      <c r="C786" s="33" t="n"/>
      <c r="D786" s="35" t="n"/>
      <c r="E786" s="33" t="n"/>
      <c r="F786" s="33" t="n"/>
      <c r="G786" s="40" t="n"/>
      <c r="H786" s="35" t="n"/>
      <c r="I786" s="35" t="n"/>
      <c r="J786" s="30">
        <f>IF(B786="","",DATE(YEAR(B786),MONTH(B786),1))</f>
        <v/>
      </c>
      <c r="K786" s="41">
        <f>IF(OR(B786="",D786=""),"",D786&amp;"|"&amp;TEXT(J786,"yyyy-mm"))</f>
        <v/>
      </c>
      <c r="L786" s="24">
        <f>IF(K786="","",IFERROR(INDEX(Lotes!$N$5:$N$154,MATCH(K786,Lotes!$P$5:$P$154,0)),"Sem lote cadastrado"))</f>
        <v/>
      </c>
      <c r="M786" s="25">
        <f>IF(H786="Sim",G786,0)</f>
        <v>0</v>
      </c>
      <c r="N786" s="42">
        <f>IF(AND(H786="Sim",I786&lt;&gt;"Aceito"),G786+ROW()/100000,0)</f>
        <v>0</v>
      </c>
    </row>
    <row r="787">
      <c r="A787" s="35" t="n"/>
      <c r="B787" s="39" t="n"/>
      <c r="C787" s="33" t="n"/>
      <c r="D787" s="35" t="n"/>
      <c r="E787" s="33" t="n"/>
      <c r="F787" s="33" t="n"/>
      <c r="G787" s="40" t="n"/>
      <c r="H787" s="35" t="n"/>
      <c r="I787" s="35" t="n"/>
      <c r="J787" s="30">
        <f>IF(B787="","",DATE(YEAR(B787),MONTH(B787),1))</f>
        <v/>
      </c>
      <c r="K787" s="41">
        <f>IF(OR(B787="",D787=""),"",D787&amp;"|"&amp;TEXT(J787,"yyyy-mm"))</f>
        <v/>
      </c>
      <c r="L787" s="24">
        <f>IF(K787="","",IFERROR(INDEX(Lotes!$N$5:$N$154,MATCH(K787,Lotes!$P$5:$P$154,0)),"Sem lote cadastrado"))</f>
        <v/>
      </c>
      <c r="M787" s="25">
        <f>IF(H787="Sim",G787,0)</f>
        <v>0</v>
      </c>
      <c r="N787" s="42">
        <f>IF(AND(H787="Sim",I787&lt;&gt;"Aceito"),G787+ROW()/100000,0)</f>
        <v>0</v>
      </c>
    </row>
    <row r="788">
      <c r="A788" s="35" t="n"/>
      <c r="B788" s="39" t="n"/>
      <c r="C788" s="33" t="n"/>
      <c r="D788" s="35" t="n"/>
      <c r="E788" s="33" t="n"/>
      <c r="F788" s="33" t="n"/>
      <c r="G788" s="40" t="n"/>
      <c r="H788" s="35" t="n"/>
      <c r="I788" s="35" t="n"/>
      <c r="J788" s="30">
        <f>IF(B788="","",DATE(YEAR(B788),MONTH(B788),1))</f>
        <v/>
      </c>
      <c r="K788" s="41">
        <f>IF(OR(B788="",D788=""),"",D788&amp;"|"&amp;TEXT(J788,"yyyy-mm"))</f>
        <v/>
      </c>
      <c r="L788" s="24">
        <f>IF(K788="","",IFERROR(INDEX(Lotes!$N$5:$N$154,MATCH(K788,Lotes!$P$5:$P$154,0)),"Sem lote cadastrado"))</f>
        <v/>
      </c>
      <c r="M788" s="25">
        <f>IF(H788="Sim",G788,0)</f>
        <v>0</v>
      </c>
      <c r="N788" s="42">
        <f>IF(AND(H788="Sim",I788&lt;&gt;"Aceito"),G788+ROW()/100000,0)</f>
        <v>0</v>
      </c>
    </row>
    <row r="789">
      <c r="A789" s="35" t="n"/>
      <c r="B789" s="39" t="n"/>
      <c r="C789" s="33" t="n"/>
      <c r="D789" s="35" t="n"/>
      <c r="E789" s="33" t="n"/>
      <c r="F789" s="33" t="n"/>
      <c r="G789" s="40" t="n"/>
      <c r="H789" s="35" t="n"/>
      <c r="I789" s="35" t="n"/>
      <c r="J789" s="30">
        <f>IF(B789="","",DATE(YEAR(B789),MONTH(B789),1))</f>
        <v/>
      </c>
      <c r="K789" s="41">
        <f>IF(OR(B789="",D789=""),"",D789&amp;"|"&amp;TEXT(J789,"yyyy-mm"))</f>
        <v/>
      </c>
      <c r="L789" s="24">
        <f>IF(K789="","",IFERROR(INDEX(Lotes!$N$5:$N$154,MATCH(K789,Lotes!$P$5:$P$154,0)),"Sem lote cadastrado"))</f>
        <v/>
      </c>
      <c r="M789" s="25">
        <f>IF(H789="Sim",G789,0)</f>
        <v>0</v>
      </c>
      <c r="N789" s="42">
        <f>IF(AND(H789="Sim",I789&lt;&gt;"Aceito"),G789+ROW()/100000,0)</f>
        <v>0</v>
      </c>
    </row>
    <row r="790">
      <c r="A790" s="35" t="n"/>
      <c r="B790" s="39" t="n"/>
      <c r="C790" s="33" t="n"/>
      <c r="D790" s="35" t="n"/>
      <c r="E790" s="33" t="n"/>
      <c r="F790" s="33" t="n"/>
      <c r="G790" s="40" t="n"/>
      <c r="H790" s="35" t="n"/>
      <c r="I790" s="35" t="n"/>
      <c r="J790" s="30">
        <f>IF(B790="","",DATE(YEAR(B790),MONTH(B790),1))</f>
        <v/>
      </c>
      <c r="K790" s="41">
        <f>IF(OR(B790="",D790=""),"",D790&amp;"|"&amp;TEXT(J790,"yyyy-mm"))</f>
        <v/>
      </c>
      <c r="L790" s="24">
        <f>IF(K790="","",IFERROR(INDEX(Lotes!$N$5:$N$154,MATCH(K790,Lotes!$P$5:$P$154,0)),"Sem lote cadastrado"))</f>
        <v/>
      </c>
      <c r="M790" s="25">
        <f>IF(H790="Sim",G790,0)</f>
        <v>0</v>
      </c>
      <c r="N790" s="42">
        <f>IF(AND(H790="Sim",I790&lt;&gt;"Aceito"),G790+ROW()/100000,0)</f>
        <v>0</v>
      </c>
    </row>
    <row r="791">
      <c r="A791" s="35" t="n"/>
      <c r="B791" s="39" t="n"/>
      <c r="C791" s="33" t="n"/>
      <c r="D791" s="35" t="n"/>
      <c r="E791" s="33" t="n"/>
      <c r="F791" s="33" t="n"/>
      <c r="G791" s="40" t="n"/>
      <c r="H791" s="35" t="n"/>
      <c r="I791" s="35" t="n"/>
      <c r="J791" s="30">
        <f>IF(B791="","",DATE(YEAR(B791),MONTH(B791),1))</f>
        <v/>
      </c>
      <c r="K791" s="41">
        <f>IF(OR(B791="",D791=""),"",D791&amp;"|"&amp;TEXT(J791,"yyyy-mm"))</f>
        <v/>
      </c>
      <c r="L791" s="24">
        <f>IF(K791="","",IFERROR(INDEX(Lotes!$N$5:$N$154,MATCH(K791,Lotes!$P$5:$P$154,0)),"Sem lote cadastrado"))</f>
        <v/>
      </c>
      <c r="M791" s="25">
        <f>IF(H791="Sim",G791,0)</f>
        <v>0</v>
      </c>
      <c r="N791" s="42">
        <f>IF(AND(H791="Sim",I791&lt;&gt;"Aceito"),G791+ROW()/100000,0)</f>
        <v>0</v>
      </c>
    </row>
    <row r="792">
      <c r="A792" s="35" t="n"/>
      <c r="B792" s="39" t="n"/>
      <c r="C792" s="33" t="n"/>
      <c r="D792" s="35" t="n"/>
      <c r="E792" s="33" t="n"/>
      <c r="F792" s="33" t="n"/>
      <c r="G792" s="40" t="n"/>
      <c r="H792" s="35" t="n"/>
      <c r="I792" s="35" t="n"/>
      <c r="J792" s="30">
        <f>IF(B792="","",DATE(YEAR(B792),MONTH(B792),1))</f>
        <v/>
      </c>
      <c r="K792" s="41">
        <f>IF(OR(B792="",D792=""),"",D792&amp;"|"&amp;TEXT(J792,"yyyy-mm"))</f>
        <v/>
      </c>
      <c r="L792" s="24">
        <f>IF(K792="","",IFERROR(INDEX(Lotes!$N$5:$N$154,MATCH(K792,Lotes!$P$5:$P$154,0)),"Sem lote cadastrado"))</f>
        <v/>
      </c>
      <c r="M792" s="25">
        <f>IF(H792="Sim",G792,0)</f>
        <v>0</v>
      </c>
      <c r="N792" s="42">
        <f>IF(AND(H792="Sim",I792&lt;&gt;"Aceito"),G792+ROW()/100000,0)</f>
        <v>0</v>
      </c>
    </row>
    <row r="793">
      <c r="A793" s="35" t="n"/>
      <c r="B793" s="39" t="n"/>
      <c r="C793" s="33" t="n"/>
      <c r="D793" s="35" t="n"/>
      <c r="E793" s="33" t="n"/>
      <c r="F793" s="33" t="n"/>
      <c r="G793" s="40" t="n"/>
      <c r="H793" s="35" t="n"/>
      <c r="I793" s="35" t="n"/>
      <c r="J793" s="30">
        <f>IF(B793="","",DATE(YEAR(B793),MONTH(B793),1))</f>
        <v/>
      </c>
      <c r="K793" s="41">
        <f>IF(OR(B793="",D793=""),"",D793&amp;"|"&amp;TEXT(J793,"yyyy-mm"))</f>
        <v/>
      </c>
      <c r="L793" s="24">
        <f>IF(K793="","",IFERROR(INDEX(Lotes!$N$5:$N$154,MATCH(K793,Lotes!$P$5:$P$154,0)),"Sem lote cadastrado"))</f>
        <v/>
      </c>
      <c r="M793" s="25">
        <f>IF(H793="Sim",G793,0)</f>
        <v>0</v>
      </c>
      <c r="N793" s="42">
        <f>IF(AND(H793="Sim",I793&lt;&gt;"Aceito"),G793+ROW()/100000,0)</f>
        <v>0</v>
      </c>
    </row>
    <row r="794">
      <c r="A794" s="35" t="n"/>
      <c r="B794" s="39" t="n"/>
      <c r="C794" s="33" t="n"/>
      <c r="D794" s="35" t="n"/>
      <c r="E794" s="33" t="n"/>
      <c r="F794" s="33" t="n"/>
      <c r="G794" s="40" t="n"/>
      <c r="H794" s="35" t="n"/>
      <c r="I794" s="35" t="n"/>
      <c r="J794" s="30">
        <f>IF(B794="","",DATE(YEAR(B794),MONTH(B794),1))</f>
        <v/>
      </c>
      <c r="K794" s="41">
        <f>IF(OR(B794="",D794=""),"",D794&amp;"|"&amp;TEXT(J794,"yyyy-mm"))</f>
        <v/>
      </c>
      <c r="L794" s="24">
        <f>IF(K794="","",IFERROR(INDEX(Lotes!$N$5:$N$154,MATCH(K794,Lotes!$P$5:$P$154,0)),"Sem lote cadastrado"))</f>
        <v/>
      </c>
      <c r="M794" s="25">
        <f>IF(H794="Sim",G794,0)</f>
        <v>0</v>
      </c>
      <c r="N794" s="42">
        <f>IF(AND(H794="Sim",I794&lt;&gt;"Aceito"),G794+ROW()/100000,0)</f>
        <v>0</v>
      </c>
    </row>
    <row r="795">
      <c r="A795" s="35" t="n"/>
      <c r="B795" s="39" t="n"/>
      <c r="C795" s="33" t="n"/>
      <c r="D795" s="35" t="n"/>
      <c r="E795" s="33" t="n"/>
      <c r="F795" s="33" t="n"/>
      <c r="G795" s="40" t="n"/>
      <c r="H795" s="35" t="n"/>
      <c r="I795" s="35" t="n"/>
      <c r="J795" s="30">
        <f>IF(B795="","",DATE(YEAR(B795),MONTH(B795),1))</f>
        <v/>
      </c>
      <c r="K795" s="41">
        <f>IF(OR(B795="",D795=""),"",D795&amp;"|"&amp;TEXT(J795,"yyyy-mm"))</f>
        <v/>
      </c>
      <c r="L795" s="24">
        <f>IF(K795="","",IFERROR(INDEX(Lotes!$N$5:$N$154,MATCH(K795,Lotes!$P$5:$P$154,0)),"Sem lote cadastrado"))</f>
        <v/>
      </c>
      <c r="M795" s="25">
        <f>IF(H795="Sim",G795,0)</f>
        <v>0</v>
      </c>
      <c r="N795" s="42">
        <f>IF(AND(H795="Sim",I795&lt;&gt;"Aceito"),G795+ROW()/100000,0)</f>
        <v>0</v>
      </c>
    </row>
    <row r="796">
      <c r="A796" s="35" t="n"/>
      <c r="B796" s="39" t="n"/>
      <c r="C796" s="33" t="n"/>
      <c r="D796" s="35" t="n"/>
      <c r="E796" s="33" t="n"/>
      <c r="F796" s="33" t="n"/>
      <c r="G796" s="40" t="n"/>
      <c r="H796" s="35" t="n"/>
      <c r="I796" s="35" t="n"/>
      <c r="J796" s="30">
        <f>IF(B796="","",DATE(YEAR(B796),MONTH(B796),1))</f>
        <v/>
      </c>
      <c r="K796" s="41">
        <f>IF(OR(B796="",D796=""),"",D796&amp;"|"&amp;TEXT(J796,"yyyy-mm"))</f>
        <v/>
      </c>
      <c r="L796" s="24">
        <f>IF(K796="","",IFERROR(INDEX(Lotes!$N$5:$N$154,MATCH(K796,Lotes!$P$5:$P$154,0)),"Sem lote cadastrado"))</f>
        <v/>
      </c>
      <c r="M796" s="25">
        <f>IF(H796="Sim",G796,0)</f>
        <v>0</v>
      </c>
      <c r="N796" s="42">
        <f>IF(AND(H796="Sim",I796&lt;&gt;"Aceito"),G796+ROW()/100000,0)</f>
        <v>0</v>
      </c>
    </row>
    <row r="797">
      <c r="A797" s="35" t="n"/>
      <c r="B797" s="39" t="n"/>
      <c r="C797" s="33" t="n"/>
      <c r="D797" s="35" t="n"/>
      <c r="E797" s="33" t="n"/>
      <c r="F797" s="33" t="n"/>
      <c r="G797" s="40" t="n"/>
      <c r="H797" s="35" t="n"/>
      <c r="I797" s="35" t="n"/>
      <c r="J797" s="30">
        <f>IF(B797="","",DATE(YEAR(B797),MONTH(B797),1))</f>
        <v/>
      </c>
      <c r="K797" s="41">
        <f>IF(OR(B797="",D797=""),"",D797&amp;"|"&amp;TEXT(J797,"yyyy-mm"))</f>
        <v/>
      </c>
      <c r="L797" s="24">
        <f>IF(K797="","",IFERROR(INDEX(Lotes!$N$5:$N$154,MATCH(K797,Lotes!$P$5:$P$154,0)),"Sem lote cadastrado"))</f>
        <v/>
      </c>
      <c r="M797" s="25">
        <f>IF(H797="Sim",G797,0)</f>
        <v>0</v>
      </c>
      <c r="N797" s="42">
        <f>IF(AND(H797="Sim",I797&lt;&gt;"Aceito"),G797+ROW()/100000,0)</f>
        <v>0</v>
      </c>
    </row>
    <row r="798">
      <c r="A798" s="35" t="n"/>
      <c r="B798" s="39" t="n"/>
      <c r="C798" s="33" t="n"/>
      <c r="D798" s="35" t="n"/>
      <c r="E798" s="33" t="n"/>
      <c r="F798" s="33" t="n"/>
      <c r="G798" s="40" t="n"/>
      <c r="H798" s="35" t="n"/>
      <c r="I798" s="35" t="n"/>
      <c r="J798" s="30">
        <f>IF(B798="","",DATE(YEAR(B798),MONTH(B798),1))</f>
        <v/>
      </c>
      <c r="K798" s="41">
        <f>IF(OR(B798="",D798=""),"",D798&amp;"|"&amp;TEXT(J798,"yyyy-mm"))</f>
        <v/>
      </c>
      <c r="L798" s="24">
        <f>IF(K798="","",IFERROR(INDEX(Lotes!$N$5:$N$154,MATCH(K798,Lotes!$P$5:$P$154,0)),"Sem lote cadastrado"))</f>
        <v/>
      </c>
      <c r="M798" s="25">
        <f>IF(H798="Sim",G798,0)</f>
        <v>0</v>
      </c>
      <c r="N798" s="42">
        <f>IF(AND(H798="Sim",I798&lt;&gt;"Aceito"),G798+ROW()/100000,0)</f>
        <v>0</v>
      </c>
    </row>
    <row r="799">
      <c r="A799" s="35" t="n"/>
      <c r="B799" s="39" t="n"/>
      <c r="C799" s="33" t="n"/>
      <c r="D799" s="35" t="n"/>
      <c r="E799" s="33" t="n"/>
      <c r="F799" s="33" t="n"/>
      <c r="G799" s="40" t="n"/>
      <c r="H799" s="35" t="n"/>
      <c r="I799" s="35" t="n"/>
      <c r="J799" s="30">
        <f>IF(B799="","",DATE(YEAR(B799),MONTH(B799),1))</f>
        <v/>
      </c>
      <c r="K799" s="41">
        <f>IF(OR(B799="",D799=""),"",D799&amp;"|"&amp;TEXT(J799,"yyyy-mm"))</f>
        <v/>
      </c>
      <c r="L799" s="24">
        <f>IF(K799="","",IFERROR(INDEX(Lotes!$N$5:$N$154,MATCH(K799,Lotes!$P$5:$P$154,0)),"Sem lote cadastrado"))</f>
        <v/>
      </c>
      <c r="M799" s="25">
        <f>IF(H799="Sim",G799,0)</f>
        <v>0</v>
      </c>
      <c r="N799" s="42">
        <f>IF(AND(H799="Sim",I799&lt;&gt;"Aceito"),G799+ROW()/100000,0)</f>
        <v>0</v>
      </c>
    </row>
    <row r="800">
      <c r="A800" s="35" t="n"/>
      <c r="B800" s="39" t="n"/>
      <c r="C800" s="33" t="n"/>
      <c r="D800" s="35" t="n"/>
      <c r="E800" s="33" t="n"/>
      <c r="F800" s="33" t="n"/>
      <c r="G800" s="40" t="n"/>
      <c r="H800" s="35" t="n"/>
      <c r="I800" s="35" t="n"/>
      <c r="J800" s="30">
        <f>IF(B800="","",DATE(YEAR(B800),MONTH(B800),1))</f>
        <v/>
      </c>
      <c r="K800" s="41">
        <f>IF(OR(B800="",D800=""),"",D800&amp;"|"&amp;TEXT(J800,"yyyy-mm"))</f>
        <v/>
      </c>
      <c r="L800" s="24">
        <f>IF(K800="","",IFERROR(INDEX(Lotes!$N$5:$N$154,MATCH(K800,Lotes!$P$5:$P$154,0)),"Sem lote cadastrado"))</f>
        <v/>
      </c>
      <c r="M800" s="25">
        <f>IF(H800="Sim",G800,0)</f>
        <v>0</v>
      </c>
      <c r="N800" s="42">
        <f>IF(AND(H800="Sim",I800&lt;&gt;"Aceito"),G800+ROW()/100000,0)</f>
        <v>0</v>
      </c>
    </row>
    <row r="801">
      <c r="A801" s="35" t="n"/>
      <c r="B801" s="39" t="n"/>
      <c r="C801" s="33" t="n"/>
      <c r="D801" s="35" t="n"/>
      <c r="E801" s="33" t="n"/>
      <c r="F801" s="33" t="n"/>
      <c r="G801" s="40" t="n"/>
      <c r="H801" s="35" t="n"/>
      <c r="I801" s="35" t="n"/>
      <c r="J801" s="30">
        <f>IF(B801="","",DATE(YEAR(B801),MONTH(B801),1))</f>
        <v/>
      </c>
      <c r="K801" s="41">
        <f>IF(OR(B801="",D801=""),"",D801&amp;"|"&amp;TEXT(J801,"yyyy-mm"))</f>
        <v/>
      </c>
      <c r="L801" s="24">
        <f>IF(K801="","",IFERROR(INDEX(Lotes!$N$5:$N$154,MATCH(K801,Lotes!$P$5:$P$154,0)),"Sem lote cadastrado"))</f>
        <v/>
      </c>
      <c r="M801" s="25">
        <f>IF(H801="Sim",G801,0)</f>
        <v>0</v>
      </c>
      <c r="N801" s="42">
        <f>IF(AND(H801="Sim",I801&lt;&gt;"Aceito"),G801+ROW()/100000,0)</f>
        <v>0</v>
      </c>
    </row>
    <row r="802">
      <c r="A802" s="35" t="n"/>
      <c r="B802" s="39" t="n"/>
      <c r="C802" s="33" t="n"/>
      <c r="D802" s="35" t="n"/>
      <c r="E802" s="33" t="n"/>
      <c r="F802" s="33" t="n"/>
      <c r="G802" s="40" t="n"/>
      <c r="H802" s="35" t="n"/>
      <c r="I802" s="35" t="n"/>
      <c r="J802" s="30">
        <f>IF(B802="","",DATE(YEAR(B802),MONTH(B802),1))</f>
        <v/>
      </c>
      <c r="K802" s="41">
        <f>IF(OR(B802="",D802=""),"",D802&amp;"|"&amp;TEXT(J802,"yyyy-mm"))</f>
        <v/>
      </c>
      <c r="L802" s="24">
        <f>IF(K802="","",IFERROR(INDEX(Lotes!$N$5:$N$154,MATCH(K802,Lotes!$P$5:$P$154,0)),"Sem lote cadastrado"))</f>
        <v/>
      </c>
      <c r="M802" s="25">
        <f>IF(H802="Sim",G802,0)</f>
        <v>0</v>
      </c>
      <c r="N802" s="42">
        <f>IF(AND(H802="Sim",I802&lt;&gt;"Aceito"),G802+ROW()/100000,0)</f>
        <v>0</v>
      </c>
    </row>
    <row r="803">
      <c r="A803" s="35" t="n"/>
      <c r="B803" s="39" t="n"/>
      <c r="C803" s="33" t="n"/>
      <c r="D803" s="35" t="n"/>
      <c r="E803" s="33" t="n"/>
      <c r="F803" s="33" t="n"/>
      <c r="G803" s="40" t="n"/>
      <c r="H803" s="35" t="n"/>
      <c r="I803" s="35" t="n"/>
      <c r="J803" s="30">
        <f>IF(B803="","",DATE(YEAR(B803),MONTH(B803),1))</f>
        <v/>
      </c>
      <c r="K803" s="41">
        <f>IF(OR(B803="",D803=""),"",D803&amp;"|"&amp;TEXT(J803,"yyyy-mm"))</f>
        <v/>
      </c>
      <c r="L803" s="24">
        <f>IF(K803="","",IFERROR(INDEX(Lotes!$N$5:$N$154,MATCH(K803,Lotes!$P$5:$P$154,0)),"Sem lote cadastrado"))</f>
        <v/>
      </c>
      <c r="M803" s="25">
        <f>IF(H803="Sim",G803,0)</f>
        <v>0</v>
      </c>
      <c r="N803" s="42">
        <f>IF(AND(H803="Sim",I803&lt;&gt;"Aceito"),G803+ROW()/100000,0)</f>
        <v>0</v>
      </c>
    </row>
    <row r="804">
      <c r="A804" s="35" t="n"/>
      <c r="B804" s="39" t="n"/>
      <c r="C804" s="33" t="n"/>
      <c r="D804" s="35" t="n"/>
      <c r="E804" s="33" t="n"/>
      <c r="F804" s="33" t="n"/>
      <c r="G804" s="40" t="n"/>
      <c r="H804" s="35" t="n"/>
      <c r="I804" s="35" t="n"/>
      <c r="J804" s="30">
        <f>IF(B804="","",DATE(YEAR(B804),MONTH(B804),1))</f>
        <v/>
      </c>
      <c r="K804" s="41">
        <f>IF(OR(B804="",D804=""),"",D804&amp;"|"&amp;TEXT(J804,"yyyy-mm"))</f>
        <v/>
      </c>
      <c r="L804" s="24">
        <f>IF(K804="","",IFERROR(INDEX(Lotes!$N$5:$N$154,MATCH(K804,Lotes!$P$5:$P$154,0)),"Sem lote cadastrado"))</f>
        <v/>
      </c>
      <c r="M804" s="25">
        <f>IF(H804="Sim",G804,0)</f>
        <v>0</v>
      </c>
      <c r="N804" s="42">
        <f>IF(AND(H804="Sim",I804&lt;&gt;"Aceito"),G804+ROW()/100000,0)</f>
        <v>0</v>
      </c>
    </row>
    <row r="805">
      <c r="A805" s="35" t="n"/>
      <c r="B805" s="39" t="n"/>
      <c r="C805" s="33" t="n"/>
      <c r="D805" s="35" t="n"/>
      <c r="E805" s="33" t="n"/>
      <c r="F805" s="33" t="n"/>
      <c r="G805" s="40" t="n"/>
      <c r="H805" s="35" t="n"/>
      <c r="I805" s="35" t="n"/>
      <c r="J805" s="30">
        <f>IF(B805="","",DATE(YEAR(B805),MONTH(B805),1))</f>
        <v/>
      </c>
      <c r="K805" s="41">
        <f>IF(OR(B805="",D805=""),"",D805&amp;"|"&amp;TEXT(J805,"yyyy-mm"))</f>
        <v/>
      </c>
      <c r="L805" s="24">
        <f>IF(K805="","",IFERROR(INDEX(Lotes!$N$5:$N$154,MATCH(K805,Lotes!$P$5:$P$154,0)),"Sem lote cadastrado"))</f>
        <v/>
      </c>
      <c r="M805" s="25">
        <f>IF(H805="Sim",G805,0)</f>
        <v>0</v>
      </c>
      <c r="N805" s="42">
        <f>IF(AND(H805="Sim",I805&lt;&gt;"Aceito"),G805+ROW()/100000,0)</f>
        <v>0</v>
      </c>
    </row>
    <row r="806">
      <c r="A806" s="35" t="n"/>
      <c r="B806" s="39" t="n"/>
      <c r="C806" s="33" t="n"/>
      <c r="D806" s="35" t="n"/>
      <c r="E806" s="33" t="n"/>
      <c r="F806" s="33" t="n"/>
      <c r="G806" s="40" t="n"/>
      <c r="H806" s="35" t="n"/>
      <c r="I806" s="35" t="n"/>
      <c r="J806" s="30">
        <f>IF(B806="","",DATE(YEAR(B806),MONTH(B806),1))</f>
        <v/>
      </c>
      <c r="K806" s="41">
        <f>IF(OR(B806="",D806=""),"",D806&amp;"|"&amp;TEXT(J806,"yyyy-mm"))</f>
        <v/>
      </c>
      <c r="L806" s="24">
        <f>IF(K806="","",IFERROR(INDEX(Lotes!$N$5:$N$154,MATCH(K806,Lotes!$P$5:$P$154,0)),"Sem lote cadastrado"))</f>
        <v/>
      </c>
      <c r="M806" s="25">
        <f>IF(H806="Sim",G806,0)</f>
        <v>0</v>
      </c>
      <c r="N806" s="42">
        <f>IF(AND(H806="Sim",I806&lt;&gt;"Aceito"),G806+ROW()/100000,0)</f>
        <v>0</v>
      </c>
    </row>
    <row r="807">
      <c r="A807" s="35" t="n"/>
      <c r="B807" s="39" t="n"/>
      <c r="C807" s="33" t="n"/>
      <c r="D807" s="35" t="n"/>
      <c r="E807" s="33" t="n"/>
      <c r="F807" s="33" t="n"/>
      <c r="G807" s="40" t="n"/>
      <c r="H807" s="35" t="n"/>
      <c r="I807" s="35" t="n"/>
      <c r="J807" s="30">
        <f>IF(B807="","",DATE(YEAR(B807),MONTH(B807),1))</f>
        <v/>
      </c>
      <c r="K807" s="41">
        <f>IF(OR(B807="",D807=""),"",D807&amp;"|"&amp;TEXT(J807,"yyyy-mm"))</f>
        <v/>
      </c>
      <c r="L807" s="24">
        <f>IF(K807="","",IFERROR(INDEX(Lotes!$N$5:$N$154,MATCH(K807,Lotes!$P$5:$P$154,0)),"Sem lote cadastrado"))</f>
        <v/>
      </c>
      <c r="M807" s="25">
        <f>IF(H807="Sim",G807,0)</f>
        <v>0</v>
      </c>
      <c r="N807" s="42">
        <f>IF(AND(H807="Sim",I807&lt;&gt;"Aceito"),G807+ROW()/100000,0)</f>
        <v>0</v>
      </c>
    </row>
    <row r="808">
      <c r="A808" s="35" t="n"/>
      <c r="B808" s="39" t="n"/>
      <c r="C808" s="33" t="n"/>
      <c r="D808" s="35" t="n"/>
      <c r="E808" s="33" t="n"/>
      <c r="F808" s="33" t="n"/>
      <c r="G808" s="40" t="n"/>
      <c r="H808" s="35" t="n"/>
      <c r="I808" s="35" t="n"/>
      <c r="J808" s="30">
        <f>IF(B808="","",DATE(YEAR(B808),MONTH(B808),1))</f>
        <v/>
      </c>
      <c r="K808" s="41">
        <f>IF(OR(B808="",D808=""),"",D808&amp;"|"&amp;TEXT(J808,"yyyy-mm"))</f>
        <v/>
      </c>
      <c r="L808" s="24">
        <f>IF(K808="","",IFERROR(INDEX(Lotes!$N$5:$N$154,MATCH(K808,Lotes!$P$5:$P$154,0)),"Sem lote cadastrado"))</f>
        <v/>
      </c>
      <c r="M808" s="25">
        <f>IF(H808="Sim",G808,0)</f>
        <v>0</v>
      </c>
      <c r="N808" s="42">
        <f>IF(AND(H808="Sim",I808&lt;&gt;"Aceito"),G808+ROW()/100000,0)</f>
        <v>0</v>
      </c>
    </row>
    <row r="809">
      <c r="A809" s="35" t="n"/>
      <c r="B809" s="39" t="n"/>
      <c r="C809" s="33" t="n"/>
      <c r="D809" s="35" t="n"/>
      <c r="E809" s="33" t="n"/>
      <c r="F809" s="33" t="n"/>
      <c r="G809" s="40" t="n"/>
      <c r="H809" s="35" t="n"/>
      <c r="I809" s="35" t="n"/>
      <c r="J809" s="30">
        <f>IF(B809="","",DATE(YEAR(B809),MONTH(B809),1))</f>
        <v/>
      </c>
      <c r="K809" s="41">
        <f>IF(OR(B809="",D809=""),"",D809&amp;"|"&amp;TEXT(J809,"yyyy-mm"))</f>
        <v/>
      </c>
      <c r="L809" s="24">
        <f>IF(K809="","",IFERROR(INDEX(Lotes!$N$5:$N$154,MATCH(K809,Lotes!$P$5:$P$154,0)),"Sem lote cadastrado"))</f>
        <v/>
      </c>
      <c r="M809" s="25">
        <f>IF(H809="Sim",G809,0)</f>
        <v>0</v>
      </c>
      <c r="N809" s="42">
        <f>IF(AND(H809="Sim",I809&lt;&gt;"Aceito"),G809+ROW()/100000,0)</f>
        <v>0</v>
      </c>
    </row>
    <row r="810">
      <c r="A810" s="35" t="n"/>
      <c r="B810" s="39" t="n"/>
      <c r="C810" s="33" t="n"/>
      <c r="D810" s="35" t="n"/>
      <c r="E810" s="33" t="n"/>
      <c r="F810" s="33" t="n"/>
      <c r="G810" s="40" t="n"/>
      <c r="H810" s="35" t="n"/>
      <c r="I810" s="35" t="n"/>
      <c r="J810" s="30">
        <f>IF(B810="","",DATE(YEAR(B810),MONTH(B810),1))</f>
        <v/>
      </c>
      <c r="K810" s="41">
        <f>IF(OR(B810="",D810=""),"",D810&amp;"|"&amp;TEXT(J810,"yyyy-mm"))</f>
        <v/>
      </c>
      <c r="L810" s="24">
        <f>IF(K810="","",IFERROR(INDEX(Lotes!$N$5:$N$154,MATCH(K810,Lotes!$P$5:$P$154,0)),"Sem lote cadastrado"))</f>
        <v/>
      </c>
      <c r="M810" s="25">
        <f>IF(H810="Sim",G810,0)</f>
        <v>0</v>
      </c>
      <c r="N810" s="42">
        <f>IF(AND(H810="Sim",I810&lt;&gt;"Aceito"),G810+ROW()/100000,0)</f>
        <v>0</v>
      </c>
    </row>
    <row r="811">
      <c r="A811" s="35" t="n"/>
      <c r="B811" s="39" t="n"/>
      <c r="C811" s="33" t="n"/>
      <c r="D811" s="35" t="n"/>
      <c r="E811" s="33" t="n"/>
      <c r="F811" s="33" t="n"/>
      <c r="G811" s="40" t="n"/>
      <c r="H811" s="35" t="n"/>
      <c r="I811" s="35" t="n"/>
      <c r="J811" s="30">
        <f>IF(B811="","",DATE(YEAR(B811),MONTH(B811),1))</f>
        <v/>
      </c>
      <c r="K811" s="41">
        <f>IF(OR(B811="",D811=""),"",D811&amp;"|"&amp;TEXT(J811,"yyyy-mm"))</f>
        <v/>
      </c>
      <c r="L811" s="24">
        <f>IF(K811="","",IFERROR(INDEX(Lotes!$N$5:$N$154,MATCH(K811,Lotes!$P$5:$P$154,0)),"Sem lote cadastrado"))</f>
        <v/>
      </c>
      <c r="M811" s="25">
        <f>IF(H811="Sim",G811,0)</f>
        <v>0</v>
      </c>
      <c r="N811" s="42">
        <f>IF(AND(H811="Sim",I811&lt;&gt;"Aceito"),G811+ROW()/100000,0)</f>
        <v>0</v>
      </c>
    </row>
    <row r="812">
      <c r="A812" s="35" t="n"/>
      <c r="B812" s="39" t="n"/>
      <c r="C812" s="33" t="n"/>
      <c r="D812" s="35" t="n"/>
      <c r="E812" s="33" t="n"/>
      <c r="F812" s="33" t="n"/>
      <c r="G812" s="40" t="n"/>
      <c r="H812" s="35" t="n"/>
      <c r="I812" s="35" t="n"/>
      <c r="J812" s="30">
        <f>IF(B812="","",DATE(YEAR(B812),MONTH(B812),1))</f>
        <v/>
      </c>
      <c r="K812" s="41">
        <f>IF(OR(B812="",D812=""),"",D812&amp;"|"&amp;TEXT(J812,"yyyy-mm"))</f>
        <v/>
      </c>
      <c r="L812" s="24">
        <f>IF(K812="","",IFERROR(INDEX(Lotes!$N$5:$N$154,MATCH(K812,Lotes!$P$5:$P$154,0)),"Sem lote cadastrado"))</f>
        <v/>
      </c>
      <c r="M812" s="25">
        <f>IF(H812="Sim",G812,0)</f>
        <v>0</v>
      </c>
      <c r="N812" s="42">
        <f>IF(AND(H812="Sim",I812&lt;&gt;"Aceito"),G812+ROW()/100000,0)</f>
        <v>0</v>
      </c>
    </row>
    <row r="813">
      <c r="A813" s="35" t="n"/>
      <c r="B813" s="39" t="n"/>
      <c r="C813" s="33" t="n"/>
      <c r="D813" s="35" t="n"/>
      <c r="E813" s="33" t="n"/>
      <c r="F813" s="33" t="n"/>
      <c r="G813" s="40" t="n"/>
      <c r="H813" s="35" t="n"/>
      <c r="I813" s="35" t="n"/>
      <c r="J813" s="30">
        <f>IF(B813="","",DATE(YEAR(B813),MONTH(B813),1))</f>
        <v/>
      </c>
      <c r="K813" s="41">
        <f>IF(OR(B813="",D813=""),"",D813&amp;"|"&amp;TEXT(J813,"yyyy-mm"))</f>
        <v/>
      </c>
      <c r="L813" s="24">
        <f>IF(K813="","",IFERROR(INDEX(Lotes!$N$5:$N$154,MATCH(K813,Lotes!$P$5:$P$154,0)),"Sem lote cadastrado"))</f>
        <v/>
      </c>
      <c r="M813" s="25">
        <f>IF(H813="Sim",G813,0)</f>
        <v>0</v>
      </c>
      <c r="N813" s="42">
        <f>IF(AND(H813="Sim",I813&lt;&gt;"Aceito"),G813+ROW()/100000,0)</f>
        <v>0</v>
      </c>
    </row>
    <row r="814">
      <c r="A814" s="35" t="n"/>
      <c r="B814" s="39" t="n"/>
      <c r="C814" s="33" t="n"/>
      <c r="D814" s="35" t="n"/>
      <c r="E814" s="33" t="n"/>
      <c r="F814" s="33" t="n"/>
      <c r="G814" s="40" t="n"/>
      <c r="H814" s="35" t="n"/>
      <c r="I814" s="35" t="n"/>
      <c r="J814" s="30">
        <f>IF(B814="","",DATE(YEAR(B814),MONTH(B814),1))</f>
        <v/>
      </c>
      <c r="K814" s="41">
        <f>IF(OR(B814="",D814=""),"",D814&amp;"|"&amp;TEXT(J814,"yyyy-mm"))</f>
        <v/>
      </c>
      <c r="L814" s="24">
        <f>IF(K814="","",IFERROR(INDEX(Lotes!$N$5:$N$154,MATCH(K814,Lotes!$P$5:$P$154,0)),"Sem lote cadastrado"))</f>
        <v/>
      </c>
      <c r="M814" s="25">
        <f>IF(H814="Sim",G814,0)</f>
        <v>0</v>
      </c>
      <c r="N814" s="42">
        <f>IF(AND(H814="Sim",I814&lt;&gt;"Aceito"),G814+ROW()/100000,0)</f>
        <v>0</v>
      </c>
    </row>
    <row r="815">
      <c r="A815" s="35" t="n"/>
      <c r="B815" s="39" t="n"/>
      <c r="C815" s="33" t="n"/>
      <c r="D815" s="35" t="n"/>
      <c r="E815" s="33" t="n"/>
      <c r="F815" s="33" t="n"/>
      <c r="G815" s="40" t="n"/>
      <c r="H815" s="35" t="n"/>
      <c r="I815" s="35" t="n"/>
      <c r="J815" s="30">
        <f>IF(B815="","",DATE(YEAR(B815),MONTH(B815),1))</f>
        <v/>
      </c>
      <c r="K815" s="41">
        <f>IF(OR(B815="",D815=""),"",D815&amp;"|"&amp;TEXT(J815,"yyyy-mm"))</f>
        <v/>
      </c>
      <c r="L815" s="24">
        <f>IF(K815="","",IFERROR(INDEX(Lotes!$N$5:$N$154,MATCH(K815,Lotes!$P$5:$P$154,0)),"Sem lote cadastrado"))</f>
        <v/>
      </c>
      <c r="M815" s="25">
        <f>IF(H815="Sim",G815,0)</f>
        <v>0</v>
      </c>
      <c r="N815" s="42">
        <f>IF(AND(H815="Sim",I815&lt;&gt;"Aceito"),G815+ROW()/100000,0)</f>
        <v>0</v>
      </c>
    </row>
    <row r="816">
      <c r="A816" s="35" t="n"/>
      <c r="B816" s="39" t="n"/>
      <c r="C816" s="33" t="n"/>
      <c r="D816" s="35" t="n"/>
      <c r="E816" s="33" t="n"/>
      <c r="F816" s="33" t="n"/>
      <c r="G816" s="40" t="n"/>
      <c r="H816" s="35" t="n"/>
      <c r="I816" s="35" t="n"/>
      <c r="J816" s="30">
        <f>IF(B816="","",DATE(YEAR(B816),MONTH(B816),1))</f>
        <v/>
      </c>
      <c r="K816" s="41">
        <f>IF(OR(B816="",D816=""),"",D816&amp;"|"&amp;TEXT(J816,"yyyy-mm"))</f>
        <v/>
      </c>
      <c r="L816" s="24">
        <f>IF(K816="","",IFERROR(INDEX(Lotes!$N$5:$N$154,MATCH(K816,Lotes!$P$5:$P$154,0)),"Sem lote cadastrado"))</f>
        <v/>
      </c>
      <c r="M816" s="25">
        <f>IF(H816="Sim",G816,0)</f>
        <v>0</v>
      </c>
      <c r="N816" s="42">
        <f>IF(AND(H816="Sim",I816&lt;&gt;"Aceito"),G816+ROW()/100000,0)</f>
        <v>0</v>
      </c>
    </row>
    <row r="817">
      <c r="A817" s="35" t="n"/>
      <c r="B817" s="39" t="n"/>
      <c r="C817" s="33" t="n"/>
      <c r="D817" s="35" t="n"/>
      <c r="E817" s="33" t="n"/>
      <c r="F817" s="33" t="n"/>
      <c r="G817" s="40" t="n"/>
      <c r="H817" s="35" t="n"/>
      <c r="I817" s="35" t="n"/>
      <c r="J817" s="30">
        <f>IF(B817="","",DATE(YEAR(B817),MONTH(B817),1))</f>
        <v/>
      </c>
      <c r="K817" s="41">
        <f>IF(OR(B817="",D817=""),"",D817&amp;"|"&amp;TEXT(J817,"yyyy-mm"))</f>
        <v/>
      </c>
      <c r="L817" s="24">
        <f>IF(K817="","",IFERROR(INDEX(Lotes!$N$5:$N$154,MATCH(K817,Lotes!$P$5:$P$154,0)),"Sem lote cadastrado"))</f>
        <v/>
      </c>
      <c r="M817" s="25">
        <f>IF(H817="Sim",G817,0)</f>
        <v>0</v>
      </c>
      <c r="N817" s="42">
        <f>IF(AND(H817="Sim",I817&lt;&gt;"Aceito"),G817+ROW()/100000,0)</f>
        <v>0</v>
      </c>
    </row>
    <row r="818">
      <c r="A818" s="35" t="n"/>
      <c r="B818" s="39" t="n"/>
      <c r="C818" s="33" t="n"/>
      <c r="D818" s="35" t="n"/>
      <c r="E818" s="33" t="n"/>
      <c r="F818" s="33" t="n"/>
      <c r="G818" s="40" t="n"/>
      <c r="H818" s="35" t="n"/>
      <c r="I818" s="35" t="n"/>
      <c r="J818" s="30">
        <f>IF(B818="","",DATE(YEAR(B818),MONTH(B818),1))</f>
        <v/>
      </c>
      <c r="K818" s="41">
        <f>IF(OR(B818="",D818=""),"",D818&amp;"|"&amp;TEXT(J818,"yyyy-mm"))</f>
        <v/>
      </c>
      <c r="L818" s="24">
        <f>IF(K818="","",IFERROR(INDEX(Lotes!$N$5:$N$154,MATCH(K818,Lotes!$P$5:$P$154,0)),"Sem lote cadastrado"))</f>
        <v/>
      </c>
      <c r="M818" s="25">
        <f>IF(H818="Sim",G818,0)</f>
        <v>0</v>
      </c>
      <c r="N818" s="42">
        <f>IF(AND(H818="Sim",I818&lt;&gt;"Aceito"),G818+ROW()/100000,0)</f>
        <v>0</v>
      </c>
    </row>
    <row r="819">
      <c r="A819" s="35" t="n"/>
      <c r="B819" s="39" t="n"/>
      <c r="C819" s="33" t="n"/>
      <c r="D819" s="35" t="n"/>
      <c r="E819" s="33" t="n"/>
      <c r="F819" s="33" t="n"/>
      <c r="G819" s="40" t="n"/>
      <c r="H819" s="35" t="n"/>
      <c r="I819" s="35" t="n"/>
      <c r="J819" s="30">
        <f>IF(B819="","",DATE(YEAR(B819),MONTH(B819),1))</f>
        <v/>
      </c>
      <c r="K819" s="41">
        <f>IF(OR(B819="",D819=""),"",D819&amp;"|"&amp;TEXT(J819,"yyyy-mm"))</f>
        <v/>
      </c>
      <c r="L819" s="24">
        <f>IF(K819="","",IFERROR(INDEX(Lotes!$N$5:$N$154,MATCH(K819,Lotes!$P$5:$P$154,0)),"Sem lote cadastrado"))</f>
        <v/>
      </c>
      <c r="M819" s="25">
        <f>IF(H819="Sim",G819,0)</f>
        <v>0</v>
      </c>
      <c r="N819" s="42">
        <f>IF(AND(H819="Sim",I819&lt;&gt;"Aceito"),G819+ROW()/100000,0)</f>
        <v>0</v>
      </c>
    </row>
    <row r="820">
      <c r="A820" s="35" t="n"/>
      <c r="B820" s="39" t="n"/>
      <c r="C820" s="33" t="n"/>
      <c r="D820" s="35" t="n"/>
      <c r="E820" s="33" t="n"/>
      <c r="F820" s="33" t="n"/>
      <c r="G820" s="40" t="n"/>
      <c r="H820" s="35" t="n"/>
      <c r="I820" s="35" t="n"/>
      <c r="J820" s="30">
        <f>IF(B820="","",DATE(YEAR(B820),MONTH(B820),1))</f>
        <v/>
      </c>
      <c r="K820" s="41">
        <f>IF(OR(B820="",D820=""),"",D820&amp;"|"&amp;TEXT(J820,"yyyy-mm"))</f>
        <v/>
      </c>
      <c r="L820" s="24">
        <f>IF(K820="","",IFERROR(INDEX(Lotes!$N$5:$N$154,MATCH(K820,Lotes!$P$5:$P$154,0)),"Sem lote cadastrado"))</f>
        <v/>
      </c>
      <c r="M820" s="25">
        <f>IF(H820="Sim",G820,0)</f>
        <v>0</v>
      </c>
      <c r="N820" s="42">
        <f>IF(AND(H820="Sim",I820&lt;&gt;"Aceito"),G820+ROW()/100000,0)</f>
        <v>0</v>
      </c>
    </row>
    <row r="821">
      <c r="A821" s="35" t="n"/>
      <c r="B821" s="39" t="n"/>
      <c r="C821" s="33" t="n"/>
      <c r="D821" s="35" t="n"/>
      <c r="E821" s="33" t="n"/>
      <c r="F821" s="33" t="n"/>
      <c r="G821" s="40" t="n"/>
      <c r="H821" s="35" t="n"/>
      <c r="I821" s="35" t="n"/>
      <c r="J821" s="30">
        <f>IF(B821="","",DATE(YEAR(B821),MONTH(B821),1))</f>
        <v/>
      </c>
      <c r="K821" s="41">
        <f>IF(OR(B821="",D821=""),"",D821&amp;"|"&amp;TEXT(J821,"yyyy-mm"))</f>
        <v/>
      </c>
      <c r="L821" s="24">
        <f>IF(K821="","",IFERROR(INDEX(Lotes!$N$5:$N$154,MATCH(K821,Lotes!$P$5:$P$154,0)),"Sem lote cadastrado"))</f>
        <v/>
      </c>
      <c r="M821" s="25">
        <f>IF(H821="Sim",G821,0)</f>
        <v>0</v>
      </c>
      <c r="N821" s="42">
        <f>IF(AND(H821="Sim",I821&lt;&gt;"Aceito"),G821+ROW()/100000,0)</f>
        <v>0</v>
      </c>
    </row>
    <row r="822">
      <c r="A822" s="35" t="n"/>
      <c r="B822" s="39" t="n"/>
      <c r="C822" s="33" t="n"/>
      <c r="D822" s="35" t="n"/>
      <c r="E822" s="33" t="n"/>
      <c r="F822" s="33" t="n"/>
      <c r="G822" s="40" t="n"/>
      <c r="H822" s="35" t="n"/>
      <c r="I822" s="35" t="n"/>
      <c r="J822" s="30">
        <f>IF(B822="","",DATE(YEAR(B822),MONTH(B822),1))</f>
        <v/>
      </c>
      <c r="K822" s="41">
        <f>IF(OR(B822="",D822=""),"",D822&amp;"|"&amp;TEXT(J822,"yyyy-mm"))</f>
        <v/>
      </c>
      <c r="L822" s="24">
        <f>IF(K822="","",IFERROR(INDEX(Lotes!$N$5:$N$154,MATCH(K822,Lotes!$P$5:$P$154,0)),"Sem lote cadastrado"))</f>
        <v/>
      </c>
      <c r="M822" s="25">
        <f>IF(H822="Sim",G822,0)</f>
        <v>0</v>
      </c>
      <c r="N822" s="42">
        <f>IF(AND(H822="Sim",I822&lt;&gt;"Aceito"),G822+ROW()/100000,0)</f>
        <v>0</v>
      </c>
    </row>
    <row r="823">
      <c r="A823" s="35" t="n"/>
      <c r="B823" s="39" t="n"/>
      <c r="C823" s="33" t="n"/>
      <c r="D823" s="35" t="n"/>
      <c r="E823" s="33" t="n"/>
      <c r="F823" s="33" t="n"/>
      <c r="G823" s="40" t="n"/>
      <c r="H823" s="35" t="n"/>
      <c r="I823" s="35" t="n"/>
      <c r="J823" s="30">
        <f>IF(B823="","",DATE(YEAR(B823),MONTH(B823),1))</f>
        <v/>
      </c>
      <c r="K823" s="41">
        <f>IF(OR(B823="",D823=""),"",D823&amp;"|"&amp;TEXT(J823,"yyyy-mm"))</f>
        <v/>
      </c>
      <c r="L823" s="24">
        <f>IF(K823="","",IFERROR(INDEX(Lotes!$N$5:$N$154,MATCH(K823,Lotes!$P$5:$P$154,0)),"Sem lote cadastrado"))</f>
        <v/>
      </c>
      <c r="M823" s="25">
        <f>IF(H823="Sim",G823,0)</f>
        <v>0</v>
      </c>
      <c r="N823" s="42">
        <f>IF(AND(H823="Sim",I823&lt;&gt;"Aceito"),G823+ROW()/100000,0)</f>
        <v>0</v>
      </c>
    </row>
    <row r="824">
      <c r="A824" s="35" t="n"/>
      <c r="B824" s="39" t="n"/>
      <c r="C824" s="33" t="n"/>
      <c r="D824" s="35" t="n"/>
      <c r="E824" s="33" t="n"/>
      <c r="F824" s="33" t="n"/>
      <c r="G824" s="40" t="n"/>
      <c r="H824" s="35" t="n"/>
      <c r="I824" s="35" t="n"/>
      <c r="J824" s="30">
        <f>IF(B824="","",DATE(YEAR(B824),MONTH(B824),1))</f>
        <v/>
      </c>
      <c r="K824" s="41">
        <f>IF(OR(B824="",D824=""),"",D824&amp;"|"&amp;TEXT(J824,"yyyy-mm"))</f>
        <v/>
      </c>
      <c r="L824" s="24">
        <f>IF(K824="","",IFERROR(INDEX(Lotes!$N$5:$N$154,MATCH(K824,Lotes!$P$5:$P$154,0)),"Sem lote cadastrado"))</f>
        <v/>
      </c>
      <c r="M824" s="25">
        <f>IF(H824="Sim",G824,0)</f>
        <v>0</v>
      </c>
      <c r="N824" s="42">
        <f>IF(AND(H824="Sim",I824&lt;&gt;"Aceito"),G824+ROW()/100000,0)</f>
        <v>0</v>
      </c>
    </row>
    <row r="825">
      <c r="A825" s="35" t="n"/>
      <c r="B825" s="39" t="n"/>
      <c r="C825" s="33" t="n"/>
      <c r="D825" s="35" t="n"/>
      <c r="E825" s="33" t="n"/>
      <c r="F825" s="33" t="n"/>
      <c r="G825" s="40" t="n"/>
      <c r="H825" s="35" t="n"/>
      <c r="I825" s="35" t="n"/>
      <c r="J825" s="30">
        <f>IF(B825="","",DATE(YEAR(B825),MONTH(B825),1))</f>
        <v/>
      </c>
      <c r="K825" s="41">
        <f>IF(OR(B825="",D825=""),"",D825&amp;"|"&amp;TEXT(J825,"yyyy-mm"))</f>
        <v/>
      </c>
      <c r="L825" s="24">
        <f>IF(K825="","",IFERROR(INDEX(Lotes!$N$5:$N$154,MATCH(K825,Lotes!$P$5:$P$154,0)),"Sem lote cadastrado"))</f>
        <v/>
      </c>
      <c r="M825" s="25">
        <f>IF(H825="Sim",G825,0)</f>
        <v>0</v>
      </c>
      <c r="N825" s="42">
        <f>IF(AND(H825="Sim",I825&lt;&gt;"Aceito"),G825+ROW()/100000,0)</f>
        <v>0</v>
      </c>
    </row>
    <row r="826">
      <c r="A826" s="35" t="n"/>
      <c r="B826" s="39" t="n"/>
      <c r="C826" s="33" t="n"/>
      <c r="D826" s="35" t="n"/>
      <c r="E826" s="33" t="n"/>
      <c r="F826" s="33" t="n"/>
      <c r="G826" s="40" t="n"/>
      <c r="H826" s="35" t="n"/>
      <c r="I826" s="35" t="n"/>
      <c r="J826" s="30">
        <f>IF(B826="","",DATE(YEAR(B826),MONTH(B826),1))</f>
        <v/>
      </c>
      <c r="K826" s="41">
        <f>IF(OR(B826="",D826=""),"",D826&amp;"|"&amp;TEXT(J826,"yyyy-mm"))</f>
        <v/>
      </c>
      <c r="L826" s="24">
        <f>IF(K826="","",IFERROR(INDEX(Lotes!$N$5:$N$154,MATCH(K826,Lotes!$P$5:$P$154,0)),"Sem lote cadastrado"))</f>
        <v/>
      </c>
      <c r="M826" s="25">
        <f>IF(H826="Sim",G826,0)</f>
        <v>0</v>
      </c>
      <c r="N826" s="42">
        <f>IF(AND(H826="Sim",I826&lt;&gt;"Aceito"),G826+ROW()/100000,0)</f>
        <v>0</v>
      </c>
    </row>
    <row r="827">
      <c r="A827" s="35" t="n"/>
      <c r="B827" s="39" t="n"/>
      <c r="C827" s="33" t="n"/>
      <c r="D827" s="35" t="n"/>
      <c r="E827" s="33" t="n"/>
      <c r="F827" s="33" t="n"/>
      <c r="G827" s="40" t="n"/>
      <c r="H827" s="35" t="n"/>
      <c r="I827" s="35" t="n"/>
      <c r="J827" s="30">
        <f>IF(B827="","",DATE(YEAR(B827),MONTH(B827),1))</f>
        <v/>
      </c>
      <c r="K827" s="41">
        <f>IF(OR(B827="",D827=""),"",D827&amp;"|"&amp;TEXT(J827,"yyyy-mm"))</f>
        <v/>
      </c>
      <c r="L827" s="24">
        <f>IF(K827="","",IFERROR(INDEX(Lotes!$N$5:$N$154,MATCH(K827,Lotes!$P$5:$P$154,0)),"Sem lote cadastrado"))</f>
        <v/>
      </c>
      <c r="M827" s="25">
        <f>IF(H827="Sim",G827,0)</f>
        <v>0</v>
      </c>
      <c r="N827" s="42">
        <f>IF(AND(H827="Sim",I827&lt;&gt;"Aceito"),G827+ROW()/100000,0)</f>
        <v>0</v>
      </c>
    </row>
    <row r="828">
      <c r="A828" s="35" t="n"/>
      <c r="B828" s="39" t="n"/>
      <c r="C828" s="33" t="n"/>
      <c r="D828" s="35" t="n"/>
      <c r="E828" s="33" t="n"/>
      <c r="F828" s="33" t="n"/>
      <c r="G828" s="40" t="n"/>
      <c r="H828" s="35" t="n"/>
      <c r="I828" s="35" t="n"/>
      <c r="J828" s="30">
        <f>IF(B828="","",DATE(YEAR(B828),MONTH(B828),1))</f>
        <v/>
      </c>
      <c r="K828" s="41">
        <f>IF(OR(B828="",D828=""),"",D828&amp;"|"&amp;TEXT(J828,"yyyy-mm"))</f>
        <v/>
      </c>
      <c r="L828" s="24">
        <f>IF(K828="","",IFERROR(INDEX(Lotes!$N$5:$N$154,MATCH(K828,Lotes!$P$5:$P$154,0)),"Sem lote cadastrado"))</f>
        <v/>
      </c>
      <c r="M828" s="25">
        <f>IF(H828="Sim",G828,0)</f>
        <v>0</v>
      </c>
      <c r="N828" s="42">
        <f>IF(AND(H828="Sim",I828&lt;&gt;"Aceito"),G828+ROW()/100000,0)</f>
        <v>0</v>
      </c>
    </row>
    <row r="829">
      <c r="A829" s="35" t="n"/>
      <c r="B829" s="39" t="n"/>
      <c r="C829" s="33" t="n"/>
      <c r="D829" s="35" t="n"/>
      <c r="E829" s="33" t="n"/>
      <c r="F829" s="33" t="n"/>
      <c r="G829" s="40" t="n"/>
      <c r="H829" s="35" t="n"/>
      <c r="I829" s="35" t="n"/>
      <c r="J829" s="30">
        <f>IF(B829="","",DATE(YEAR(B829),MONTH(B829),1))</f>
        <v/>
      </c>
      <c r="K829" s="41">
        <f>IF(OR(B829="",D829=""),"",D829&amp;"|"&amp;TEXT(J829,"yyyy-mm"))</f>
        <v/>
      </c>
      <c r="L829" s="24">
        <f>IF(K829="","",IFERROR(INDEX(Lotes!$N$5:$N$154,MATCH(K829,Lotes!$P$5:$P$154,0)),"Sem lote cadastrado"))</f>
        <v/>
      </c>
      <c r="M829" s="25">
        <f>IF(H829="Sim",G829,0)</f>
        <v>0</v>
      </c>
      <c r="N829" s="42">
        <f>IF(AND(H829="Sim",I829&lt;&gt;"Aceito"),G829+ROW()/100000,0)</f>
        <v>0</v>
      </c>
    </row>
    <row r="830">
      <c r="A830" s="35" t="n"/>
      <c r="B830" s="39" t="n"/>
      <c r="C830" s="33" t="n"/>
      <c r="D830" s="35" t="n"/>
      <c r="E830" s="33" t="n"/>
      <c r="F830" s="33" t="n"/>
      <c r="G830" s="40" t="n"/>
      <c r="H830" s="35" t="n"/>
      <c r="I830" s="35" t="n"/>
      <c r="J830" s="30">
        <f>IF(B830="","",DATE(YEAR(B830),MONTH(B830),1))</f>
        <v/>
      </c>
      <c r="K830" s="41">
        <f>IF(OR(B830="",D830=""),"",D830&amp;"|"&amp;TEXT(J830,"yyyy-mm"))</f>
        <v/>
      </c>
      <c r="L830" s="24">
        <f>IF(K830="","",IFERROR(INDEX(Lotes!$N$5:$N$154,MATCH(K830,Lotes!$P$5:$P$154,0)),"Sem lote cadastrado"))</f>
        <v/>
      </c>
      <c r="M830" s="25">
        <f>IF(H830="Sim",G830,0)</f>
        <v>0</v>
      </c>
      <c r="N830" s="42">
        <f>IF(AND(H830="Sim",I830&lt;&gt;"Aceito"),G830+ROW()/100000,0)</f>
        <v>0</v>
      </c>
    </row>
    <row r="831">
      <c r="A831" s="35" t="n"/>
      <c r="B831" s="39" t="n"/>
      <c r="C831" s="33" t="n"/>
      <c r="D831" s="35" t="n"/>
      <c r="E831" s="33" t="n"/>
      <c r="F831" s="33" t="n"/>
      <c r="G831" s="40" t="n"/>
      <c r="H831" s="35" t="n"/>
      <c r="I831" s="35" t="n"/>
      <c r="J831" s="30">
        <f>IF(B831="","",DATE(YEAR(B831),MONTH(B831),1))</f>
        <v/>
      </c>
      <c r="K831" s="41">
        <f>IF(OR(B831="",D831=""),"",D831&amp;"|"&amp;TEXT(J831,"yyyy-mm"))</f>
        <v/>
      </c>
      <c r="L831" s="24">
        <f>IF(K831="","",IFERROR(INDEX(Lotes!$N$5:$N$154,MATCH(K831,Lotes!$P$5:$P$154,0)),"Sem lote cadastrado"))</f>
        <v/>
      </c>
      <c r="M831" s="25">
        <f>IF(H831="Sim",G831,0)</f>
        <v>0</v>
      </c>
      <c r="N831" s="42">
        <f>IF(AND(H831="Sim",I831&lt;&gt;"Aceito"),G831+ROW()/100000,0)</f>
        <v>0</v>
      </c>
    </row>
    <row r="832">
      <c r="A832" s="35" t="n"/>
      <c r="B832" s="39" t="n"/>
      <c r="C832" s="33" t="n"/>
      <c r="D832" s="35" t="n"/>
      <c r="E832" s="33" t="n"/>
      <c r="F832" s="33" t="n"/>
      <c r="G832" s="40" t="n"/>
      <c r="H832" s="35" t="n"/>
      <c r="I832" s="35" t="n"/>
      <c r="J832" s="30">
        <f>IF(B832="","",DATE(YEAR(B832),MONTH(B832),1))</f>
        <v/>
      </c>
      <c r="K832" s="41">
        <f>IF(OR(B832="",D832=""),"",D832&amp;"|"&amp;TEXT(J832,"yyyy-mm"))</f>
        <v/>
      </c>
      <c r="L832" s="24">
        <f>IF(K832="","",IFERROR(INDEX(Lotes!$N$5:$N$154,MATCH(K832,Lotes!$P$5:$P$154,0)),"Sem lote cadastrado"))</f>
        <v/>
      </c>
      <c r="M832" s="25">
        <f>IF(H832="Sim",G832,0)</f>
        <v>0</v>
      </c>
      <c r="N832" s="42">
        <f>IF(AND(H832="Sim",I832&lt;&gt;"Aceito"),G832+ROW()/100000,0)</f>
        <v>0</v>
      </c>
    </row>
    <row r="833">
      <c r="A833" s="35" t="n"/>
      <c r="B833" s="39" t="n"/>
      <c r="C833" s="33" t="n"/>
      <c r="D833" s="35" t="n"/>
      <c r="E833" s="33" t="n"/>
      <c r="F833" s="33" t="n"/>
      <c r="G833" s="40" t="n"/>
      <c r="H833" s="35" t="n"/>
      <c r="I833" s="35" t="n"/>
      <c r="J833" s="30">
        <f>IF(B833="","",DATE(YEAR(B833),MONTH(B833),1))</f>
        <v/>
      </c>
      <c r="K833" s="41">
        <f>IF(OR(B833="",D833=""),"",D833&amp;"|"&amp;TEXT(J833,"yyyy-mm"))</f>
        <v/>
      </c>
      <c r="L833" s="24">
        <f>IF(K833="","",IFERROR(INDEX(Lotes!$N$5:$N$154,MATCH(K833,Lotes!$P$5:$P$154,0)),"Sem lote cadastrado"))</f>
        <v/>
      </c>
      <c r="M833" s="25">
        <f>IF(H833="Sim",G833,0)</f>
        <v>0</v>
      </c>
      <c r="N833" s="42">
        <f>IF(AND(H833="Sim",I833&lt;&gt;"Aceito"),G833+ROW()/100000,0)</f>
        <v>0</v>
      </c>
    </row>
    <row r="834">
      <c r="A834" s="35" t="n"/>
      <c r="B834" s="39" t="n"/>
      <c r="C834" s="33" t="n"/>
      <c r="D834" s="35" t="n"/>
      <c r="E834" s="33" t="n"/>
      <c r="F834" s="33" t="n"/>
      <c r="G834" s="40" t="n"/>
      <c r="H834" s="35" t="n"/>
      <c r="I834" s="35" t="n"/>
      <c r="J834" s="30">
        <f>IF(B834="","",DATE(YEAR(B834),MONTH(B834),1))</f>
        <v/>
      </c>
      <c r="K834" s="41">
        <f>IF(OR(B834="",D834=""),"",D834&amp;"|"&amp;TEXT(J834,"yyyy-mm"))</f>
        <v/>
      </c>
      <c r="L834" s="24">
        <f>IF(K834="","",IFERROR(INDEX(Lotes!$N$5:$N$154,MATCH(K834,Lotes!$P$5:$P$154,0)),"Sem lote cadastrado"))</f>
        <v/>
      </c>
      <c r="M834" s="25">
        <f>IF(H834="Sim",G834,0)</f>
        <v>0</v>
      </c>
      <c r="N834" s="42">
        <f>IF(AND(H834="Sim",I834&lt;&gt;"Aceito"),G834+ROW()/100000,0)</f>
        <v>0</v>
      </c>
    </row>
    <row r="835">
      <c r="A835" s="35" t="n"/>
      <c r="B835" s="39" t="n"/>
      <c r="C835" s="33" t="n"/>
      <c r="D835" s="35" t="n"/>
      <c r="E835" s="33" t="n"/>
      <c r="F835" s="33" t="n"/>
      <c r="G835" s="40" t="n"/>
      <c r="H835" s="35" t="n"/>
      <c r="I835" s="35" t="n"/>
      <c r="J835" s="30">
        <f>IF(B835="","",DATE(YEAR(B835),MONTH(B835),1))</f>
        <v/>
      </c>
      <c r="K835" s="41">
        <f>IF(OR(B835="",D835=""),"",D835&amp;"|"&amp;TEXT(J835,"yyyy-mm"))</f>
        <v/>
      </c>
      <c r="L835" s="24">
        <f>IF(K835="","",IFERROR(INDEX(Lotes!$N$5:$N$154,MATCH(K835,Lotes!$P$5:$P$154,0)),"Sem lote cadastrado"))</f>
        <v/>
      </c>
      <c r="M835" s="25">
        <f>IF(H835="Sim",G835,0)</f>
        <v>0</v>
      </c>
      <c r="N835" s="42">
        <f>IF(AND(H835="Sim",I835&lt;&gt;"Aceito"),G835+ROW()/100000,0)</f>
        <v>0</v>
      </c>
    </row>
    <row r="836">
      <c r="A836" s="35" t="n"/>
      <c r="B836" s="39" t="n"/>
      <c r="C836" s="33" t="n"/>
      <c r="D836" s="35" t="n"/>
      <c r="E836" s="33" t="n"/>
      <c r="F836" s="33" t="n"/>
      <c r="G836" s="40" t="n"/>
      <c r="H836" s="35" t="n"/>
      <c r="I836" s="35" t="n"/>
      <c r="J836" s="30">
        <f>IF(B836="","",DATE(YEAR(B836),MONTH(B836),1))</f>
        <v/>
      </c>
      <c r="K836" s="41">
        <f>IF(OR(B836="",D836=""),"",D836&amp;"|"&amp;TEXT(J836,"yyyy-mm"))</f>
        <v/>
      </c>
      <c r="L836" s="24">
        <f>IF(K836="","",IFERROR(INDEX(Lotes!$N$5:$N$154,MATCH(K836,Lotes!$P$5:$P$154,0)),"Sem lote cadastrado"))</f>
        <v/>
      </c>
      <c r="M836" s="25">
        <f>IF(H836="Sim",G836,0)</f>
        <v>0</v>
      </c>
      <c r="N836" s="42">
        <f>IF(AND(H836="Sim",I836&lt;&gt;"Aceito"),G836+ROW()/100000,0)</f>
        <v>0</v>
      </c>
    </row>
    <row r="837">
      <c r="A837" s="35" t="n"/>
      <c r="B837" s="39" t="n"/>
      <c r="C837" s="33" t="n"/>
      <c r="D837" s="35" t="n"/>
      <c r="E837" s="33" t="n"/>
      <c r="F837" s="33" t="n"/>
      <c r="G837" s="40" t="n"/>
      <c r="H837" s="35" t="n"/>
      <c r="I837" s="35" t="n"/>
      <c r="J837" s="30">
        <f>IF(B837="","",DATE(YEAR(B837),MONTH(B837),1))</f>
        <v/>
      </c>
      <c r="K837" s="41">
        <f>IF(OR(B837="",D837=""),"",D837&amp;"|"&amp;TEXT(J837,"yyyy-mm"))</f>
        <v/>
      </c>
      <c r="L837" s="24">
        <f>IF(K837="","",IFERROR(INDEX(Lotes!$N$5:$N$154,MATCH(K837,Lotes!$P$5:$P$154,0)),"Sem lote cadastrado"))</f>
        <v/>
      </c>
      <c r="M837" s="25">
        <f>IF(H837="Sim",G837,0)</f>
        <v>0</v>
      </c>
      <c r="N837" s="42">
        <f>IF(AND(H837="Sim",I837&lt;&gt;"Aceito"),G837+ROW()/100000,0)</f>
        <v>0</v>
      </c>
    </row>
    <row r="838">
      <c r="A838" s="35" t="n"/>
      <c r="B838" s="39" t="n"/>
      <c r="C838" s="33" t="n"/>
      <c r="D838" s="35" t="n"/>
      <c r="E838" s="33" t="n"/>
      <c r="F838" s="33" t="n"/>
      <c r="G838" s="40" t="n"/>
      <c r="H838" s="35" t="n"/>
      <c r="I838" s="35" t="n"/>
      <c r="J838" s="30">
        <f>IF(B838="","",DATE(YEAR(B838),MONTH(B838),1))</f>
        <v/>
      </c>
      <c r="K838" s="41">
        <f>IF(OR(B838="",D838=""),"",D838&amp;"|"&amp;TEXT(J838,"yyyy-mm"))</f>
        <v/>
      </c>
      <c r="L838" s="24">
        <f>IF(K838="","",IFERROR(INDEX(Lotes!$N$5:$N$154,MATCH(K838,Lotes!$P$5:$P$154,0)),"Sem lote cadastrado"))</f>
        <v/>
      </c>
      <c r="M838" s="25">
        <f>IF(H838="Sim",G838,0)</f>
        <v>0</v>
      </c>
      <c r="N838" s="42">
        <f>IF(AND(H838="Sim",I838&lt;&gt;"Aceito"),G838+ROW()/100000,0)</f>
        <v>0</v>
      </c>
    </row>
    <row r="839">
      <c r="A839" s="35" t="n"/>
      <c r="B839" s="39" t="n"/>
      <c r="C839" s="33" t="n"/>
      <c r="D839" s="35" t="n"/>
      <c r="E839" s="33" t="n"/>
      <c r="F839" s="33" t="n"/>
      <c r="G839" s="40" t="n"/>
      <c r="H839" s="35" t="n"/>
      <c r="I839" s="35" t="n"/>
      <c r="J839" s="30">
        <f>IF(B839="","",DATE(YEAR(B839),MONTH(B839),1))</f>
        <v/>
      </c>
      <c r="K839" s="41">
        <f>IF(OR(B839="",D839=""),"",D839&amp;"|"&amp;TEXT(J839,"yyyy-mm"))</f>
        <v/>
      </c>
      <c r="L839" s="24">
        <f>IF(K839="","",IFERROR(INDEX(Lotes!$N$5:$N$154,MATCH(K839,Lotes!$P$5:$P$154,0)),"Sem lote cadastrado"))</f>
        <v/>
      </c>
      <c r="M839" s="25">
        <f>IF(H839="Sim",G839,0)</f>
        <v>0</v>
      </c>
      <c r="N839" s="42">
        <f>IF(AND(H839="Sim",I839&lt;&gt;"Aceito"),G839+ROW()/100000,0)</f>
        <v>0</v>
      </c>
    </row>
    <row r="840">
      <c r="A840" s="35" t="n"/>
      <c r="B840" s="39" t="n"/>
      <c r="C840" s="33" t="n"/>
      <c r="D840" s="35" t="n"/>
      <c r="E840" s="33" t="n"/>
      <c r="F840" s="33" t="n"/>
      <c r="G840" s="40" t="n"/>
      <c r="H840" s="35" t="n"/>
      <c r="I840" s="35" t="n"/>
      <c r="J840" s="30">
        <f>IF(B840="","",DATE(YEAR(B840),MONTH(B840),1))</f>
        <v/>
      </c>
      <c r="K840" s="41">
        <f>IF(OR(B840="",D840=""),"",D840&amp;"|"&amp;TEXT(J840,"yyyy-mm"))</f>
        <v/>
      </c>
      <c r="L840" s="24">
        <f>IF(K840="","",IFERROR(INDEX(Lotes!$N$5:$N$154,MATCH(K840,Lotes!$P$5:$P$154,0)),"Sem lote cadastrado"))</f>
        <v/>
      </c>
      <c r="M840" s="25">
        <f>IF(H840="Sim",G840,0)</f>
        <v>0</v>
      </c>
      <c r="N840" s="42">
        <f>IF(AND(H840="Sim",I840&lt;&gt;"Aceito"),G840+ROW()/100000,0)</f>
        <v>0</v>
      </c>
    </row>
    <row r="841">
      <c r="A841" s="35" t="n"/>
      <c r="B841" s="39" t="n"/>
      <c r="C841" s="33" t="n"/>
      <c r="D841" s="35" t="n"/>
      <c r="E841" s="33" t="n"/>
      <c r="F841" s="33" t="n"/>
      <c r="G841" s="40" t="n"/>
      <c r="H841" s="35" t="n"/>
      <c r="I841" s="35" t="n"/>
      <c r="J841" s="30">
        <f>IF(B841="","",DATE(YEAR(B841),MONTH(B841),1))</f>
        <v/>
      </c>
      <c r="K841" s="41">
        <f>IF(OR(B841="",D841=""),"",D841&amp;"|"&amp;TEXT(J841,"yyyy-mm"))</f>
        <v/>
      </c>
      <c r="L841" s="24">
        <f>IF(K841="","",IFERROR(INDEX(Lotes!$N$5:$N$154,MATCH(K841,Lotes!$P$5:$P$154,0)),"Sem lote cadastrado"))</f>
        <v/>
      </c>
      <c r="M841" s="25">
        <f>IF(H841="Sim",G841,0)</f>
        <v>0</v>
      </c>
      <c r="N841" s="42">
        <f>IF(AND(H841="Sim",I841&lt;&gt;"Aceito"),G841+ROW()/100000,0)</f>
        <v>0</v>
      </c>
    </row>
    <row r="842">
      <c r="A842" s="35" t="n"/>
      <c r="B842" s="39" t="n"/>
      <c r="C842" s="33" t="n"/>
      <c r="D842" s="35" t="n"/>
      <c r="E842" s="33" t="n"/>
      <c r="F842" s="33" t="n"/>
      <c r="G842" s="40" t="n"/>
      <c r="H842" s="35" t="n"/>
      <c r="I842" s="35" t="n"/>
      <c r="J842" s="30">
        <f>IF(B842="","",DATE(YEAR(B842),MONTH(B842),1))</f>
        <v/>
      </c>
      <c r="K842" s="41">
        <f>IF(OR(B842="",D842=""),"",D842&amp;"|"&amp;TEXT(J842,"yyyy-mm"))</f>
        <v/>
      </c>
      <c r="L842" s="24">
        <f>IF(K842="","",IFERROR(INDEX(Lotes!$N$5:$N$154,MATCH(K842,Lotes!$P$5:$P$154,0)),"Sem lote cadastrado"))</f>
        <v/>
      </c>
      <c r="M842" s="25">
        <f>IF(H842="Sim",G842,0)</f>
        <v>0</v>
      </c>
      <c r="N842" s="42">
        <f>IF(AND(H842="Sim",I842&lt;&gt;"Aceito"),G842+ROW()/100000,0)</f>
        <v>0</v>
      </c>
    </row>
    <row r="843">
      <c r="A843" s="35" t="n"/>
      <c r="B843" s="39" t="n"/>
      <c r="C843" s="33" t="n"/>
      <c r="D843" s="35" t="n"/>
      <c r="E843" s="33" t="n"/>
      <c r="F843" s="33" t="n"/>
      <c r="G843" s="40" t="n"/>
      <c r="H843" s="35" t="n"/>
      <c r="I843" s="35" t="n"/>
      <c r="J843" s="30">
        <f>IF(B843="","",DATE(YEAR(B843),MONTH(B843),1))</f>
        <v/>
      </c>
      <c r="K843" s="41">
        <f>IF(OR(B843="",D843=""),"",D843&amp;"|"&amp;TEXT(J843,"yyyy-mm"))</f>
        <v/>
      </c>
      <c r="L843" s="24">
        <f>IF(K843="","",IFERROR(INDEX(Lotes!$N$5:$N$154,MATCH(K843,Lotes!$P$5:$P$154,0)),"Sem lote cadastrado"))</f>
        <v/>
      </c>
      <c r="M843" s="25">
        <f>IF(H843="Sim",G843,0)</f>
        <v>0</v>
      </c>
      <c r="N843" s="42">
        <f>IF(AND(H843="Sim",I843&lt;&gt;"Aceito"),G843+ROW()/100000,0)</f>
        <v>0</v>
      </c>
    </row>
    <row r="844">
      <c r="A844" s="35" t="n"/>
      <c r="B844" s="39" t="n"/>
      <c r="C844" s="33" t="n"/>
      <c r="D844" s="35" t="n"/>
      <c r="E844" s="33" t="n"/>
      <c r="F844" s="33" t="n"/>
      <c r="G844" s="40" t="n"/>
      <c r="H844" s="35" t="n"/>
      <c r="I844" s="35" t="n"/>
      <c r="J844" s="30">
        <f>IF(B844="","",DATE(YEAR(B844),MONTH(B844),1))</f>
        <v/>
      </c>
      <c r="K844" s="41">
        <f>IF(OR(B844="",D844=""),"",D844&amp;"|"&amp;TEXT(J844,"yyyy-mm"))</f>
        <v/>
      </c>
      <c r="L844" s="24">
        <f>IF(K844="","",IFERROR(INDEX(Lotes!$N$5:$N$154,MATCH(K844,Lotes!$P$5:$P$154,0)),"Sem lote cadastrado"))</f>
        <v/>
      </c>
      <c r="M844" s="25">
        <f>IF(H844="Sim",G844,0)</f>
        <v>0</v>
      </c>
      <c r="N844" s="42">
        <f>IF(AND(H844="Sim",I844&lt;&gt;"Aceito"),G844+ROW()/100000,0)</f>
        <v>0</v>
      </c>
    </row>
    <row r="845">
      <c r="A845" s="35" t="n"/>
      <c r="B845" s="39" t="n"/>
      <c r="C845" s="33" t="n"/>
      <c r="D845" s="35" t="n"/>
      <c r="E845" s="33" t="n"/>
      <c r="F845" s="33" t="n"/>
      <c r="G845" s="40" t="n"/>
      <c r="H845" s="35" t="n"/>
      <c r="I845" s="35" t="n"/>
      <c r="J845" s="30">
        <f>IF(B845="","",DATE(YEAR(B845),MONTH(B845),1))</f>
        <v/>
      </c>
      <c r="K845" s="41">
        <f>IF(OR(B845="",D845=""),"",D845&amp;"|"&amp;TEXT(J845,"yyyy-mm"))</f>
        <v/>
      </c>
      <c r="L845" s="24">
        <f>IF(K845="","",IFERROR(INDEX(Lotes!$N$5:$N$154,MATCH(K845,Lotes!$P$5:$P$154,0)),"Sem lote cadastrado"))</f>
        <v/>
      </c>
      <c r="M845" s="25">
        <f>IF(H845="Sim",G845,0)</f>
        <v>0</v>
      </c>
      <c r="N845" s="42">
        <f>IF(AND(H845="Sim",I845&lt;&gt;"Aceito"),G845+ROW()/100000,0)</f>
        <v>0</v>
      </c>
    </row>
    <row r="846">
      <c r="A846" s="35" t="n"/>
      <c r="B846" s="39" t="n"/>
      <c r="C846" s="33" t="n"/>
      <c r="D846" s="35" t="n"/>
      <c r="E846" s="33" t="n"/>
      <c r="F846" s="33" t="n"/>
      <c r="G846" s="40" t="n"/>
      <c r="H846" s="35" t="n"/>
      <c r="I846" s="35" t="n"/>
      <c r="J846" s="30">
        <f>IF(B846="","",DATE(YEAR(B846),MONTH(B846),1))</f>
        <v/>
      </c>
      <c r="K846" s="41">
        <f>IF(OR(B846="",D846=""),"",D846&amp;"|"&amp;TEXT(J846,"yyyy-mm"))</f>
        <v/>
      </c>
      <c r="L846" s="24">
        <f>IF(K846="","",IFERROR(INDEX(Lotes!$N$5:$N$154,MATCH(K846,Lotes!$P$5:$P$154,0)),"Sem lote cadastrado"))</f>
        <v/>
      </c>
      <c r="M846" s="25">
        <f>IF(H846="Sim",G846,0)</f>
        <v>0</v>
      </c>
      <c r="N846" s="42">
        <f>IF(AND(H846="Sim",I846&lt;&gt;"Aceito"),G846+ROW()/100000,0)</f>
        <v>0</v>
      </c>
    </row>
    <row r="847">
      <c r="A847" s="35" t="n"/>
      <c r="B847" s="39" t="n"/>
      <c r="C847" s="33" t="n"/>
      <c r="D847" s="35" t="n"/>
      <c r="E847" s="33" t="n"/>
      <c r="F847" s="33" t="n"/>
      <c r="G847" s="40" t="n"/>
      <c r="H847" s="35" t="n"/>
      <c r="I847" s="35" t="n"/>
      <c r="J847" s="30">
        <f>IF(B847="","",DATE(YEAR(B847),MONTH(B847),1))</f>
        <v/>
      </c>
      <c r="K847" s="41">
        <f>IF(OR(B847="",D847=""),"",D847&amp;"|"&amp;TEXT(J847,"yyyy-mm"))</f>
        <v/>
      </c>
      <c r="L847" s="24">
        <f>IF(K847="","",IFERROR(INDEX(Lotes!$N$5:$N$154,MATCH(K847,Lotes!$P$5:$P$154,0)),"Sem lote cadastrado"))</f>
        <v/>
      </c>
      <c r="M847" s="25">
        <f>IF(H847="Sim",G847,0)</f>
        <v>0</v>
      </c>
      <c r="N847" s="42">
        <f>IF(AND(H847="Sim",I847&lt;&gt;"Aceito"),G847+ROW()/100000,0)</f>
        <v>0</v>
      </c>
    </row>
    <row r="848">
      <c r="A848" s="35" t="n"/>
      <c r="B848" s="39" t="n"/>
      <c r="C848" s="33" t="n"/>
      <c r="D848" s="35" t="n"/>
      <c r="E848" s="33" t="n"/>
      <c r="F848" s="33" t="n"/>
      <c r="G848" s="40" t="n"/>
      <c r="H848" s="35" t="n"/>
      <c r="I848" s="35" t="n"/>
      <c r="J848" s="30">
        <f>IF(B848="","",DATE(YEAR(B848),MONTH(B848),1))</f>
        <v/>
      </c>
      <c r="K848" s="41">
        <f>IF(OR(B848="",D848=""),"",D848&amp;"|"&amp;TEXT(J848,"yyyy-mm"))</f>
        <v/>
      </c>
      <c r="L848" s="24">
        <f>IF(K848="","",IFERROR(INDEX(Lotes!$N$5:$N$154,MATCH(K848,Lotes!$P$5:$P$154,0)),"Sem lote cadastrado"))</f>
        <v/>
      </c>
      <c r="M848" s="25">
        <f>IF(H848="Sim",G848,0)</f>
        <v>0</v>
      </c>
      <c r="N848" s="42">
        <f>IF(AND(H848="Sim",I848&lt;&gt;"Aceito"),G848+ROW()/100000,0)</f>
        <v>0</v>
      </c>
    </row>
    <row r="849">
      <c r="A849" s="35" t="n"/>
      <c r="B849" s="39" t="n"/>
      <c r="C849" s="33" t="n"/>
      <c r="D849" s="35" t="n"/>
      <c r="E849" s="33" t="n"/>
      <c r="F849" s="33" t="n"/>
      <c r="G849" s="40" t="n"/>
      <c r="H849" s="35" t="n"/>
      <c r="I849" s="35" t="n"/>
      <c r="J849" s="30">
        <f>IF(B849="","",DATE(YEAR(B849),MONTH(B849),1))</f>
        <v/>
      </c>
      <c r="K849" s="41">
        <f>IF(OR(B849="",D849=""),"",D849&amp;"|"&amp;TEXT(J849,"yyyy-mm"))</f>
        <v/>
      </c>
      <c r="L849" s="24">
        <f>IF(K849="","",IFERROR(INDEX(Lotes!$N$5:$N$154,MATCH(K849,Lotes!$P$5:$P$154,0)),"Sem lote cadastrado"))</f>
        <v/>
      </c>
      <c r="M849" s="25">
        <f>IF(H849="Sim",G849,0)</f>
        <v>0</v>
      </c>
      <c r="N849" s="42">
        <f>IF(AND(H849="Sim",I849&lt;&gt;"Aceito"),G849+ROW()/100000,0)</f>
        <v>0</v>
      </c>
    </row>
    <row r="850">
      <c r="A850" s="35" t="n"/>
      <c r="B850" s="39" t="n"/>
      <c r="C850" s="33" t="n"/>
      <c r="D850" s="35" t="n"/>
      <c r="E850" s="33" t="n"/>
      <c r="F850" s="33" t="n"/>
      <c r="G850" s="40" t="n"/>
      <c r="H850" s="35" t="n"/>
      <c r="I850" s="35" t="n"/>
      <c r="J850" s="30">
        <f>IF(B850="","",DATE(YEAR(B850),MONTH(B850),1))</f>
        <v/>
      </c>
      <c r="K850" s="41">
        <f>IF(OR(B850="",D850=""),"",D850&amp;"|"&amp;TEXT(J850,"yyyy-mm"))</f>
        <v/>
      </c>
      <c r="L850" s="24">
        <f>IF(K850="","",IFERROR(INDEX(Lotes!$N$5:$N$154,MATCH(K850,Lotes!$P$5:$P$154,0)),"Sem lote cadastrado"))</f>
        <v/>
      </c>
      <c r="M850" s="25">
        <f>IF(H850="Sim",G850,0)</f>
        <v>0</v>
      </c>
      <c r="N850" s="42">
        <f>IF(AND(H850="Sim",I850&lt;&gt;"Aceito"),G850+ROW()/100000,0)</f>
        <v>0</v>
      </c>
    </row>
    <row r="851">
      <c r="A851" s="35" t="n"/>
      <c r="B851" s="39" t="n"/>
      <c r="C851" s="33" t="n"/>
      <c r="D851" s="35" t="n"/>
      <c r="E851" s="33" t="n"/>
      <c r="F851" s="33" t="n"/>
      <c r="G851" s="40" t="n"/>
      <c r="H851" s="35" t="n"/>
      <c r="I851" s="35" t="n"/>
      <c r="J851" s="30">
        <f>IF(B851="","",DATE(YEAR(B851),MONTH(B851),1))</f>
        <v/>
      </c>
      <c r="K851" s="41">
        <f>IF(OR(B851="",D851=""),"",D851&amp;"|"&amp;TEXT(J851,"yyyy-mm"))</f>
        <v/>
      </c>
      <c r="L851" s="24">
        <f>IF(K851="","",IFERROR(INDEX(Lotes!$N$5:$N$154,MATCH(K851,Lotes!$P$5:$P$154,0)),"Sem lote cadastrado"))</f>
        <v/>
      </c>
      <c r="M851" s="25">
        <f>IF(H851="Sim",G851,0)</f>
        <v>0</v>
      </c>
      <c r="N851" s="42">
        <f>IF(AND(H851="Sim",I851&lt;&gt;"Aceito"),G851+ROW()/100000,0)</f>
        <v>0</v>
      </c>
    </row>
    <row r="852">
      <c r="A852" s="35" t="n"/>
      <c r="B852" s="39" t="n"/>
      <c r="C852" s="33" t="n"/>
      <c r="D852" s="35" t="n"/>
      <c r="E852" s="33" t="n"/>
      <c r="F852" s="33" t="n"/>
      <c r="G852" s="40" t="n"/>
      <c r="H852" s="35" t="n"/>
      <c r="I852" s="35" t="n"/>
      <c r="J852" s="30">
        <f>IF(B852="","",DATE(YEAR(B852),MONTH(B852),1))</f>
        <v/>
      </c>
      <c r="K852" s="41">
        <f>IF(OR(B852="",D852=""),"",D852&amp;"|"&amp;TEXT(J852,"yyyy-mm"))</f>
        <v/>
      </c>
      <c r="L852" s="24">
        <f>IF(K852="","",IFERROR(INDEX(Lotes!$N$5:$N$154,MATCH(K852,Lotes!$P$5:$P$154,0)),"Sem lote cadastrado"))</f>
        <v/>
      </c>
      <c r="M852" s="25">
        <f>IF(H852="Sim",G852,0)</f>
        <v>0</v>
      </c>
      <c r="N852" s="42">
        <f>IF(AND(H852="Sim",I852&lt;&gt;"Aceito"),G852+ROW()/100000,0)</f>
        <v>0</v>
      </c>
    </row>
    <row r="853">
      <c r="A853" s="35" t="n"/>
      <c r="B853" s="39" t="n"/>
      <c r="C853" s="33" t="n"/>
      <c r="D853" s="35" t="n"/>
      <c r="E853" s="33" t="n"/>
      <c r="F853" s="33" t="n"/>
      <c r="G853" s="40" t="n"/>
      <c r="H853" s="35" t="n"/>
      <c r="I853" s="35" t="n"/>
      <c r="J853" s="30">
        <f>IF(B853="","",DATE(YEAR(B853),MONTH(B853),1))</f>
        <v/>
      </c>
      <c r="K853" s="41">
        <f>IF(OR(B853="",D853=""),"",D853&amp;"|"&amp;TEXT(J853,"yyyy-mm"))</f>
        <v/>
      </c>
      <c r="L853" s="24">
        <f>IF(K853="","",IFERROR(INDEX(Lotes!$N$5:$N$154,MATCH(K853,Lotes!$P$5:$P$154,0)),"Sem lote cadastrado"))</f>
        <v/>
      </c>
      <c r="M853" s="25">
        <f>IF(H853="Sim",G853,0)</f>
        <v>0</v>
      </c>
      <c r="N853" s="42">
        <f>IF(AND(H853="Sim",I853&lt;&gt;"Aceito"),G853+ROW()/100000,0)</f>
        <v>0</v>
      </c>
    </row>
    <row r="854">
      <c r="A854" s="35" t="n"/>
      <c r="B854" s="39" t="n"/>
      <c r="C854" s="33" t="n"/>
      <c r="D854" s="35" t="n"/>
      <c r="E854" s="33" t="n"/>
      <c r="F854" s="33" t="n"/>
      <c r="G854" s="40" t="n"/>
      <c r="H854" s="35" t="n"/>
      <c r="I854" s="35" t="n"/>
      <c r="J854" s="30">
        <f>IF(B854="","",DATE(YEAR(B854),MONTH(B854),1))</f>
        <v/>
      </c>
      <c r="K854" s="41">
        <f>IF(OR(B854="",D854=""),"",D854&amp;"|"&amp;TEXT(J854,"yyyy-mm"))</f>
        <v/>
      </c>
      <c r="L854" s="24">
        <f>IF(K854="","",IFERROR(INDEX(Lotes!$N$5:$N$154,MATCH(K854,Lotes!$P$5:$P$154,0)),"Sem lote cadastrado"))</f>
        <v/>
      </c>
      <c r="M854" s="25">
        <f>IF(H854="Sim",G854,0)</f>
        <v>0</v>
      </c>
      <c r="N854" s="42">
        <f>IF(AND(H854="Sim",I854&lt;&gt;"Aceito"),G854+ROW()/100000,0)</f>
        <v>0</v>
      </c>
    </row>
    <row r="855">
      <c r="A855" s="35" t="n"/>
      <c r="B855" s="39" t="n"/>
      <c r="C855" s="33" t="n"/>
      <c r="D855" s="35" t="n"/>
      <c r="E855" s="33" t="n"/>
      <c r="F855" s="33" t="n"/>
      <c r="G855" s="40" t="n"/>
      <c r="H855" s="35" t="n"/>
      <c r="I855" s="35" t="n"/>
      <c r="J855" s="30">
        <f>IF(B855="","",DATE(YEAR(B855),MONTH(B855),1))</f>
        <v/>
      </c>
      <c r="K855" s="41">
        <f>IF(OR(B855="",D855=""),"",D855&amp;"|"&amp;TEXT(J855,"yyyy-mm"))</f>
        <v/>
      </c>
      <c r="L855" s="24">
        <f>IF(K855="","",IFERROR(INDEX(Lotes!$N$5:$N$154,MATCH(K855,Lotes!$P$5:$P$154,0)),"Sem lote cadastrado"))</f>
        <v/>
      </c>
      <c r="M855" s="25">
        <f>IF(H855="Sim",G855,0)</f>
        <v>0</v>
      </c>
      <c r="N855" s="42">
        <f>IF(AND(H855="Sim",I855&lt;&gt;"Aceito"),G855+ROW()/100000,0)</f>
        <v>0</v>
      </c>
    </row>
    <row r="856">
      <c r="A856" s="35" t="n"/>
      <c r="B856" s="39" t="n"/>
      <c r="C856" s="33" t="n"/>
      <c r="D856" s="35" t="n"/>
      <c r="E856" s="33" t="n"/>
      <c r="F856" s="33" t="n"/>
      <c r="G856" s="40" t="n"/>
      <c r="H856" s="35" t="n"/>
      <c r="I856" s="35" t="n"/>
      <c r="J856" s="30">
        <f>IF(B856="","",DATE(YEAR(B856),MONTH(B856),1))</f>
        <v/>
      </c>
      <c r="K856" s="41">
        <f>IF(OR(B856="",D856=""),"",D856&amp;"|"&amp;TEXT(J856,"yyyy-mm"))</f>
        <v/>
      </c>
      <c r="L856" s="24">
        <f>IF(K856="","",IFERROR(INDEX(Lotes!$N$5:$N$154,MATCH(K856,Lotes!$P$5:$P$154,0)),"Sem lote cadastrado"))</f>
        <v/>
      </c>
      <c r="M856" s="25">
        <f>IF(H856="Sim",G856,0)</f>
        <v>0</v>
      </c>
      <c r="N856" s="42">
        <f>IF(AND(H856="Sim",I856&lt;&gt;"Aceito"),G856+ROW()/100000,0)</f>
        <v>0</v>
      </c>
    </row>
    <row r="857">
      <c r="A857" s="35" t="n"/>
      <c r="B857" s="39" t="n"/>
      <c r="C857" s="33" t="n"/>
      <c r="D857" s="35" t="n"/>
      <c r="E857" s="33" t="n"/>
      <c r="F857" s="33" t="n"/>
      <c r="G857" s="40" t="n"/>
      <c r="H857" s="35" t="n"/>
      <c r="I857" s="35" t="n"/>
      <c r="J857" s="30">
        <f>IF(B857="","",DATE(YEAR(B857),MONTH(B857),1))</f>
        <v/>
      </c>
      <c r="K857" s="41">
        <f>IF(OR(B857="",D857=""),"",D857&amp;"|"&amp;TEXT(J857,"yyyy-mm"))</f>
        <v/>
      </c>
      <c r="L857" s="24">
        <f>IF(K857="","",IFERROR(INDEX(Lotes!$N$5:$N$154,MATCH(K857,Lotes!$P$5:$P$154,0)),"Sem lote cadastrado"))</f>
        <v/>
      </c>
      <c r="M857" s="25">
        <f>IF(H857="Sim",G857,0)</f>
        <v>0</v>
      </c>
      <c r="N857" s="42">
        <f>IF(AND(H857="Sim",I857&lt;&gt;"Aceito"),G857+ROW()/100000,0)</f>
        <v>0</v>
      </c>
    </row>
    <row r="858">
      <c r="A858" s="35" t="n"/>
      <c r="B858" s="39" t="n"/>
      <c r="C858" s="33" t="n"/>
      <c r="D858" s="35" t="n"/>
      <c r="E858" s="33" t="n"/>
      <c r="F858" s="33" t="n"/>
      <c r="G858" s="40" t="n"/>
      <c r="H858" s="35" t="n"/>
      <c r="I858" s="35" t="n"/>
      <c r="J858" s="30">
        <f>IF(B858="","",DATE(YEAR(B858),MONTH(B858),1))</f>
        <v/>
      </c>
      <c r="K858" s="41">
        <f>IF(OR(B858="",D858=""),"",D858&amp;"|"&amp;TEXT(J858,"yyyy-mm"))</f>
        <v/>
      </c>
      <c r="L858" s="24">
        <f>IF(K858="","",IFERROR(INDEX(Lotes!$N$5:$N$154,MATCH(K858,Lotes!$P$5:$P$154,0)),"Sem lote cadastrado"))</f>
        <v/>
      </c>
      <c r="M858" s="25">
        <f>IF(H858="Sim",G858,0)</f>
        <v>0</v>
      </c>
      <c r="N858" s="42">
        <f>IF(AND(H858="Sim",I858&lt;&gt;"Aceito"),G858+ROW()/100000,0)</f>
        <v>0</v>
      </c>
    </row>
    <row r="859">
      <c r="A859" s="35" t="n"/>
      <c r="B859" s="39" t="n"/>
      <c r="C859" s="33" t="n"/>
      <c r="D859" s="35" t="n"/>
      <c r="E859" s="33" t="n"/>
      <c r="F859" s="33" t="n"/>
      <c r="G859" s="40" t="n"/>
      <c r="H859" s="35" t="n"/>
      <c r="I859" s="35" t="n"/>
      <c r="J859" s="30">
        <f>IF(B859="","",DATE(YEAR(B859),MONTH(B859),1))</f>
        <v/>
      </c>
      <c r="K859" s="41">
        <f>IF(OR(B859="",D859=""),"",D859&amp;"|"&amp;TEXT(J859,"yyyy-mm"))</f>
        <v/>
      </c>
      <c r="L859" s="24">
        <f>IF(K859="","",IFERROR(INDEX(Lotes!$N$5:$N$154,MATCH(K859,Lotes!$P$5:$P$154,0)),"Sem lote cadastrado"))</f>
        <v/>
      </c>
      <c r="M859" s="25">
        <f>IF(H859="Sim",G859,0)</f>
        <v>0</v>
      </c>
      <c r="N859" s="42">
        <f>IF(AND(H859="Sim",I859&lt;&gt;"Aceito"),G859+ROW()/100000,0)</f>
        <v>0</v>
      </c>
    </row>
    <row r="860">
      <c r="A860" s="35" t="n"/>
      <c r="B860" s="39" t="n"/>
      <c r="C860" s="33" t="n"/>
      <c r="D860" s="35" t="n"/>
      <c r="E860" s="33" t="n"/>
      <c r="F860" s="33" t="n"/>
      <c r="G860" s="40" t="n"/>
      <c r="H860" s="35" t="n"/>
      <c r="I860" s="35" t="n"/>
      <c r="J860" s="30">
        <f>IF(B860="","",DATE(YEAR(B860),MONTH(B860),1))</f>
        <v/>
      </c>
      <c r="K860" s="41">
        <f>IF(OR(B860="",D860=""),"",D860&amp;"|"&amp;TEXT(J860,"yyyy-mm"))</f>
        <v/>
      </c>
      <c r="L860" s="24">
        <f>IF(K860="","",IFERROR(INDEX(Lotes!$N$5:$N$154,MATCH(K860,Lotes!$P$5:$P$154,0)),"Sem lote cadastrado"))</f>
        <v/>
      </c>
      <c r="M860" s="25">
        <f>IF(H860="Sim",G860,0)</f>
        <v>0</v>
      </c>
      <c r="N860" s="42">
        <f>IF(AND(H860="Sim",I860&lt;&gt;"Aceito"),G860+ROW()/100000,0)</f>
        <v>0</v>
      </c>
    </row>
    <row r="861">
      <c r="A861" s="35" t="n"/>
      <c r="B861" s="39" t="n"/>
      <c r="C861" s="33" t="n"/>
      <c r="D861" s="35" t="n"/>
      <c r="E861" s="33" t="n"/>
      <c r="F861" s="33" t="n"/>
      <c r="G861" s="40" t="n"/>
      <c r="H861" s="35" t="n"/>
      <c r="I861" s="35" t="n"/>
      <c r="J861" s="30">
        <f>IF(B861="","",DATE(YEAR(B861),MONTH(B861),1))</f>
        <v/>
      </c>
      <c r="K861" s="41">
        <f>IF(OR(B861="",D861=""),"",D861&amp;"|"&amp;TEXT(J861,"yyyy-mm"))</f>
        <v/>
      </c>
      <c r="L861" s="24">
        <f>IF(K861="","",IFERROR(INDEX(Lotes!$N$5:$N$154,MATCH(K861,Lotes!$P$5:$P$154,0)),"Sem lote cadastrado"))</f>
        <v/>
      </c>
      <c r="M861" s="25">
        <f>IF(H861="Sim",G861,0)</f>
        <v>0</v>
      </c>
      <c r="N861" s="42">
        <f>IF(AND(H861="Sim",I861&lt;&gt;"Aceito"),G861+ROW()/100000,0)</f>
        <v>0</v>
      </c>
    </row>
    <row r="862">
      <c r="A862" s="35" t="n"/>
      <c r="B862" s="39" t="n"/>
      <c r="C862" s="33" t="n"/>
      <c r="D862" s="35" t="n"/>
      <c r="E862" s="33" t="n"/>
      <c r="F862" s="33" t="n"/>
      <c r="G862" s="40" t="n"/>
      <c r="H862" s="35" t="n"/>
      <c r="I862" s="35" t="n"/>
      <c r="J862" s="30">
        <f>IF(B862="","",DATE(YEAR(B862),MONTH(B862),1))</f>
        <v/>
      </c>
      <c r="K862" s="41">
        <f>IF(OR(B862="",D862=""),"",D862&amp;"|"&amp;TEXT(J862,"yyyy-mm"))</f>
        <v/>
      </c>
      <c r="L862" s="24">
        <f>IF(K862="","",IFERROR(INDEX(Lotes!$N$5:$N$154,MATCH(K862,Lotes!$P$5:$P$154,0)),"Sem lote cadastrado"))</f>
        <v/>
      </c>
      <c r="M862" s="25">
        <f>IF(H862="Sim",G862,0)</f>
        <v>0</v>
      </c>
      <c r="N862" s="42">
        <f>IF(AND(H862="Sim",I862&lt;&gt;"Aceito"),G862+ROW()/100000,0)</f>
        <v>0</v>
      </c>
    </row>
    <row r="863">
      <c r="A863" s="35" t="n"/>
      <c r="B863" s="39" t="n"/>
      <c r="C863" s="33" t="n"/>
      <c r="D863" s="35" t="n"/>
      <c r="E863" s="33" t="n"/>
      <c r="F863" s="33" t="n"/>
      <c r="G863" s="40" t="n"/>
      <c r="H863" s="35" t="n"/>
      <c r="I863" s="35" t="n"/>
      <c r="J863" s="30">
        <f>IF(B863="","",DATE(YEAR(B863),MONTH(B863),1))</f>
        <v/>
      </c>
      <c r="K863" s="41">
        <f>IF(OR(B863="",D863=""),"",D863&amp;"|"&amp;TEXT(J863,"yyyy-mm"))</f>
        <v/>
      </c>
      <c r="L863" s="24">
        <f>IF(K863="","",IFERROR(INDEX(Lotes!$N$5:$N$154,MATCH(K863,Lotes!$P$5:$P$154,0)),"Sem lote cadastrado"))</f>
        <v/>
      </c>
      <c r="M863" s="25">
        <f>IF(H863="Sim",G863,0)</f>
        <v>0</v>
      </c>
      <c r="N863" s="42">
        <f>IF(AND(H863="Sim",I863&lt;&gt;"Aceito"),G863+ROW()/100000,0)</f>
        <v>0</v>
      </c>
    </row>
    <row r="864">
      <c r="A864" s="35" t="n"/>
      <c r="B864" s="39" t="n"/>
      <c r="C864" s="33" t="n"/>
      <c r="D864" s="35" t="n"/>
      <c r="E864" s="33" t="n"/>
      <c r="F864" s="33" t="n"/>
      <c r="G864" s="40" t="n"/>
      <c r="H864" s="35" t="n"/>
      <c r="I864" s="35" t="n"/>
      <c r="J864" s="30">
        <f>IF(B864="","",DATE(YEAR(B864),MONTH(B864),1))</f>
        <v/>
      </c>
      <c r="K864" s="41">
        <f>IF(OR(B864="",D864=""),"",D864&amp;"|"&amp;TEXT(J864,"yyyy-mm"))</f>
        <v/>
      </c>
      <c r="L864" s="24">
        <f>IF(K864="","",IFERROR(INDEX(Lotes!$N$5:$N$154,MATCH(K864,Lotes!$P$5:$P$154,0)),"Sem lote cadastrado"))</f>
        <v/>
      </c>
      <c r="M864" s="25">
        <f>IF(H864="Sim",G864,0)</f>
        <v>0</v>
      </c>
      <c r="N864" s="42">
        <f>IF(AND(H864="Sim",I864&lt;&gt;"Aceito"),G864+ROW()/100000,0)</f>
        <v>0</v>
      </c>
    </row>
    <row r="865">
      <c r="A865" s="35" t="n"/>
      <c r="B865" s="39" t="n"/>
      <c r="C865" s="33" t="n"/>
      <c r="D865" s="35" t="n"/>
      <c r="E865" s="33" t="n"/>
      <c r="F865" s="33" t="n"/>
      <c r="G865" s="40" t="n"/>
      <c r="H865" s="35" t="n"/>
      <c r="I865" s="35" t="n"/>
      <c r="J865" s="30">
        <f>IF(B865="","",DATE(YEAR(B865),MONTH(B865),1))</f>
        <v/>
      </c>
      <c r="K865" s="41">
        <f>IF(OR(B865="",D865=""),"",D865&amp;"|"&amp;TEXT(J865,"yyyy-mm"))</f>
        <v/>
      </c>
      <c r="L865" s="24">
        <f>IF(K865="","",IFERROR(INDEX(Lotes!$N$5:$N$154,MATCH(K865,Lotes!$P$5:$P$154,0)),"Sem lote cadastrado"))</f>
        <v/>
      </c>
      <c r="M865" s="25">
        <f>IF(H865="Sim",G865,0)</f>
        <v>0</v>
      </c>
      <c r="N865" s="42">
        <f>IF(AND(H865="Sim",I865&lt;&gt;"Aceito"),G865+ROW()/100000,0)</f>
        <v>0</v>
      </c>
    </row>
    <row r="866">
      <c r="A866" s="35" t="n"/>
      <c r="B866" s="39" t="n"/>
      <c r="C866" s="33" t="n"/>
      <c r="D866" s="35" t="n"/>
      <c r="E866" s="33" t="n"/>
      <c r="F866" s="33" t="n"/>
      <c r="G866" s="40" t="n"/>
      <c r="H866" s="35" t="n"/>
      <c r="I866" s="35" t="n"/>
      <c r="J866" s="30">
        <f>IF(B866="","",DATE(YEAR(B866),MONTH(B866),1))</f>
        <v/>
      </c>
      <c r="K866" s="41">
        <f>IF(OR(B866="",D866=""),"",D866&amp;"|"&amp;TEXT(J866,"yyyy-mm"))</f>
        <v/>
      </c>
      <c r="L866" s="24">
        <f>IF(K866="","",IFERROR(INDEX(Lotes!$N$5:$N$154,MATCH(K866,Lotes!$P$5:$P$154,0)),"Sem lote cadastrado"))</f>
        <v/>
      </c>
      <c r="M866" s="25">
        <f>IF(H866="Sim",G866,0)</f>
        <v>0</v>
      </c>
      <c r="N866" s="42">
        <f>IF(AND(H866="Sim",I866&lt;&gt;"Aceito"),G866+ROW()/100000,0)</f>
        <v>0</v>
      </c>
    </row>
    <row r="867">
      <c r="A867" s="35" t="n"/>
      <c r="B867" s="39" t="n"/>
      <c r="C867" s="33" t="n"/>
      <c r="D867" s="35" t="n"/>
      <c r="E867" s="33" t="n"/>
      <c r="F867" s="33" t="n"/>
      <c r="G867" s="40" t="n"/>
      <c r="H867" s="35" t="n"/>
      <c r="I867" s="35" t="n"/>
      <c r="J867" s="30">
        <f>IF(B867="","",DATE(YEAR(B867),MONTH(B867),1))</f>
        <v/>
      </c>
      <c r="K867" s="41">
        <f>IF(OR(B867="",D867=""),"",D867&amp;"|"&amp;TEXT(J867,"yyyy-mm"))</f>
        <v/>
      </c>
      <c r="L867" s="24">
        <f>IF(K867="","",IFERROR(INDEX(Lotes!$N$5:$N$154,MATCH(K867,Lotes!$P$5:$P$154,0)),"Sem lote cadastrado"))</f>
        <v/>
      </c>
      <c r="M867" s="25">
        <f>IF(H867="Sim",G867,0)</f>
        <v>0</v>
      </c>
      <c r="N867" s="42">
        <f>IF(AND(H867="Sim",I867&lt;&gt;"Aceito"),G867+ROW()/100000,0)</f>
        <v>0</v>
      </c>
    </row>
    <row r="868">
      <c r="A868" s="35" t="n"/>
      <c r="B868" s="39" t="n"/>
      <c r="C868" s="33" t="n"/>
      <c r="D868" s="35" t="n"/>
      <c r="E868" s="33" t="n"/>
      <c r="F868" s="33" t="n"/>
      <c r="G868" s="40" t="n"/>
      <c r="H868" s="35" t="n"/>
      <c r="I868" s="35" t="n"/>
      <c r="J868" s="30">
        <f>IF(B868="","",DATE(YEAR(B868),MONTH(B868),1))</f>
        <v/>
      </c>
      <c r="K868" s="41">
        <f>IF(OR(B868="",D868=""),"",D868&amp;"|"&amp;TEXT(J868,"yyyy-mm"))</f>
        <v/>
      </c>
      <c r="L868" s="24">
        <f>IF(K868="","",IFERROR(INDEX(Lotes!$N$5:$N$154,MATCH(K868,Lotes!$P$5:$P$154,0)),"Sem lote cadastrado"))</f>
        <v/>
      </c>
      <c r="M868" s="25">
        <f>IF(H868="Sim",G868,0)</f>
        <v>0</v>
      </c>
      <c r="N868" s="42">
        <f>IF(AND(H868="Sim",I868&lt;&gt;"Aceito"),G868+ROW()/100000,0)</f>
        <v>0</v>
      </c>
    </row>
    <row r="869">
      <c r="A869" s="35" t="n"/>
      <c r="B869" s="39" t="n"/>
      <c r="C869" s="33" t="n"/>
      <c r="D869" s="35" t="n"/>
      <c r="E869" s="33" t="n"/>
      <c r="F869" s="33" t="n"/>
      <c r="G869" s="40" t="n"/>
      <c r="H869" s="35" t="n"/>
      <c r="I869" s="35" t="n"/>
      <c r="J869" s="30">
        <f>IF(B869="","",DATE(YEAR(B869),MONTH(B869),1))</f>
        <v/>
      </c>
      <c r="K869" s="41">
        <f>IF(OR(B869="",D869=""),"",D869&amp;"|"&amp;TEXT(J869,"yyyy-mm"))</f>
        <v/>
      </c>
      <c r="L869" s="24">
        <f>IF(K869="","",IFERROR(INDEX(Lotes!$N$5:$N$154,MATCH(K869,Lotes!$P$5:$P$154,0)),"Sem lote cadastrado"))</f>
        <v/>
      </c>
      <c r="M869" s="25">
        <f>IF(H869="Sim",G869,0)</f>
        <v>0</v>
      </c>
      <c r="N869" s="42">
        <f>IF(AND(H869="Sim",I869&lt;&gt;"Aceito"),G869+ROW()/100000,0)</f>
        <v>0</v>
      </c>
    </row>
    <row r="870">
      <c r="A870" s="35" t="n"/>
      <c r="B870" s="39" t="n"/>
      <c r="C870" s="33" t="n"/>
      <c r="D870" s="35" t="n"/>
      <c r="E870" s="33" t="n"/>
      <c r="F870" s="33" t="n"/>
      <c r="G870" s="40" t="n"/>
      <c r="H870" s="35" t="n"/>
      <c r="I870" s="35" t="n"/>
      <c r="J870" s="30">
        <f>IF(B870="","",DATE(YEAR(B870),MONTH(B870),1))</f>
        <v/>
      </c>
      <c r="K870" s="41">
        <f>IF(OR(B870="",D870=""),"",D870&amp;"|"&amp;TEXT(J870,"yyyy-mm"))</f>
        <v/>
      </c>
      <c r="L870" s="24">
        <f>IF(K870="","",IFERROR(INDEX(Lotes!$N$5:$N$154,MATCH(K870,Lotes!$P$5:$P$154,0)),"Sem lote cadastrado"))</f>
        <v/>
      </c>
      <c r="M870" s="25">
        <f>IF(H870="Sim",G870,0)</f>
        <v>0</v>
      </c>
      <c r="N870" s="42">
        <f>IF(AND(H870="Sim",I870&lt;&gt;"Aceito"),G870+ROW()/100000,0)</f>
        <v>0</v>
      </c>
    </row>
    <row r="871">
      <c r="A871" s="35" t="n"/>
      <c r="B871" s="39" t="n"/>
      <c r="C871" s="33" t="n"/>
      <c r="D871" s="35" t="n"/>
      <c r="E871" s="33" t="n"/>
      <c r="F871" s="33" t="n"/>
      <c r="G871" s="40" t="n"/>
      <c r="H871" s="35" t="n"/>
      <c r="I871" s="35" t="n"/>
      <c r="J871" s="30">
        <f>IF(B871="","",DATE(YEAR(B871),MONTH(B871),1))</f>
        <v/>
      </c>
      <c r="K871" s="41">
        <f>IF(OR(B871="",D871=""),"",D871&amp;"|"&amp;TEXT(J871,"yyyy-mm"))</f>
        <v/>
      </c>
      <c r="L871" s="24">
        <f>IF(K871="","",IFERROR(INDEX(Lotes!$N$5:$N$154,MATCH(K871,Lotes!$P$5:$P$154,0)),"Sem lote cadastrado"))</f>
        <v/>
      </c>
      <c r="M871" s="25">
        <f>IF(H871="Sim",G871,0)</f>
        <v>0</v>
      </c>
      <c r="N871" s="42">
        <f>IF(AND(H871="Sim",I871&lt;&gt;"Aceito"),G871+ROW()/100000,0)</f>
        <v>0</v>
      </c>
    </row>
    <row r="872">
      <c r="A872" s="35" t="n"/>
      <c r="B872" s="39" t="n"/>
      <c r="C872" s="33" t="n"/>
      <c r="D872" s="35" t="n"/>
      <c r="E872" s="33" t="n"/>
      <c r="F872" s="33" t="n"/>
      <c r="G872" s="40" t="n"/>
      <c r="H872" s="35" t="n"/>
      <c r="I872" s="35" t="n"/>
      <c r="J872" s="30">
        <f>IF(B872="","",DATE(YEAR(B872),MONTH(B872),1))</f>
        <v/>
      </c>
      <c r="K872" s="41">
        <f>IF(OR(B872="",D872=""),"",D872&amp;"|"&amp;TEXT(J872,"yyyy-mm"))</f>
        <v/>
      </c>
      <c r="L872" s="24">
        <f>IF(K872="","",IFERROR(INDEX(Lotes!$N$5:$N$154,MATCH(K872,Lotes!$P$5:$P$154,0)),"Sem lote cadastrado"))</f>
        <v/>
      </c>
      <c r="M872" s="25">
        <f>IF(H872="Sim",G872,0)</f>
        <v>0</v>
      </c>
      <c r="N872" s="42">
        <f>IF(AND(H872="Sim",I872&lt;&gt;"Aceito"),G872+ROW()/100000,0)</f>
        <v>0</v>
      </c>
    </row>
    <row r="873">
      <c r="A873" s="35" t="n"/>
      <c r="B873" s="39" t="n"/>
      <c r="C873" s="33" t="n"/>
      <c r="D873" s="35" t="n"/>
      <c r="E873" s="33" t="n"/>
      <c r="F873" s="33" t="n"/>
      <c r="G873" s="40" t="n"/>
      <c r="H873" s="35" t="n"/>
      <c r="I873" s="35" t="n"/>
      <c r="J873" s="30">
        <f>IF(B873="","",DATE(YEAR(B873),MONTH(B873),1))</f>
        <v/>
      </c>
      <c r="K873" s="41">
        <f>IF(OR(B873="",D873=""),"",D873&amp;"|"&amp;TEXT(J873,"yyyy-mm"))</f>
        <v/>
      </c>
      <c r="L873" s="24">
        <f>IF(K873="","",IFERROR(INDEX(Lotes!$N$5:$N$154,MATCH(K873,Lotes!$P$5:$P$154,0)),"Sem lote cadastrado"))</f>
        <v/>
      </c>
      <c r="M873" s="25">
        <f>IF(H873="Sim",G873,0)</f>
        <v>0</v>
      </c>
      <c r="N873" s="42">
        <f>IF(AND(H873="Sim",I873&lt;&gt;"Aceito"),G873+ROW()/100000,0)</f>
        <v>0</v>
      </c>
    </row>
    <row r="874">
      <c r="A874" s="35" t="n"/>
      <c r="B874" s="39" t="n"/>
      <c r="C874" s="33" t="n"/>
      <c r="D874" s="35" t="n"/>
      <c r="E874" s="33" t="n"/>
      <c r="F874" s="33" t="n"/>
      <c r="G874" s="40" t="n"/>
      <c r="H874" s="35" t="n"/>
      <c r="I874" s="35" t="n"/>
      <c r="J874" s="30">
        <f>IF(B874="","",DATE(YEAR(B874),MONTH(B874),1))</f>
        <v/>
      </c>
      <c r="K874" s="41">
        <f>IF(OR(B874="",D874=""),"",D874&amp;"|"&amp;TEXT(J874,"yyyy-mm"))</f>
        <v/>
      </c>
      <c r="L874" s="24">
        <f>IF(K874="","",IFERROR(INDEX(Lotes!$N$5:$N$154,MATCH(K874,Lotes!$P$5:$P$154,0)),"Sem lote cadastrado"))</f>
        <v/>
      </c>
      <c r="M874" s="25">
        <f>IF(H874="Sim",G874,0)</f>
        <v>0</v>
      </c>
      <c r="N874" s="42">
        <f>IF(AND(H874="Sim",I874&lt;&gt;"Aceito"),G874+ROW()/100000,0)</f>
        <v>0</v>
      </c>
    </row>
    <row r="875">
      <c r="A875" s="35" t="n"/>
      <c r="B875" s="39" t="n"/>
      <c r="C875" s="33" t="n"/>
      <c r="D875" s="35" t="n"/>
      <c r="E875" s="33" t="n"/>
      <c r="F875" s="33" t="n"/>
      <c r="G875" s="40" t="n"/>
      <c r="H875" s="35" t="n"/>
      <c r="I875" s="35" t="n"/>
      <c r="J875" s="30">
        <f>IF(B875="","",DATE(YEAR(B875),MONTH(B875),1))</f>
        <v/>
      </c>
      <c r="K875" s="41">
        <f>IF(OR(B875="",D875=""),"",D875&amp;"|"&amp;TEXT(J875,"yyyy-mm"))</f>
        <v/>
      </c>
      <c r="L875" s="24">
        <f>IF(K875="","",IFERROR(INDEX(Lotes!$N$5:$N$154,MATCH(K875,Lotes!$P$5:$P$154,0)),"Sem lote cadastrado"))</f>
        <v/>
      </c>
      <c r="M875" s="25">
        <f>IF(H875="Sim",G875,0)</f>
        <v>0</v>
      </c>
      <c r="N875" s="42">
        <f>IF(AND(H875="Sim",I875&lt;&gt;"Aceito"),G875+ROW()/100000,0)</f>
        <v>0</v>
      </c>
    </row>
    <row r="876">
      <c r="A876" s="35" t="n"/>
      <c r="B876" s="39" t="n"/>
      <c r="C876" s="33" t="n"/>
      <c r="D876" s="35" t="n"/>
      <c r="E876" s="33" t="n"/>
      <c r="F876" s="33" t="n"/>
      <c r="G876" s="40" t="n"/>
      <c r="H876" s="35" t="n"/>
      <c r="I876" s="35" t="n"/>
      <c r="J876" s="30">
        <f>IF(B876="","",DATE(YEAR(B876),MONTH(B876),1))</f>
        <v/>
      </c>
      <c r="K876" s="41">
        <f>IF(OR(B876="",D876=""),"",D876&amp;"|"&amp;TEXT(J876,"yyyy-mm"))</f>
        <v/>
      </c>
      <c r="L876" s="24">
        <f>IF(K876="","",IFERROR(INDEX(Lotes!$N$5:$N$154,MATCH(K876,Lotes!$P$5:$P$154,0)),"Sem lote cadastrado"))</f>
        <v/>
      </c>
      <c r="M876" s="25">
        <f>IF(H876="Sim",G876,0)</f>
        <v>0</v>
      </c>
      <c r="N876" s="42">
        <f>IF(AND(H876="Sim",I876&lt;&gt;"Aceito"),G876+ROW()/100000,0)</f>
        <v>0</v>
      </c>
    </row>
    <row r="877">
      <c r="A877" s="35" t="n"/>
      <c r="B877" s="39" t="n"/>
      <c r="C877" s="33" t="n"/>
      <c r="D877" s="35" t="n"/>
      <c r="E877" s="33" t="n"/>
      <c r="F877" s="33" t="n"/>
      <c r="G877" s="40" t="n"/>
      <c r="H877" s="35" t="n"/>
      <c r="I877" s="35" t="n"/>
      <c r="J877" s="30">
        <f>IF(B877="","",DATE(YEAR(B877),MONTH(B877),1))</f>
        <v/>
      </c>
      <c r="K877" s="41">
        <f>IF(OR(B877="",D877=""),"",D877&amp;"|"&amp;TEXT(J877,"yyyy-mm"))</f>
        <v/>
      </c>
      <c r="L877" s="24">
        <f>IF(K877="","",IFERROR(INDEX(Lotes!$N$5:$N$154,MATCH(K877,Lotes!$P$5:$P$154,0)),"Sem lote cadastrado"))</f>
        <v/>
      </c>
      <c r="M877" s="25">
        <f>IF(H877="Sim",G877,0)</f>
        <v>0</v>
      </c>
      <c r="N877" s="42">
        <f>IF(AND(H877="Sim",I877&lt;&gt;"Aceito"),G877+ROW()/100000,0)</f>
        <v>0</v>
      </c>
    </row>
    <row r="878">
      <c r="A878" s="35" t="n"/>
      <c r="B878" s="39" t="n"/>
      <c r="C878" s="33" t="n"/>
      <c r="D878" s="35" t="n"/>
      <c r="E878" s="33" t="n"/>
      <c r="F878" s="33" t="n"/>
      <c r="G878" s="40" t="n"/>
      <c r="H878" s="35" t="n"/>
      <c r="I878" s="35" t="n"/>
      <c r="J878" s="30">
        <f>IF(B878="","",DATE(YEAR(B878),MONTH(B878),1))</f>
        <v/>
      </c>
      <c r="K878" s="41">
        <f>IF(OR(B878="",D878=""),"",D878&amp;"|"&amp;TEXT(J878,"yyyy-mm"))</f>
        <v/>
      </c>
      <c r="L878" s="24">
        <f>IF(K878="","",IFERROR(INDEX(Lotes!$N$5:$N$154,MATCH(K878,Lotes!$P$5:$P$154,0)),"Sem lote cadastrado"))</f>
        <v/>
      </c>
      <c r="M878" s="25">
        <f>IF(H878="Sim",G878,0)</f>
        <v>0</v>
      </c>
      <c r="N878" s="42">
        <f>IF(AND(H878="Sim",I878&lt;&gt;"Aceito"),G878+ROW()/100000,0)</f>
        <v>0</v>
      </c>
    </row>
    <row r="879">
      <c r="A879" s="35" t="n"/>
      <c r="B879" s="39" t="n"/>
      <c r="C879" s="33" t="n"/>
      <c r="D879" s="35" t="n"/>
      <c r="E879" s="33" t="n"/>
      <c r="F879" s="33" t="n"/>
      <c r="G879" s="40" t="n"/>
      <c r="H879" s="35" t="n"/>
      <c r="I879" s="35" t="n"/>
      <c r="J879" s="30">
        <f>IF(B879="","",DATE(YEAR(B879),MONTH(B879),1))</f>
        <v/>
      </c>
      <c r="K879" s="41">
        <f>IF(OR(B879="",D879=""),"",D879&amp;"|"&amp;TEXT(J879,"yyyy-mm"))</f>
        <v/>
      </c>
      <c r="L879" s="24">
        <f>IF(K879="","",IFERROR(INDEX(Lotes!$N$5:$N$154,MATCH(K879,Lotes!$P$5:$P$154,0)),"Sem lote cadastrado"))</f>
        <v/>
      </c>
      <c r="M879" s="25">
        <f>IF(H879="Sim",G879,0)</f>
        <v>0</v>
      </c>
      <c r="N879" s="42">
        <f>IF(AND(H879="Sim",I879&lt;&gt;"Aceito"),G879+ROW()/100000,0)</f>
        <v>0</v>
      </c>
    </row>
    <row r="880">
      <c r="A880" s="35" t="n"/>
      <c r="B880" s="39" t="n"/>
      <c r="C880" s="33" t="n"/>
      <c r="D880" s="35" t="n"/>
      <c r="E880" s="33" t="n"/>
      <c r="F880" s="33" t="n"/>
      <c r="G880" s="40" t="n"/>
      <c r="H880" s="35" t="n"/>
      <c r="I880" s="35" t="n"/>
      <c r="J880" s="30">
        <f>IF(B880="","",DATE(YEAR(B880),MONTH(B880),1))</f>
        <v/>
      </c>
      <c r="K880" s="41">
        <f>IF(OR(B880="",D880=""),"",D880&amp;"|"&amp;TEXT(J880,"yyyy-mm"))</f>
        <v/>
      </c>
      <c r="L880" s="24">
        <f>IF(K880="","",IFERROR(INDEX(Lotes!$N$5:$N$154,MATCH(K880,Lotes!$P$5:$P$154,0)),"Sem lote cadastrado"))</f>
        <v/>
      </c>
      <c r="M880" s="25">
        <f>IF(H880="Sim",G880,0)</f>
        <v>0</v>
      </c>
      <c r="N880" s="42">
        <f>IF(AND(H880="Sim",I880&lt;&gt;"Aceito"),G880+ROW()/100000,0)</f>
        <v>0</v>
      </c>
    </row>
    <row r="881">
      <c r="A881" s="35" t="n"/>
      <c r="B881" s="39" t="n"/>
      <c r="C881" s="33" t="n"/>
      <c r="D881" s="35" t="n"/>
      <c r="E881" s="33" t="n"/>
      <c r="F881" s="33" t="n"/>
      <c r="G881" s="40" t="n"/>
      <c r="H881" s="35" t="n"/>
      <c r="I881" s="35" t="n"/>
      <c r="J881" s="30">
        <f>IF(B881="","",DATE(YEAR(B881),MONTH(B881),1))</f>
        <v/>
      </c>
      <c r="K881" s="41">
        <f>IF(OR(B881="",D881=""),"",D881&amp;"|"&amp;TEXT(J881,"yyyy-mm"))</f>
        <v/>
      </c>
      <c r="L881" s="24">
        <f>IF(K881="","",IFERROR(INDEX(Lotes!$N$5:$N$154,MATCH(K881,Lotes!$P$5:$P$154,0)),"Sem lote cadastrado"))</f>
        <v/>
      </c>
      <c r="M881" s="25">
        <f>IF(H881="Sim",G881,0)</f>
        <v>0</v>
      </c>
      <c r="N881" s="42">
        <f>IF(AND(H881="Sim",I881&lt;&gt;"Aceito"),G881+ROW()/100000,0)</f>
        <v>0</v>
      </c>
    </row>
    <row r="882">
      <c r="A882" s="35" t="n"/>
      <c r="B882" s="39" t="n"/>
      <c r="C882" s="33" t="n"/>
      <c r="D882" s="35" t="n"/>
      <c r="E882" s="33" t="n"/>
      <c r="F882" s="33" t="n"/>
      <c r="G882" s="40" t="n"/>
      <c r="H882" s="35" t="n"/>
      <c r="I882" s="35" t="n"/>
      <c r="J882" s="30">
        <f>IF(B882="","",DATE(YEAR(B882),MONTH(B882),1))</f>
        <v/>
      </c>
      <c r="K882" s="41">
        <f>IF(OR(B882="",D882=""),"",D882&amp;"|"&amp;TEXT(J882,"yyyy-mm"))</f>
        <v/>
      </c>
      <c r="L882" s="24">
        <f>IF(K882="","",IFERROR(INDEX(Lotes!$N$5:$N$154,MATCH(K882,Lotes!$P$5:$P$154,0)),"Sem lote cadastrado"))</f>
        <v/>
      </c>
      <c r="M882" s="25">
        <f>IF(H882="Sim",G882,0)</f>
        <v>0</v>
      </c>
      <c r="N882" s="42">
        <f>IF(AND(H882="Sim",I882&lt;&gt;"Aceito"),G882+ROW()/100000,0)</f>
        <v>0</v>
      </c>
    </row>
    <row r="883">
      <c r="A883" s="35" t="n"/>
      <c r="B883" s="39" t="n"/>
      <c r="C883" s="33" t="n"/>
      <c r="D883" s="35" t="n"/>
      <c r="E883" s="33" t="n"/>
      <c r="F883" s="33" t="n"/>
      <c r="G883" s="40" t="n"/>
      <c r="H883" s="35" t="n"/>
      <c r="I883" s="35" t="n"/>
      <c r="J883" s="30">
        <f>IF(B883="","",DATE(YEAR(B883),MONTH(B883),1))</f>
        <v/>
      </c>
      <c r="K883" s="41">
        <f>IF(OR(B883="",D883=""),"",D883&amp;"|"&amp;TEXT(J883,"yyyy-mm"))</f>
        <v/>
      </c>
      <c r="L883" s="24">
        <f>IF(K883="","",IFERROR(INDEX(Lotes!$N$5:$N$154,MATCH(K883,Lotes!$P$5:$P$154,0)),"Sem lote cadastrado"))</f>
        <v/>
      </c>
      <c r="M883" s="25">
        <f>IF(H883="Sim",G883,0)</f>
        <v>0</v>
      </c>
      <c r="N883" s="42">
        <f>IF(AND(H883="Sim",I883&lt;&gt;"Aceito"),G883+ROW()/100000,0)</f>
        <v>0</v>
      </c>
    </row>
    <row r="884">
      <c r="A884" s="35" t="n"/>
      <c r="B884" s="39" t="n"/>
      <c r="C884" s="33" t="n"/>
      <c r="D884" s="35" t="n"/>
      <c r="E884" s="33" t="n"/>
      <c r="F884" s="33" t="n"/>
      <c r="G884" s="40" t="n"/>
      <c r="H884" s="35" t="n"/>
      <c r="I884" s="35" t="n"/>
      <c r="J884" s="30">
        <f>IF(B884="","",DATE(YEAR(B884),MONTH(B884),1))</f>
        <v/>
      </c>
      <c r="K884" s="41">
        <f>IF(OR(B884="",D884=""),"",D884&amp;"|"&amp;TEXT(J884,"yyyy-mm"))</f>
        <v/>
      </c>
      <c r="L884" s="24">
        <f>IF(K884="","",IFERROR(INDEX(Lotes!$N$5:$N$154,MATCH(K884,Lotes!$P$5:$P$154,0)),"Sem lote cadastrado"))</f>
        <v/>
      </c>
      <c r="M884" s="25">
        <f>IF(H884="Sim",G884,0)</f>
        <v>0</v>
      </c>
      <c r="N884" s="42">
        <f>IF(AND(H884="Sim",I884&lt;&gt;"Aceito"),G884+ROW()/100000,0)</f>
        <v>0</v>
      </c>
    </row>
    <row r="885">
      <c r="A885" s="35" t="n"/>
      <c r="B885" s="39" t="n"/>
      <c r="C885" s="33" t="n"/>
      <c r="D885" s="35" t="n"/>
      <c r="E885" s="33" t="n"/>
      <c r="F885" s="33" t="n"/>
      <c r="G885" s="40" t="n"/>
      <c r="H885" s="35" t="n"/>
      <c r="I885" s="35" t="n"/>
      <c r="J885" s="30">
        <f>IF(B885="","",DATE(YEAR(B885),MONTH(B885),1))</f>
        <v/>
      </c>
      <c r="K885" s="41">
        <f>IF(OR(B885="",D885=""),"",D885&amp;"|"&amp;TEXT(J885,"yyyy-mm"))</f>
        <v/>
      </c>
      <c r="L885" s="24">
        <f>IF(K885="","",IFERROR(INDEX(Lotes!$N$5:$N$154,MATCH(K885,Lotes!$P$5:$P$154,0)),"Sem lote cadastrado"))</f>
        <v/>
      </c>
      <c r="M885" s="25">
        <f>IF(H885="Sim",G885,0)</f>
        <v>0</v>
      </c>
      <c r="N885" s="42">
        <f>IF(AND(H885="Sim",I885&lt;&gt;"Aceito"),G885+ROW()/100000,0)</f>
        <v>0</v>
      </c>
    </row>
    <row r="886">
      <c r="A886" s="35" t="n"/>
      <c r="B886" s="39" t="n"/>
      <c r="C886" s="33" t="n"/>
      <c r="D886" s="35" t="n"/>
      <c r="E886" s="33" t="n"/>
      <c r="F886" s="33" t="n"/>
      <c r="G886" s="40" t="n"/>
      <c r="H886" s="35" t="n"/>
      <c r="I886" s="35" t="n"/>
      <c r="J886" s="30">
        <f>IF(B886="","",DATE(YEAR(B886),MONTH(B886),1))</f>
        <v/>
      </c>
      <c r="K886" s="41">
        <f>IF(OR(B886="",D886=""),"",D886&amp;"|"&amp;TEXT(J886,"yyyy-mm"))</f>
        <v/>
      </c>
      <c r="L886" s="24">
        <f>IF(K886="","",IFERROR(INDEX(Lotes!$N$5:$N$154,MATCH(K886,Lotes!$P$5:$P$154,0)),"Sem lote cadastrado"))</f>
        <v/>
      </c>
      <c r="M886" s="25">
        <f>IF(H886="Sim",G886,0)</f>
        <v>0</v>
      </c>
      <c r="N886" s="42">
        <f>IF(AND(H886="Sim",I886&lt;&gt;"Aceito"),G886+ROW()/100000,0)</f>
        <v>0</v>
      </c>
    </row>
    <row r="887">
      <c r="A887" s="35" t="n"/>
      <c r="B887" s="39" t="n"/>
      <c r="C887" s="33" t="n"/>
      <c r="D887" s="35" t="n"/>
      <c r="E887" s="33" t="n"/>
      <c r="F887" s="33" t="n"/>
      <c r="G887" s="40" t="n"/>
      <c r="H887" s="35" t="n"/>
      <c r="I887" s="35" t="n"/>
      <c r="J887" s="30">
        <f>IF(B887="","",DATE(YEAR(B887),MONTH(B887),1))</f>
        <v/>
      </c>
      <c r="K887" s="41">
        <f>IF(OR(B887="",D887=""),"",D887&amp;"|"&amp;TEXT(J887,"yyyy-mm"))</f>
        <v/>
      </c>
      <c r="L887" s="24">
        <f>IF(K887="","",IFERROR(INDEX(Lotes!$N$5:$N$154,MATCH(K887,Lotes!$P$5:$P$154,0)),"Sem lote cadastrado"))</f>
        <v/>
      </c>
      <c r="M887" s="25">
        <f>IF(H887="Sim",G887,0)</f>
        <v>0</v>
      </c>
      <c r="N887" s="42">
        <f>IF(AND(H887="Sim",I887&lt;&gt;"Aceito"),G887+ROW()/100000,0)</f>
        <v>0</v>
      </c>
    </row>
    <row r="888">
      <c r="A888" s="35" t="n"/>
      <c r="B888" s="39" t="n"/>
      <c r="C888" s="33" t="n"/>
      <c r="D888" s="35" t="n"/>
      <c r="E888" s="33" t="n"/>
      <c r="F888" s="33" t="n"/>
      <c r="G888" s="40" t="n"/>
      <c r="H888" s="35" t="n"/>
      <c r="I888" s="35" t="n"/>
      <c r="J888" s="30">
        <f>IF(B888="","",DATE(YEAR(B888),MONTH(B888),1))</f>
        <v/>
      </c>
      <c r="K888" s="41">
        <f>IF(OR(B888="",D888=""),"",D888&amp;"|"&amp;TEXT(J888,"yyyy-mm"))</f>
        <v/>
      </c>
      <c r="L888" s="24">
        <f>IF(K888="","",IFERROR(INDEX(Lotes!$N$5:$N$154,MATCH(K888,Lotes!$P$5:$P$154,0)),"Sem lote cadastrado"))</f>
        <v/>
      </c>
      <c r="M888" s="25">
        <f>IF(H888="Sim",G888,0)</f>
        <v>0</v>
      </c>
      <c r="N888" s="42">
        <f>IF(AND(H888="Sim",I888&lt;&gt;"Aceito"),G888+ROW()/100000,0)</f>
        <v>0</v>
      </c>
    </row>
    <row r="889">
      <c r="A889" s="35" t="n"/>
      <c r="B889" s="39" t="n"/>
      <c r="C889" s="33" t="n"/>
      <c r="D889" s="35" t="n"/>
      <c r="E889" s="33" t="n"/>
      <c r="F889" s="33" t="n"/>
      <c r="G889" s="40" t="n"/>
      <c r="H889" s="35" t="n"/>
      <c r="I889" s="35" t="n"/>
      <c r="J889" s="30">
        <f>IF(B889="","",DATE(YEAR(B889),MONTH(B889),1))</f>
        <v/>
      </c>
      <c r="K889" s="41">
        <f>IF(OR(B889="",D889=""),"",D889&amp;"|"&amp;TEXT(J889,"yyyy-mm"))</f>
        <v/>
      </c>
      <c r="L889" s="24">
        <f>IF(K889="","",IFERROR(INDEX(Lotes!$N$5:$N$154,MATCH(K889,Lotes!$P$5:$P$154,0)),"Sem lote cadastrado"))</f>
        <v/>
      </c>
      <c r="M889" s="25">
        <f>IF(H889="Sim",G889,0)</f>
        <v>0</v>
      </c>
      <c r="N889" s="42">
        <f>IF(AND(H889="Sim",I889&lt;&gt;"Aceito"),G889+ROW()/100000,0)</f>
        <v>0</v>
      </c>
    </row>
    <row r="890">
      <c r="A890" s="35" t="n"/>
      <c r="B890" s="39" t="n"/>
      <c r="C890" s="33" t="n"/>
      <c r="D890" s="35" t="n"/>
      <c r="E890" s="33" t="n"/>
      <c r="F890" s="33" t="n"/>
      <c r="G890" s="40" t="n"/>
      <c r="H890" s="35" t="n"/>
      <c r="I890" s="35" t="n"/>
      <c r="J890" s="30">
        <f>IF(B890="","",DATE(YEAR(B890),MONTH(B890),1))</f>
        <v/>
      </c>
      <c r="K890" s="41">
        <f>IF(OR(B890="",D890=""),"",D890&amp;"|"&amp;TEXT(J890,"yyyy-mm"))</f>
        <v/>
      </c>
      <c r="L890" s="24">
        <f>IF(K890="","",IFERROR(INDEX(Lotes!$N$5:$N$154,MATCH(K890,Lotes!$P$5:$P$154,0)),"Sem lote cadastrado"))</f>
        <v/>
      </c>
      <c r="M890" s="25">
        <f>IF(H890="Sim",G890,0)</f>
        <v>0</v>
      </c>
      <c r="N890" s="42">
        <f>IF(AND(H890="Sim",I890&lt;&gt;"Aceito"),G890+ROW()/100000,0)</f>
        <v>0</v>
      </c>
    </row>
    <row r="891">
      <c r="A891" s="35" t="n"/>
      <c r="B891" s="39" t="n"/>
      <c r="C891" s="33" t="n"/>
      <c r="D891" s="35" t="n"/>
      <c r="E891" s="33" t="n"/>
      <c r="F891" s="33" t="n"/>
      <c r="G891" s="40" t="n"/>
      <c r="H891" s="35" t="n"/>
      <c r="I891" s="35" t="n"/>
      <c r="J891" s="30">
        <f>IF(B891="","",DATE(YEAR(B891),MONTH(B891),1))</f>
        <v/>
      </c>
      <c r="K891" s="41">
        <f>IF(OR(B891="",D891=""),"",D891&amp;"|"&amp;TEXT(J891,"yyyy-mm"))</f>
        <v/>
      </c>
      <c r="L891" s="24">
        <f>IF(K891="","",IFERROR(INDEX(Lotes!$N$5:$N$154,MATCH(K891,Lotes!$P$5:$P$154,0)),"Sem lote cadastrado"))</f>
        <v/>
      </c>
      <c r="M891" s="25">
        <f>IF(H891="Sim",G891,0)</f>
        <v>0</v>
      </c>
      <c r="N891" s="42">
        <f>IF(AND(H891="Sim",I891&lt;&gt;"Aceito"),G891+ROW()/100000,0)</f>
        <v>0</v>
      </c>
    </row>
    <row r="892">
      <c r="A892" s="35" t="n"/>
      <c r="B892" s="39" t="n"/>
      <c r="C892" s="33" t="n"/>
      <c r="D892" s="35" t="n"/>
      <c r="E892" s="33" t="n"/>
      <c r="F892" s="33" t="n"/>
      <c r="G892" s="40" t="n"/>
      <c r="H892" s="35" t="n"/>
      <c r="I892" s="35" t="n"/>
      <c r="J892" s="30">
        <f>IF(B892="","",DATE(YEAR(B892),MONTH(B892),1))</f>
        <v/>
      </c>
      <c r="K892" s="41">
        <f>IF(OR(B892="",D892=""),"",D892&amp;"|"&amp;TEXT(J892,"yyyy-mm"))</f>
        <v/>
      </c>
      <c r="L892" s="24">
        <f>IF(K892="","",IFERROR(INDEX(Lotes!$N$5:$N$154,MATCH(K892,Lotes!$P$5:$P$154,0)),"Sem lote cadastrado"))</f>
        <v/>
      </c>
      <c r="M892" s="25">
        <f>IF(H892="Sim",G892,0)</f>
        <v>0</v>
      </c>
      <c r="N892" s="42">
        <f>IF(AND(H892="Sim",I892&lt;&gt;"Aceito"),G892+ROW()/100000,0)</f>
        <v>0</v>
      </c>
    </row>
    <row r="893">
      <c r="A893" s="35" t="n"/>
      <c r="B893" s="39" t="n"/>
      <c r="C893" s="33" t="n"/>
      <c r="D893" s="35" t="n"/>
      <c r="E893" s="33" t="n"/>
      <c r="F893" s="33" t="n"/>
      <c r="G893" s="40" t="n"/>
      <c r="H893" s="35" t="n"/>
      <c r="I893" s="35" t="n"/>
      <c r="J893" s="30">
        <f>IF(B893="","",DATE(YEAR(B893),MONTH(B893),1))</f>
        <v/>
      </c>
      <c r="K893" s="41">
        <f>IF(OR(B893="",D893=""),"",D893&amp;"|"&amp;TEXT(J893,"yyyy-mm"))</f>
        <v/>
      </c>
      <c r="L893" s="24">
        <f>IF(K893="","",IFERROR(INDEX(Lotes!$N$5:$N$154,MATCH(K893,Lotes!$P$5:$P$154,0)),"Sem lote cadastrado"))</f>
        <v/>
      </c>
      <c r="M893" s="25">
        <f>IF(H893="Sim",G893,0)</f>
        <v>0</v>
      </c>
      <c r="N893" s="42">
        <f>IF(AND(H893="Sim",I893&lt;&gt;"Aceito"),G893+ROW()/100000,0)</f>
        <v>0</v>
      </c>
    </row>
    <row r="894">
      <c r="A894" s="35" t="n"/>
      <c r="B894" s="39" t="n"/>
      <c r="C894" s="33" t="n"/>
      <c r="D894" s="35" t="n"/>
      <c r="E894" s="33" t="n"/>
      <c r="F894" s="33" t="n"/>
      <c r="G894" s="40" t="n"/>
      <c r="H894" s="35" t="n"/>
      <c r="I894" s="35" t="n"/>
      <c r="J894" s="30">
        <f>IF(B894="","",DATE(YEAR(B894),MONTH(B894),1))</f>
        <v/>
      </c>
      <c r="K894" s="41">
        <f>IF(OR(B894="",D894=""),"",D894&amp;"|"&amp;TEXT(J894,"yyyy-mm"))</f>
        <v/>
      </c>
      <c r="L894" s="24">
        <f>IF(K894="","",IFERROR(INDEX(Lotes!$N$5:$N$154,MATCH(K894,Lotes!$P$5:$P$154,0)),"Sem lote cadastrado"))</f>
        <v/>
      </c>
      <c r="M894" s="25">
        <f>IF(H894="Sim",G894,0)</f>
        <v>0</v>
      </c>
      <c r="N894" s="42">
        <f>IF(AND(H894="Sim",I894&lt;&gt;"Aceito"),G894+ROW()/100000,0)</f>
        <v>0</v>
      </c>
    </row>
    <row r="895">
      <c r="A895" s="35" t="n"/>
      <c r="B895" s="39" t="n"/>
      <c r="C895" s="33" t="n"/>
      <c r="D895" s="35" t="n"/>
      <c r="E895" s="33" t="n"/>
      <c r="F895" s="33" t="n"/>
      <c r="G895" s="40" t="n"/>
      <c r="H895" s="35" t="n"/>
      <c r="I895" s="35" t="n"/>
      <c r="J895" s="30">
        <f>IF(B895="","",DATE(YEAR(B895),MONTH(B895),1))</f>
        <v/>
      </c>
      <c r="K895" s="41">
        <f>IF(OR(B895="",D895=""),"",D895&amp;"|"&amp;TEXT(J895,"yyyy-mm"))</f>
        <v/>
      </c>
      <c r="L895" s="24">
        <f>IF(K895="","",IFERROR(INDEX(Lotes!$N$5:$N$154,MATCH(K895,Lotes!$P$5:$P$154,0)),"Sem lote cadastrado"))</f>
        <v/>
      </c>
      <c r="M895" s="25">
        <f>IF(H895="Sim",G895,0)</f>
        <v>0</v>
      </c>
      <c r="N895" s="42">
        <f>IF(AND(H895="Sim",I895&lt;&gt;"Aceito"),G895+ROW()/100000,0)</f>
        <v>0</v>
      </c>
    </row>
    <row r="896">
      <c r="A896" s="35" t="n"/>
      <c r="B896" s="39" t="n"/>
      <c r="C896" s="33" t="n"/>
      <c r="D896" s="35" t="n"/>
      <c r="E896" s="33" t="n"/>
      <c r="F896" s="33" t="n"/>
      <c r="G896" s="40" t="n"/>
      <c r="H896" s="35" t="n"/>
      <c r="I896" s="35" t="n"/>
      <c r="J896" s="30">
        <f>IF(B896="","",DATE(YEAR(B896),MONTH(B896),1))</f>
        <v/>
      </c>
      <c r="K896" s="41">
        <f>IF(OR(B896="",D896=""),"",D896&amp;"|"&amp;TEXT(J896,"yyyy-mm"))</f>
        <v/>
      </c>
      <c r="L896" s="24">
        <f>IF(K896="","",IFERROR(INDEX(Lotes!$N$5:$N$154,MATCH(K896,Lotes!$P$5:$P$154,0)),"Sem lote cadastrado"))</f>
        <v/>
      </c>
      <c r="M896" s="25">
        <f>IF(H896="Sim",G896,0)</f>
        <v>0</v>
      </c>
      <c r="N896" s="42">
        <f>IF(AND(H896="Sim",I896&lt;&gt;"Aceito"),G896+ROW()/100000,0)</f>
        <v>0</v>
      </c>
    </row>
    <row r="897">
      <c r="A897" s="35" t="n"/>
      <c r="B897" s="39" t="n"/>
      <c r="C897" s="33" t="n"/>
      <c r="D897" s="35" t="n"/>
      <c r="E897" s="33" t="n"/>
      <c r="F897" s="33" t="n"/>
      <c r="G897" s="40" t="n"/>
      <c r="H897" s="35" t="n"/>
      <c r="I897" s="35" t="n"/>
      <c r="J897" s="30">
        <f>IF(B897="","",DATE(YEAR(B897),MONTH(B897),1))</f>
        <v/>
      </c>
      <c r="K897" s="41">
        <f>IF(OR(B897="",D897=""),"",D897&amp;"|"&amp;TEXT(J897,"yyyy-mm"))</f>
        <v/>
      </c>
      <c r="L897" s="24">
        <f>IF(K897="","",IFERROR(INDEX(Lotes!$N$5:$N$154,MATCH(K897,Lotes!$P$5:$P$154,0)),"Sem lote cadastrado"))</f>
        <v/>
      </c>
      <c r="M897" s="25">
        <f>IF(H897="Sim",G897,0)</f>
        <v>0</v>
      </c>
      <c r="N897" s="42">
        <f>IF(AND(H897="Sim",I897&lt;&gt;"Aceito"),G897+ROW()/100000,0)</f>
        <v>0</v>
      </c>
    </row>
    <row r="898">
      <c r="A898" s="35" t="n"/>
      <c r="B898" s="39" t="n"/>
      <c r="C898" s="33" t="n"/>
      <c r="D898" s="35" t="n"/>
      <c r="E898" s="33" t="n"/>
      <c r="F898" s="33" t="n"/>
      <c r="G898" s="40" t="n"/>
      <c r="H898" s="35" t="n"/>
      <c r="I898" s="35" t="n"/>
      <c r="J898" s="30">
        <f>IF(B898="","",DATE(YEAR(B898),MONTH(B898),1))</f>
        <v/>
      </c>
      <c r="K898" s="41">
        <f>IF(OR(B898="",D898=""),"",D898&amp;"|"&amp;TEXT(J898,"yyyy-mm"))</f>
        <v/>
      </c>
      <c r="L898" s="24">
        <f>IF(K898="","",IFERROR(INDEX(Lotes!$N$5:$N$154,MATCH(K898,Lotes!$P$5:$P$154,0)),"Sem lote cadastrado"))</f>
        <v/>
      </c>
      <c r="M898" s="25">
        <f>IF(H898="Sim",G898,0)</f>
        <v>0</v>
      </c>
      <c r="N898" s="42">
        <f>IF(AND(H898="Sim",I898&lt;&gt;"Aceito"),G898+ROW()/100000,0)</f>
        <v>0</v>
      </c>
    </row>
    <row r="899">
      <c r="A899" s="35" t="n"/>
      <c r="B899" s="39" t="n"/>
      <c r="C899" s="33" t="n"/>
      <c r="D899" s="35" t="n"/>
      <c r="E899" s="33" t="n"/>
      <c r="F899" s="33" t="n"/>
      <c r="G899" s="40" t="n"/>
      <c r="H899" s="35" t="n"/>
      <c r="I899" s="35" t="n"/>
      <c r="J899" s="30">
        <f>IF(B899="","",DATE(YEAR(B899),MONTH(B899),1))</f>
        <v/>
      </c>
      <c r="K899" s="41">
        <f>IF(OR(B899="",D899=""),"",D899&amp;"|"&amp;TEXT(J899,"yyyy-mm"))</f>
        <v/>
      </c>
      <c r="L899" s="24">
        <f>IF(K899="","",IFERROR(INDEX(Lotes!$N$5:$N$154,MATCH(K899,Lotes!$P$5:$P$154,0)),"Sem lote cadastrado"))</f>
        <v/>
      </c>
      <c r="M899" s="25">
        <f>IF(H899="Sim",G899,0)</f>
        <v>0</v>
      </c>
      <c r="N899" s="42">
        <f>IF(AND(H899="Sim",I899&lt;&gt;"Aceito"),G899+ROW()/100000,0)</f>
        <v>0</v>
      </c>
    </row>
    <row r="900">
      <c r="A900" s="35" t="n"/>
      <c r="B900" s="39" t="n"/>
      <c r="C900" s="33" t="n"/>
      <c r="D900" s="35" t="n"/>
      <c r="E900" s="33" t="n"/>
      <c r="F900" s="33" t="n"/>
      <c r="G900" s="40" t="n"/>
      <c r="H900" s="35" t="n"/>
      <c r="I900" s="35" t="n"/>
      <c r="J900" s="30">
        <f>IF(B900="","",DATE(YEAR(B900),MONTH(B900),1))</f>
        <v/>
      </c>
      <c r="K900" s="41">
        <f>IF(OR(B900="",D900=""),"",D900&amp;"|"&amp;TEXT(J900,"yyyy-mm"))</f>
        <v/>
      </c>
      <c r="L900" s="24">
        <f>IF(K900="","",IFERROR(INDEX(Lotes!$N$5:$N$154,MATCH(K900,Lotes!$P$5:$P$154,0)),"Sem lote cadastrado"))</f>
        <v/>
      </c>
      <c r="M900" s="25">
        <f>IF(H900="Sim",G900,0)</f>
        <v>0</v>
      </c>
      <c r="N900" s="42">
        <f>IF(AND(H900="Sim",I900&lt;&gt;"Aceito"),G900+ROW()/100000,0)</f>
        <v>0</v>
      </c>
    </row>
    <row r="901">
      <c r="A901" s="35" t="n"/>
      <c r="B901" s="39" t="n"/>
      <c r="C901" s="33" t="n"/>
      <c r="D901" s="35" t="n"/>
      <c r="E901" s="33" t="n"/>
      <c r="F901" s="33" t="n"/>
      <c r="G901" s="40" t="n"/>
      <c r="H901" s="35" t="n"/>
      <c r="I901" s="35" t="n"/>
      <c r="J901" s="30">
        <f>IF(B901="","",DATE(YEAR(B901),MONTH(B901),1))</f>
        <v/>
      </c>
      <c r="K901" s="41">
        <f>IF(OR(B901="",D901=""),"",D901&amp;"|"&amp;TEXT(J901,"yyyy-mm"))</f>
        <v/>
      </c>
      <c r="L901" s="24">
        <f>IF(K901="","",IFERROR(INDEX(Lotes!$N$5:$N$154,MATCH(K901,Lotes!$P$5:$P$154,0)),"Sem lote cadastrado"))</f>
        <v/>
      </c>
      <c r="M901" s="25">
        <f>IF(H901="Sim",G901,0)</f>
        <v>0</v>
      </c>
      <c r="N901" s="42">
        <f>IF(AND(H901="Sim",I901&lt;&gt;"Aceito"),G901+ROW()/100000,0)</f>
        <v>0</v>
      </c>
    </row>
    <row r="902">
      <c r="A902" s="35" t="n"/>
      <c r="B902" s="39" t="n"/>
      <c r="C902" s="33" t="n"/>
      <c r="D902" s="35" t="n"/>
      <c r="E902" s="33" t="n"/>
      <c r="F902" s="33" t="n"/>
      <c r="G902" s="40" t="n"/>
      <c r="H902" s="35" t="n"/>
      <c r="I902" s="35" t="n"/>
      <c r="J902" s="30">
        <f>IF(B902="","",DATE(YEAR(B902),MONTH(B902),1))</f>
        <v/>
      </c>
      <c r="K902" s="41">
        <f>IF(OR(B902="",D902=""),"",D902&amp;"|"&amp;TEXT(J902,"yyyy-mm"))</f>
        <v/>
      </c>
      <c r="L902" s="24">
        <f>IF(K902="","",IFERROR(INDEX(Lotes!$N$5:$N$154,MATCH(K902,Lotes!$P$5:$P$154,0)),"Sem lote cadastrado"))</f>
        <v/>
      </c>
      <c r="M902" s="25">
        <f>IF(H902="Sim",G902,0)</f>
        <v>0</v>
      </c>
      <c r="N902" s="42">
        <f>IF(AND(H902="Sim",I902&lt;&gt;"Aceito"),G902+ROW()/100000,0)</f>
        <v>0</v>
      </c>
    </row>
    <row r="903">
      <c r="A903" s="35" t="n"/>
      <c r="B903" s="39" t="n"/>
      <c r="C903" s="33" t="n"/>
      <c r="D903" s="35" t="n"/>
      <c r="E903" s="33" t="n"/>
      <c r="F903" s="33" t="n"/>
      <c r="G903" s="40" t="n"/>
      <c r="H903" s="35" t="n"/>
      <c r="I903" s="35" t="n"/>
      <c r="J903" s="30">
        <f>IF(B903="","",DATE(YEAR(B903),MONTH(B903),1))</f>
        <v/>
      </c>
      <c r="K903" s="41">
        <f>IF(OR(B903="",D903=""),"",D903&amp;"|"&amp;TEXT(J903,"yyyy-mm"))</f>
        <v/>
      </c>
      <c r="L903" s="24">
        <f>IF(K903="","",IFERROR(INDEX(Lotes!$N$5:$N$154,MATCH(K903,Lotes!$P$5:$P$154,0)),"Sem lote cadastrado"))</f>
        <v/>
      </c>
      <c r="M903" s="25">
        <f>IF(H903="Sim",G903,0)</f>
        <v>0</v>
      </c>
      <c r="N903" s="42">
        <f>IF(AND(H903="Sim",I903&lt;&gt;"Aceito"),G903+ROW()/100000,0)</f>
        <v>0</v>
      </c>
    </row>
    <row r="904">
      <c r="A904" s="35" t="n"/>
      <c r="B904" s="39" t="n"/>
      <c r="C904" s="33" t="n"/>
      <c r="D904" s="35" t="n"/>
      <c r="E904" s="33" t="n"/>
      <c r="F904" s="33" t="n"/>
      <c r="G904" s="40" t="n"/>
      <c r="H904" s="35" t="n"/>
      <c r="I904" s="35" t="n"/>
      <c r="J904" s="30">
        <f>IF(B904="","",DATE(YEAR(B904),MONTH(B904),1))</f>
        <v/>
      </c>
      <c r="K904" s="41">
        <f>IF(OR(B904="",D904=""),"",D904&amp;"|"&amp;TEXT(J904,"yyyy-mm"))</f>
        <v/>
      </c>
      <c r="L904" s="24">
        <f>IF(K904="","",IFERROR(INDEX(Lotes!$N$5:$N$154,MATCH(K904,Lotes!$P$5:$P$154,0)),"Sem lote cadastrado"))</f>
        <v/>
      </c>
      <c r="M904" s="25">
        <f>IF(H904="Sim",G904,0)</f>
        <v>0</v>
      </c>
      <c r="N904" s="42">
        <f>IF(AND(H904="Sim",I904&lt;&gt;"Aceito"),G904+ROW()/100000,0)</f>
        <v>0</v>
      </c>
    </row>
    <row r="905">
      <c r="A905" s="35" t="n"/>
      <c r="B905" s="39" t="n"/>
      <c r="C905" s="33" t="n"/>
      <c r="D905" s="35" t="n"/>
      <c r="E905" s="33" t="n"/>
      <c r="F905" s="33" t="n"/>
      <c r="G905" s="40" t="n"/>
      <c r="H905" s="35" t="n"/>
      <c r="I905" s="35" t="n"/>
      <c r="J905" s="30">
        <f>IF(B905="","",DATE(YEAR(B905),MONTH(B905),1))</f>
        <v/>
      </c>
      <c r="K905" s="41">
        <f>IF(OR(B905="",D905=""),"",D905&amp;"|"&amp;TEXT(J905,"yyyy-mm"))</f>
        <v/>
      </c>
      <c r="L905" s="24">
        <f>IF(K905="","",IFERROR(INDEX(Lotes!$N$5:$N$154,MATCH(K905,Lotes!$P$5:$P$154,0)),"Sem lote cadastrado"))</f>
        <v/>
      </c>
      <c r="M905" s="25">
        <f>IF(H905="Sim",G905,0)</f>
        <v>0</v>
      </c>
      <c r="N905" s="42">
        <f>IF(AND(H905="Sim",I905&lt;&gt;"Aceito"),G905+ROW()/100000,0)</f>
        <v>0</v>
      </c>
    </row>
    <row r="906">
      <c r="A906" s="35" t="n"/>
      <c r="B906" s="39" t="n"/>
      <c r="C906" s="33" t="n"/>
      <c r="D906" s="35" t="n"/>
      <c r="E906" s="33" t="n"/>
      <c r="F906" s="33" t="n"/>
      <c r="G906" s="40" t="n"/>
      <c r="H906" s="35" t="n"/>
      <c r="I906" s="35" t="n"/>
      <c r="J906" s="30">
        <f>IF(B906="","",DATE(YEAR(B906),MONTH(B906),1))</f>
        <v/>
      </c>
      <c r="K906" s="41">
        <f>IF(OR(B906="",D906=""),"",D906&amp;"|"&amp;TEXT(J906,"yyyy-mm"))</f>
        <v/>
      </c>
      <c r="L906" s="24">
        <f>IF(K906="","",IFERROR(INDEX(Lotes!$N$5:$N$154,MATCH(K906,Lotes!$P$5:$P$154,0)),"Sem lote cadastrado"))</f>
        <v/>
      </c>
      <c r="M906" s="25">
        <f>IF(H906="Sim",G906,0)</f>
        <v>0</v>
      </c>
      <c r="N906" s="42">
        <f>IF(AND(H906="Sim",I906&lt;&gt;"Aceito"),G906+ROW()/100000,0)</f>
        <v>0</v>
      </c>
    </row>
    <row r="907">
      <c r="A907" s="35" t="n"/>
      <c r="B907" s="39" t="n"/>
      <c r="C907" s="33" t="n"/>
      <c r="D907" s="35" t="n"/>
      <c r="E907" s="33" t="n"/>
      <c r="F907" s="33" t="n"/>
      <c r="G907" s="40" t="n"/>
      <c r="H907" s="35" t="n"/>
      <c r="I907" s="35" t="n"/>
      <c r="J907" s="30">
        <f>IF(B907="","",DATE(YEAR(B907),MONTH(B907),1))</f>
        <v/>
      </c>
      <c r="K907" s="41">
        <f>IF(OR(B907="",D907=""),"",D907&amp;"|"&amp;TEXT(J907,"yyyy-mm"))</f>
        <v/>
      </c>
      <c r="L907" s="24">
        <f>IF(K907="","",IFERROR(INDEX(Lotes!$N$5:$N$154,MATCH(K907,Lotes!$P$5:$P$154,0)),"Sem lote cadastrado"))</f>
        <v/>
      </c>
      <c r="M907" s="25">
        <f>IF(H907="Sim",G907,0)</f>
        <v>0</v>
      </c>
      <c r="N907" s="42">
        <f>IF(AND(H907="Sim",I907&lt;&gt;"Aceito"),G907+ROW()/100000,0)</f>
        <v>0</v>
      </c>
    </row>
    <row r="908">
      <c r="A908" s="35" t="n"/>
      <c r="B908" s="39" t="n"/>
      <c r="C908" s="33" t="n"/>
      <c r="D908" s="35" t="n"/>
      <c r="E908" s="33" t="n"/>
      <c r="F908" s="33" t="n"/>
      <c r="G908" s="40" t="n"/>
      <c r="H908" s="35" t="n"/>
      <c r="I908" s="35" t="n"/>
      <c r="J908" s="30">
        <f>IF(B908="","",DATE(YEAR(B908),MONTH(B908),1))</f>
        <v/>
      </c>
      <c r="K908" s="41">
        <f>IF(OR(B908="",D908=""),"",D908&amp;"|"&amp;TEXT(J908,"yyyy-mm"))</f>
        <v/>
      </c>
      <c r="L908" s="24">
        <f>IF(K908="","",IFERROR(INDEX(Lotes!$N$5:$N$154,MATCH(K908,Lotes!$P$5:$P$154,0)),"Sem lote cadastrado"))</f>
        <v/>
      </c>
      <c r="M908" s="25">
        <f>IF(H908="Sim",G908,0)</f>
        <v>0</v>
      </c>
      <c r="N908" s="42">
        <f>IF(AND(H908="Sim",I908&lt;&gt;"Aceito"),G908+ROW()/100000,0)</f>
        <v>0</v>
      </c>
    </row>
    <row r="909">
      <c r="A909" s="35" t="n"/>
      <c r="B909" s="39" t="n"/>
      <c r="C909" s="33" t="n"/>
      <c r="D909" s="35" t="n"/>
      <c r="E909" s="33" t="n"/>
      <c r="F909" s="33" t="n"/>
      <c r="G909" s="40" t="n"/>
      <c r="H909" s="35" t="n"/>
      <c r="I909" s="35" t="n"/>
      <c r="J909" s="30">
        <f>IF(B909="","",DATE(YEAR(B909),MONTH(B909),1))</f>
        <v/>
      </c>
      <c r="K909" s="41">
        <f>IF(OR(B909="",D909=""),"",D909&amp;"|"&amp;TEXT(J909,"yyyy-mm"))</f>
        <v/>
      </c>
      <c r="L909" s="24">
        <f>IF(K909="","",IFERROR(INDEX(Lotes!$N$5:$N$154,MATCH(K909,Lotes!$P$5:$P$154,0)),"Sem lote cadastrado"))</f>
        <v/>
      </c>
      <c r="M909" s="25">
        <f>IF(H909="Sim",G909,0)</f>
        <v>0</v>
      </c>
      <c r="N909" s="42">
        <f>IF(AND(H909="Sim",I909&lt;&gt;"Aceito"),G909+ROW()/100000,0)</f>
        <v>0</v>
      </c>
    </row>
    <row r="910">
      <c r="A910" s="35" t="n"/>
      <c r="B910" s="39" t="n"/>
      <c r="C910" s="33" t="n"/>
      <c r="D910" s="35" t="n"/>
      <c r="E910" s="33" t="n"/>
      <c r="F910" s="33" t="n"/>
      <c r="G910" s="40" t="n"/>
      <c r="H910" s="35" t="n"/>
      <c r="I910" s="35" t="n"/>
      <c r="J910" s="30">
        <f>IF(B910="","",DATE(YEAR(B910),MONTH(B910),1))</f>
        <v/>
      </c>
      <c r="K910" s="41">
        <f>IF(OR(B910="",D910=""),"",D910&amp;"|"&amp;TEXT(J910,"yyyy-mm"))</f>
        <v/>
      </c>
      <c r="L910" s="24">
        <f>IF(K910="","",IFERROR(INDEX(Lotes!$N$5:$N$154,MATCH(K910,Lotes!$P$5:$P$154,0)),"Sem lote cadastrado"))</f>
        <v/>
      </c>
      <c r="M910" s="25">
        <f>IF(H910="Sim",G910,0)</f>
        <v>0</v>
      </c>
      <c r="N910" s="42">
        <f>IF(AND(H910="Sim",I910&lt;&gt;"Aceito"),G910+ROW()/100000,0)</f>
        <v>0</v>
      </c>
    </row>
    <row r="911">
      <c r="A911" s="35" t="n"/>
      <c r="B911" s="39" t="n"/>
      <c r="C911" s="33" t="n"/>
      <c r="D911" s="35" t="n"/>
      <c r="E911" s="33" t="n"/>
      <c r="F911" s="33" t="n"/>
      <c r="G911" s="40" t="n"/>
      <c r="H911" s="35" t="n"/>
      <c r="I911" s="35" t="n"/>
      <c r="J911" s="30">
        <f>IF(B911="","",DATE(YEAR(B911),MONTH(B911),1))</f>
        <v/>
      </c>
      <c r="K911" s="41">
        <f>IF(OR(B911="",D911=""),"",D911&amp;"|"&amp;TEXT(J911,"yyyy-mm"))</f>
        <v/>
      </c>
      <c r="L911" s="24">
        <f>IF(K911="","",IFERROR(INDEX(Lotes!$N$5:$N$154,MATCH(K911,Lotes!$P$5:$P$154,0)),"Sem lote cadastrado"))</f>
        <v/>
      </c>
      <c r="M911" s="25">
        <f>IF(H911="Sim",G911,0)</f>
        <v>0</v>
      </c>
      <c r="N911" s="42">
        <f>IF(AND(H911="Sim",I911&lt;&gt;"Aceito"),G911+ROW()/100000,0)</f>
        <v>0</v>
      </c>
    </row>
    <row r="912">
      <c r="A912" s="35" t="n"/>
      <c r="B912" s="39" t="n"/>
      <c r="C912" s="33" t="n"/>
      <c r="D912" s="35" t="n"/>
      <c r="E912" s="33" t="n"/>
      <c r="F912" s="33" t="n"/>
      <c r="G912" s="40" t="n"/>
      <c r="H912" s="35" t="n"/>
      <c r="I912" s="35" t="n"/>
      <c r="J912" s="30">
        <f>IF(B912="","",DATE(YEAR(B912),MONTH(B912),1))</f>
        <v/>
      </c>
      <c r="K912" s="41">
        <f>IF(OR(B912="",D912=""),"",D912&amp;"|"&amp;TEXT(J912,"yyyy-mm"))</f>
        <v/>
      </c>
      <c r="L912" s="24">
        <f>IF(K912="","",IFERROR(INDEX(Lotes!$N$5:$N$154,MATCH(K912,Lotes!$P$5:$P$154,0)),"Sem lote cadastrado"))</f>
        <v/>
      </c>
      <c r="M912" s="25">
        <f>IF(H912="Sim",G912,0)</f>
        <v>0</v>
      </c>
      <c r="N912" s="42">
        <f>IF(AND(H912="Sim",I912&lt;&gt;"Aceito"),G912+ROW()/100000,0)</f>
        <v>0</v>
      </c>
    </row>
    <row r="913">
      <c r="A913" s="35" t="n"/>
      <c r="B913" s="39" t="n"/>
      <c r="C913" s="33" t="n"/>
      <c r="D913" s="35" t="n"/>
      <c r="E913" s="33" t="n"/>
      <c r="F913" s="33" t="n"/>
      <c r="G913" s="40" t="n"/>
      <c r="H913" s="35" t="n"/>
      <c r="I913" s="35" t="n"/>
      <c r="J913" s="30">
        <f>IF(B913="","",DATE(YEAR(B913),MONTH(B913),1))</f>
        <v/>
      </c>
      <c r="K913" s="41">
        <f>IF(OR(B913="",D913=""),"",D913&amp;"|"&amp;TEXT(J913,"yyyy-mm"))</f>
        <v/>
      </c>
      <c r="L913" s="24">
        <f>IF(K913="","",IFERROR(INDEX(Lotes!$N$5:$N$154,MATCH(K913,Lotes!$P$5:$P$154,0)),"Sem lote cadastrado"))</f>
        <v/>
      </c>
      <c r="M913" s="25">
        <f>IF(H913="Sim",G913,0)</f>
        <v>0</v>
      </c>
      <c r="N913" s="42">
        <f>IF(AND(H913="Sim",I913&lt;&gt;"Aceito"),G913+ROW()/100000,0)</f>
        <v>0</v>
      </c>
    </row>
    <row r="914">
      <c r="A914" s="35" t="n"/>
      <c r="B914" s="39" t="n"/>
      <c r="C914" s="33" t="n"/>
      <c r="D914" s="35" t="n"/>
      <c r="E914" s="33" t="n"/>
      <c r="F914" s="33" t="n"/>
      <c r="G914" s="40" t="n"/>
      <c r="H914" s="35" t="n"/>
      <c r="I914" s="35" t="n"/>
      <c r="J914" s="30">
        <f>IF(B914="","",DATE(YEAR(B914),MONTH(B914),1))</f>
        <v/>
      </c>
      <c r="K914" s="41">
        <f>IF(OR(B914="",D914=""),"",D914&amp;"|"&amp;TEXT(J914,"yyyy-mm"))</f>
        <v/>
      </c>
      <c r="L914" s="24">
        <f>IF(K914="","",IFERROR(INDEX(Lotes!$N$5:$N$154,MATCH(K914,Lotes!$P$5:$P$154,0)),"Sem lote cadastrado"))</f>
        <v/>
      </c>
      <c r="M914" s="25">
        <f>IF(H914="Sim",G914,0)</f>
        <v>0</v>
      </c>
      <c r="N914" s="42">
        <f>IF(AND(H914="Sim",I914&lt;&gt;"Aceito"),G914+ROW()/100000,0)</f>
        <v>0</v>
      </c>
    </row>
    <row r="915">
      <c r="A915" s="35" t="n"/>
      <c r="B915" s="39" t="n"/>
      <c r="C915" s="33" t="n"/>
      <c r="D915" s="35" t="n"/>
      <c r="E915" s="33" t="n"/>
      <c r="F915" s="33" t="n"/>
      <c r="G915" s="40" t="n"/>
      <c r="H915" s="35" t="n"/>
      <c r="I915" s="35" t="n"/>
      <c r="J915" s="30">
        <f>IF(B915="","",DATE(YEAR(B915),MONTH(B915),1))</f>
        <v/>
      </c>
      <c r="K915" s="41">
        <f>IF(OR(B915="",D915=""),"",D915&amp;"|"&amp;TEXT(J915,"yyyy-mm"))</f>
        <v/>
      </c>
      <c r="L915" s="24">
        <f>IF(K915="","",IFERROR(INDEX(Lotes!$N$5:$N$154,MATCH(K915,Lotes!$P$5:$P$154,0)),"Sem lote cadastrado"))</f>
        <v/>
      </c>
      <c r="M915" s="25">
        <f>IF(H915="Sim",G915,0)</f>
        <v>0</v>
      </c>
      <c r="N915" s="42">
        <f>IF(AND(H915="Sim",I915&lt;&gt;"Aceito"),G915+ROW()/100000,0)</f>
        <v>0</v>
      </c>
    </row>
    <row r="916">
      <c r="A916" s="35" t="n"/>
      <c r="B916" s="39" t="n"/>
      <c r="C916" s="33" t="n"/>
      <c r="D916" s="35" t="n"/>
      <c r="E916" s="33" t="n"/>
      <c r="F916" s="33" t="n"/>
      <c r="G916" s="40" t="n"/>
      <c r="H916" s="35" t="n"/>
      <c r="I916" s="35" t="n"/>
      <c r="J916" s="30">
        <f>IF(B916="","",DATE(YEAR(B916),MONTH(B916),1))</f>
        <v/>
      </c>
      <c r="K916" s="41">
        <f>IF(OR(B916="",D916=""),"",D916&amp;"|"&amp;TEXT(J916,"yyyy-mm"))</f>
        <v/>
      </c>
      <c r="L916" s="24">
        <f>IF(K916="","",IFERROR(INDEX(Lotes!$N$5:$N$154,MATCH(K916,Lotes!$P$5:$P$154,0)),"Sem lote cadastrado"))</f>
        <v/>
      </c>
      <c r="M916" s="25">
        <f>IF(H916="Sim",G916,0)</f>
        <v>0</v>
      </c>
      <c r="N916" s="42">
        <f>IF(AND(H916="Sim",I916&lt;&gt;"Aceito"),G916+ROW()/100000,0)</f>
        <v>0</v>
      </c>
    </row>
    <row r="917">
      <c r="A917" s="35" t="n"/>
      <c r="B917" s="39" t="n"/>
      <c r="C917" s="33" t="n"/>
      <c r="D917" s="35" t="n"/>
      <c r="E917" s="33" t="n"/>
      <c r="F917" s="33" t="n"/>
      <c r="G917" s="40" t="n"/>
      <c r="H917" s="35" t="n"/>
      <c r="I917" s="35" t="n"/>
      <c r="J917" s="30">
        <f>IF(B917="","",DATE(YEAR(B917),MONTH(B917),1))</f>
        <v/>
      </c>
      <c r="K917" s="41">
        <f>IF(OR(B917="",D917=""),"",D917&amp;"|"&amp;TEXT(J917,"yyyy-mm"))</f>
        <v/>
      </c>
      <c r="L917" s="24">
        <f>IF(K917="","",IFERROR(INDEX(Lotes!$N$5:$N$154,MATCH(K917,Lotes!$P$5:$P$154,0)),"Sem lote cadastrado"))</f>
        <v/>
      </c>
      <c r="M917" s="25">
        <f>IF(H917="Sim",G917,0)</f>
        <v>0</v>
      </c>
      <c r="N917" s="42">
        <f>IF(AND(H917="Sim",I917&lt;&gt;"Aceito"),G917+ROW()/100000,0)</f>
        <v>0</v>
      </c>
    </row>
    <row r="918">
      <c r="A918" s="35" t="n"/>
      <c r="B918" s="39" t="n"/>
      <c r="C918" s="33" t="n"/>
      <c r="D918" s="35" t="n"/>
      <c r="E918" s="33" t="n"/>
      <c r="F918" s="33" t="n"/>
      <c r="G918" s="40" t="n"/>
      <c r="H918" s="35" t="n"/>
      <c r="I918" s="35" t="n"/>
      <c r="J918" s="30">
        <f>IF(B918="","",DATE(YEAR(B918),MONTH(B918),1))</f>
        <v/>
      </c>
      <c r="K918" s="41">
        <f>IF(OR(B918="",D918=""),"",D918&amp;"|"&amp;TEXT(J918,"yyyy-mm"))</f>
        <v/>
      </c>
      <c r="L918" s="24">
        <f>IF(K918="","",IFERROR(INDEX(Lotes!$N$5:$N$154,MATCH(K918,Lotes!$P$5:$P$154,0)),"Sem lote cadastrado"))</f>
        <v/>
      </c>
      <c r="M918" s="25">
        <f>IF(H918="Sim",G918,0)</f>
        <v>0</v>
      </c>
      <c r="N918" s="42">
        <f>IF(AND(H918="Sim",I918&lt;&gt;"Aceito"),G918+ROW()/100000,0)</f>
        <v>0</v>
      </c>
    </row>
    <row r="919">
      <c r="A919" s="35" t="n"/>
      <c r="B919" s="39" t="n"/>
      <c r="C919" s="33" t="n"/>
      <c r="D919" s="35" t="n"/>
      <c r="E919" s="33" t="n"/>
      <c r="F919" s="33" t="n"/>
      <c r="G919" s="40" t="n"/>
      <c r="H919" s="35" t="n"/>
      <c r="I919" s="35" t="n"/>
      <c r="J919" s="30">
        <f>IF(B919="","",DATE(YEAR(B919),MONTH(B919),1))</f>
        <v/>
      </c>
      <c r="K919" s="41">
        <f>IF(OR(B919="",D919=""),"",D919&amp;"|"&amp;TEXT(J919,"yyyy-mm"))</f>
        <v/>
      </c>
      <c r="L919" s="24">
        <f>IF(K919="","",IFERROR(INDEX(Lotes!$N$5:$N$154,MATCH(K919,Lotes!$P$5:$P$154,0)),"Sem lote cadastrado"))</f>
        <v/>
      </c>
      <c r="M919" s="25">
        <f>IF(H919="Sim",G919,0)</f>
        <v>0</v>
      </c>
      <c r="N919" s="42">
        <f>IF(AND(H919="Sim",I919&lt;&gt;"Aceito"),G919+ROW()/100000,0)</f>
        <v>0</v>
      </c>
    </row>
    <row r="920">
      <c r="A920" s="35" t="n"/>
      <c r="B920" s="39" t="n"/>
      <c r="C920" s="33" t="n"/>
      <c r="D920" s="35" t="n"/>
      <c r="E920" s="33" t="n"/>
      <c r="F920" s="33" t="n"/>
      <c r="G920" s="40" t="n"/>
      <c r="H920" s="35" t="n"/>
      <c r="I920" s="35" t="n"/>
      <c r="J920" s="30">
        <f>IF(B920="","",DATE(YEAR(B920),MONTH(B920),1))</f>
        <v/>
      </c>
      <c r="K920" s="41">
        <f>IF(OR(B920="",D920=""),"",D920&amp;"|"&amp;TEXT(J920,"yyyy-mm"))</f>
        <v/>
      </c>
      <c r="L920" s="24">
        <f>IF(K920="","",IFERROR(INDEX(Lotes!$N$5:$N$154,MATCH(K920,Lotes!$P$5:$P$154,0)),"Sem lote cadastrado"))</f>
        <v/>
      </c>
      <c r="M920" s="25">
        <f>IF(H920="Sim",G920,0)</f>
        <v>0</v>
      </c>
      <c r="N920" s="42">
        <f>IF(AND(H920="Sim",I920&lt;&gt;"Aceito"),G920+ROW()/100000,0)</f>
        <v>0</v>
      </c>
    </row>
    <row r="921">
      <c r="A921" s="35" t="n"/>
      <c r="B921" s="39" t="n"/>
      <c r="C921" s="33" t="n"/>
      <c r="D921" s="35" t="n"/>
      <c r="E921" s="33" t="n"/>
      <c r="F921" s="33" t="n"/>
      <c r="G921" s="40" t="n"/>
      <c r="H921" s="35" t="n"/>
      <c r="I921" s="35" t="n"/>
      <c r="J921" s="30">
        <f>IF(B921="","",DATE(YEAR(B921),MONTH(B921),1))</f>
        <v/>
      </c>
      <c r="K921" s="41">
        <f>IF(OR(B921="",D921=""),"",D921&amp;"|"&amp;TEXT(J921,"yyyy-mm"))</f>
        <v/>
      </c>
      <c r="L921" s="24">
        <f>IF(K921="","",IFERROR(INDEX(Lotes!$N$5:$N$154,MATCH(K921,Lotes!$P$5:$P$154,0)),"Sem lote cadastrado"))</f>
        <v/>
      </c>
      <c r="M921" s="25">
        <f>IF(H921="Sim",G921,0)</f>
        <v>0</v>
      </c>
      <c r="N921" s="42">
        <f>IF(AND(H921="Sim",I921&lt;&gt;"Aceito"),G921+ROW()/100000,0)</f>
        <v>0</v>
      </c>
    </row>
    <row r="922">
      <c r="A922" s="35" t="n"/>
      <c r="B922" s="39" t="n"/>
      <c r="C922" s="33" t="n"/>
      <c r="D922" s="35" t="n"/>
      <c r="E922" s="33" t="n"/>
      <c r="F922" s="33" t="n"/>
      <c r="G922" s="40" t="n"/>
      <c r="H922" s="35" t="n"/>
      <c r="I922" s="35" t="n"/>
      <c r="J922" s="30">
        <f>IF(B922="","",DATE(YEAR(B922),MONTH(B922),1))</f>
        <v/>
      </c>
      <c r="K922" s="41">
        <f>IF(OR(B922="",D922=""),"",D922&amp;"|"&amp;TEXT(J922,"yyyy-mm"))</f>
        <v/>
      </c>
      <c r="L922" s="24">
        <f>IF(K922="","",IFERROR(INDEX(Lotes!$N$5:$N$154,MATCH(K922,Lotes!$P$5:$P$154,0)),"Sem lote cadastrado"))</f>
        <v/>
      </c>
      <c r="M922" s="25">
        <f>IF(H922="Sim",G922,0)</f>
        <v>0</v>
      </c>
      <c r="N922" s="42">
        <f>IF(AND(H922="Sim",I922&lt;&gt;"Aceito"),G922+ROW()/100000,0)</f>
        <v>0</v>
      </c>
    </row>
    <row r="923">
      <c r="A923" s="35" t="n"/>
      <c r="B923" s="39" t="n"/>
      <c r="C923" s="33" t="n"/>
      <c r="D923" s="35" t="n"/>
      <c r="E923" s="33" t="n"/>
      <c r="F923" s="33" t="n"/>
      <c r="G923" s="40" t="n"/>
      <c r="H923" s="35" t="n"/>
      <c r="I923" s="35" t="n"/>
      <c r="J923" s="30">
        <f>IF(B923="","",DATE(YEAR(B923),MONTH(B923),1))</f>
        <v/>
      </c>
      <c r="K923" s="41">
        <f>IF(OR(B923="",D923=""),"",D923&amp;"|"&amp;TEXT(J923,"yyyy-mm"))</f>
        <v/>
      </c>
      <c r="L923" s="24">
        <f>IF(K923="","",IFERROR(INDEX(Lotes!$N$5:$N$154,MATCH(K923,Lotes!$P$5:$P$154,0)),"Sem lote cadastrado"))</f>
        <v/>
      </c>
      <c r="M923" s="25">
        <f>IF(H923="Sim",G923,0)</f>
        <v>0</v>
      </c>
      <c r="N923" s="42">
        <f>IF(AND(H923="Sim",I923&lt;&gt;"Aceito"),G923+ROW()/100000,0)</f>
        <v>0</v>
      </c>
    </row>
    <row r="924">
      <c r="A924" s="35" t="n"/>
      <c r="B924" s="39" t="n"/>
      <c r="C924" s="33" t="n"/>
      <c r="D924" s="35" t="n"/>
      <c r="E924" s="33" t="n"/>
      <c r="F924" s="33" t="n"/>
      <c r="G924" s="40" t="n"/>
      <c r="H924" s="35" t="n"/>
      <c r="I924" s="35" t="n"/>
      <c r="J924" s="30">
        <f>IF(B924="","",DATE(YEAR(B924),MONTH(B924),1))</f>
        <v/>
      </c>
      <c r="K924" s="41">
        <f>IF(OR(B924="",D924=""),"",D924&amp;"|"&amp;TEXT(J924,"yyyy-mm"))</f>
        <v/>
      </c>
      <c r="L924" s="24">
        <f>IF(K924="","",IFERROR(INDEX(Lotes!$N$5:$N$154,MATCH(K924,Lotes!$P$5:$P$154,0)),"Sem lote cadastrado"))</f>
        <v/>
      </c>
      <c r="M924" s="25">
        <f>IF(H924="Sim",G924,0)</f>
        <v>0</v>
      </c>
      <c r="N924" s="42">
        <f>IF(AND(H924="Sim",I924&lt;&gt;"Aceito"),G924+ROW()/100000,0)</f>
        <v>0</v>
      </c>
    </row>
    <row r="925">
      <c r="A925" s="35" t="n"/>
      <c r="B925" s="39" t="n"/>
      <c r="C925" s="33" t="n"/>
      <c r="D925" s="35" t="n"/>
      <c r="E925" s="33" t="n"/>
      <c r="F925" s="33" t="n"/>
      <c r="G925" s="40" t="n"/>
      <c r="H925" s="35" t="n"/>
      <c r="I925" s="35" t="n"/>
      <c r="J925" s="30">
        <f>IF(B925="","",DATE(YEAR(B925),MONTH(B925),1))</f>
        <v/>
      </c>
      <c r="K925" s="41">
        <f>IF(OR(B925="",D925=""),"",D925&amp;"|"&amp;TEXT(J925,"yyyy-mm"))</f>
        <v/>
      </c>
      <c r="L925" s="24">
        <f>IF(K925="","",IFERROR(INDEX(Lotes!$N$5:$N$154,MATCH(K925,Lotes!$P$5:$P$154,0)),"Sem lote cadastrado"))</f>
        <v/>
      </c>
      <c r="M925" s="25">
        <f>IF(H925="Sim",G925,0)</f>
        <v>0</v>
      </c>
      <c r="N925" s="42">
        <f>IF(AND(H925="Sim",I925&lt;&gt;"Aceito"),G925+ROW()/100000,0)</f>
        <v>0</v>
      </c>
    </row>
    <row r="926">
      <c r="A926" s="35" t="n"/>
      <c r="B926" s="39" t="n"/>
      <c r="C926" s="33" t="n"/>
      <c r="D926" s="35" t="n"/>
      <c r="E926" s="33" t="n"/>
      <c r="F926" s="33" t="n"/>
      <c r="G926" s="40" t="n"/>
      <c r="H926" s="35" t="n"/>
      <c r="I926" s="35" t="n"/>
      <c r="J926" s="30">
        <f>IF(B926="","",DATE(YEAR(B926),MONTH(B926),1))</f>
        <v/>
      </c>
      <c r="K926" s="41">
        <f>IF(OR(B926="",D926=""),"",D926&amp;"|"&amp;TEXT(J926,"yyyy-mm"))</f>
        <v/>
      </c>
      <c r="L926" s="24">
        <f>IF(K926="","",IFERROR(INDEX(Lotes!$N$5:$N$154,MATCH(K926,Lotes!$P$5:$P$154,0)),"Sem lote cadastrado"))</f>
        <v/>
      </c>
      <c r="M926" s="25">
        <f>IF(H926="Sim",G926,0)</f>
        <v>0</v>
      </c>
      <c r="N926" s="42">
        <f>IF(AND(H926="Sim",I926&lt;&gt;"Aceito"),G926+ROW()/100000,0)</f>
        <v>0</v>
      </c>
    </row>
    <row r="927">
      <c r="A927" s="35" t="n"/>
      <c r="B927" s="39" t="n"/>
      <c r="C927" s="33" t="n"/>
      <c r="D927" s="35" t="n"/>
      <c r="E927" s="33" t="n"/>
      <c r="F927" s="33" t="n"/>
      <c r="G927" s="40" t="n"/>
      <c r="H927" s="35" t="n"/>
      <c r="I927" s="35" t="n"/>
      <c r="J927" s="30">
        <f>IF(B927="","",DATE(YEAR(B927),MONTH(B927),1))</f>
        <v/>
      </c>
      <c r="K927" s="41">
        <f>IF(OR(B927="",D927=""),"",D927&amp;"|"&amp;TEXT(J927,"yyyy-mm"))</f>
        <v/>
      </c>
      <c r="L927" s="24">
        <f>IF(K927="","",IFERROR(INDEX(Lotes!$N$5:$N$154,MATCH(K927,Lotes!$P$5:$P$154,0)),"Sem lote cadastrado"))</f>
        <v/>
      </c>
      <c r="M927" s="25">
        <f>IF(H927="Sim",G927,0)</f>
        <v>0</v>
      </c>
      <c r="N927" s="42">
        <f>IF(AND(H927="Sim",I927&lt;&gt;"Aceito"),G927+ROW()/100000,0)</f>
        <v>0</v>
      </c>
    </row>
    <row r="928">
      <c r="A928" s="35" t="n"/>
      <c r="B928" s="39" t="n"/>
      <c r="C928" s="33" t="n"/>
      <c r="D928" s="35" t="n"/>
      <c r="E928" s="33" t="n"/>
      <c r="F928" s="33" t="n"/>
      <c r="G928" s="40" t="n"/>
      <c r="H928" s="35" t="n"/>
      <c r="I928" s="35" t="n"/>
      <c r="J928" s="30">
        <f>IF(B928="","",DATE(YEAR(B928),MONTH(B928),1))</f>
        <v/>
      </c>
      <c r="K928" s="41">
        <f>IF(OR(B928="",D928=""),"",D928&amp;"|"&amp;TEXT(J928,"yyyy-mm"))</f>
        <v/>
      </c>
      <c r="L928" s="24">
        <f>IF(K928="","",IFERROR(INDEX(Lotes!$N$5:$N$154,MATCH(K928,Lotes!$P$5:$P$154,0)),"Sem lote cadastrado"))</f>
        <v/>
      </c>
      <c r="M928" s="25">
        <f>IF(H928="Sim",G928,0)</f>
        <v>0</v>
      </c>
      <c r="N928" s="42">
        <f>IF(AND(H928="Sim",I928&lt;&gt;"Aceito"),G928+ROW()/100000,0)</f>
        <v>0</v>
      </c>
    </row>
    <row r="929">
      <c r="A929" s="35" t="n"/>
      <c r="B929" s="39" t="n"/>
      <c r="C929" s="33" t="n"/>
      <c r="D929" s="35" t="n"/>
      <c r="E929" s="33" t="n"/>
      <c r="F929" s="33" t="n"/>
      <c r="G929" s="40" t="n"/>
      <c r="H929" s="35" t="n"/>
      <c r="I929" s="35" t="n"/>
      <c r="J929" s="30">
        <f>IF(B929="","",DATE(YEAR(B929),MONTH(B929),1))</f>
        <v/>
      </c>
      <c r="K929" s="41">
        <f>IF(OR(B929="",D929=""),"",D929&amp;"|"&amp;TEXT(J929,"yyyy-mm"))</f>
        <v/>
      </c>
      <c r="L929" s="24">
        <f>IF(K929="","",IFERROR(INDEX(Lotes!$N$5:$N$154,MATCH(K929,Lotes!$P$5:$P$154,0)),"Sem lote cadastrado"))</f>
        <v/>
      </c>
      <c r="M929" s="25">
        <f>IF(H929="Sim",G929,0)</f>
        <v>0</v>
      </c>
      <c r="N929" s="42">
        <f>IF(AND(H929="Sim",I929&lt;&gt;"Aceito"),G929+ROW()/100000,0)</f>
        <v>0</v>
      </c>
    </row>
    <row r="930">
      <c r="A930" s="35" t="n"/>
      <c r="B930" s="39" t="n"/>
      <c r="C930" s="33" t="n"/>
      <c r="D930" s="35" t="n"/>
      <c r="E930" s="33" t="n"/>
      <c r="F930" s="33" t="n"/>
      <c r="G930" s="40" t="n"/>
      <c r="H930" s="35" t="n"/>
      <c r="I930" s="35" t="n"/>
      <c r="J930" s="30">
        <f>IF(B930="","",DATE(YEAR(B930),MONTH(B930),1))</f>
        <v/>
      </c>
      <c r="K930" s="41">
        <f>IF(OR(B930="",D930=""),"",D930&amp;"|"&amp;TEXT(J930,"yyyy-mm"))</f>
        <v/>
      </c>
      <c r="L930" s="24">
        <f>IF(K930="","",IFERROR(INDEX(Lotes!$N$5:$N$154,MATCH(K930,Lotes!$P$5:$P$154,0)),"Sem lote cadastrado"))</f>
        <v/>
      </c>
      <c r="M930" s="25">
        <f>IF(H930="Sim",G930,0)</f>
        <v>0</v>
      </c>
      <c r="N930" s="42">
        <f>IF(AND(H930="Sim",I930&lt;&gt;"Aceito"),G930+ROW()/100000,0)</f>
        <v>0</v>
      </c>
    </row>
    <row r="931">
      <c r="A931" s="35" t="n"/>
      <c r="B931" s="39" t="n"/>
      <c r="C931" s="33" t="n"/>
      <c r="D931" s="35" t="n"/>
      <c r="E931" s="33" t="n"/>
      <c r="F931" s="33" t="n"/>
      <c r="G931" s="40" t="n"/>
      <c r="H931" s="35" t="n"/>
      <c r="I931" s="35" t="n"/>
      <c r="J931" s="30">
        <f>IF(B931="","",DATE(YEAR(B931),MONTH(B931),1))</f>
        <v/>
      </c>
      <c r="K931" s="41">
        <f>IF(OR(B931="",D931=""),"",D931&amp;"|"&amp;TEXT(J931,"yyyy-mm"))</f>
        <v/>
      </c>
      <c r="L931" s="24">
        <f>IF(K931="","",IFERROR(INDEX(Lotes!$N$5:$N$154,MATCH(K931,Lotes!$P$5:$P$154,0)),"Sem lote cadastrado"))</f>
        <v/>
      </c>
      <c r="M931" s="25">
        <f>IF(H931="Sim",G931,0)</f>
        <v>0</v>
      </c>
      <c r="N931" s="42">
        <f>IF(AND(H931="Sim",I931&lt;&gt;"Aceito"),G931+ROW()/100000,0)</f>
        <v>0</v>
      </c>
    </row>
    <row r="932">
      <c r="A932" s="35" t="n"/>
      <c r="B932" s="39" t="n"/>
      <c r="C932" s="33" t="n"/>
      <c r="D932" s="35" t="n"/>
      <c r="E932" s="33" t="n"/>
      <c r="F932" s="33" t="n"/>
      <c r="G932" s="40" t="n"/>
      <c r="H932" s="35" t="n"/>
      <c r="I932" s="35" t="n"/>
      <c r="J932" s="30">
        <f>IF(B932="","",DATE(YEAR(B932),MONTH(B932),1))</f>
        <v/>
      </c>
      <c r="K932" s="41">
        <f>IF(OR(B932="",D932=""),"",D932&amp;"|"&amp;TEXT(J932,"yyyy-mm"))</f>
        <v/>
      </c>
      <c r="L932" s="24">
        <f>IF(K932="","",IFERROR(INDEX(Lotes!$N$5:$N$154,MATCH(K932,Lotes!$P$5:$P$154,0)),"Sem lote cadastrado"))</f>
        <v/>
      </c>
      <c r="M932" s="25">
        <f>IF(H932="Sim",G932,0)</f>
        <v>0</v>
      </c>
      <c r="N932" s="42">
        <f>IF(AND(H932="Sim",I932&lt;&gt;"Aceito"),G932+ROW()/100000,0)</f>
        <v>0</v>
      </c>
    </row>
    <row r="933">
      <c r="A933" s="35" t="n"/>
      <c r="B933" s="39" t="n"/>
      <c r="C933" s="33" t="n"/>
      <c r="D933" s="35" t="n"/>
      <c r="E933" s="33" t="n"/>
      <c r="F933" s="33" t="n"/>
      <c r="G933" s="40" t="n"/>
      <c r="H933" s="35" t="n"/>
      <c r="I933" s="35" t="n"/>
      <c r="J933" s="30">
        <f>IF(B933="","",DATE(YEAR(B933),MONTH(B933),1))</f>
        <v/>
      </c>
      <c r="K933" s="41">
        <f>IF(OR(B933="",D933=""),"",D933&amp;"|"&amp;TEXT(J933,"yyyy-mm"))</f>
        <v/>
      </c>
      <c r="L933" s="24">
        <f>IF(K933="","",IFERROR(INDEX(Lotes!$N$5:$N$154,MATCH(K933,Lotes!$P$5:$P$154,0)),"Sem lote cadastrado"))</f>
        <v/>
      </c>
      <c r="M933" s="25">
        <f>IF(H933="Sim",G933,0)</f>
        <v>0</v>
      </c>
      <c r="N933" s="42">
        <f>IF(AND(H933="Sim",I933&lt;&gt;"Aceito"),G933+ROW()/100000,0)</f>
        <v>0</v>
      </c>
    </row>
    <row r="934">
      <c r="A934" s="35" t="n"/>
      <c r="B934" s="39" t="n"/>
      <c r="C934" s="33" t="n"/>
      <c r="D934" s="35" t="n"/>
      <c r="E934" s="33" t="n"/>
      <c r="F934" s="33" t="n"/>
      <c r="G934" s="40" t="n"/>
      <c r="H934" s="35" t="n"/>
      <c r="I934" s="35" t="n"/>
      <c r="J934" s="30">
        <f>IF(B934="","",DATE(YEAR(B934),MONTH(B934),1))</f>
        <v/>
      </c>
      <c r="K934" s="41">
        <f>IF(OR(B934="",D934=""),"",D934&amp;"|"&amp;TEXT(J934,"yyyy-mm"))</f>
        <v/>
      </c>
      <c r="L934" s="24">
        <f>IF(K934="","",IFERROR(INDEX(Lotes!$N$5:$N$154,MATCH(K934,Lotes!$P$5:$P$154,0)),"Sem lote cadastrado"))</f>
        <v/>
      </c>
      <c r="M934" s="25">
        <f>IF(H934="Sim",G934,0)</f>
        <v>0</v>
      </c>
      <c r="N934" s="42">
        <f>IF(AND(H934="Sim",I934&lt;&gt;"Aceito"),G934+ROW()/100000,0)</f>
        <v>0</v>
      </c>
    </row>
    <row r="935">
      <c r="A935" s="35" t="n"/>
      <c r="B935" s="39" t="n"/>
      <c r="C935" s="33" t="n"/>
      <c r="D935" s="35" t="n"/>
      <c r="E935" s="33" t="n"/>
      <c r="F935" s="33" t="n"/>
      <c r="G935" s="40" t="n"/>
      <c r="H935" s="35" t="n"/>
      <c r="I935" s="35" t="n"/>
      <c r="J935" s="30">
        <f>IF(B935="","",DATE(YEAR(B935),MONTH(B935),1))</f>
        <v/>
      </c>
      <c r="K935" s="41">
        <f>IF(OR(B935="",D935=""),"",D935&amp;"|"&amp;TEXT(J935,"yyyy-mm"))</f>
        <v/>
      </c>
      <c r="L935" s="24">
        <f>IF(K935="","",IFERROR(INDEX(Lotes!$N$5:$N$154,MATCH(K935,Lotes!$P$5:$P$154,0)),"Sem lote cadastrado"))</f>
        <v/>
      </c>
      <c r="M935" s="25">
        <f>IF(H935="Sim",G935,0)</f>
        <v>0</v>
      </c>
      <c r="N935" s="42">
        <f>IF(AND(H935="Sim",I935&lt;&gt;"Aceito"),G935+ROW()/100000,0)</f>
        <v>0</v>
      </c>
    </row>
    <row r="936">
      <c r="A936" s="35" t="n"/>
      <c r="B936" s="39" t="n"/>
      <c r="C936" s="33" t="n"/>
      <c r="D936" s="35" t="n"/>
      <c r="E936" s="33" t="n"/>
      <c r="F936" s="33" t="n"/>
      <c r="G936" s="40" t="n"/>
      <c r="H936" s="35" t="n"/>
      <c r="I936" s="35" t="n"/>
      <c r="J936" s="30">
        <f>IF(B936="","",DATE(YEAR(B936),MONTH(B936),1))</f>
        <v/>
      </c>
      <c r="K936" s="41">
        <f>IF(OR(B936="",D936=""),"",D936&amp;"|"&amp;TEXT(J936,"yyyy-mm"))</f>
        <v/>
      </c>
      <c r="L936" s="24">
        <f>IF(K936="","",IFERROR(INDEX(Lotes!$N$5:$N$154,MATCH(K936,Lotes!$P$5:$P$154,0)),"Sem lote cadastrado"))</f>
        <v/>
      </c>
      <c r="M936" s="25">
        <f>IF(H936="Sim",G936,0)</f>
        <v>0</v>
      </c>
      <c r="N936" s="42">
        <f>IF(AND(H936="Sim",I936&lt;&gt;"Aceito"),G936+ROW()/100000,0)</f>
        <v>0</v>
      </c>
    </row>
    <row r="937">
      <c r="A937" s="35" t="n"/>
      <c r="B937" s="39" t="n"/>
      <c r="C937" s="33" t="n"/>
      <c r="D937" s="35" t="n"/>
      <c r="E937" s="33" t="n"/>
      <c r="F937" s="33" t="n"/>
      <c r="G937" s="40" t="n"/>
      <c r="H937" s="35" t="n"/>
      <c r="I937" s="35" t="n"/>
      <c r="J937" s="30">
        <f>IF(B937="","",DATE(YEAR(B937),MONTH(B937),1))</f>
        <v/>
      </c>
      <c r="K937" s="41">
        <f>IF(OR(B937="",D937=""),"",D937&amp;"|"&amp;TEXT(J937,"yyyy-mm"))</f>
        <v/>
      </c>
      <c r="L937" s="24">
        <f>IF(K937="","",IFERROR(INDEX(Lotes!$N$5:$N$154,MATCH(K937,Lotes!$P$5:$P$154,0)),"Sem lote cadastrado"))</f>
        <v/>
      </c>
      <c r="M937" s="25">
        <f>IF(H937="Sim",G937,0)</f>
        <v>0</v>
      </c>
      <c r="N937" s="42">
        <f>IF(AND(H937="Sim",I937&lt;&gt;"Aceito"),G937+ROW()/100000,0)</f>
        <v>0</v>
      </c>
    </row>
    <row r="938">
      <c r="A938" s="35" t="n"/>
      <c r="B938" s="39" t="n"/>
      <c r="C938" s="33" t="n"/>
      <c r="D938" s="35" t="n"/>
      <c r="E938" s="33" t="n"/>
      <c r="F938" s="33" t="n"/>
      <c r="G938" s="40" t="n"/>
      <c r="H938" s="35" t="n"/>
      <c r="I938" s="35" t="n"/>
      <c r="J938" s="30">
        <f>IF(B938="","",DATE(YEAR(B938),MONTH(B938),1))</f>
        <v/>
      </c>
      <c r="K938" s="41">
        <f>IF(OR(B938="",D938=""),"",D938&amp;"|"&amp;TEXT(J938,"yyyy-mm"))</f>
        <v/>
      </c>
      <c r="L938" s="24">
        <f>IF(K938="","",IFERROR(INDEX(Lotes!$N$5:$N$154,MATCH(K938,Lotes!$P$5:$P$154,0)),"Sem lote cadastrado"))</f>
        <v/>
      </c>
      <c r="M938" s="25">
        <f>IF(H938="Sim",G938,0)</f>
        <v>0</v>
      </c>
      <c r="N938" s="42">
        <f>IF(AND(H938="Sim",I938&lt;&gt;"Aceito"),G938+ROW()/100000,0)</f>
        <v>0</v>
      </c>
    </row>
    <row r="939">
      <c r="A939" s="35" t="n"/>
      <c r="B939" s="39" t="n"/>
      <c r="C939" s="33" t="n"/>
      <c r="D939" s="35" t="n"/>
      <c r="E939" s="33" t="n"/>
      <c r="F939" s="33" t="n"/>
      <c r="G939" s="40" t="n"/>
      <c r="H939" s="35" t="n"/>
      <c r="I939" s="35" t="n"/>
      <c r="J939" s="30">
        <f>IF(B939="","",DATE(YEAR(B939),MONTH(B939),1))</f>
        <v/>
      </c>
      <c r="K939" s="41">
        <f>IF(OR(B939="",D939=""),"",D939&amp;"|"&amp;TEXT(J939,"yyyy-mm"))</f>
        <v/>
      </c>
      <c r="L939" s="24">
        <f>IF(K939="","",IFERROR(INDEX(Lotes!$N$5:$N$154,MATCH(K939,Lotes!$P$5:$P$154,0)),"Sem lote cadastrado"))</f>
        <v/>
      </c>
      <c r="M939" s="25">
        <f>IF(H939="Sim",G939,0)</f>
        <v>0</v>
      </c>
      <c r="N939" s="42">
        <f>IF(AND(H939="Sim",I939&lt;&gt;"Aceito"),G939+ROW()/100000,0)</f>
        <v>0</v>
      </c>
    </row>
    <row r="940">
      <c r="A940" s="35" t="n"/>
      <c r="B940" s="39" t="n"/>
      <c r="C940" s="33" t="n"/>
      <c r="D940" s="35" t="n"/>
      <c r="E940" s="33" t="n"/>
      <c r="F940" s="33" t="n"/>
      <c r="G940" s="40" t="n"/>
      <c r="H940" s="35" t="n"/>
      <c r="I940" s="35" t="n"/>
      <c r="J940" s="30">
        <f>IF(B940="","",DATE(YEAR(B940),MONTH(B940),1))</f>
        <v/>
      </c>
      <c r="K940" s="41">
        <f>IF(OR(B940="",D940=""),"",D940&amp;"|"&amp;TEXT(J940,"yyyy-mm"))</f>
        <v/>
      </c>
      <c r="L940" s="24">
        <f>IF(K940="","",IFERROR(INDEX(Lotes!$N$5:$N$154,MATCH(K940,Lotes!$P$5:$P$154,0)),"Sem lote cadastrado"))</f>
        <v/>
      </c>
      <c r="M940" s="25">
        <f>IF(H940="Sim",G940,0)</f>
        <v>0</v>
      </c>
      <c r="N940" s="42">
        <f>IF(AND(H940="Sim",I940&lt;&gt;"Aceito"),G940+ROW()/100000,0)</f>
        <v>0</v>
      </c>
    </row>
    <row r="941">
      <c r="A941" s="35" t="n"/>
      <c r="B941" s="39" t="n"/>
      <c r="C941" s="33" t="n"/>
      <c r="D941" s="35" t="n"/>
      <c r="E941" s="33" t="n"/>
      <c r="F941" s="33" t="n"/>
      <c r="G941" s="40" t="n"/>
      <c r="H941" s="35" t="n"/>
      <c r="I941" s="35" t="n"/>
      <c r="J941" s="30">
        <f>IF(B941="","",DATE(YEAR(B941),MONTH(B941),1))</f>
        <v/>
      </c>
      <c r="K941" s="41">
        <f>IF(OR(B941="",D941=""),"",D941&amp;"|"&amp;TEXT(J941,"yyyy-mm"))</f>
        <v/>
      </c>
      <c r="L941" s="24">
        <f>IF(K941="","",IFERROR(INDEX(Lotes!$N$5:$N$154,MATCH(K941,Lotes!$P$5:$P$154,0)),"Sem lote cadastrado"))</f>
        <v/>
      </c>
      <c r="M941" s="25">
        <f>IF(H941="Sim",G941,0)</f>
        <v>0</v>
      </c>
      <c r="N941" s="42">
        <f>IF(AND(H941="Sim",I941&lt;&gt;"Aceito"),G941+ROW()/100000,0)</f>
        <v>0</v>
      </c>
    </row>
    <row r="942">
      <c r="A942" s="35" t="n"/>
      <c r="B942" s="39" t="n"/>
      <c r="C942" s="33" t="n"/>
      <c r="D942" s="35" t="n"/>
      <c r="E942" s="33" t="n"/>
      <c r="F942" s="33" t="n"/>
      <c r="G942" s="40" t="n"/>
      <c r="H942" s="35" t="n"/>
      <c r="I942" s="35" t="n"/>
      <c r="J942" s="30">
        <f>IF(B942="","",DATE(YEAR(B942),MONTH(B942),1))</f>
        <v/>
      </c>
      <c r="K942" s="41">
        <f>IF(OR(B942="",D942=""),"",D942&amp;"|"&amp;TEXT(J942,"yyyy-mm"))</f>
        <v/>
      </c>
      <c r="L942" s="24">
        <f>IF(K942="","",IFERROR(INDEX(Lotes!$N$5:$N$154,MATCH(K942,Lotes!$P$5:$P$154,0)),"Sem lote cadastrado"))</f>
        <v/>
      </c>
      <c r="M942" s="25">
        <f>IF(H942="Sim",G942,0)</f>
        <v>0</v>
      </c>
      <c r="N942" s="42">
        <f>IF(AND(H942="Sim",I942&lt;&gt;"Aceito"),G942+ROW()/100000,0)</f>
        <v>0</v>
      </c>
    </row>
    <row r="943">
      <c r="A943" s="35" t="n"/>
      <c r="B943" s="39" t="n"/>
      <c r="C943" s="33" t="n"/>
      <c r="D943" s="35" t="n"/>
      <c r="E943" s="33" t="n"/>
      <c r="F943" s="33" t="n"/>
      <c r="G943" s="40" t="n"/>
      <c r="H943" s="35" t="n"/>
      <c r="I943" s="35" t="n"/>
      <c r="J943" s="30">
        <f>IF(B943="","",DATE(YEAR(B943),MONTH(B943),1))</f>
        <v/>
      </c>
      <c r="K943" s="41">
        <f>IF(OR(B943="",D943=""),"",D943&amp;"|"&amp;TEXT(J943,"yyyy-mm"))</f>
        <v/>
      </c>
      <c r="L943" s="24">
        <f>IF(K943="","",IFERROR(INDEX(Lotes!$N$5:$N$154,MATCH(K943,Lotes!$P$5:$P$154,0)),"Sem lote cadastrado"))</f>
        <v/>
      </c>
      <c r="M943" s="25">
        <f>IF(H943="Sim",G943,0)</f>
        <v>0</v>
      </c>
      <c r="N943" s="42">
        <f>IF(AND(H943="Sim",I943&lt;&gt;"Aceito"),G943+ROW()/100000,0)</f>
        <v>0</v>
      </c>
    </row>
    <row r="944">
      <c r="A944" s="35" t="n"/>
      <c r="B944" s="39" t="n"/>
      <c r="C944" s="33" t="n"/>
      <c r="D944" s="35" t="n"/>
      <c r="E944" s="33" t="n"/>
      <c r="F944" s="33" t="n"/>
      <c r="G944" s="40" t="n"/>
      <c r="H944" s="35" t="n"/>
      <c r="I944" s="35" t="n"/>
      <c r="J944" s="30">
        <f>IF(B944="","",DATE(YEAR(B944),MONTH(B944),1))</f>
        <v/>
      </c>
      <c r="K944" s="41">
        <f>IF(OR(B944="",D944=""),"",D944&amp;"|"&amp;TEXT(J944,"yyyy-mm"))</f>
        <v/>
      </c>
      <c r="L944" s="24">
        <f>IF(K944="","",IFERROR(INDEX(Lotes!$N$5:$N$154,MATCH(K944,Lotes!$P$5:$P$154,0)),"Sem lote cadastrado"))</f>
        <v/>
      </c>
      <c r="M944" s="25">
        <f>IF(H944="Sim",G944,0)</f>
        <v>0</v>
      </c>
      <c r="N944" s="42">
        <f>IF(AND(H944="Sim",I944&lt;&gt;"Aceito"),G944+ROW()/100000,0)</f>
        <v>0</v>
      </c>
    </row>
    <row r="945">
      <c r="A945" s="35" t="n"/>
      <c r="B945" s="39" t="n"/>
      <c r="C945" s="33" t="n"/>
      <c r="D945" s="35" t="n"/>
      <c r="E945" s="33" t="n"/>
      <c r="F945" s="33" t="n"/>
      <c r="G945" s="40" t="n"/>
      <c r="H945" s="35" t="n"/>
      <c r="I945" s="35" t="n"/>
      <c r="J945" s="30">
        <f>IF(B945="","",DATE(YEAR(B945),MONTH(B945),1))</f>
        <v/>
      </c>
      <c r="K945" s="41">
        <f>IF(OR(B945="",D945=""),"",D945&amp;"|"&amp;TEXT(J945,"yyyy-mm"))</f>
        <v/>
      </c>
      <c r="L945" s="24">
        <f>IF(K945="","",IFERROR(INDEX(Lotes!$N$5:$N$154,MATCH(K945,Lotes!$P$5:$P$154,0)),"Sem lote cadastrado"))</f>
        <v/>
      </c>
      <c r="M945" s="25">
        <f>IF(H945="Sim",G945,0)</f>
        <v>0</v>
      </c>
      <c r="N945" s="42">
        <f>IF(AND(H945="Sim",I945&lt;&gt;"Aceito"),G945+ROW()/100000,0)</f>
        <v>0</v>
      </c>
    </row>
    <row r="946">
      <c r="A946" s="35" t="n"/>
      <c r="B946" s="39" t="n"/>
      <c r="C946" s="33" t="n"/>
      <c r="D946" s="35" t="n"/>
      <c r="E946" s="33" t="n"/>
      <c r="F946" s="33" t="n"/>
      <c r="G946" s="40" t="n"/>
      <c r="H946" s="35" t="n"/>
      <c r="I946" s="35" t="n"/>
      <c r="J946" s="30">
        <f>IF(B946="","",DATE(YEAR(B946),MONTH(B946),1))</f>
        <v/>
      </c>
      <c r="K946" s="41">
        <f>IF(OR(B946="",D946=""),"",D946&amp;"|"&amp;TEXT(J946,"yyyy-mm"))</f>
        <v/>
      </c>
      <c r="L946" s="24">
        <f>IF(K946="","",IFERROR(INDEX(Lotes!$N$5:$N$154,MATCH(K946,Lotes!$P$5:$P$154,0)),"Sem lote cadastrado"))</f>
        <v/>
      </c>
      <c r="M946" s="25">
        <f>IF(H946="Sim",G946,0)</f>
        <v>0</v>
      </c>
      <c r="N946" s="42">
        <f>IF(AND(H946="Sim",I946&lt;&gt;"Aceito"),G946+ROW()/100000,0)</f>
        <v>0</v>
      </c>
    </row>
    <row r="947">
      <c r="A947" s="35" t="n"/>
      <c r="B947" s="39" t="n"/>
      <c r="C947" s="33" t="n"/>
      <c r="D947" s="35" t="n"/>
      <c r="E947" s="33" t="n"/>
      <c r="F947" s="33" t="n"/>
      <c r="G947" s="40" t="n"/>
      <c r="H947" s="35" t="n"/>
      <c r="I947" s="35" t="n"/>
      <c r="J947" s="30">
        <f>IF(B947="","",DATE(YEAR(B947),MONTH(B947),1))</f>
        <v/>
      </c>
      <c r="K947" s="41">
        <f>IF(OR(B947="",D947=""),"",D947&amp;"|"&amp;TEXT(J947,"yyyy-mm"))</f>
        <v/>
      </c>
      <c r="L947" s="24">
        <f>IF(K947="","",IFERROR(INDEX(Lotes!$N$5:$N$154,MATCH(K947,Lotes!$P$5:$P$154,0)),"Sem lote cadastrado"))</f>
        <v/>
      </c>
      <c r="M947" s="25">
        <f>IF(H947="Sim",G947,0)</f>
        <v>0</v>
      </c>
      <c r="N947" s="42">
        <f>IF(AND(H947="Sim",I947&lt;&gt;"Aceito"),G947+ROW()/100000,0)</f>
        <v>0</v>
      </c>
    </row>
    <row r="948">
      <c r="A948" s="35" t="n"/>
      <c r="B948" s="39" t="n"/>
      <c r="C948" s="33" t="n"/>
      <c r="D948" s="35" t="n"/>
      <c r="E948" s="33" t="n"/>
      <c r="F948" s="33" t="n"/>
      <c r="G948" s="40" t="n"/>
      <c r="H948" s="35" t="n"/>
      <c r="I948" s="35" t="n"/>
      <c r="J948" s="30">
        <f>IF(B948="","",DATE(YEAR(B948),MONTH(B948),1))</f>
        <v/>
      </c>
      <c r="K948" s="41">
        <f>IF(OR(B948="",D948=""),"",D948&amp;"|"&amp;TEXT(J948,"yyyy-mm"))</f>
        <v/>
      </c>
      <c r="L948" s="24">
        <f>IF(K948="","",IFERROR(INDEX(Lotes!$N$5:$N$154,MATCH(K948,Lotes!$P$5:$P$154,0)),"Sem lote cadastrado"))</f>
        <v/>
      </c>
      <c r="M948" s="25">
        <f>IF(H948="Sim",G948,0)</f>
        <v>0</v>
      </c>
      <c r="N948" s="42">
        <f>IF(AND(H948="Sim",I948&lt;&gt;"Aceito"),G948+ROW()/100000,0)</f>
        <v>0</v>
      </c>
    </row>
    <row r="949">
      <c r="A949" s="35" t="n"/>
      <c r="B949" s="39" t="n"/>
      <c r="C949" s="33" t="n"/>
      <c r="D949" s="35" t="n"/>
      <c r="E949" s="33" t="n"/>
      <c r="F949" s="33" t="n"/>
      <c r="G949" s="40" t="n"/>
      <c r="H949" s="35" t="n"/>
      <c r="I949" s="35" t="n"/>
      <c r="J949" s="30">
        <f>IF(B949="","",DATE(YEAR(B949),MONTH(B949),1))</f>
        <v/>
      </c>
      <c r="K949" s="41">
        <f>IF(OR(B949="",D949=""),"",D949&amp;"|"&amp;TEXT(J949,"yyyy-mm"))</f>
        <v/>
      </c>
      <c r="L949" s="24">
        <f>IF(K949="","",IFERROR(INDEX(Lotes!$N$5:$N$154,MATCH(K949,Lotes!$P$5:$P$154,0)),"Sem lote cadastrado"))</f>
        <v/>
      </c>
      <c r="M949" s="25">
        <f>IF(H949="Sim",G949,0)</f>
        <v>0</v>
      </c>
      <c r="N949" s="42">
        <f>IF(AND(H949="Sim",I949&lt;&gt;"Aceito"),G949+ROW()/100000,0)</f>
        <v>0</v>
      </c>
    </row>
    <row r="950">
      <c r="A950" s="35" t="n"/>
      <c r="B950" s="39" t="n"/>
      <c r="C950" s="33" t="n"/>
      <c r="D950" s="35" t="n"/>
      <c r="E950" s="33" t="n"/>
      <c r="F950" s="33" t="n"/>
      <c r="G950" s="40" t="n"/>
      <c r="H950" s="35" t="n"/>
      <c r="I950" s="35" t="n"/>
      <c r="J950" s="30">
        <f>IF(B950="","",DATE(YEAR(B950),MONTH(B950),1))</f>
        <v/>
      </c>
      <c r="K950" s="41">
        <f>IF(OR(B950="",D950=""),"",D950&amp;"|"&amp;TEXT(J950,"yyyy-mm"))</f>
        <v/>
      </c>
      <c r="L950" s="24">
        <f>IF(K950="","",IFERROR(INDEX(Lotes!$N$5:$N$154,MATCH(K950,Lotes!$P$5:$P$154,0)),"Sem lote cadastrado"))</f>
        <v/>
      </c>
      <c r="M950" s="25">
        <f>IF(H950="Sim",G950,0)</f>
        <v>0</v>
      </c>
      <c r="N950" s="42">
        <f>IF(AND(H950="Sim",I950&lt;&gt;"Aceito"),G950+ROW()/100000,0)</f>
        <v>0</v>
      </c>
    </row>
    <row r="951">
      <c r="A951" s="35" t="n"/>
      <c r="B951" s="39" t="n"/>
      <c r="C951" s="33" t="n"/>
      <c r="D951" s="35" t="n"/>
      <c r="E951" s="33" t="n"/>
      <c r="F951" s="33" t="n"/>
      <c r="G951" s="40" t="n"/>
      <c r="H951" s="35" t="n"/>
      <c r="I951" s="35" t="n"/>
      <c r="J951" s="30">
        <f>IF(B951="","",DATE(YEAR(B951),MONTH(B951),1))</f>
        <v/>
      </c>
      <c r="K951" s="41">
        <f>IF(OR(B951="",D951=""),"",D951&amp;"|"&amp;TEXT(J951,"yyyy-mm"))</f>
        <v/>
      </c>
      <c r="L951" s="24">
        <f>IF(K951="","",IFERROR(INDEX(Lotes!$N$5:$N$154,MATCH(K951,Lotes!$P$5:$P$154,0)),"Sem lote cadastrado"))</f>
        <v/>
      </c>
      <c r="M951" s="25">
        <f>IF(H951="Sim",G951,0)</f>
        <v>0</v>
      </c>
      <c r="N951" s="42">
        <f>IF(AND(H951="Sim",I951&lt;&gt;"Aceito"),G951+ROW()/100000,0)</f>
        <v>0</v>
      </c>
    </row>
    <row r="952">
      <c r="A952" s="35" t="n"/>
      <c r="B952" s="39" t="n"/>
      <c r="C952" s="33" t="n"/>
      <c r="D952" s="35" t="n"/>
      <c r="E952" s="33" t="n"/>
      <c r="F952" s="33" t="n"/>
      <c r="G952" s="40" t="n"/>
      <c r="H952" s="35" t="n"/>
      <c r="I952" s="35" t="n"/>
      <c r="J952" s="30">
        <f>IF(B952="","",DATE(YEAR(B952),MONTH(B952),1))</f>
        <v/>
      </c>
      <c r="K952" s="41">
        <f>IF(OR(B952="",D952=""),"",D952&amp;"|"&amp;TEXT(J952,"yyyy-mm"))</f>
        <v/>
      </c>
      <c r="L952" s="24">
        <f>IF(K952="","",IFERROR(INDEX(Lotes!$N$5:$N$154,MATCH(K952,Lotes!$P$5:$P$154,0)),"Sem lote cadastrado"))</f>
        <v/>
      </c>
      <c r="M952" s="25">
        <f>IF(H952="Sim",G952,0)</f>
        <v>0</v>
      </c>
      <c r="N952" s="42">
        <f>IF(AND(H952="Sim",I952&lt;&gt;"Aceito"),G952+ROW()/100000,0)</f>
        <v>0</v>
      </c>
    </row>
    <row r="953">
      <c r="A953" s="35" t="n"/>
      <c r="B953" s="39" t="n"/>
      <c r="C953" s="33" t="n"/>
      <c r="D953" s="35" t="n"/>
      <c r="E953" s="33" t="n"/>
      <c r="F953" s="33" t="n"/>
      <c r="G953" s="40" t="n"/>
      <c r="H953" s="35" t="n"/>
      <c r="I953" s="35" t="n"/>
      <c r="J953" s="30">
        <f>IF(B953="","",DATE(YEAR(B953),MONTH(B953),1))</f>
        <v/>
      </c>
      <c r="K953" s="41">
        <f>IF(OR(B953="",D953=""),"",D953&amp;"|"&amp;TEXT(J953,"yyyy-mm"))</f>
        <v/>
      </c>
      <c r="L953" s="24">
        <f>IF(K953="","",IFERROR(INDEX(Lotes!$N$5:$N$154,MATCH(K953,Lotes!$P$5:$P$154,0)),"Sem lote cadastrado"))</f>
        <v/>
      </c>
      <c r="M953" s="25">
        <f>IF(H953="Sim",G953,0)</f>
        <v>0</v>
      </c>
      <c r="N953" s="42">
        <f>IF(AND(H953="Sim",I953&lt;&gt;"Aceito"),G953+ROW()/100000,0)</f>
        <v>0</v>
      </c>
    </row>
    <row r="954">
      <c r="A954" s="35" t="n"/>
      <c r="B954" s="39" t="n"/>
      <c r="C954" s="33" t="n"/>
      <c r="D954" s="35" t="n"/>
      <c r="E954" s="33" t="n"/>
      <c r="F954" s="33" t="n"/>
      <c r="G954" s="40" t="n"/>
      <c r="H954" s="35" t="n"/>
      <c r="I954" s="35" t="n"/>
      <c r="J954" s="30">
        <f>IF(B954="","",DATE(YEAR(B954),MONTH(B954),1))</f>
        <v/>
      </c>
      <c r="K954" s="41">
        <f>IF(OR(B954="",D954=""),"",D954&amp;"|"&amp;TEXT(J954,"yyyy-mm"))</f>
        <v/>
      </c>
      <c r="L954" s="24">
        <f>IF(K954="","",IFERROR(INDEX(Lotes!$N$5:$N$154,MATCH(K954,Lotes!$P$5:$P$154,0)),"Sem lote cadastrado"))</f>
        <v/>
      </c>
      <c r="M954" s="25">
        <f>IF(H954="Sim",G954,0)</f>
        <v>0</v>
      </c>
      <c r="N954" s="42">
        <f>IF(AND(H954="Sim",I954&lt;&gt;"Aceito"),G954+ROW()/100000,0)</f>
        <v>0</v>
      </c>
    </row>
    <row r="955">
      <c r="A955" s="35" t="n"/>
      <c r="B955" s="39" t="n"/>
      <c r="C955" s="33" t="n"/>
      <c r="D955" s="35" t="n"/>
      <c r="E955" s="33" t="n"/>
      <c r="F955" s="33" t="n"/>
      <c r="G955" s="40" t="n"/>
      <c r="H955" s="35" t="n"/>
      <c r="I955" s="35" t="n"/>
      <c r="J955" s="30">
        <f>IF(B955="","",DATE(YEAR(B955),MONTH(B955),1))</f>
        <v/>
      </c>
      <c r="K955" s="41">
        <f>IF(OR(B955="",D955=""),"",D955&amp;"|"&amp;TEXT(J955,"yyyy-mm"))</f>
        <v/>
      </c>
      <c r="L955" s="24">
        <f>IF(K955="","",IFERROR(INDEX(Lotes!$N$5:$N$154,MATCH(K955,Lotes!$P$5:$P$154,0)),"Sem lote cadastrado"))</f>
        <v/>
      </c>
      <c r="M955" s="25">
        <f>IF(H955="Sim",G955,0)</f>
        <v>0</v>
      </c>
      <c r="N955" s="42">
        <f>IF(AND(H955="Sim",I955&lt;&gt;"Aceito"),G955+ROW()/100000,0)</f>
        <v>0</v>
      </c>
    </row>
    <row r="956">
      <c r="A956" s="35" t="n"/>
      <c r="B956" s="39" t="n"/>
      <c r="C956" s="33" t="n"/>
      <c r="D956" s="35" t="n"/>
      <c r="E956" s="33" t="n"/>
      <c r="F956" s="33" t="n"/>
      <c r="G956" s="40" t="n"/>
      <c r="H956" s="35" t="n"/>
      <c r="I956" s="35" t="n"/>
      <c r="J956" s="30">
        <f>IF(B956="","",DATE(YEAR(B956),MONTH(B956),1))</f>
        <v/>
      </c>
      <c r="K956" s="41">
        <f>IF(OR(B956="",D956=""),"",D956&amp;"|"&amp;TEXT(J956,"yyyy-mm"))</f>
        <v/>
      </c>
      <c r="L956" s="24">
        <f>IF(K956="","",IFERROR(INDEX(Lotes!$N$5:$N$154,MATCH(K956,Lotes!$P$5:$P$154,0)),"Sem lote cadastrado"))</f>
        <v/>
      </c>
      <c r="M956" s="25">
        <f>IF(H956="Sim",G956,0)</f>
        <v>0</v>
      </c>
      <c r="N956" s="42">
        <f>IF(AND(H956="Sim",I956&lt;&gt;"Aceito"),G956+ROW()/100000,0)</f>
        <v>0</v>
      </c>
    </row>
    <row r="957">
      <c r="A957" s="35" t="n"/>
      <c r="B957" s="39" t="n"/>
      <c r="C957" s="33" t="n"/>
      <c r="D957" s="35" t="n"/>
      <c r="E957" s="33" t="n"/>
      <c r="F957" s="33" t="n"/>
      <c r="G957" s="40" t="n"/>
      <c r="H957" s="35" t="n"/>
      <c r="I957" s="35" t="n"/>
      <c r="J957" s="30">
        <f>IF(B957="","",DATE(YEAR(B957),MONTH(B957),1))</f>
        <v/>
      </c>
      <c r="K957" s="41">
        <f>IF(OR(B957="",D957=""),"",D957&amp;"|"&amp;TEXT(J957,"yyyy-mm"))</f>
        <v/>
      </c>
      <c r="L957" s="24">
        <f>IF(K957="","",IFERROR(INDEX(Lotes!$N$5:$N$154,MATCH(K957,Lotes!$P$5:$P$154,0)),"Sem lote cadastrado"))</f>
        <v/>
      </c>
      <c r="M957" s="25">
        <f>IF(H957="Sim",G957,0)</f>
        <v>0</v>
      </c>
      <c r="N957" s="42">
        <f>IF(AND(H957="Sim",I957&lt;&gt;"Aceito"),G957+ROW()/100000,0)</f>
        <v>0</v>
      </c>
    </row>
    <row r="958">
      <c r="A958" s="35" t="n"/>
      <c r="B958" s="39" t="n"/>
      <c r="C958" s="33" t="n"/>
      <c r="D958" s="35" t="n"/>
      <c r="E958" s="33" t="n"/>
      <c r="F958" s="33" t="n"/>
      <c r="G958" s="40" t="n"/>
      <c r="H958" s="35" t="n"/>
      <c r="I958" s="35" t="n"/>
      <c r="J958" s="30">
        <f>IF(B958="","",DATE(YEAR(B958),MONTH(B958),1))</f>
        <v/>
      </c>
      <c r="K958" s="41">
        <f>IF(OR(B958="",D958=""),"",D958&amp;"|"&amp;TEXT(J958,"yyyy-mm"))</f>
        <v/>
      </c>
      <c r="L958" s="24">
        <f>IF(K958="","",IFERROR(INDEX(Lotes!$N$5:$N$154,MATCH(K958,Lotes!$P$5:$P$154,0)),"Sem lote cadastrado"))</f>
        <v/>
      </c>
      <c r="M958" s="25">
        <f>IF(H958="Sim",G958,0)</f>
        <v>0</v>
      </c>
      <c r="N958" s="42">
        <f>IF(AND(H958="Sim",I958&lt;&gt;"Aceito"),G958+ROW()/100000,0)</f>
        <v>0</v>
      </c>
    </row>
    <row r="959">
      <c r="A959" s="35" t="n"/>
      <c r="B959" s="39" t="n"/>
      <c r="C959" s="33" t="n"/>
      <c r="D959" s="35" t="n"/>
      <c r="E959" s="33" t="n"/>
      <c r="F959" s="33" t="n"/>
      <c r="G959" s="40" t="n"/>
      <c r="H959" s="35" t="n"/>
      <c r="I959" s="35" t="n"/>
      <c r="J959" s="30">
        <f>IF(B959="","",DATE(YEAR(B959),MONTH(B959),1))</f>
        <v/>
      </c>
      <c r="K959" s="41">
        <f>IF(OR(B959="",D959=""),"",D959&amp;"|"&amp;TEXT(J959,"yyyy-mm"))</f>
        <v/>
      </c>
      <c r="L959" s="24">
        <f>IF(K959="","",IFERROR(INDEX(Lotes!$N$5:$N$154,MATCH(K959,Lotes!$P$5:$P$154,0)),"Sem lote cadastrado"))</f>
        <v/>
      </c>
      <c r="M959" s="25">
        <f>IF(H959="Sim",G959,0)</f>
        <v>0</v>
      </c>
      <c r="N959" s="42">
        <f>IF(AND(H959="Sim",I959&lt;&gt;"Aceito"),G959+ROW()/100000,0)</f>
        <v>0</v>
      </c>
    </row>
    <row r="960">
      <c r="A960" s="35" t="n"/>
      <c r="B960" s="39" t="n"/>
      <c r="C960" s="33" t="n"/>
      <c r="D960" s="35" t="n"/>
      <c r="E960" s="33" t="n"/>
      <c r="F960" s="33" t="n"/>
      <c r="G960" s="40" t="n"/>
      <c r="H960" s="35" t="n"/>
      <c r="I960" s="35" t="n"/>
      <c r="J960" s="30">
        <f>IF(B960="","",DATE(YEAR(B960),MONTH(B960),1))</f>
        <v/>
      </c>
      <c r="K960" s="41">
        <f>IF(OR(B960="",D960=""),"",D960&amp;"|"&amp;TEXT(J960,"yyyy-mm"))</f>
        <v/>
      </c>
      <c r="L960" s="24">
        <f>IF(K960="","",IFERROR(INDEX(Lotes!$N$5:$N$154,MATCH(K960,Lotes!$P$5:$P$154,0)),"Sem lote cadastrado"))</f>
        <v/>
      </c>
      <c r="M960" s="25">
        <f>IF(H960="Sim",G960,0)</f>
        <v>0</v>
      </c>
      <c r="N960" s="42">
        <f>IF(AND(H960="Sim",I960&lt;&gt;"Aceito"),G960+ROW()/100000,0)</f>
        <v>0</v>
      </c>
    </row>
    <row r="961">
      <c r="A961" s="35" t="n"/>
      <c r="B961" s="39" t="n"/>
      <c r="C961" s="33" t="n"/>
      <c r="D961" s="35" t="n"/>
      <c r="E961" s="33" t="n"/>
      <c r="F961" s="33" t="n"/>
      <c r="G961" s="40" t="n"/>
      <c r="H961" s="35" t="n"/>
      <c r="I961" s="35" t="n"/>
      <c r="J961" s="30">
        <f>IF(B961="","",DATE(YEAR(B961),MONTH(B961),1))</f>
        <v/>
      </c>
      <c r="K961" s="41">
        <f>IF(OR(B961="",D961=""),"",D961&amp;"|"&amp;TEXT(J961,"yyyy-mm"))</f>
        <v/>
      </c>
      <c r="L961" s="24">
        <f>IF(K961="","",IFERROR(INDEX(Lotes!$N$5:$N$154,MATCH(K961,Lotes!$P$5:$P$154,0)),"Sem lote cadastrado"))</f>
        <v/>
      </c>
      <c r="M961" s="25">
        <f>IF(H961="Sim",G961,0)</f>
        <v>0</v>
      </c>
      <c r="N961" s="42">
        <f>IF(AND(H961="Sim",I961&lt;&gt;"Aceito"),G961+ROW()/100000,0)</f>
        <v>0</v>
      </c>
    </row>
    <row r="962">
      <c r="A962" s="35" t="n"/>
      <c r="B962" s="39" t="n"/>
      <c r="C962" s="33" t="n"/>
      <c r="D962" s="35" t="n"/>
      <c r="E962" s="33" t="n"/>
      <c r="F962" s="33" t="n"/>
      <c r="G962" s="40" t="n"/>
      <c r="H962" s="35" t="n"/>
      <c r="I962" s="35" t="n"/>
      <c r="J962" s="30">
        <f>IF(B962="","",DATE(YEAR(B962),MONTH(B962),1))</f>
        <v/>
      </c>
      <c r="K962" s="41">
        <f>IF(OR(B962="",D962=""),"",D962&amp;"|"&amp;TEXT(J962,"yyyy-mm"))</f>
        <v/>
      </c>
      <c r="L962" s="24">
        <f>IF(K962="","",IFERROR(INDEX(Lotes!$N$5:$N$154,MATCH(K962,Lotes!$P$5:$P$154,0)),"Sem lote cadastrado"))</f>
        <v/>
      </c>
      <c r="M962" s="25">
        <f>IF(H962="Sim",G962,0)</f>
        <v>0</v>
      </c>
      <c r="N962" s="42">
        <f>IF(AND(H962="Sim",I962&lt;&gt;"Aceito"),G962+ROW()/100000,0)</f>
        <v>0</v>
      </c>
    </row>
    <row r="963">
      <c r="A963" s="35" t="n"/>
      <c r="B963" s="39" t="n"/>
      <c r="C963" s="33" t="n"/>
      <c r="D963" s="35" t="n"/>
      <c r="E963" s="33" t="n"/>
      <c r="F963" s="33" t="n"/>
      <c r="G963" s="40" t="n"/>
      <c r="H963" s="35" t="n"/>
      <c r="I963" s="35" t="n"/>
      <c r="J963" s="30">
        <f>IF(B963="","",DATE(YEAR(B963),MONTH(B963),1))</f>
        <v/>
      </c>
      <c r="K963" s="41">
        <f>IF(OR(B963="",D963=""),"",D963&amp;"|"&amp;TEXT(J963,"yyyy-mm"))</f>
        <v/>
      </c>
      <c r="L963" s="24">
        <f>IF(K963="","",IFERROR(INDEX(Lotes!$N$5:$N$154,MATCH(K963,Lotes!$P$5:$P$154,0)),"Sem lote cadastrado"))</f>
        <v/>
      </c>
      <c r="M963" s="25">
        <f>IF(H963="Sim",G963,0)</f>
        <v>0</v>
      </c>
      <c r="N963" s="42">
        <f>IF(AND(H963="Sim",I963&lt;&gt;"Aceito"),G963+ROW()/100000,0)</f>
        <v>0</v>
      </c>
    </row>
    <row r="964">
      <c r="A964" s="35" t="n"/>
      <c r="B964" s="39" t="n"/>
      <c r="C964" s="33" t="n"/>
      <c r="D964" s="35" t="n"/>
      <c r="E964" s="33" t="n"/>
      <c r="F964" s="33" t="n"/>
      <c r="G964" s="40" t="n"/>
      <c r="H964" s="35" t="n"/>
      <c r="I964" s="35" t="n"/>
      <c r="J964" s="30">
        <f>IF(B964="","",DATE(YEAR(B964),MONTH(B964),1))</f>
        <v/>
      </c>
      <c r="K964" s="41">
        <f>IF(OR(B964="",D964=""),"",D964&amp;"|"&amp;TEXT(J964,"yyyy-mm"))</f>
        <v/>
      </c>
      <c r="L964" s="24">
        <f>IF(K964="","",IFERROR(INDEX(Lotes!$N$5:$N$154,MATCH(K964,Lotes!$P$5:$P$154,0)),"Sem lote cadastrado"))</f>
        <v/>
      </c>
      <c r="M964" s="25">
        <f>IF(H964="Sim",G964,0)</f>
        <v>0</v>
      </c>
      <c r="N964" s="42">
        <f>IF(AND(H964="Sim",I964&lt;&gt;"Aceito"),G964+ROW()/100000,0)</f>
        <v>0</v>
      </c>
    </row>
    <row r="965">
      <c r="A965" s="35" t="n"/>
      <c r="B965" s="39" t="n"/>
      <c r="C965" s="33" t="n"/>
      <c r="D965" s="35" t="n"/>
      <c r="E965" s="33" t="n"/>
      <c r="F965" s="33" t="n"/>
      <c r="G965" s="40" t="n"/>
      <c r="H965" s="35" t="n"/>
      <c r="I965" s="35" t="n"/>
      <c r="J965" s="30">
        <f>IF(B965="","",DATE(YEAR(B965),MONTH(B965),1))</f>
        <v/>
      </c>
      <c r="K965" s="41">
        <f>IF(OR(B965="",D965=""),"",D965&amp;"|"&amp;TEXT(J965,"yyyy-mm"))</f>
        <v/>
      </c>
      <c r="L965" s="24">
        <f>IF(K965="","",IFERROR(INDEX(Lotes!$N$5:$N$154,MATCH(K965,Lotes!$P$5:$P$154,0)),"Sem lote cadastrado"))</f>
        <v/>
      </c>
      <c r="M965" s="25">
        <f>IF(H965="Sim",G965,0)</f>
        <v>0</v>
      </c>
      <c r="N965" s="42">
        <f>IF(AND(H965="Sim",I965&lt;&gt;"Aceito"),G965+ROW()/100000,0)</f>
        <v>0</v>
      </c>
    </row>
    <row r="966">
      <c r="A966" s="35" t="n"/>
      <c r="B966" s="39" t="n"/>
      <c r="C966" s="33" t="n"/>
      <c r="D966" s="35" t="n"/>
      <c r="E966" s="33" t="n"/>
      <c r="F966" s="33" t="n"/>
      <c r="G966" s="40" t="n"/>
      <c r="H966" s="35" t="n"/>
      <c r="I966" s="35" t="n"/>
      <c r="J966" s="30">
        <f>IF(B966="","",DATE(YEAR(B966),MONTH(B966),1))</f>
        <v/>
      </c>
      <c r="K966" s="41">
        <f>IF(OR(B966="",D966=""),"",D966&amp;"|"&amp;TEXT(J966,"yyyy-mm"))</f>
        <v/>
      </c>
      <c r="L966" s="24">
        <f>IF(K966="","",IFERROR(INDEX(Lotes!$N$5:$N$154,MATCH(K966,Lotes!$P$5:$P$154,0)),"Sem lote cadastrado"))</f>
        <v/>
      </c>
      <c r="M966" s="25">
        <f>IF(H966="Sim",G966,0)</f>
        <v>0</v>
      </c>
      <c r="N966" s="42">
        <f>IF(AND(H966="Sim",I966&lt;&gt;"Aceito"),G966+ROW()/100000,0)</f>
        <v>0</v>
      </c>
    </row>
    <row r="967">
      <c r="A967" s="35" t="n"/>
      <c r="B967" s="39" t="n"/>
      <c r="C967" s="33" t="n"/>
      <c r="D967" s="35" t="n"/>
      <c r="E967" s="33" t="n"/>
      <c r="F967" s="33" t="n"/>
      <c r="G967" s="40" t="n"/>
      <c r="H967" s="35" t="n"/>
      <c r="I967" s="35" t="n"/>
      <c r="J967" s="30">
        <f>IF(B967="","",DATE(YEAR(B967),MONTH(B967),1))</f>
        <v/>
      </c>
      <c r="K967" s="41">
        <f>IF(OR(B967="",D967=""),"",D967&amp;"|"&amp;TEXT(J967,"yyyy-mm"))</f>
        <v/>
      </c>
      <c r="L967" s="24">
        <f>IF(K967="","",IFERROR(INDEX(Lotes!$N$5:$N$154,MATCH(K967,Lotes!$P$5:$P$154,0)),"Sem lote cadastrado"))</f>
        <v/>
      </c>
      <c r="M967" s="25">
        <f>IF(H967="Sim",G967,0)</f>
        <v>0</v>
      </c>
      <c r="N967" s="42">
        <f>IF(AND(H967="Sim",I967&lt;&gt;"Aceito"),G967+ROW()/100000,0)</f>
        <v>0</v>
      </c>
    </row>
    <row r="968">
      <c r="A968" s="35" t="n"/>
      <c r="B968" s="39" t="n"/>
      <c r="C968" s="33" t="n"/>
      <c r="D968" s="35" t="n"/>
      <c r="E968" s="33" t="n"/>
      <c r="F968" s="33" t="n"/>
      <c r="G968" s="40" t="n"/>
      <c r="H968" s="35" t="n"/>
      <c r="I968" s="35" t="n"/>
      <c r="J968" s="30">
        <f>IF(B968="","",DATE(YEAR(B968),MONTH(B968),1))</f>
        <v/>
      </c>
      <c r="K968" s="41">
        <f>IF(OR(B968="",D968=""),"",D968&amp;"|"&amp;TEXT(J968,"yyyy-mm"))</f>
        <v/>
      </c>
      <c r="L968" s="24">
        <f>IF(K968="","",IFERROR(INDEX(Lotes!$N$5:$N$154,MATCH(K968,Lotes!$P$5:$P$154,0)),"Sem lote cadastrado"))</f>
        <v/>
      </c>
      <c r="M968" s="25">
        <f>IF(H968="Sim",G968,0)</f>
        <v>0</v>
      </c>
      <c r="N968" s="42">
        <f>IF(AND(H968="Sim",I968&lt;&gt;"Aceito"),G968+ROW()/100000,0)</f>
        <v>0</v>
      </c>
    </row>
    <row r="969">
      <c r="A969" s="35" t="n"/>
      <c r="B969" s="39" t="n"/>
      <c r="C969" s="33" t="n"/>
      <c r="D969" s="35" t="n"/>
      <c r="E969" s="33" t="n"/>
      <c r="F969" s="33" t="n"/>
      <c r="G969" s="40" t="n"/>
      <c r="H969" s="35" t="n"/>
      <c r="I969" s="35" t="n"/>
      <c r="J969" s="30">
        <f>IF(B969="","",DATE(YEAR(B969),MONTH(B969),1))</f>
        <v/>
      </c>
      <c r="K969" s="41">
        <f>IF(OR(B969="",D969=""),"",D969&amp;"|"&amp;TEXT(J969,"yyyy-mm"))</f>
        <v/>
      </c>
      <c r="L969" s="24">
        <f>IF(K969="","",IFERROR(INDEX(Lotes!$N$5:$N$154,MATCH(K969,Lotes!$P$5:$P$154,0)),"Sem lote cadastrado"))</f>
        <v/>
      </c>
      <c r="M969" s="25">
        <f>IF(H969="Sim",G969,0)</f>
        <v>0</v>
      </c>
      <c r="N969" s="42">
        <f>IF(AND(H969="Sim",I969&lt;&gt;"Aceito"),G969+ROW()/100000,0)</f>
        <v>0</v>
      </c>
    </row>
    <row r="970">
      <c r="A970" s="35" t="n"/>
      <c r="B970" s="39" t="n"/>
      <c r="C970" s="33" t="n"/>
      <c r="D970" s="35" t="n"/>
      <c r="E970" s="33" t="n"/>
      <c r="F970" s="33" t="n"/>
      <c r="G970" s="40" t="n"/>
      <c r="H970" s="35" t="n"/>
      <c r="I970" s="35" t="n"/>
      <c r="J970" s="30">
        <f>IF(B970="","",DATE(YEAR(B970),MONTH(B970),1))</f>
        <v/>
      </c>
      <c r="K970" s="41">
        <f>IF(OR(B970="",D970=""),"",D970&amp;"|"&amp;TEXT(J970,"yyyy-mm"))</f>
        <v/>
      </c>
      <c r="L970" s="24">
        <f>IF(K970="","",IFERROR(INDEX(Lotes!$N$5:$N$154,MATCH(K970,Lotes!$P$5:$P$154,0)),"Sem lote cadastrado"))</f>
        <v/>
      </c>
      <c r="M970" s="25">
        <f>IF(H970="Sim",G970,0)</f>
        <v>0</v>
      </c>
      <c r="N970" s="42">
        <f>IF(AND(H970="Sim",I970&lt;&gt;"Aceito"),G970+ROW()/100000,0)</f>
        <v>0</v>
      </c>
    </row>
    <row r="971">
      <c r="A971" s="35" t="n"/>
      <c r="B971" s="39" t="n"/>
      <c r="C971" s="33" t="n"/>
      <c r="D971" s="35" t="n"/>
      <c r="E971" s="33" t="n"/>
      <c r="F971" s="33" t="n"/>
      <c r="G971" s="40" t="n"/>
      <c r="H971" s="35" t="n"/>
      <c r="I971" s="35" t="n"/>
      <c r="J971" s="30">
        <f>IF(B971="","",DATE(YEAR(B971),MONTH(B971),1))</f>
        <v/>
      </c>
      <c r="K971" s="41">
        <f>IF(OR(B971="",D971=""),"",D971&amp;"|"&amp;TEXT(J971,"yyyy-mm"))</f>
        <v/>
      </c>
      <c r="L971" s="24">
        <f>IF(K971="","",IFERROR(INDEX(Lotes!$N$5:$N$154,MATCH(K971,Lotes!$P$5:$P$154,0)),"Sem lote cadastrado"))</f>
        <v/>
      </c>
      <c r="M971" s="25">
        <f>IF(H971="Sim",G971,0)</f>
        <v>0</v>
      </c>
      <c r="N971" s="42">
        <f>IF(AND(H971="Sim",I971&lt;&gt;"Aceito"),G971+ROW()/100000,0)</f>
        <v>0</v>
      </c>
    </row>
    <row r="972">
      <c r="A972" s="35" t="n"/>
      <c r="B972" s="39" t="n"/>
      <c r="C972" s="33" t="n"/>
      <c r="D972" s="35" t="n"/>
      <c r="E972" s="33" t="n"/>
      <c r="F972" s="33" t="n"/>
      <c r="G972" s="40" t="n"/>
      <c r="H972" s="35" t="n"/>
      <c r="I972" s="35" t="n"/>
      <c r="J972" s="30">
        <f>IF(B972="","",DATE(YEAR(B972),MONTH(B972),1))</f>
        <v/>
      </c>
      <c r="K972" s="41">
        <f>IF(OR(B972="",D972=""),"",D972&amp;"|"&amp;TEXT(J972,"yyyy-mm"))</f>
        <v/>
      </c>
      <c r="L972" s="24">
        <f>IF(K972="","",IFERROR(INDEX(Lotes!$N$5:$N$154,MATCH(K972,Lotes!$P$5:$P$154,0)),"Sem lote cadastrado"))</f>
        <v/>
      </c>
      <c r="M972" s="25">
        <f>IF(H972="Sim",G972,0)</f>
        <v>0</v>
      </c>
      <c r="N972" s="42">
        <f>IF(AND(H972="Sim",I972&lt;&gt;"Aceito"),G972+ROW()/100000,0)</f>
        <v>0</v>
      </c>
    </row>
    <row r="973">
      <c r="A973" s="35" t="n"/>
      <c r="B973" s="39" t="n"/>
      <c r="C973" s="33" t="n"/>
      <c r="D973" s="35" t="n"/>
      <c r="E973" s="33" t="n"/>
      <c r="F973" s="33" t="n"/>
      <c r="G973" s="40" t="n"/>
      <c r="H973" s="35" t="n"/>
      <c r="I973" s="35" t="n"/>
      <c r="J973" s="30">
        <f>IF(B973="","",DATE(YEAR(B973),MONTH(B973),1))</f>
        <v/>
      </c>
      <c r="K973" s="41">
        <f>IF(OR(B973="",D973=""),"",D973&amp;"|"&amp;TEXT(J973,"yyyy-mm"))</f>
        <v/>
      </c>
      <c r="L973" s="24">
        <f>IF(K973="","",IFERROR(INDEX(Lotes!$N$5:$N$154,MATCH(K973,Lotes!$P$5:$P$154,0)),"Sem lote cadastrado"))</f>
        <v/>
      </c>
      <c r="M973" s="25">
        <f>IF(H973="Sim",G973,0)</f>
        <v>0</v>
      </c>
      <c r="N973" s="42">
        <f>IF(AND(H973="Sim",I973&lt;&gt;"Aceito"),G973+ROW()/100000,0)</f>
        <v>0</v>
      </c>
    </row>
    <row r="974">
      <c r="A974" s="35" t="n"/>
      <c r="B974" s="39" t="n"/>
      <c r="C974" s="33" t="n"/>
      <c r="D974" s="35" t="n"/>
      <c r="E974" s="33" t="n"/>
      <c r="F974" s="33" t="n"/>
      <c r="G974" s="40" t="n"/>
      <c r="H974" s="35" t="n"/>
      <c r="I974" s="35" t="n"/>
      <c r="J974" s="30">
        <f>IF(B974="","",DATE(YEAR(B974),MONTH(B974),1))</f>
        <v/>
      </c>
      <c r="K974" s="41">
        <f>IF(OR(B974="",D974=""),"",D974&amp;"|"&amp;TEXT(J974,"yyyy-mm"))</f>
        <v/>
      </c>
      <c r="L974" s="24">
        <f>IF(K974="","",IFERROR(INDEX(Lotes!$N$5:$N$154,MATCH(K974,Lotes!$P$5:$P$154,0)),"Sem lote cadastrado"))</f>
        <v/>
      </c>
      <c r="M974" s="25">
        <f>IF(H974="Sim",G974,0)</f>
        <v>0</v>
      </c>
      <c r="N974" s="42">
        <f>IF(AND(H974="Sim",I974&lt;&gt;"Aceito"),G974+ROW()/100000,0)</f>
        <v>0</v>
      </c>
    </row>
    <row r="975">
      <c r="A975" s="35" t="n"/>
      <c r="B975" s="39" t="n"/>
      <c r="C975" s="33" t="n"/>
      <c r="D975" s="35" t="n"/>
      <c r="E975" s="33" t="n"/>
      <c r="F975" s="33" t="n"/>
      <c r="G975" s="40" t="n"/>
      <c r="H975" s="35" t="n"/>
      <c r="I975" s="35" t="n"/>
      <c r="J975" s="30">
        <f>IF(B975="","",DATE(YEAR(B975),MONTH(B975),1))</f>
        <v/>
      </c>
      <c r="K975" s="41">
        <f>IF(OR(B975="",D975=""),"",D975&amp;"|"&amp;TEXT(J975,"yyyy-mm"))</f>
        <v/>
      </c>
      <c r="L975" s="24">
        <f>IF(K975="","",IFERROR(INDEX(Lotes!$N$5:$N$154,MATCH(K975,Lotes!$P$5:$P$154,0)),"Sem lote cadastrado"))</f>
        <v/>
      </c>
      <c r="M975" s="25">
        <f>IF(H975="Sim",G975,0)</f>
        <v>0</v>
      </c>
      <c r="N975" s="42">
        <f>IF(AND(H975="Sim",I975&lt;&gt;"Aceito"),G975+ROW()/100000,0)</f>
        <v>0</v>
      </c>
    </row>
    <row r="976">
      <c r="A976" s="35" t="n"/>
      <c r="B976" s="39" t="n"/>
      <c r="C976" s="33" t="n"/>
      <c r="D976" s="35" t="n"/>
      <c r="E976" s="33" t="n"/>
      <c r="F976" s="33" t="n"/>
      <c r="G976" s="40" t="n"/>
      <c r="H976" s="35" t="n"/>
      <c r="I976" s="35" t="n"/>
      <c r="J976" s="30">
        <f>IF(B976="","",DATE(YEAR(B976),MONTH(B976),1))</f>
        <v/>
      </c>
      <c r="K976" s="41">
        <f>IF(OR(B976="",D976=""),"",D976&amp;"|"&amp;TEXT(J976,"yyyy-mm"))</f>
        <v/>
      </c>
      <c r="L976" s="24">
        <f>IF(K976="","",IFERROR(INDEX(Lotes!$N$5:$N$154,MATCH(K976,Lotes!$P$5:$P$154,0)),"Sem lote cadastrado"))</f>
        <v/>
      </c>
      <c r="M976" s="25">
        <f>IF(H976="Sim",G976,0)</f>
        <v>0</v>
      </c>
      <c r="N976" s="42">
        <f>IF(AND(H976="Sim",I976&lt;&gt;"Aceito"),G976+ROW()/100000,0)</f>
        <v>0</v>
      </c>
    </row>
    <row r="977">
      <c r="A977" s="35" t="n"/>
      <c r="B977" s="39" t="n"/>
      <c r="C977" s="33" t="n"/>
      <c r="D977" s="35" t="n"/>
      <c r="E977" s="33" t="n"/>
      <c r="F977" s="33" t="n"/>
      <c r="G977" s="40" t="n"/>
      <c r="H977" s="35" t="n"/>
      <c r="I977" s="35" t="n"/>
      <c r="J977" s="30">
        <f>IF(B977="","",DATE(YEAR(B977),MONTH(B977),1))</f>
        <v/>
      </c>
      <c r="K977" s="41">
        <f>IF(OR(B977="",D977=""),"",D977&amp;"|"&amp;TEXT(J977,"yyyy-mm"))</f>
        <v/>
      </c>
      <c r="L977" s="24">
        <f>IF(K977="","",IFERROR(INDEX(Lotes!$N$5:$N$154,MATCH(K977,Lotes!$P$5:$P$154,0)),"Sem lote cadastrado"))</f>
        <v/>
      </c>
      <c r="M977" s="25">
        <f>IF(H977="Sim",G977,0)</f>
        <v>0</v>
      </c>
      <c r="N977" s="42">
        <f>IF(AND(H977="Sim",I977&lt;&gt;"Aceito"),G977+ROW()/100000,0)</f>
        <v>0</v>
      </c>
    </row>
    <row r="978">
      <c r="A978" s="35" t="n"/>
      <c r="B978" s="39" t="n"/>
      <c r="C978" s="33" t="n"/>
      <c r="D978" s="35" t="n"/>
      <c r="E978" s="33" t="n"/>
      <c r="F978" s="33" t="n"/>
      <c r="G978" s="40" t="n"/>
      <c r="H978" s="35" t="n"/>
      <c r="I978" s="35" t="n"/>
      <c r="J978" s="30">
        <f>IF(B978="","",DATE(YEAR(B978),MONTH(B978),1))</f>
        <v/>
      </c>
      <c r="K978" s="41">
        <f>IF(OR(B978="",D978=""),"",D978&amp;"|"&amp;TEXT(J978,"yyyy-mm"))</f>
        <v/>
      </c>
      <c r="L978" s="24">
        <f>IF(K978="","",IFERROR(INDEX(Lotes!$N$5:$N$154,MATCH(K978,Lotes!$P$5:$P$154,0)),"Sem lote cadastrado"))</f>
        <v/>
      </c>
      <c r="M978" s="25">
        <f>IF(H978="Sim",G978,0)</f>
        <v>0</v>
      </c>
      <c r="N978" s="42">
        <f>IF(AND(H978="Sim",I978&lt;&gt;"Aceito"),G978+ROW()/100000,0)</f>
        <v>0</v>
      </c>
    </row>
    <row r="979">
      <c r="A979" s="35" t="n"/>
      <c r="B979" s="39" t="n"/>
      <c r="C979" s="33" t="n"/>
      <c r="D979" s="35" t="n"/>
      <c r="E979" s="33" t="n"/>
      <c r="F979" s="33" t="n"/>
      <c r="G979" s="40" t="n"/>
      <c r="H979" s="35" t="n"/>
      <c r="I979" s="35" t="n"/>
      <c r="J979" s="30">
        <f>IF(B979="","",DATE(YEAR(B979),MONTH(B979),1))</f>
        <v/>
      </c>
      <c r="K979" s="41">
        <f>IF(OR(B979="",D979=""),"",D979&amp;"|"&amp;TEXT(J979,"yyyy-mm"))</f>
        <v/>
      </c>
      <c r="L979" s="24">
        <f>IF(K979="","",IFERROR(INDEX(Lotes!$N$5:$N$154,MATCH(K979,Lotes!$P$5:$P$154,0)),"Sem lote cadastrado"))</f>
        <v/>
      </c>
      <c r="M979" s="25">
        <f>IF(H979="Sim",G979,0)</f>
        <v>0</v>
      </c>
      <c r="N979" s="42">
        <f>IF(AND(H979="Sim",I979&lt;&gt;"Aceito"),G979+ROW()/100000,0)</f>
        <v>0</v>
      </c>
    </row>
    <row r="980">
      <c r="A980" s="35" t="n"/>
      <c r="B980" s="39" t="n"/>
      <c r="C980" s="33" t="n"/>
      <c r="D980" s="35" t="n"/>
      <c r="E980" s="33" t="n"/>
      <c r="F980" s="33" t="n"/>
      <c r="G980" s="40" t="n"/>
      <c r="H980" s="35" t="n"/>
      <c r="I980" s="35" t="n"/>
      <c r="J980" s="30">
        <f>IF(B980="","",DATE(YEAR(B980),MONTH(B980),1))</f>
        <v/>
      </c>
      <c r="K980" s="41">
        <f>IF(OR(B980="",D980=""),"",D980&amp;"|"&amp;TEXT(J980,"yyyy-mm"))</f>
        <v/>
      </c>
      <c r="L980" s="24">
        <f>IF(K980="","",IFERROR(INDEX(Lotes!$N$5:$N$154,MATCH(K980,Lotes!$P$5:$P$154,0)),"Sem lote cadastrado"))</f>
        <v/>
      </c>
      <c r="M980" s="25">
        <f>IF(H980="Sim",G980,0)</f>
        <v>0</v>
      </c>
      <c r="N980" s="42">
        <f>IF(AND(H980="Sim",I980&lt;&gt;"Aceito"),G980+ROW()/100000,0)</f>
        <v>0</v>
      </c>
    </row>
    <row r="981">
      <c r="A981" s="35" t="n"/>
      <c r="B981" s="39" t="n"/>
      <c r="C981" s="33" t="n"/>
      <c r="D981" s="35" t="n"/>
      <c r="E981" s="33" t="n"/>
      <c r="F981" s="33" t="n"/>
      <c r="G981" s="40" t="n"/>
      <c r="H981" s="35" t="n"/>
      <c r="I981" s="35" t="n"/>
      <c r="J981" s="30">
        <f>IF(B981="","",DATE(YEAR(B981),MONTH(B981),1))</f>
        <v/>
      </c>
      <c r="K981" s="41">
        <f>IF(OR(B981="",D981=""),"",D981&amp;"|"&amp;TEXT(J981,"yyyy-mm"))</f>
        <v/>
      </c>
      <c r="L981" s="24">
        <f>IF(K981="","",IFERROR(INDEX(Lotes!$N$5:$N$154,MATCH(K981,Lotes!$P$5:$P$154,0)),"Sem lote cadastrado"))</f>
        <v/>
      </c>
      <c r="M981" s="25">
        <f>IF(H981="Sim",G981,0)</f>
        <v>0</v>
      </c>
      <c r="N981" s="42">
        <f>IF(AND(H981="Sim",I981&lt;&gt;"Aceito"),G981+ROW()/100000,0)</f>
        <v>0</v>
      </c>
    </row>
    <row r="982">
      <c r="A982" s="35" t="n"/>
      <c r="B982" s="39" t="n"/>
      <c r="C982" s="33" t="n"/>
      <c r="D982" s="35" t="n"/>
      <c r="E982" s="33" t="n"/>
      <c r="F982" s="33" t="n"/>
      <c r="G982" s="40" t="n"/>
      <c r="H982" s="35" t="n"/>
      <c r="I982" s="35" t="n"/>
      <c r="J982" s="30">
        <f>IF(B982="","",DATE(YEAR(B982),MONTH(B982),1))</f>
        <v/>
      </c>
      <c r="K982" s="41">
        <f>IF(OR(B982="",D982=""),"",D982&amp;"|"&amp;TEXT(J982,"yyyy-mm"))</f>
        <v/>
      </c>
      <c r="L982" s="24">
        <f>IF(K982="","",IFERROR(INDEX(Lotes!$N$5:$N$154,MATCH(K982,Lotes!$P$5:$P$154,0)),"Sem lote cadastrado"))</f>
        <v/>
      </c>
      <c r="M982" s="25">
        <f>IF(H982="Sim",G982,0)</f>
        <v>0</v>
      </c>
      <c r="N982" s="42">
        <f>IF(AND(H982="Sim",I982&lt;&gt;"Aceito"),G982+ROW()/100000,0)</f>
        <v>0</v>
      </c>
    </row>
    <row r="983">
      <c r="A983" s="35" t="n"/>
      <c r="B983" s="39" t="n"/>
      <c r="C983" s="33" t="n"/>
      <c r="D983" s="35" t="n"/>
      <c r="E983" s="33" t="n"/>
      <c r="F983" s="33" t="n"/>
      <c r="G983" s="40" t="n"/>
      <c r="H983" s="35" t="n"/>
      <c r="I983" s="35" t="n"/>
      <c r="J983" s="30">
        <f>IF(B983="","",DATE(YEAR(B983),MONTH(B983),1))</f>
        <v/>
      </c>
      <c r="K983" s="41">
        <f>IF(OR(B983="",D983=""),"",D983&amp;"|"&amp;TEXT(J983,"yyyy-mm"))</f>
        <v/>
      </c>
      <c r="L983" s="24">
        <f>IF(K983="","",IFERROR(INDEX(Lotes!$N$5:$N$154,MATCH(K983,Lotes!$P$5:$P$154,0)),"Sem lote cadastrado"))</f>
        <v/>
      </c>
      <c r="M983" s="25">
        <f>IF(H983="Sim",G983,0)</f>
        <v>0</v>
      </c>
      <c r="N983" s="42">
        <f>IF(AND(H983="Sim",I983&lt;&gt;"Aceito"),G983+ROW()/100000,0)</f>
        <v>0</v>
      </c>
    </row>
    <row r="984">
      <c r="A984" s="35" t="n"/>
      <c r="B984" s="39" t="n"/>
      <c r="C984" s="33" t="n"/>
      <c r="D984" s="35" t="n"/>
      <c r="E984" s="33" t="n"/>
      <c r="F984" s="33" t="n"/>
      <c r="G984" s="40" t="n"/>
      <c r="H984" s="35" t="n"/>
      <c r="I984" s="35" t="n"/>
      <c r="J984" s="30">
        <f>IF(B984="","",DATE(YEAR(B984),MONTH(B984),1))</f>
        <v/>
      </c>
      <c r="K984" s="41">
        <f>IF(OR(B984="",D984=""),"",D984&amp;"|"&amp;TEXT(J984,"yyyy-mm"))</f>
        <v/>
      </c>
      <c r="L984" s="24">
        <f>IF(K984="","",IFERROR(INDEX(Lotes!$N$5:$N$154,MATCH(K984,Lotes!$P$5:$P$154,0)),"Sem lote cadastrado"))</f>
        <v/>
      </c>
      <c r="M984" s="25">
        <f>IF(H984="Sim",G984,0)</f>
        <v>0</v>
      </c>
      <c r="N984" s="42">
        <f>IF(AND(H984="Sim",I984&lt;&gt;"Aceito"),G984+ROW()/100000,0)</f>
        <v>0</v>
      </c>
    </row>
    <row r="985">
      <c r="A985" s="35" t="n"/>
      <c r="B985" s="39" t="n"/>
      <c r="C985" s="33" t="n"/>
      <c r="D985" s="35" t="n"/>
      <c r="E985" s="33" t="n"/>
      <c r="F985" s="33" t="n"/>
      <c r="G985" s="40" t="n"/>
      <c r="H985" s="35" t="n"/>
      <c r="I985" s="35" t="n"/>
      <c r="J985" s="30">
        <f>IF(B985="","",DATE(YEAR(B985),MONTH(B985),1))</f>
        <v/>
      </c>
      <c r="K985" s="41">
        <f>IF(OR(B985="",D985=""),"",D985&amp;"|"&amp;TEXT(J985,"yyyy-mm"))</f>
        <v/>
      </c>
      <c r="L985" s="24">
        <f>IF(K985="","",IFERROR(INDEX(Lotes!$N$5:$N$154,MATCH(K985,Lotes!$P$5:$P$154,0)),"Sem lote cadastrado"))</f>
        <v/>
      </c>
      <c r="M985" s="25">
        <f>IF(H985="Sim",G985,0)</f>
        <v>0</v>
      </c>
      <c r="N985" s="42">
        <f>IF(AND(H985="Sim",I985&lt;&gt;"Aceito"),G985+ROW()/100000,0)</f>
        <v>0</v>
      </c>
    </row>
    <row r="986">
      <c r="A986" s="35" t="n"/>
      <c r="B986" s="39" t="n"/>
      <c r="C986" s="33" t="n"/>
      <c r="D986" s="35" t="n"/>
      <c r="E986" s="33" t="n"/>
      <c r="F986" s="33" t="n"/>
      <c r="G986" s="40" t="n"/>
      <c r="H986" s="35" t="n"/>
      <c r="I986" s="35" t="n"/>
      <c r="J986" s="30">
        <f>IF(B986="","",DATE(YEAR(B986),MONTH(B986),1))</f>
        <v/>
      </c>
      <c r="K986" s="41">
        <f>IF(OR(B986="",D986=""),"",D986&amp;"|"&amp;TEXT(J986,"yyyy-mm"))</f>
        <v/>
      </c>
      <c r="L986" s="24">
        <f>IF(K986="","",IFERROR(INDEX(Lotes!$N$5:$N$154,MATCH(K986,Lotes!$P$5:$P$154,0)),"Sem lote cadastrado"))</f>
        <v/>
      </c>
      <c r="M986" s="25">
        <f>IF(H986="Sim",G986,0)</f>
        <v>0</v>
      </c>
      <c r="N986" s="42">
        <f>IF(AND(H986="Sim",I986&lt;&gt;"Aceito"),G986+ROW()/100000,0)</f>
        <v>0</v>
      </c>
    </row>
    <row r="987">
      <c r="A987" s="35" t="n"/>
      <c r="B987" s="39" t="n"/>
      <c r="C987" s="33" t="n"/>
      <c r="D987" s="35" t="n"/>
      <c r="E987" s="33" t="n"/>
      <c r="F987" s="33" t="n"/>
      <c r="G987" s="40" t="n"/>
      <c r="H987" s="35" t="n"/>
      <c r="I987" s="35" t="n"/>
      <c r="J987" s="30">
        <f>IF(B987="","",DATE(YEAR(B987),MONTH(B987),1))</f>
        <v/>
      </c>
      <c r="K987" s="41">
        <f>IF(OR(B987="",D987=""),"",D987&amp;"|"&amp;TEXT(J987,"yyyy-mm"))</f>
        <v/>
      </c>
      <c r="L987" s="24">
        <f>IF(K987="","",IFERROR(INDEX(Lotes!$N$5:$N$154,MATCH(K987,Lotes!$P$5:$P$154,0)),"Sem lote cadastrado"))</f>
        <v/>
      </c>
      <c r="M987" s="25">
        <f>IF(H987="Sim",G987,0)</f>
        <v>0</v>
      </c>
      <c r="N987" s="42">
        <f>IF(AND(H987="Sim",I987&lt;&gt;"Aceito"),G987+ROW()/100000,0)</f>
        <v>0</v>
      </c>
    </row>
    <row r="988">
      <c r="A988" s="35" t="n"/>
      <c r="B988" s="39" t="n"/>
      <c r="C988" s="33" t="n"/>
      <c r="D988" s="35" t="n"/>
      <c r="E988" s="33" t="n"/>
      <c r="F988" s="33" t="n"/>
      <c r="G988" s="40" t="n"/>
      <c r="H988" s="35" t="n"/>
      <c r="I988" s="35" t="n"/>
      <c r="J988" s="30">
        <f>IF(B988="","",DATE(YEAR(B988),MONTH(B988),1))</f>
        <v/>
      </c>
      <c r="K988" s="41">
        <f>IF(OR(B988="",D988=""),"",D988&amp;"|"&amp;TEXT(J988,"yyyy-mm"))</f>
        <v/>
      </c>
      <c r="L988" s="24">
        <f>IF(K988="","",IFERROR(INDEX(Lotes!$N$5:$N$154,MATCH(K988,Lotes!$P$5:$P$154,0)),"Sem lote cadastrado"))</f>
        <v/>
      </c>
      <c r="M988" s="25">
        <f>IF(H988="Sim",G988,0)</f>
        <v>0</v>
      </c>
      <c r="N988" s="42">
        <f>IF(AND(H988="Sim",I988&lt;&gt;"Aceito"),G988+ROW()/100000,0)</f>
        <v>0</v>
      </c>
    </row>
    <row r="989">
      <c r="A989" s="35" t="n"/>
      <c r="B989" s="39" t="n"/>
      <c r="C989" s="33" t="n"/>
      <c r="D989" s="35" t="n"/>
      <c r="E989" s="33" t="n"/>
      <c r="F989" s="33" t="n"/>
      <c r="G989" s="40" t="n"/>
      <c r="H989" s="35" t="n"/>
      <c r="I989" s="35" t="n"/>
      <c r="J989" s="30">
        <f>IF(B989="","",DATE(YEAR(B989),MONTH(B989),1))</f>
        <v/>
      </c>
      <c r="K989" s="41">
        <f>IF(OR(B989="",D989=""),"",D989&amp;"|"&amp;TEXT(J989,"yyyy-mm"))</f>
        <v/>
      </c>
      <c r="L989" s="24">
        <f>IF(K989="","",IFERROR(INDEX(Lotes!$N$5:$N$154,MATCH(K989,Lotes!$P$5:$P$154,0)),"Sem lote cadastrado"))</f>
        <v/>
      </c>
      <c r="M989" s="25">
        <f>IF(H989="Sim",G989,0)</f>
        <v>0</v>
      </c>
      <c r="N989" s="42">
        <f>IF(AND(H989="Sim",I989&lt;&gt;"Aceito"),G989+ROW()/100000,0)</f>
        <v>0</v>
      </c>
    </row>
    <row r="990">
      <c r="A990" s="35" t="n"/>
      <c r="B990" s="39" t="n"/>
      <c r="C990" s="33" t="n"/>
      <c r="D990" s="35" t="n"/>
      <c r="E990" s="33" t="n"/>
      <c r="F990" s="33" t="n"/>
      <c r="G990" s="40" t="n"/>
      <c r="H990" s="35" t="n"/>
      <c r="I990" s="35" t="n"/>
      <c r="J990" s="30">
        <f>IF(B990="","",DATE(YEAR(B990),MONTH(B990),1))</f>
        <v/>
      </c>
      <c r="K990" s="41">
        <f>IF(OR(B990="",D990=""),"",D990&amp;"|"&amp;TEXT(J990,"yyyy-mm"))</f>
        <v/>
      </c>
      <c r="L990" s="24">
        <f>IF(K990="","",IFERROR(INDEX(Lotes!$N$5:$N$154,MATCH(K990,Lotes!$P$5:$P$154,0)),"Sem lote cadastrado"))</f>
        <v/>
      </c>
      <c r="M990" s="25">
        <f>IF(H990="Sim",G990,0)</f>
        <v>0</v>
      </c>
      <c r="N990" s="42">
        <f>IF(AND(H990="Sim",I990&lt;&gt;"Aceito"),G990+ROW()/100000,0)</f>
        <v>0</v>
      </c>
    </row>
    <row r="991">
      <c r="A991" s="35" t="n"/>
      <c r="B991" s="39" t="n"/>
      <c r="C991" s="33" t="n"/>
      <c r="D991" s="35" t="n"/>
      <c r="E991" s="33" t="n"/>
      <c r="F991" s="33" t="n"/>
      <c r="G991" s="40" t="n"/>
      <c r="H991" s="35" t="n"/>
      <c r="I991" s="35" t="n"/>
      <c r="J991" s="30">
        <f>IF(B991="","",DATE(YEAR(B991),MONTH(B991),1))</f>
        <v/>
      </c>
      <c r="K991" s="41">
        <f>IF(OR(B991="",D991=""),"",D991&amp;"|"&amp;TEXT(J991,"yyyy-mm"))</f>
        <v/>
      </c>
      <c r="L991" s="24">
        <f>IF(K991="","",IFERROR(INDEX(Lotes!$N$5:$N$154,MATCH(K991,Lotes!$P$5:$P$154,0)),"Sem lote cadastrado"))</f>
        <v/>
      </c>
      <c r="M991" s="25">
        <f>IF(H991="Sim",G991,0)</f>
        <v>0</v>
      </c>
      <c r="N991" s="42">
        <f>IF(AND(H991="Sim",I991&lt;&gt;"Aceito"),G991+ROW()/100000,0)</f>
        <v>0</v>
      </c>
    </row>
    <row r="992">
      <c r="A992" s="35" t="n"/>
      <c r="B992" s="39" t="n"/>
      <c r="C992" s="33" t="n"/>
      <c r="D992" s="35" t="n"/>
      <c r="E992" s="33" t="n"/>
      <c r="F992" s="33" t="n"/>
      <c r="G992" s="40" t="n"/>
      <c r="H992" s="35" t="n"/>
      <c r="I992" s="35" t="n"/>
      <c r="J992" s="30">
        <f>IF(B992="","",DATE(YEAR(B992),MONTH(B992),1))</f>
        <v/>
      </c>
      <c r="K992" s="41">
        <f>IF(OR(B992="",D992=""),"",D992&amp;"|"&amp;TEXT(J992,"yyyy-mm"))</f>
        <v/>
      </c>
      <c r="L992" s="24">
        <f>IF(K992="","",IFERROR(INDEX(Lotes!$N$5:$N$154,MATCH(K992,Lotes!$P$5:$P$154,0)),"Sem lote cadastrado"))</f>
        <v/>
      </c>
      <c r="M992" s="25">
        <f>IF(H992="Sim",G992,0)</f>
        <v>0</v>
      </c>
      <c r="N992" s="42">
        <f>IF(AND(H992="Sim",I992&lt;&gt;"Aceito"),G992+ROW()/100000,0)</f>
        <v>0</v>
      </c>
    </row>
    <row r="993">
      <c r="A993" s="35" t="n"/>
      <c r="B993" s="39" t="n"/>
      <c r="C993" s="33" t="n"/>
      <c r="D993" s="35" t="n"/>
      <c r="E993" s="33" t="n"/>
      <c r="F993" s="33" t="n"/>
      <c r="G993" s="40" t="n"/>
      <c r="H993" s="35" t="n"/>
      <c r="I993" s="35" t="n"/>
      <c r="J993" s="30">
        <f>IF(B993="","",DATE(YEAR(B993),MONTH(B993),1))</f>
        <v/>
      </c>
      <c r="K993" s="41">
        <f>IF(OR(B993="",D993=""),"",D993&amp;"|"&amp;TEXT(J993,"yyyy-mm"))</f>
        <v/>
      </c>
      <c r="L993" s="24">
        <f>IF(K993="","",IFERROR(INDEX(Lotes!$N$5:$N$154,MATCH(K993,Lotes!$P$5:$P$154,0)),"Sem lote cadastrado"))</f>
        <v/>
      </c>
      <c r="M993" s="25">
        <f>IF(H993="Sim",G993,0)</f>
        <v>0</v>
      </c>
      <c r="N993" s="42">
        <f>IF(AND(H993="Sim",I993&lt;&gt;"Aceito"),G993+ROW()/100000,0)</f>
        <v>0</v>
      </c>
    </row>
    <row r="994">
      <c r="A994" s="35" t="n"/>
      <c r="B994" s="39" t="n"/>
      <c r="C994" s="33" t="n"/>
      <c r="D994" s="35" t="n"/>
      <c r="E994" s="33" t="n"/>
      <c r="F994" s="33" t="n"/>
      <c r="G994" s="40" t="n"/>
      <c r="H994" s="35" t="n"/>
      <c r="I994" s="35" t="n"/>
      <c r="J994" s="30">
        <f>IF(B994="","",DATE(YEAR(B994),MONTH(B994),1))</f>
        <v/>
      </c>
      <c r="K994" s="41">
        <f>IF(OR(B994="",D994=""),"",D994&amp;"|"&amp;TEXT(J994,"yyyy-mm"))</f>
        <v/>
      </c>
      <c r="L994" s="24">
        <f>IF(K994="","",IFERROR(INDEX(Lotes!$N$5:$N$154,MATCH(K994,Lotes!$P$5:$P$154,0)),"Sem lote cadastrado"))</f>
        <v/>
      </c>
      <c r="M994" s="25">
        <f>IF(H994="Sim",G994,0)</f>
        <v>0</v>
      </c>
      <c r="N994" s="42">
        <f>IF(AND(H994="Sim",I994&lt;&gt;"Aceito"),G994+ROW()/100000,0)</f>
        <v>0</v>
      </c>
    </row>
    <row r="995">
      <c r="A995" s="35" t="n"/>
      <c r="B995" s="39" t="n"/>
      <c r="C995" s="33" t="n"/>
      <c r="D995" s="35" t="n"/>
      <c r="E995" s="33" t="n"/>
      <c r="F995" s="33" t="n"/>
      <c r="G995" s="40" t="n"/>
      <c r="H995" s="35" t="n"/>
      <c r="I995" s="35" t="n"/>
      <c r="J995" s="30">
        <f>IF(B995="","",DATE(YEAR(B995),MONTH(B995),1))</f>
        <v/>
      </c>
      <c r="K995" s="41">
        <f>IF(OR(B995="",D995=""),"",D995&amp;"|"&amp;TEXT(J995,"yyyy-mm"))</f>
        <v/>
      </c>
      <c r="L995" s="24">
        <f>IF(K995="","",IFERROR(INDEX(Lotes!$N$5:$N$154,MATCH(K995,Lotes!$P$5:$P$154,0)),"Sem lote cadastrado"))</f>
        <v/>
      </c>
      <c r="M995" s="25">
        <f>IF(H995="Sim",G995,0)</f>
        <v>0</v>
      </c>
      <c r="N995" s="42">
        <f>IF(AND(H995="Sim",I995&lt;&gt;"Aceito"),G995+ROW()/100000,0)</f>
        <v>0</v>
      </c>
    </row>
    <row r="996">
      <c r="A996" s="35" t="n"/>
      <c r="B996" s="39" t="n"/>
      <c r="C996" s="33" t="n"/>
      <c r="D996" s="35" t="n"/>
      <c r="E996" s="33" t="n"/>
      <c r="F996" s="33" t="n"/>
      <c r="G996" s="40" t="n"/>
      <c r="H996" s="35" t="n"/>
      <c r="I996" s="35" t="n"/>
      <c r="J996" s="30">
        <f>IF(B996="","",DATE(YEAR(B996),MONTH(B996),1))</f>
        <v/>
      </c>
      <c r="K996" s="41">
        <f>IF(OR(B996="",D996=""),"",D996&amp;"|"&amp;TEXT(J996,"yyyy-mm"))</f>
        <v/>
      </c>
      <c r="L996" s="24">
        <f>IF(K996="","",IFERROR(INDEX(Lotes!$N$5:$N$154,MATCH(K996,Lotes!$P$5:$P$154,0)),"Sem lote cadastrado"))</f>
        <v/>
      </c>
      <c r="M996" s="25">
        <f>IF(H996="Sim",G996,0)</f>
        <v>0</v>
      </c>
      <c r="N996" s="42">
        <f>IF(AND(H996="Sim",I996&lt;&gt;"Aceito"),G996+ROW()/100000,0)</f>
        <v>0</v>
      </c>
    </row>
    <row r="997">
      <c r="A997" s="35" t="n"/>
      <c r="B997" s="39" t="n"/>
      <c r="C997" s="33" t="n"/>
      <c r="D997" s="35" t="n"/>
      <c r="E997" s="33" t="n"/>
      <c r="F997" s="33" t="n"/>
      <c r="G997" s="40" t="n"/>
      <c r="H997" s="35" t="n"/>
      <c r="I997" s="35" t="n"/>
      <c r="J997" s="30">
        <f>IF(B997="","",DATE(YEAR(B997),MONTH(B997),1))</f>
        <v/>
      </c>
      <c r="K997" s="41">
        <f>IF(OR(B997="",D997=""),"",D997&amp;"|"&amp;TEXT(J997,"yyyy-mm"))</f>
        <v/>
      </c>
      <c r="L997" s="24">
        <f>IF(K997="","",IFERROR(INDEX(Lotes!$N$5:$N$154,MATCH(K997,Lotes!$P$5:$P$154,0)),"Sem lote cadastrado"))</f>
        <v/>
      </c>
      <c r="M997" s="25">
        <f>IF(H997="Sim",G997,0)</f>
        <v>0</v>
      </c>
      <c r="N997" s="42">
        <f>IF(AND(H997="Sim",I997&lt;&gt;"Aceito"),G997+ROW()/100000,0)</f>
        <v>0</v>
      </c>
    </row>
    <row r="998">
      <c r="A998" s="35" t="n"/>
      <c r="B998" s="39" t="n"/>
      <c r="C998" s="33" t="n"/>
      <c r="D998" s="35" t="n"/>
      <c r="E998" s="33" t="n"/>
      <c r="F998" s="33" t="n"/>
      <c r="G998" s="40" t="n"/>
      <c r="H998" s="35" t="n"/>
      <c r="I998" s="35" t="n"/>
      <c r="J998" s="30">
        <f>IF(B998="","",DATE(YEAR(B998),MONTH(B998),1))</f>
        <v/>
      </c>
      <c r="K998" s="41">
        <f>IF(OR(B998="",D998=""),"",D998&amp;"|"&amp;TEXT(J998,"yyyy-mm"))</f>
        <v/>
      </c>
      <c r="L998" s="24">
        <f>IF(K998="","",IFERROR(INDEX(Lotes!$N$5:$N$154,MATCH(K998,Lotes!$P$5:$P$154,0)),"Sem lote cadastrado"))</f>
        <v/>
      </c>
      <c r="M998" s="25">
        <f>IF(H998="Sim",G998,0)</f>
        <v>0</v>
      </c>
      <c r="N998" s="42">
        <f>IF(AND(H998="Sim",I998&lt;&gt;"Aceito"),G998+ROW()/100000,0)</f>
        <v>0</v>
      </c>
    </row>
    <row r="999">
      <c r="A999" s="35" t="n"/>
      <c r="B999" s="39" t="n"/>
      <c r="C999" s="33" t="n"/>
      <c r="D999" s="35" t="n"/>
      <c r="E999" s="33" t="n"/>
      <c r="F999" s="33" t="n"/>
      <c r="G999" s="40" t="n"/>
      <c r="H999" s="35" t="n"/>
      <c r="I999" s="35" t="n"/>
      <c r="J999" s="30">
        <f>IF(B999="","",DATE(YEAR(B999),MONTH(B999),1))</f>
        <v/>
      </c>
      <c r="K999" s="41">
        <f>IF(OR(B999="",D999=""),"",D999&amp;"|"&amp;TEXT(J999,"yyyy-mm"))</f>
        <v/>
      </c>
      <c r="L999" s="24">
        <f>IF(K999="","",IFERROR(INDEX(Lotes!$N$5:$N$154,MATCH(K999,Lotes!$P$5:$P$154,0)),"Sem lote cadastrado"))</f>
        <v/>
      </c>
      <c r="M999" s="25">
        <f>IF(H999="Sim",G999,0)</f>
        <v>0</v>
      </c>
      <c r="N999" s="42">
        <f>IF(AND(H999="Sim",I999&lt;&gt;"Aceito"),G999+ROW()/100000,0)</f>
        <v>0</v>
      </c>
    </row>
    <row r="1000">
      <c r="A1000" s="35" t="n"/>
      <c r="B1000" s="39" t="n"/>
      <c r="C1000" s="33" t="n"/>
      <c r="D1000" s="35" t="n"/>
      <c r="E1000" s="33" t="n"/>
      <c r="F1000" s="33" t="n"/>
      <c r="G1000" s="40" t="n"/>
      <c r="H1000" s="35" t="n"/>
      <c r="I1000" s="35" t="n"/>
      <c r="J1000" s="30">
        <f>IF(B1000="","",DATE(YEAR(B1000),MONTH(B1000),1))</f>
        <v/>
      </c>
      <c r="K1000" s="41">
        <f>IF(OR(B1000="",D1000=""),"",D1000&amp;"|"&amp;TEXT(J1000,"yyyy-mm"))</f>
        <v/>
      </c>
      <c r="L1000" s="24">
        <f>IF(K1000="","",IFERROR(INDEX(Lotes!$N$5:$N$154,MATCH(K1000,Lotes!$P$5:$P$154,0)),"Sem lote cadastrado"))</f>
        <v/>
      </c>
      <c r="M1000" s="25">
        <f>IF(H1000="Sim",G1000,0)</f>
        <v>0</v>
      </c>
      <c r="N1000" s="42">
        <f>IF(AND(H1000="Sim",I1000&lt;&gt;"Aceito"),G1000+ROW()/100000,0)</f>
        <v>0</v>
      </c>
    </row>
    <row r="1001">
      <c r="A1001" s="35" t="n"/>
      <c r="B1001" s="39" t="n"/>
      <c r="C1001" s="33" t="n"/>
      <c r="D1001" s="35" t="n"/>
      <c r="E1001" s="33" t="n"/>
      <c r="F1001" s="33" t="n"/>
      <c r="G1001" s="40" t="n"/>
      <c r="H1001" s="35" t="n"/>
      <c r="I1001" s="35" t="n"/>
      <c r="J1001" s="30">
        <f>IF(B1001="","",DATE(YEAR(B1001),MONTH(B1001),1))</f>
        <v/>
      </c>
      <c r="K1001" s="41">
        <f>IF(OR(B1001="",D1001=""),"",D1001&amp;"|"&amp;TEXT(J1001,"yyyy-mm"))</f>
        <v/>
      </c>
      <c r="L1001" s="24">
        <f>IF(K1001="","",IFERROR(INDEX(Lotes!$N$5:$N$154,MATCH(K1001,Lotes!$P$5:$P$154,0)),"Sem lote cadastrado"))</f>
        <v/>
      </c>
      <c r="M1001" s="25">
        <f>IF(H1001="Sim",G1001,0)</f>
        <v>0</v>
      </c>
      <c r="N1001" s="42">
        <f>IF(AND(H1001="Sim",I1001&lt;&gt;"Aceito"),G1001+ROW()/100000,0)</f>
        <v>0</v>
      </c>
    </row>
    <row r="1002">
      <c r="A1002" s="35" t="n"/>
      <c r="B1002" s="39" t="n"/>
      <c r="C1002" s="33" t="n"/>
      <c r="D1002" s="35" t="n"/>
      <c r="E1002" s="33" t="n"/>
      <c r="F1002" s="33" t="n"/>
      <c r="G1002" s="40" t="n"/>
      <c r="H1002" s="35" t="n"/>
      <c r="I1002" s="35" t="n"/>
      <c r="J1002" s="30">
        <f>IF(B1002="","",DATE(YEAR(B1002),MONTH(B1002),1))</f>
        <v/>
      </c>
      <c r="K1002" s="41">
        <f>IF(OR(B1002="",D1002=""),"",D1002&amp;"|"&amp;TEXT(J1002,"yyyy-mm"))</f>
        <v/>
      </c>
      <c r="L1002" s="24">
        <f>IF(K1002="","",IFERROR(INDEX(Lotes!$N$5:$N$154,MATCH(K1002,Lotes!$P$5:$P$154,0)),"Sem lote cadastrado"))</f>
        <v/>
      </c>
      <c r="M1002" s="25">
        <f>IF(H1002="Sim",G1002,0)</f>
        <v>0</v>
      </c>
      <c r="N1002" s="42">
        <f>IF(AND(H1002="Sim",I1002&lt;&gt;"Aceito"),G1002+ROW()/100000,0)</f>
        <v>0</v>
      </c>
    </row>
    <row r="1003">
      <c r="A1003" s="35" t="n"/>
      <c r="B1003" s="39" t="n"/>
      <c r="C1003" s="33" t="n"/>
      <c r="D1003" s="35" t="n"/>
      <c r="E1003" s="33" t="n"/>
      <c r="F1003" s="33" t="n"/>
      <c r="G1003" s="40" t="n"/>
      <c r="H1003" s="35" t="n"/>
      <c r="I1003" s="35" t="n"/>
      <c r="J1003" s="30">
        <f>IF(B1003="","",DATE(YEAR(B1003),MONTH(B1003),1))</f>
        <v/>
      </c>
      <c r="K1003" s="41">
        <f>IF(OR(B1003="",D1003=""),"",D1003&amp;"|"&amp;TEXT(J1003,"yyyy-mm"))</f>
        <v/>
      </c>
      <c r="L1003" s="24">
        <f>IF(K1003="","",IFERROR(INDEX(Lotes!$N$5:$N$154,MATCH(K1003,Lotes!$P$5:$P$154,0)),"Sem lote cadastrado"))</f>
        <v/>
      </c>
      <c r="M1003" s="25">
        <f>IF(H1003="Sim",G1003,0)</f>
        <v>0</v>
      </c>
      <c r="N1003" s="42">
        <f>IF(AND(H1003="Sim",I1003&lt;&gt;"Aceito"),G1003+ROW()/100000,0)</f>
        <v>0</v>
      </c>
    </row>
    <row r="1004">
      <c r="A1004" s="35" t="n"/>
      <c r="B1004" s="39" t="n"/>
      <c r="C1004" s="33" t="n"/>
      <c r="D1004" s="35" t="n"/>
      <c r="E1004" s="33" t="n"/>
      <c r="F1004" s="33" t="n"/>
      <c r="G1004" s="40" t="n"/>
      <c r="H1004" s="35" t="n"/>
      <c r="I1004" s="35" t="n"/>
      <c r="J1004" s="30">
        <f>IF(B1004="","",DATE(YEAR(B1004),MONTH(B1004),1))</f>
        <v/>
      </c>
      <c r="K1004" s="41">
        <f>IF(OR(B1004="",D1004=""),"",D1004&amp;"|"&amp;TEXT(J1004,"yyyy-mm"))</f>
        <v/>
      </c>
      <c r="L1004" s="24">
        <f>IF(K1004="","",IFERROR(INDEX(Lotes!$N$5:$N$154,MATCH(K1004,Lotes!$P$5:$P$154,0)),"Sem lote cadastrado"))</f>
        <v/>
      </c>
      <c r="M1004" s="25">
        <f>IF(H1004="Sim",G1004,0)</f>
        <v>0</v>
      </c>
      <c r="N1004" s="42">
        <f>IF(AND(H1004="Sim",I1004&lt;&gt;"Aceito"),G1004+ROW()/100000,0)</f>
        <v>0</v>
      </c>
    </row>
    <row r="1005">
      <c r="A1005" s="35" t="n"/>
      <c r="B1005" s="39" t="n"/>
      <c r="C1005" s="33" t="n"/>
      <c r="D1005" s="35" t="n"/>
      <c r="E1005" s="33" t="n"/>
      <c r="F1005" s="33" t="n"/>
      <c r="G1005" s="40" t="n"/>
      <c r="H1005" s="35" t="n"/>
      <c r="I1005" s="35" t="n"/>
      <c r="J1005" s="30">
        <f>IF(B1005="","",DATE(YEAR(B1005),MONTH(B1005),1))</f>
        <v/>
      </c>
      <c r="K1005" s="41">
        <f>IF(OR(B1005="",D1005=""),"",D1005&amp;"|"&amp;TEXT(J1005,"yyyy-mm"))</f>
        <v/>
      </c>
      <c r="L1005" s="24">
        <f>IF(K1005="","",IFERROR(INDEX(Lotes!$N$5:$N$154,MATCH(K1005,Lotes!$P$5:$P$154,0)),"Sem lote cadastrado"))</f>
        <v/>
      </c>
      <c r="M1005" s="25">
        <f>IF(H1005="Sim",G1005,0)</f>
        <v>0</v>
      </c>
      <c r="N1005" s="42">
        <f>IF(AND(H1005="Sim",I1005&lt;&gt;"Aceito"),G1005+ROW()/100000,0)</f>
        <v>0</v>
      </c>
    </row>
    <row r="1006">
      <c r="A1006" s="35" t="n"/>
      <c r="B1006" s="39" t="n"/>
      <c r="C1006" s="33" t="n"/>
      <c r="D1006" s="35" t="n"/>
      <c r="E1006" s="33" t="n"/>
      <c r="F1006" s="33" t="n"/>
      <c r="G1006" s="40" t="n"/>
      <c r="H1006" s="35" t="n"/>
      <c r="I1006" s="35" t="n"/>
      <c r="J1006" s="30">
        <f>IF(B1006="","",DATE(YEAR(B1006),MONTH(B1006),1))</f>
        <v/>
      </c>
      <c r="K1006" s="41">
        <f>IF(OR(B1006="",D1006=""),"",D1006&amp;"|"&amp;TEXT(J1006,"yyyy-mm"))</f>
        <v/>
      </c>
      <c r="L1006" s="24">
        <f>IF(K1006="","",IFERROR(INDEX(Lotes!$N$5:$N$154,MATCH(K1006,Lotes!$P$5:$P$154,0)),"Sem lote cadastrado"))</f>
        <v/>
      </c>
      <c r="M1006" s="25">
        <f>IF(H1006="Sim",G1006,0)</f>
        <v>0</v>
      </c>
      <c r="N1006" s="42">
        <f>IF(AND(H1006="Sim",I1006&lt;&gt;"Aceito"),G1006+ROW()/100000,0)</f>
        <v>0</v>
      </c>
    </row>
    <row r="1007">
      <c r="A1007" s="35" t="n"/>
      <c r="B1007" s="39" t="n"/>
      <c r="C1007" s="33" t="n"/>
      <c r="D1007" s="35" t="n"/>
      <c r="E1007" s="33" t="n"/>
      <c r="F1007" s="33" t="n"/>
      <c r="G1007" s="40" t="n"/>
      <c r="H1007" s="35" t="n"/>
      <c r="I1007" s="35" t="n"/>
      <c r="J1007" s="30">
        <f>IF(B1007="","",DATE(YEAR(B1007),MONTH(B1007),1))</f>
        <v/>
      </c>
      <c r="K1007" s="41">
        <f>IF(OR(B1007="",D1007=""),"",D1007&amp;"|"&amp;TEXT(J1007,"yyyy-mm"))</f>
        <v/>
      </c>
      <c r="L1007" s="24">
        <f>IF(K1007="","",IFERROR(INDEX(Lotes!$N$5:$N$154,MATCH(K1007,Lotes!$P$5:$P$154,0)),"Sem lote cadastrado"))</f>
        <v/>
      </c>
      <c r="M1007" s="25">
        <f>IF(H1007="Sim",G1007,0)</f>
        <v>0</v>
      </c>
      <c r="N1007" s="42">
        <f>IF(AND(H1007="Sim",I1007&lt;&gt;"Aceito"),G1007+ROW()/100000,0)</f>
        <v>0</v>
      </c>
    </row>
    <row r="1008">
      <c r="A1008" s="35" t="n"/>
      <c r="B1008" s="39" t="n"/>
      <c r="C1008" s="33" t="n"/>
      <c r="D1008" s="35" t="n"/>
      <c r="E1008" s="33" t="n"/>
      <c r="F1008" s="33" t="n"/>
      <c r="G1008" s="40" t="n"/>
      <c r="H1008" s="35" t="n"/>
      <c r="I1008" s="35" t="n"/>
      <c r="J1008" s="30">
        <f>IF(B1008="","",DATE(YEAR(B1008),MONTH(B1008),1))</f>
        <v/>
      </c>
      <c r="K1008" s="41">
        <f>IF(OR(B1008="",D1008=""),"",D1008&amp;"|"&amp;TEXT(J1008,"yyyy-mm"))</f>
        <v/>
      </c>
      <c r="L1008" s="24">
        <f>IF(K1008="","",IFERROR(INDEX(Lotes!$N$5:$N$154,MATCH(K1008,Lotes!$P$5:$P$154,0)),"Sem lote cadastrado"))</f>
        <v/>
      </c>
      <c r="M1008" s="25">
        <f>IF(H1008="Sim",G1008,0)</f>
        <v>0</v>
      </c>
      <c r="N1008" s="42">
        <f>IF(AND(H1008="Sim",I1008&lt;&gt;"Aceito"),G1008+ROW()/100000,0)</f>
        <v>0</v>
      </c>
    </row>
    <row r="1009">
      <c r="A1009" s="35" t="n"/>
      <c r="B1009" s="39" t="n"/>
      <c r="C1009" s="33" t="n"/>
      <c r="D1009" s="35" t="n"/>
      <c r="E1009" s="33" t="n"/>
      <c r="F1009" s="33" t="n"/>
      <c r="G1009" s="40" t="n"/>
      <c r="H1009" s="35" t="n"/>
      <c r="I1009" s="35" t="n"/>
      <c r="J1009" s="30">
        <f>IF(B1009="","",DATE(YEAR(B1009),MONTH(B1009),1))</f>
        <v/>
      </c>
      <c r="K1009" s="41">
        <f>IF(OR(B1009="",D1009=""),"",D1009&amp;"|"&amp;TEXT(J1009,"yyyy-mm"))</f>
        <v/>
      </c>
      <c r="L1009" s="24">
        <f>IF(K1009="","",IFERROR(INDEX(Lotes!$N$5:$N$154,MATCH(K1009,Lotes!$P$5:$P$154,0)),"Sem lote cadastrado"))</f>
        <v/>
      </c>
      <c r="M1009" s="25">
        <f>IF(H1009="Sim",G1009,0)</f>
        <v>0</v>
      </c>
      <c r="N1009" s="42">
        <f>IF(AND(H1009="Sim",I1009&lt;&gt;"Aceito"),G1009+ROW()/100000,0)</f>
        <v>0</v>
      </c>
    </row>
    <row r="1010">
      <c r="A1010" s="35" t="n"/>
      <c r="B1010" s="39" t="n"/>
      <c r="C1010" s="33" t="n"/>
      <c r="D1010" s="35" t="n"/>
      <c r="E1010" s="33" t="n"/>
      <c r="F1010" s="33" t="n"/>
      <c r="G1010" s="40" t="n"/>
      <c r="H1010" s="35" t="n"/>
      <c r="I1010" s="35" t="n"/>
      <c r="J1010" s="30">
        <f>IF(B1010="","",DATE(YEAR(B1010),MONTH(B1010),1))</f>
        <v/>
      </c>
      <c r="K1010" s="41">
        <f>IF(OR(B1010="",D1010=""),"",D1010&amp;"|"&amp;TEXT(J1010,"yyyy-mm"))</f>
        <v/>
      </c>
      <c r="L1010" s="24">
        <f>IF(K1010="","",IFERROR(INDEX(Lotes!$N$5:$N$154,MATCH(K1010,Lotes!$P$5:$P$154,0)),"Sem lote cadastrado"))</f>
        <v/>
      </c>
      <c r="M1010" s="25">
        <f>IF(H1010="Sim",G1010,0)</f>
        <v>0</v>
      </c>
      <c r="N1010" s="42">
        <f>IF(AND(H1010="Sim",I1010&lt;&gt;"Aceito"),G1010+ROW()/100000,0)</f>
        <v>0</v>
      </c>
    </row>
    <row r="1011">
      <c r="A1011" s="35" t="n"/>
      <c r="B1011" s="39" t="n"/>
      <c r="C1011" s="33" t="n"/>
      <c r="D1011" s="35" t="n"/>
      <c r="E1011" s="33" t="n"/>
      <c r="F1011" s="33" t="n"/>
      <c r="G1011" s="40" t="n"/>
      <c r="H1011" s="35" t="n"/>
      <c r="I1011" s="35" t="n"/>
      <c r="J1011" s="30">
        <f>IF(B1011="","",DATE(YEAR(B1011),MONTH(B1011),1))</f>
        <v/>
      </c>
      <c r="K1011" s="41">
        <f>IF(OR(B1011="",D1011=""),"",D1011&amp;"|"&amp;TEXT(J1011,"yyyy-mm"))</f>
        <v/>
      </c>
      <c r="L1011" s="24">
        <f>IF(K1011="","",IFERROR(INDEX(Lotes!$N$5:$N$154,MATCH(K1011,Lotes!$P$5:$P$154,0)),"Sem lote cadastrado"))</f>
        <v/>
      </c>
      <c r="M1011" s="25">
        <f>IF(H1011="Sim",G1011,0)</f>
        <v>0</v>
      </c>
      <c r="N1011" s="42">
        <f>IF(AND(H1011="Sim",I1011&lt;&gt;"Aceito"),G1011+ROW()/100000,0)</f>
        <v>0</v>
      </c>
    </row>
    <row r="1012">
      <c r="A1012" s="35" t="n"/>
      <c r="B1012" s="39" t="n"/>
      <c r="C1012" s="33" t="n"/>
      <c r="D1012" s="35" t="n"/>
      <c r="E1012" s="33" t="n"/>
      <c r="F1012" s="33" t="n"/>
      <c r="G1012" s="40" t="n"/>
      <c r="H1012" s="35" t="n"/>
      <c r="I1012" s="35" t="n"/>
      <c r="J1012" s="30">
        <f>IF(B1012="","",DATE(YEAR(B1012),MONTH(B1012),1))</f>
        <v/>
      </c>
      <c r="K1012" s="41">
        <f>IF(OR(B1012="",D1012=""),"",D1012&amp;"|"&amp;TEXT(J1012,"yyyy-mm"))</f>
        <v/>
      </c>
      <c r="L1012" s="24">
        <f>IF(K1012="","",IFERROR(INDEX(Lotes!$N$5:$N$154,MATCH(K1012,Lotes!$P$5:$P$154,0)),"Sem lote cadastrado"))</f>
        <v/>
      </c>
      <c r="M1012" s="25">
        <f>IF(H1012="Sim",G1012,0)</f>
        <v>0</v>
      </c>
      <c r="N1012" s="42">
        <f>IF(AND(H1012="Sim",I1012&lt;&gt;"Aceito"),G1012+ROW()/100000,0)</f>
        <v>0</v>
      </c>
    </row>
    <row r="1013">
      <c r="A1013" s="35" t="n"/>
      <c r="B1013" s="39" t="n"/>
      <c r="C1013" s="33" t="n"/>
      <c r="D1013" s="35" t="n"/>
      <c r="E1013" s="33" t="n"/>
      <c r="F1013" s="33" t="n"/>
      <c r="G1013" s="40" t="n"/>
      <c r="H1013" s="35" t="n"/>
      <c r="I1013" s="35" t="n"/>
      <c r="J1013" s="30">
        <f>IF(B1013="","",DATE(YEAR(B1013),MONTH(B1013),1))</f>
        <v/>
      </c>
      <c r="K1013" s="41">
        <f>IF(OR(B1013="",D1013=""),"",D1013&amp;"|"&amp;TEXT(J1013,"yyyy-mm"))</f>
        <v/>
      </c>
      <c r="L1013" s="24">
        <f>IF(K1013="","",IFERROR(INDEX(Lotes!$N$5:$N$154,MATCH(K1013,Lotes!$P$5:$P$154,0)),"Sem lote cadastrado"))</f>
        <v/>
      </c>
      <c r="M1013" s="25">
        <f>IF(H1013="Sim",G1013,0)</f>
        <v>0</v>
      </c>
      <c r="N1013" s="42">
        <f>IF(AND(H1013="Sim",I1013&lt;&gt;"Aceito"),G1013+ROW()/100000,0)</f>
        <v>0</v>
      </c>
    </row>
    <row r="1014">
      <c r="A1014" s="35" t="n"/>
      <c r="B1014" s="39" t="n"/>
      <c r="C1014" s="33" t="n"/>
      <c r="D1014" s="35" t="n"/>
      <c r="E1014" s="33" t="n"/>
      <c r="F1014" s="33" t="n"/>
      <c r="G1014" s="40" t="n"/>
      <c r="H1014" s="35" t="n"/>
      <c r="I1014" s="35" t="n"/>
      <c r="J1014" s="30">
        <f>IF(B1014="","",DATE(YEAR(B1014),MONTH(B1014),1))</f>
        <v/>
      </c>
      <c r="K1014" s="41">
        <f>IF(OR(B1014="",D1014=""),"",D1014&amp;"|"&amp;TEXT(J1014,"yyyy-mm"))</f>
        <v/>
      </c>
      <c r="L1014" s="24">
        <f>IF(K1014="","",IFERROR(INDEX(Lotes!$N$5:$N$154,MATCH(K1014,Lotes!$P$5:$P$154,0)),"Sem lote cadastrado"))</f>
        <v/>
      </c>
      <c r="M1014" s="25">
        <f>IF(H1014="Sim",G1014,0)</f>
        <v>0</v>
      </c>
      <c r="N1014" s="42">
        <f>IF(AND(H1014="Sim",I1014&lt;&gt;"Aceito"),G1014+ROW()/100000,0)</f>
        <v>0</v>
      </c>
    </row>
    <row r="1015">
      <c r="A1015" s="35" t="n"/>
      <c r="B1015" s="39" t="n"/>
      <c r="C1015" s="33" t="n"/>
      <c r="D1015" s="35" t="n"/>
      <c r="E1015" s="33" t="n"/>
      <c r="F1015" s="33" t="n"/>
      <c r="G1015" s="40" t="n"/>
      <c r="H1015" s="35" t="n"/>
      <c r="I1015" s="35" t="n"/>
      <c r="J1015" s="30">
        <f>IF(B1015="","",DATE(YEAR(B1015),MONTH(B1015),1))</f>
        <v/>
      </c>
      <c r="K1015" s="41">
        <f>IF(OR(B1015="",D1015=""),"",D1015&amp;"|"&amp;TEXT(J1015,"yyyy-mm"))</f>
        <v/>
      </c>
      <c r="L1015" s="24">
        <f>IF(K1015="","",IFERROR(INDEX(Lotes!$N$5:$N$154,MATCH(K1015,Lotes!$P$5:$P$154,0)),"Sem lote cadastrado"))</f>
        <v/>
      </c>
      <c r="M1015" s="25">
        <f>IF(H1015="Sim",G1015,0)</f>
        <v>0</v>
      </c>
      <c r="N1015" s="42">
        <f>IF(AND(H1015="Sim",I1015&lt;&gt;"Aceito"),G1015+ROW()/100000,0)</f>
        <v>0</v>
      </c>
    </row>
    <row r="1016">
      <c r="A1016" s="35" t="n"/>
      <c r="B1016" s="39" t="n"/>
      <c r="C1016" s="33" t="n"/>
      <c r="D1016" s="35" t="n"/>
      <c r="E1016" s="33" t="n"/>
      <c r="F1016" s="33" t="n"/>
      <c r="G1016" s="40" t="n"/>
      <c r="H1016" s="35" t="n"/>
      <c r="I1016" s="35" t="n"/>
      <c r="J1016" s="30">
        <f>IF(B1016="","",DATE(YEAR(B1016),MONTH(B1016),1))</f>
        <v/>
      </c>
      <c r="K1016" s="41">
        <f>IF(OR(B1016="",D1016=""),"",D1016&amp;"|"&amp;TEXT(J1016,"yyyy-mm"))</f>
        <v/>
      </c>
      <c r="L1016" s="24">
        <f>IF(K1016="","",IFERROR(INDEX(Lotes!$N$5:$N$154,MATCH(K1016,Lotes!$P$5:$P$154,0)),"Sem lote cadastrado"))</f>
        <v/>
      </c>
      <c r="M1016" s="25">
        <f>IF(H1016="Sim",G1016,0)</f>
        <v>0</v>
      </c>
      <c r="N1016" s="42">
        <f>IF(AND(H1016="Sim",I1016&lt;&gt;"Aceito"),G1016+ROW()/100000,0)</f>
        <v>0</v>
      </c>
    </row>
    <row r="1017">
      <c r="A1017" s="35" t="n"/>
      <c r="B1017" s="39" t="n"/>
      <c r="C1017" s="33" t="n"/>
      <c r="D1017" s="35" t="n"/>
      <c r="E1017" s="33" t="n"/>
      <c r="F1017" s="33" t="n"/>
      <c r="G1017" s="40" t="n"/>
      <c r="H1017" s="35" t="n"/>
      <c r="I1017" s="35" t="n"/>
      <c r="J1017" s="30">
        <f>IF(B1017="","",DATE(YEAR(B1017),MONTH(B1017),1))</f>
        <v/>
      </c>
      <c r="K1017" s="41">
        <f>IF(OR(B1017="",D1017=""),"",D1017&amp;"|"&amp;TEXT(J1017,"yyyy-mm"))</f>
        <v/>
      </c>
      <c r="L1017" s="24">
        <f>IF(K1017="","",IFERROR(INDEX(Lotes!$N$5:$N$154,MATCH(K1017,Lotes!$P$5:$P$154,0)),"Sem lote cadastrado"))</f>
        <v/>
      </c>
      <c r="M1017" s="25">
        <f>IF(H1017="Sim",G1017,0)</f>
        <v>0</v>
      </c>
      <c r="N1017" s="42">
        <f>IF(AND(H1017="Sim",I1017&lt;&gt;"Aceito"),G1017+ROW()/100000,0)</f>
        <v>0</v>
      </c>
    </row>
    <row r="1018">
      <c r="A1018" s="35" t="n"/>
      <c r="B1018" s="39" t="n"/>
      <c r="C1018" s="33" t="n"/>
      <c r="D1018" s="35" t="n"/>
      <c r="E1018" s="33" t="n"/>
      <c r="F1018" s="33" t="n"/>
      <c r="G1018" s="40" t="n"/>
      <c r="H1018" s="35" t="n"/>
      <c r="I1018" s="35" t="n"/>
      <c r="J1018" s="30">
        <f>IF(B1018="","",DATE(YEAR(B1018),MONTH(B1018),1))</f>
        <v/>
      </c>
      <c r="K1018" s="41">
        <f>IF(OR(B1018="",D1018=""),"",D1018&amp;"|"&amp;TEXT(J1018,"yyyy-mm"))</f>
        <v/>
      </c>
      <c r="L1018" s="24">
        <f>IF(K1018="","",IFERROR(INDEX(Lotes!$N$5:$N$154,MATCH(K1018,Lotes!$P$5:$P$154,0)),"Sem lote cadastrado"))</f>
        <v/>
      </c>
      <c r="M1018" s="25">
        <f>IF(H1018="Sim",G1018,0)</f>
        <v>0</v>
      </c>
      <c r="N1018" s="42">
        <f>IF(AND(H1018="Sim",I1018&lt;&gt;"Aceito"),G1018+ROW()/100000,0)</f>
        <v>0</v>
      </c>
    </row>
    <row r="1019">
      <c r="A1019" s="35" t="n"/>
      <c r="B1019" s="39" t="n"/>
      <c r="C1019" s="33" t="n"/>
      <c r="D1019" s="35" t="n"/>
      <c r="E1019" s="33" t="n"/>
      <c r="F1019" s="33" t="n"/>
      <c r="G1019" s="40" t="n"/>
      <c r="H1019" s="35" t="n"/>
      <c r="I1019" s="35" t="n"/>
      <c r="J1019" s="30">
        <f>IF(B1019="","",DATE(YEAR(B1019),MONTH(B1019),1))</f>
        <v/>
      </c>
      <c r="K1019" s="41">
        <f>IF(OR(B1019="",D1019=""),"",D1019&amp;"|"&amp;TEXT(J1019,"yyyy-mm"))</f>
        <v/>
      </c>
      <c r="L1019" s="24">
        <f>IF(K1019="","",IFERROR(INDEX(Lotes!$N$5:$N$154,MATCH(K1019,Lotes!$P$5:$P$154,0)),"Sem lote cadastrado"))</f>
        <v/>
      </c>
      <c r="M1019" s="25">
        <f>IF(H1019="Sim",G1019,0)</f>
        <v>0</v>
      </c>
      <c r="N1019" s="42">
        <f>IF(AND(H1019="Sim",I1019&lt;&gt;"Aceito"),G1019+ROW()/100000,0)</f>
        <v>0</v>
      </c>
    </row>
    <row r="1020">
      <c r="A1020" s="35" t="n"/>
      <c r="B1020" s="39" t="n"/>
      <c r="C1020" s="33" t="n"/>
      <c r="D1020" s="35" t="n"/>
      <c r="E1020" s="33" t="n"/>
      <c r="F1020" s="33" t="n"/>
      <c r="G1020" s="40" t="n"/>
      <c r="H1020" s="35" t="n"/>
      <c r="I1020" s="35" t="n"/>
      <c r="J1020" s="30">
        <f>IF(B1020="","",DATE(YEAR(B1020),MONTH(B1020),1))</f>
        <v/>
      </c>
      <c r="K1020" s="41">
        <f>IF(OR(B1020="",D1020=""),"",D1020&amp;"|"&amp;TEXT(J1020,"yyyy-mm"))</f>
        <v/>
      </c>
      <c r="L1020" s="24">
        <f>IF(K1020="","",IFERROR(INDEX(Lotes!$N$5:$N$154,MATCH(K1020,Lotes!$P$5:$P$154,0)),"Sem lote cadastrado"))</f>
        <v/>
      </c>
      <c r="M1020" s="25">
        <f>IF(H1020="Sim",G1020,0)</f>
        <v>0</v>
      </c>
      <c r="N1020" s="42">
        <f>IF(AND(H1020="Sim",I1020&lt;&gt;"Aceito"),G1020+ROW()/100000,0)</f>
        <v>0</v>
      </c>
    </row>
    <row r="1021">
      <c r="A1021" s="35" t="n"/>
      <c r="B1021" s="39" t="n"/>
      <c r="C1021" s="33" t="n"/>
      <c r="D1021" s="35" t="n"/>
      <c r="E1021" s="33" t="n"/>
      <c r="F1021" s="33" t="n"/>
      <c r="G1021" s="40" t="n"/>
      <c r="H1021" s="35" t="n"/>
      <c r="I1021" s="35" t="n"/>
      <c r="J1021" s="30">
        <f>IF(B1021="","",DATE(YEAR(B1021),MONTH(B1021),1))</f>
        <v/>
      </c>
      <c r="K1021" s="41">
        <f>IF(OR(B1021="",D1021=""),"",D1021&amp;"|"&amp;TEXT(J1021,"yyyy-mm"))</f>
        <v/>
      </c>
      <c r="L1021" s="24">
        <f>IF(K1021="","",IFERROR(INDEX(Lotes!$N$5:$N$154,MATCH(K1021,Lotes!$P$5:$P$154,0)),"Sem lote cadastrado"))</f>
        <v/>
      </c>
      <c r="M1021" s="25">
        <f>IF(H1021="Sim",G1021,0)</f>
        <v>0</v>
      </c>
      <c r="N1021" s="42">
        <f>IF(AND(H1021="Sim",I1021&lt;&gt;"Aceito"),G1021+ROW()/100000,0)</f>
        <v>0</v>
      </c>
    </row>
    <row r="1022">
      <c r="A1022" s="35" t="n"/>
      <c r="B1022" s="39" t="n"/>
      <c r="C1022" s="33" t="n"/>
      <c r="D1022" s="35" t="n"/>
      <c r="E1022" s="33" t="n"/>
      <c r="F1022" s="33" t="n"/>
      <c r="G1022" s="40" t="n"/>
      <c r="H1022" s="35" t="n"/>
      <c r="I1022" s="35" t="n"/>
      <c r="J1022" s="30">
        <f>IF(B1022="","",DATE(YEAR(B1022),MONTH(B1022),1))</f>
        <v/>
      </c>
      <c r="K1022" s="41">
        <f>IF(OR(B1022="",D1022=""),"",D1022&amp;"|"&amp;TEXT(J1022,"yyyy-mm"))</f>
        <v/>
      </c>
      <c r="L1022" s="24">
        <f>IF(K1022="","",IFERROR(INDEX(Lotes!$N$5:$N$154,MATCH(K1022,Lotes!$P$5:$P$154,0)),"Sem lote cadastrado"))</f>
        <v/>
      </c>
      <c r="M1022" s="25">
        <f>IF(H1022="Sim",G1022,0)</f>
        <v>0</v>
      </c>
      <c r="N1022" s="42">
        <f>IF(AND(H1022="Sim",I1022&lt;&gt;"Aceito"),G1022+ROW()/100000,0)</f>
        <v>0</v>
      </c>
    </row>
    <row r="1023">
      <c r="A1023" s="35" t="n"/>
      <c r="B1023" s="39" t="n"/>
      <c r="C1023" s="33" t="n"/>
      <c r="D1023" s="35" t="n"/>
      <c r="E1023" s="33" t="n"/>
      <c r="F1023" s="33" t="n"/>
      <c r="G1023" s="40" t="n"/>
      <c r="H1023" s="35" t="n"/>
      <c r="I1023" s="35" t="n"/>
      <c r="J1023" s="30">
        <f>IF(B1023="","",DATE(YEAR(B1023),MONTH(B1023),1))</f>
        <v/>
      </c>
      <c r="K1023" s="41">
        <f>IF(OR(B1023="",D1023=""),"",D1023&amp;"|"&amp;TEXT(J1023,"yyyy-mm"))</f>
        <v/>
      </c>
      <c r="L1023" s="24">
        <f>IF(K1023="","",IFERROR(INDEX(Lotes!$N$5:$N$154,MATCH(K1023,Lotes!$P$5:$P$154,0)),"Sem lote cadastrado"))</f>
        <v/>
      </c>
      <c r="M1023" s="25">
        <f>IF(H1023="Sim",G1023,0)</f>
        <v>0</v>
      </c>
      <c r="N1023" s="42">
        <f>IF(AND(H1023="Sim",I1023&lt;&gt;"Aceito"),G1023+ROW()/100000,0)</f>
        <v>0</v>
      </c>
    </row>
    <row r="1024">
      <c r="A1024" s="35" t="n"/>
      <c r="B1024" s="39" t="n"/>
      <c r="C1024" s="33" t="n"/>
      <c r="D1024" s="35" t="n"/>
      <c r="E1024" s="33" t="n"/>
      <c r="F1024" s="33" t="n"/>
      <c r="G1024" s="40" t="n"/>
      <c r="H1024" s="35" t="n"/>
      <c r="I1024" s="35" t="n"/>
      <c r="J1024" s="30">
        <f>IF(B1024="","",DATE(YEAR(B1024),MONTH(B1024),1))</f>
        <v/>
      </c>
      <c r="K1024" s="41">
        <f>IF(OR(B1024="",D1024=""),"",D1024&amp;"|"&amp;TEXT(J1024,"yyyy-mm"))</f>
        <v/>
      </c>
      <c r="L1024" s="24">
        <f>IF(K1024="","",IFERROR(INDEX(Lotes!$N$5:$N$154,MATCH(K1024,Lotes!$P$5:$P$154,0)),"Sem lote cadastrado"))</f>
        <v/>
      </c>
      <c r="M1024" s="25">
        <f>IF(H1024="Sim",G1024,0)</f>
        <v>0</v>
      </c>
      <c r="N1024" s="42">
        <f>IF(AND(H1024="Sim",I1024&lt;&gt;"Aceito"),G1024+ROW()/100000,0)</f>
        <v>0</v>
      </c>
    </row>
    <row r="1025">
      <c r="A1025" s="35" t="n"/>
      <c r="B1025" s="39" t="n"/>
      <c r="C1025" s="33" t="n"/>
      <c r="D1025" s="35" t="n"/>
      <c r="E1025" s="33" t="n"/>
      <c r="F1025" s="33" t="n"/>
      <c r="G1025" s="40" t="n"/>
      <c r="H1025" s="35" t="n"/>
      <c r="I1025" s="35" t="n"/>
      <c r="J1025" s="30">
        <f>IF(B1025="","",DATE(YEAR(B1025),MONTH(B1025),1))</f>
        <v/>
      </c>
      <c r="K1025" s="41">
        <f>IF(OR(B1025="",D1025=""),"",D1025&amp;"|"&amp;TEXT(J1025,"yyyy-mm"))</f>
        <v/>
      </c>
      <c r="L1025" s="24">
        <f>IF(K1025="","",IFERROR(INDEX(Lotes!$N$5:$N$154,MATCH(K1025,Lotes!$P$5:$P$154,0)),"Sem lote cadastrado"))</f>
        <v/>
      </c>
      <c r="M1025" s="25">
        <f>IF(H1025="Sim",G1025,0)</f>
        <v>0</v>
      </c>
      <c r="N1025" s="42">
        <f>IF(AND(H1025="Sim",I1025&lt;&gt;"Aceito"),G1025+ROW()/100000,0)</f>
        <v>0</v>
      </c>
    </row>
    <row r="1026">
      <c r="A1026" s="35" t="n"/>
      <c r="B1026" s="39" t="n"/>
      <c r="C1026" s="33" t="n"/>
      <c r="D1026" s="35" t="n"/>
      <c r="E1026" s="33" t="n"/>
      <c r="F1026" s="33" t="n"/>
      <c r="G1026" s="40" t="n"/>
      <c r="H1026" s="35" t="n"/>
      <c r="I1026" s="35" t="n"/>
      <c r="J1026" s="30">
        <f>IF(B1026="","",DATE(YEAR(B1026),MONTH(B1026),1))</f>
        <v/>
      </c>
      <c r="K1026" s="41">
        <f>IF(OR(B1026="",D1026=""),"",D1026&amp;"|"&amp;TEXT(J1026,"yyyy-mm"))</f>
        <v/>
      </c>
      <c r="L1026" s="24">
        <f>IF(K1026="","",IFERROR(INDEX(Lotes!$N$5:$N$154,MATCH(K1026,Lotes!$P$5:$P$154,0)),"Sem lote cadastrado"))</f>
        <v/>
      </c>
      <c r="M1026" s="25">
        <f>IF(H1026="Sim",G1026,0)</f>
        <v>0</v>
      </c>
      <c r="N1026" s="42">
        <f>IF(AND(H1026="Sim",I1026&lt;&gt;"Aceito"),G1026+ROW()/100000,0)</f>
        <v>0</v>
      </c>
    </row>
    <row r="1027">
      <c r="A1027" s="35" t="n"/>
      <c r="B1027" s="39" t="n"/>
      <c r="C1027" s="33" t="n"/>
      <c r="D1027" s="35" t="n"/>
      <c r="E1027" s="33" t="n"/>
      <c r="F1027" s="33" t="n"/>
      <c r="G1027" s="40" t="n"/>
      <c r="H1027" s="35" t="n"/>
      <c r="I1027" s="35" t="n"/>
      <c r="J1027" s="30">
        <f>IF(B1027="","",DATE(YEAR(B1027),MONTH(B1027),1))</f>
        <v/>
      </c>
      <c r="K1027" s="41">
        <f>IF(OR(B1027="",D1027=""),"",D1027&amp;"|"&amp;TEXT(J1027,"yyyy-mm"))</f>
        <v/>
      </c>
      <c r="L1027" s="24">
        <f>IF(K1027="","",IFERROR(INDEX(Lotes!$N$5:$N$154,MATCH(K1027,Lotes!$P$5:$P$154,0)),"Sem lote cadastrado"))</f>
        <v/>
      </c>
      <c r="M1027" s="25">
        <f>IF(H1027="Sim",G1027,0)</f>
        <v>0</v>
      </c>
      <c r="N1027" s="42">
        <f>IF(AND(H1027="Sim",I1027&lt;&gt;"Aceito"),G1027+ROW()/100000,0)</f>
        <v>0</v>
      </c>
    </row>
    <row r="1028">
      <c r="A1028" s="35" t="n"/>
      <c r="B1028" s="39" t="n"/>
      <c r="C1028" s="33" t="n"/>
      <c r="D1028" s="35" t="n"/>
      <c r="E1028" s="33" t="n"/>
      <c r="F1028" s="33" t="n"/>
      <c r="G1028" s="40" t="n"/>
      <c r="H1028" s="35" t="n"/>
      <c r="I1028" s="35" t="n"/>
      <c r="J1028" s="30">
        <f>IF(B1028="","",DATE(YEAR(B1028),MONTH(B1028),1))</f>
        <v/>
      </c>
      <c r="K1028" s="41">
        <f>IF(OR(B1028="",D1028=""),"",D1028&amp;"|"&amp;TEXT(J1028,"yyyy-mm"))</f>
        <v/>
      </c>
      <c r="L1028" s="24">
        <f>IF(K1028="","",IFERROR(INDEX(Lotes!$N$5:$N$154,MATCH(K1028,Lotes!$P$5:$P$154,0)),"Sem lote cadastrado"))</f>
        <v/>
      </c>
      <c r="M1028" s="25">
        <f>IF(H1028="Sim",G1028,0)</f>
        <v>0</v>
      </c>
      <c r="N1028" s="42">
        <f>IF(AND(H1028="Sim",I1028&lt;&gt;"Aceito"),G1028+ROW()/100000,0)</f>
        <v>0</v>
      </c>
    </row>
    <row r="1029">
      <c r="A1029" s="35" t="n"/>
      <c r="B1029" s="39" t="n"/>
      <c r="C1029" s="33" t="n"/>
      <c r="D1029" s="35" t="n"/>
      <c r="E1029" s="33" t="n"/>
      <c r="F1029" s="33" t="n"/>
      <c r="G1029" s="40" t="n"/>
      <c r="H1029" s="35" t="n"/>
      <c r="I1029" s="35" t="n"/>
      <c r="J1029" s="30">
        <f>IF(B1029="","",DATE(YEAR(B1029),MONTH(B1029),1))</f>
        <v/>
      </c>
      <c r="K1029" s="41">
        <f>IF(OR(B1029="",D1029=""),"",D1029&amp;"|"&amp;TEXT(J1029,"yyyy-mm"))</f>
        <v/>
      </c>
      <c r="L1029" s="24">
        <f>IF(K1029="","",IFERROR(INDEX(Lotes!$N$5:$N$154,MATCH(K1029,Lotes!$P$5:$P$154,0)),"Sem lote cadastrado"))</f>
        <v/>
      </c>
      <c r="M1029" s="25">
        <f>IF(H1029="Sim",G1029,0)</f>
        <v>0</v>
      </c>
      <c r="N1029" s="42">
        <f>IF(AND(H1029="Sim",I1029&lt;&gt;"Aceito"),G1029+ROW()/100000,0)</f>
        <v>0</v>
      </c>
    </row>
    <row r="1030">
      <c r="A1030" s="35" t="n"/>
      <c r="B1030" s="39" t="n"/>
      <c r="C1030" s="33" t="n"/>
      <c r="D1030" s="35" t="n"/>
      <c r="E1030" s="33" t="n"/>
      <c r="F1030" s="33" t="n"/>
      <c r="G1030" s="40" t="n"/>
      <c r="H1030" s="35" t="n"/>
      <c r="I1030" s="35" t="n"/>
      <c r="J1030" s="30">
        <f>IF(B1030="","",DATE(YEAR(B1030),MONTH(B1030),1))</f>
        <v/>
      </c>
      <c r="K1030" s="41">
        <f>IF(OR(B1030="",D1030=""),"",D1030&amp;"|"&amp;TEXT(J1030,"yyyy-mm"))</f>
        <v/>
      </c>
      <c r="L1030" s="24">
        <f>IF(K1030="","",IFERROR(INDEX(Lotes!$N$5:$N$154,MATCH(K1030,Lotes!$P$5:$P$154,0)),"Sem lote cadastrado"))</f>
        <v/>
      </c>
      <c r="M1030" s="25">
        <f>IF(H1030="Sim",G1030,0)</f>
        <v>0</v>
      </c>
      <c r="N1030" s="42">
        <f>IF(AND(H1030="Sim",I1030&lt;&gt;"Aceito"),G1030+ROW()/100000,0)</f>
        <v>0</v>
      </c>
    </row>
    <row r="1031">
      <c r="A1031" s="35" t="n"/>
      <c r="B1031" s="39" t="n"/>
      <c r="C1031" s="33" t="n"/>
      <c r="D1031" s="35" t="n"/>
      <c r="E1031" s="33" t="n"/>
      <c r="F1031" s="33" t="n"/>
      <c r="G1031" s="40" t="n"/>
      <c r="H1031" s="35" t="n"/>
      <c r="I1031" s="35" t="n"/>
      <c r="J1031" s="30">
        <f>IF(B1031="","",DATE(YEAR(B1031),MONTH(B1031),1))</f>
        <v/>
      </c>
      <c r="K1031" s="41">
        <f>IF(OR(B1031="",D1031=""),"",D1031&amp;"|"&amp;TEXT(J1031,"yyyy-mm"))</f>
        <v/>
      </c>
      <c r="L1031" s="24">
        <f>IF(K1031="","",IFERROR(INDEX(Lotes!$N$5:$N$154,MATCH(K1031,Lotes!$P$5:$P$154,0)),"Sem lote cadastrado"))</f>
        <v/>
      </c>
      <c r="M1031" s="25">
        <f>IF(H1031="Sim",G1031,0)</f>
        <v>0</v>
      </c>
      <c r="N1031" s="42">
        <f>IF(AND(H1031="Sim",I1031&lt;&gt;"Aceito"),G1031+ROW()/100000,0)</f>
        <v>0</v>
      </c>
    </row>
    <row r="1032">
      <c r="A1032" s="35" t="n"/>
      <c r="B1032" s="39" t="n"/>
      <c r="C1032" s="33" t="n"/>
      <c r="D1032" s="35" t="n"/>
      <c r="E1032" s="33" t="n"/>
      <c r="F1032" s="33" t="n"/>
      <c r="G1032" s="40" t="n"/>
      <c r="H1032" s="35" t="n"/>
      <c r="I1032" s="35" t="n"/>
      <c r="J1032" s="30">
        <f>IF(B1032="","",DATE(YEAR(B1032),MONTH(B1032),1))</f>
        <v/>
      </c>
      <c r="K1032" s="41">
        <f>IF(OR(B1032="",D1032=""),"",D1032&amp;"|"&amp;TEXT(J1032,"yyyy-mm"))</f>
        <v/>
      </c>
      <c r="L1032" s="24">
        <f>IF(K1032="","",IFERROR(INDEX(Lotes!$N$5:$N$154,MATCH(K1032,Lotes!$P$5:$P$154,0)),"Sem lote cadastrado"))</f>
        <v/>
      </c>
      <c r="M1032" s="25">
        <f>IF(H1032="Sim",G1032,0)</f>
        <v>0</v>
      </c>
      <c r="N1032" s="42">
        <f>IF(AND(H1032="Sim",I1032&lt;&gt;"Aceito"),G1032+ROW()/100000,0)</f>
        <v>0</v>
      </c>
    </row>
    <row r="1033">
      <c r="A1033" s="35" t="n"/>
      <c r="B1033" s="39" t="n"/>
      <c r="C1033" s="33" t="n"/>
      <c r="D1033" s="35" t="n"/>
      <c r="E1033" s="33" t="n"/>
      <c r="F1033" s="33" t="n"/>
      <c r="G1033" s="40" t="n"/>
      <c r="H1033" s="35" t="n"/>
      <c r="I1033" s="35" t="n"/>
      <c r="J1033" s="30">
        <f>IF(B1033="","",DATE(YEAR(B1033),MONTH(B1033),1))</f>
        <v/>
      </c>
      <c r="K1033" s="41">
        <f>IF(OR(B1033="",D1033=""),"",D1033&amp;"|"&amp;TEXT(J1033,"yyyy-mm"))</f>
        <v/>
      </c>
      <c r="L1033" s="24">
        <f>IF(K1033="","",IFERROR(INDEX(Lotes!$N$5:$N$154,MATCH(K1033,Lotes!$P$5:$P$154,0)),"Sem lote cadastrado"))</f>
        <v/>
      </c>
      <c r="M1033" s="25">
        <f>IF(H1033="Sim",G1033,0)</f>
        <v>0</v>
      </c>
      <c r="N1033" s="42">
        <f>IF(AND(H1033="Sim",I1033&lt;&gt;"Aceito"),G1033+ROW()/100000,0)</f>
        <v>0</v>
      </c>
    </row>
    <row r="1034">
      <c r="A1034" s="35" t="n"/>
      <c r="B1034" s="39" t="n"/>
      <c r="C1034" s="33" t="n"/>
      <c r="D1034" s="35" t="n"/>
      <c r="E1034" s="33" t="n"/>
      <c r="F1034" s="33" t="n"/>
      <c r="G1034" s="40" t="n"/>
      <c r="H1034" s="35" t="n"/>
      <c r="I1034" s="35" t="n"/>
      <c r="J1034" s="30">
        <f>IF(B1034="","",DATE(YEAR(B1034),MONTH(B1034),1))</f>
        <v/>
      </c>
      <c r="K1034" s="41">
        <f>IF(OR(B1034="",D1034=""),"",D1034&amp;"|"&amp;TEXT(J1034,"yyyy-mm"))</f>
        <v/>
      </c>
      <c r="L1034" s="24">
        <f>IF(K1034="","",IFERROR(INDEX(Lotes!$N$5:$N$154,MATCH(K1034,Lotes!$P$5:$P$154,0)),"Sem lote cadastrado"))</f>
        <v/>
      </c>
      <c r="M1034" s="25">
        <f>IF(H1034="Sim",G1034,0)</f>
        <v>0</v>
      </c>
      <c r="N1034" s="42">
        <f>IF(AND(H1034="Sim",I1034&lt;&gt;"Aceito"),G1034+ROW()/100000,0)</f>
        <v>0</v>
      </c>
    </row>
    <row r="1035">
      <c r="A1035" s="35" t="n"/>
      <c r="B1035" s="39" t="n"/>
      <c r="C1035" s="33" t="n"/>
      <c r="D1035" s="35" t="n"/>
      <c r="E1035" s="33" t="n"/>
      <c r="F1035" s="33" t="n"/>
      <c r="G1035" s="40" t="n"/>
      <c r="H1035" s="35" t="n"/>
      <c r="I1035" s="35" t="n"/>
      <c r="J1035" s="30">
        <f>IF(B1035="","",DATE(YEAR(B1035),MONTH(B1035),1))</f>
        <v/>
      </c>
      <c r="K1035" s="41">
        <f>IF(OR(B1035="",D1035=""),"",D1035&amp;"|"&amp;TEXT(J1035,"yyyy-mm"))</f>
        <v/>
      </c>
      <c r="L1035" s="24">
        <f>IF(K1035="","",IFERROR(INDEX(Lotes!$N$5:$N$154,MATCH(K1035,Lotes!$P$5:$P$154,0)),"Sem lote cadastrado"))</f>
        <v/>
      </c>
      <c r="M1035" s="25">
        <f>IF(H1035="Sim",G1035,0)</f>
        <v>0</v>
      </c>
      <c r="N1035" s="42">
        <f>IF(AND(H1035="Sim",I1035&lt;&gt;"Aceito"),G1035+ROW()/100000,0)</f>
        <v>0</v>
      </c>
    </row>
    <row r="1036">
      <c r="A1036" s="35" t="n"/>
      <c r="B1036" s="39" t="n"/>
      <c r="C1036" s="33" t="n"/>
      <c r="D1036" s="35" t="n"/>
      <c r="E1036" s="33" t="n"/>
      <c r="F1036" s="33" t="n"/>
      <c r="G1036" s="40" t="n"/>
      <c r="H1036" s="35" t="n"/>
      <c r="I1036" s="35" t="n"/>
      <c r="J1036" s="30">
        <f>IF(B1036="","",DATE(YEAR(B1036),MONTH(B1036),1))</f>
        <v/>
      </c>
      <c r="K1036" s="41">
        <f>IF(OR(B1036="",D1036=""),"",D1036&amp;"|"&amp;TEXT(J1036,"yyyy-mm"))</f>
        <v/>
      </c>
      <c r="L1036" s="24">
        <f>IF(K1036="","",IFERROR(INDEX(Lotes!$N$5:$N$154,MATCH(K1036,Lotes!$P$5:$P$154,0)),"Sem lote cadastrado"))</f>
        <v/>
      </c>
      <c r="M1036" s="25">
        <f>IF(H1036="Sim",G1036,0)</f>
        <v>0</v>
      </c>
      <c r="N1036" s="42">
        <f>IF(AND(H1036="Sim",I1036&lt;&gt;"Aceito"),G1036+ROW()/100000,0)</f>
        <v>0</v>
      </c>
    </row>
    <row r="1037">
      <c r="A1037" s="35" t="n"/>
      <c r="B1037" s="39" t="n"/>
      <c r="C1037" s="33" t="n"/>
      <c r="D1037" s="35" t="n"/>
      <c r="E1037" s="33" t="n"/>
      <c r="F1037" s="33" t="n"/>
      <c r="G1037" s="40" t="n"/>
      <c r="H1037" s="35" t="n"/>
      <c r="I1037" s="35" t="n"/>
      <c r="J1037" s="30">
        <f>IF(B1037="","",DATE(YEAR(B1037),MONTH(B1037),1))</f>
        <v/>
      </c>
      <c r="K1037" s="41">
        <f>IF(OR(B1037="",D1037=""),"",D1037&amp;"|"&amp;TEXT(J1037,"yyyy-mm"))</f>
        <v/>
      </c>
      <c r="L1037" s="24">
        <f>IF(K1037="","",IFERROR(INDEX(Lotes!$N$5:$N$154,MATCH(K1037,Lotes!$P$5:$P$154,0)),"Sem lote cadastrado"))</f>
        <v/>
      </c>
      <c r="M1037" s="25">
        <f>IF(H1037="Sim",G1037,0)</f>
        <v>0</v>
      </c>
      <c r="N1037" s="42">
        <f>IF(AND(H1037="Sim",I1037&lt;&gt;"Aceito"),G1037+ROW()/100000,0)</f>
        <v>0</v>
      </c>
    </row>
    <row r="1038">
      <c r="A1038" s="35" t="n"/>
      <c r="B1038" s="39" t="n"/>
      <c r="C1038" s="33" t="n"/>
      <c r="D1038" s="35" t="n"/>
      <c r="E1038" s="33" t="n"/>
      <c r="F1038" s="33" t="n"/>
      <c r="G1038" s="40" t="n"/>
      <c r="H1038" s="35" t="n"/>
      <c r="I1038" s="35" t="n"/>
      <c r="J1038" s="30">
        <f>IF(B1038="","",DATE(YEAR(B1038),MONTH(B1038),1))</f>
        <v/>
      </c>
      <c r="K1038" s="41">
        <f>IF(OR(B1038="",D1038=""),"",D1038&amp;"|"&amp;TEXT(J1038,"yyyy-mm"))</f>
        <v/>
      </c>
      <c r="L1038" s="24">
        <f>IF(K1038="","",IFERROR(INDEX(Lotes!$N$5:$N$154,MATCH(K1038,Lotes!$P$5:$P$154,0)),"Sem lote cadastrado"))</f>
        <v/>
      </c>
      <c r="M1038" s="25">
        <f>IF(H1038="Sim",G1038,0)</f>
        <v>0</v>
      </c>
      <c r="N1038" s="42">
        <f>IF(AND(H1038="Sim",I1038&lt;&gt;"Aceito"),G1038+ROW()/100000,0)</f>
        <v>0</v>
      </c>
    </row>
    <row r="1039">
      <c r="A1039" s="35" t="n"/>
      <c r="B1039" s="39" t="n"/>
      <c r="C1039" s="33" t="n"/>
      <c r="D1039" s="35" t="n"/>
      <c r="E1039" s="33" t="n"/>
      <c r="F1039" s="33" t="n"/>
      <c r="G1039" s="40" t="n"/>
      <c r="H1039" s="35" t="n"/>
      <c r="I1039" s="35" t="n"/>
      <c r="J1039" s="30">
        <f>IF(B1039="","",DATE(YEAR(B1039),MONTH(B1039),1))</f>
        <v/>
      </c>
      <c r="K1039" s="41">
        <f>IF(OR(B1039="",D1039=""),"",D1039&amp;"|"&amp;TEXT(J1039,"yyyy-mm"))</f>
        <v/>
      </c>
      <c r="L1039" s="24">
        <f>IF(K1039="","",IFERROR(INDEX(Lotes!$N$5:$N$154,MATCH(K1039,Lotes!$P$5:$P$154,0)),"Sem lote cadastrado"))</f>
        <v/>
      </c>
      <c r="M1039" s="25">
        <f>IF(H1039="Sim",G1039,0)</f>
        <v>0</v>
      </c>
      <c r="N1039" s="42">
        <f>IF(AND(H1039="Sim",I1039&lt;&gt;"Aceito"),G1039+ROW()/100000,0)</f>
        <v>0</v>
      </c>
    </row>
    <row r="1040">
      <c r="A1040" s="35" t="n"/>
      <c r="B1040" s="39" t="n"/>
      <c r="C1040" s="33" t="n"/>
      <c r="D1040" s="35" t="n"/>
      <c r="E1040" s="33" t="n"/>
      <c r="F1040" s="33" t="n"/>
      <c r="G1040" s="40" t="n"/>
      <c r="H1040" s="35" t="n"/>
      <c r="I1040" s="35" t="n"/>
      <c r="J1040" s="30">
        <f>IF(B1040="","",DATE(YEAR(B1040),MONTH(B1040),1))</f>
        <v/>
      </c>
      <c r="K1040" s="41">
        <f>IF(OR(B1040="",D1040=""),"",D1040&amp;"|"&amp;TEXT(J1040,"yyyy-mm"))</f>
        <v/>
      </c>
      <c r="L1040" s="24">
        <f>IF(K1040="","",IFERROR(INDEX(Lotes!$N$5:$N$154,MATCH(K1040,Lotes!$P$5:$P$154,0)),"Sem lote cadastrado"))</f>
        <v/>
      </c>
      <c r="M1040" s="25">
        <f>IF(H1040="Sim",G1040,0)</f>
        <v>0</v>
      </c>
      <c r="N1040" s="42">
        <f>IF(AND(H1040="Sim",I1040&lt;&gt;"Aceito"),G1040+ROW()/100000,0)</f>
        <v>0</v>
      </c>
    </row>
    <row r="1041">
      <c r="A1041" s="35" t="n"/>
      <c r="B1041" s="39" t="n"/>
      <c r="C1041" s="33" t="n"/>
      <c r="D1041" s="35" t="n"/>
      <c r="E1041" s="33" t="n"/>
      <c r="F1041" s="33" t="n"/>
      <c r="G1041" s="40" t="n"/>
      <c r="H1041" s="35" t="n"/>
      <c r="I1041" s="35" t="n"/>
      <c r="J1041" s="30">
        <f>IF(B1041="","",DATE(YEAR(B1041),MONTH(B1041),1))</f>
        <v/>
      </c>
      <c r="K1041" s="41">
        <f>IF(OR(B1041="",D1041=""),"",D1041&amp;"|"&amp;TEXT(J1041,"yyyy-mm"))</f>
        <v/>
      </c>
      <c r="L1041" s="24">
        <f>IF(K1041="","",IFERROR(INDEX(Lotes!$N$5:$N$154,MATCH(K1041,Lotes!$P$5:$P$154,0)),"Sem lote cadastrado"))</f>
        <v/>
      </c>
      <c r="M1041" s="25">
        <f>IF(H1041="Sim",G1041,0)</f>
        <v>0</v>
      </c>
      <c r="N1041" s="42">
        <f>IF(AND(H1041="Sim",I1041&lt;&gt;"Aceito"),G1041+ROW()/100000,0)</f>
        <v>0</v>
      </c>
    </row>
    <row r="1042">
      <c r="A1042" s="35" t="n"/>
      <c r="B1042" s="39" t="n"/>
      <c r="C1042" s="33" t="n"/>
      <c r="D1042" s="35" t="n"/>
      <c r="E1042" s="33" t="n"/>
      <c r="F1042" s="33" t="n"/>
      <c r="G1042" s="40" t="n"/>
      <c r="H1042" s="35" t="n"/>
      <c r="I1042" s="35" t="n"/>
      <c r="J1042" s="30">
        <f>IF(B1042="","",DATE(YEAR(B1042),MONTH(B1042),1))</f>
        <v/>
      </c>
      <c r="K1042" s="41">
        <f>IF(OR(B1042="",D1042=""),"",D1042&amp;"|"&amp;TEXT(J1042,"yyyy-mm"))</f>
        <v/>
      </c>
      <c r="L1042" s="24">
        <f>IF(K1042="","",IFERROR(INDEX(Lotes!$N$5:$N$154,MATCH(K1042,Lotes!$P$5:$P$154,0)),"Sem lote cadastrado"))</f>
        <v/>
      </c>
      <c r="M1042" s="25">
        <f>IF(H1042="Sim",G1042,0)</f>
        <v>0</v>
      </c>
      <c r="N1042" s="42">
        <f>IF(AND(H1042="Sim",I1042&lt;&gt;"Aceito"),G1042+ROW()/100000,0)</f>
        <v>0</v>
      </c>
    </row>
    <row r="1043">
      <c r="A1043" s="35" t="n"/>
      <c r="B1043" s="39" t="n"/>
      <c r="C1043" s="33" t="n"/>
      <c r="D1043" s="35" t="n"/>
      <c r="E1043" s="33" t="n"/>
      <c r="F1043" s="33" t="n"/>
      <c r="G1043" s="40" t="n"/>
      <c r="H1043" s="35" t="n"/>
      <c r="I1043" s="35" t="n"/>
      <c r="J1043" s="30">
        <f>IF(B1043="","",DATE(YEAR(B1043),MONTH(B1043),1))</f>
        <v/>
      </c>
      <c r="K1043" s="41">
        <f>IF(OR(B1043="",D1043=""),"",D1043&amp;"|"&amp;TEXT(J1043,"yyyy-mm"))</f>
        <v/>
      </c>
      <c r="L1043" s="24">
        <f>IF(K1043="","",IFERROR(INDEX(Lotes!$N$5:$N$154,MATCH(K1043,Lotes!$P$5:$P$154,0)),"Sem lote cadastrado"))</f>
        <v/>
      </c>
      <c r="M1043" s="25">
        <f>IF(H1043="Sim",G1043,0)</f>
        <v>0</v>
      </c>
      <c r="N1043" s="42">
        <f>IF(AND(H1043="Sim",I1043&lt;&gt;"Aceito"),G1043+ROW()/100000,0)</f>
        <v>0</v>
      </c>
    </row>
    <row r="1044">
      <c r="A1044" s="35" t="n"/>
      <c r="B1044" s="39" t="n"/>
      <c r="C1044" s="33" t="n"/>
      <c r="D1044" s="35" t="n"/>
      <c r="E1044" s="33" t="n"/>
      <c r="F1044" s="33" t="n"/>
      <c r="G1044" s="40" t="n"/>
      <c r="H1044" s="35" t="n"/>
      <c r="I1044" s="35" t="n"/>
      <c r="J1044" s="30">
        <f>IF(B1044="","",DATE(YEAR(B1044),MONTH(B1044),1))</f>
        <v/>
      </c>
      <c r="K1044" s="41">
        <f>IF(OR(B1044="",D1044=""),"",D1044&amp;"|"&amp;TEXT(J1044,"yyyy-mm"))</f>
        <v/>
      </c>
      <c r="L1044" s="24">
        <f>IF(K1044="","",IFERROR(INDEX(Lotes!$N$5:$N$154,MATCH(K1044,Lotes!$P$5:$P$154,0)),"Sem lote cadastrado"))</f>
        <v/>
      </c>
      <c r="M1044" s="25">
        <f>IF(H1044="Sim",G1044,0)</f>
        <v>0</v>
      </c>
      <c r="N1044" s="42">
        <f>IF(AND(H1044="Sim",I1044&lt;&gt;"Aceito"),G1044+ROW()/100000,0)</f>
        <v>0</v>
      </c>
    </row>
    <row r="1045">
      <c r="A1045" s="35" t="n"/>
      <c r="B1045" s="39" t="n"/>
      <c r="C1045" s="33" t="n"/>
      <c r="D1045" s="35" t="n"/>
      <c r="E1045" s="33" t="n"/>
      <c r="F1045" s="33" t="n"/>
      <c r="G1045" s="40" t="n"/>
      <c r="H1045" s="35" t="n"/>
      <c r="I1045" s="35" t="n"/>
      <c r="J1045" s="30">
        <f>IF(B1045="","",DATE(YEAR(B1045),MONTH(B1045),1))</f>
        <v/>
      </c>
      <c r="K1045" s="41">
        <f>IF(OR(B1045="",D1045=""),"",D1045&amp;"|"&amp;TEXT(J1045,"yyyy-mm"))</f>
        <v/>
      </c>
      <c r="L1045" s="24">
        <f>IF(K1045="","",IFERROR(INDEX(Lotes!$N$5:$N$154,MATCH(K1045,Lotes!$P$5:$P$154,0)),"Sem lote cadastrado"))</f>
        <v/>
      </c>
      <c r="M1045" s="25">
        <f>IF(H1045="Sim",G1045,0)</f>
        <v>0</v>
      </c>
      <c r="N1045" s="42">
        <f>IF(AND(H1045="Sim",I1045&lt;&gt;"Aceito"),G1045+ROW()/100000,0)</f>
        <v>0</v>
      </c>
    </row>
    <row r="1046">
      <c r="A1046" s="35" t="n"/>
      <c r="B1046" s="39" t="n"/>
      <c r="C1046" s="33" t="n"/>
      <c r="D1046" s="35" t="n"/>
      <c r="E1046" s="33" t="n"/>
      <c r="F1046" s="33" t="n"/>
      <c r="G1046" s="40" t="n"/>
      <c r="H1046" s="35" t="n"/>
      <c r="I1046" s="35" t="n"/>
      <c r="J1046" s="30">
        <f>IF(B1046="","",DATE(YEAR(B1046),MONTH(B1046),1))</f>
        <v/>
      </c>
      <c r="K1046" s="41">
        <f>IF(OR(B1046="",D1046=""),"",D1046&amp;"|"&amp;TEXT(J1046,"yyyy-mm"))</f>
        <v/>
      </c>
      <c r="L1046" s="24">
        <f>IF(K1046="","",IFERROR(INDEX(Lotes!$N$5:$N$154,MATCH(K1046,Lotes!$P$5:$P$154,0)),"Sem lote cadastrado"))</f>
        <v/>
      </c>
      <c r="M1046" s="25">
        <f>IF(H1046="Sim",G1046,0)</f>
        <v>0</v>
      </c>
      <c r="N1046" s="42">
        <f>IF(AND(H1046="Sim",I1046&lt;&gt;"Aceito"),G1046+ROW()/100000,0)</f>
        <v>0</v>
      </c>
    </row>
    <row r="1047">
      <c r="A1047" s="35" t="n"/>
      <c r="B1047" s="39" t="n"/>
      <c r="C1047" s="33" t="n"/>
      <c r="D1047" s="35" t="n"/>
      <c r="E1047" s="33" t="n"/>
      <c r="F1047" s="33" t="n"/>
      <c r="G1047" s="40" t="n"/>
      <c r="H1047" s="35" t="n"/>
      <c r="I1047" s="35" t="n"/>
      <c r="J1047" s="30">
        <f>IF(B1047="","",DATE(YEAR(B1047),MONTH(B1047),1))</f>
        <v/>
      </c>
      <c r="K1047" s="41">
        <f>IF(OR(B1047="",D1047=""),"",D1047&amp;"|"&amp;TEXT(J1047,"yyyy-mm"))</f>
        <v/>
      </c>
      <c r="L1047" s="24">
        <f>IF(K1047="","",IFERROR(INDEX(Lotes!$N$5:$N$154,MATCH(K1047,Lotes!$P$5:$P$154,0)),"Sem lote cadastrado"))</f>
        <v/>
      </c>
      <c r="M1047" s="25">
        <f>IF(H1047="Sim",G1047,0)</f>
        <v>0</v>
      </c>
      <c r="N1047" s="42">
        <f>IF(AND(H1047="Sim",I1047&lt;&gt;"Aceito"),G1047+ROW()/100000,0)</f>
        <v>0</v>
      </c>
    </row>
    <row r="1048">
      <c r="A1048" s="35" t="n"/>
      <c r="B1048" s="39" t="n"/>
      <c r="C1048" s="33" t="n"/>
      <c r="D1048" s="35" t="n"/>
      <c r="E1048" s="33" t="n"/>
      <c r="F1048" s="33" t="n"/>
      <c r="G1048" s="40" t="n"/>
      <c r="H1048" s="35" t="n"/>
      <c r="I1048" s="35" t="n"/>
      <c r="J1048" s="30">
        <f>IF(B1048="","",DATE(YEAR(B1048),MONTH(B1048),1))</f>
        <v/>
      </c>
      <c r="K1048" s="41">
        <f>IF(OR(B1048="",D1048=""),"",D1048&amp;"|"&amp;TEXT(J1048,"yyyy-mm"))</f>
        <v/>
      </c>
      <c r="L1048" s="24">
        <f>IF(K1048="","",IFERROR(INDEX(Lotes!$N$5:$N$154,MATCH(K1048,Lotes!$P$5:$P$154,0)),"Sem lote cadastrado"))</f>
        <v/>
      </c>
      <c r="M1048" s="25">
        <f>IF(H1048="Sim",G1048,0)</f>
        <v>0</v>
      </c>
      <c r="N1048" s="42">
        <f>IF(AND(H1048="Sim",I1048&lt;&gt;"Aceito"),G1048+ROW()/100000,0)</f>
        <v>0</v>
      </c>
    </row>
    <row r="1049">
      <c r="A1049" s="35" t="n"/>
      <c r="B1049" s="39" t="n"/>
      <c r="C1049" s="33" t="n"/>
      <c r="D1049" s="35" t="n"/>
      <c r="E1049" s="33" t="n"/>
      <c r="F1049" s="33" t="n"/>
      <c r="G1049" s="40" t="n"/>
      <c r="H1049" s="35" t="n"/>
      <c r="I1049" s="35" t="n"/>
      <c r="J1049" s="30">
        <f>IF(B1049="","",DATE(YEAR(B1049),MONTH(B1049),1))</f>
        <v/>
      </c>
      <c r="K1049" s="41">
        <f>IF(OR(B1049="",D1049=""),"",D1049&amp;"|"&amp;TEXT(J1049,"yyyy-mm"))</f>
        <v/>
      </c>
      <c r="L1049" s="24">
        <f>IF(K1049="","",IFERROR(INDEX(Lotes!$N$5:$N$154,MATCH(K1049,Lotes!$P$5:$P$154,0)),"Sem lote cadastrado"))</f>
        <v/>
      </c>
      <c r="M1049" s="25">
        <f>IF(H1049="Sim",G1049,0)</f>
        <v>0</v>
      </c>
      <c r="N1049" s="42">
        <f>IF(AND(H1049="Sim",I1049&lt;&gt;"Aceito"),G1049+ROW()/100000,0)</f>
        <v>0</v>
      </c>
    </row>
    <row r="1050">
      <c r="A1050" s="35" t="n"/>
      <c r="B1050" s="39" t="n"/>
      <c r="C1050" s="33" t="n"/>
      <c r="D1050" s="35" t="n"/>
      <c r="E1050" s="33" t="n"/>
      <c r="F1050" s="33" t="n"/>
      <c r="G1050" s="40" t="n"/>
      <c r="H1050" s="35" t="n"/>
      <c r="I1050" s="35" t="n"/>
      <c r="J1050" s="30">
        <f>IF(B1050="","",DATE(YEAR(B1050),MONTH(B1050),1))</f>
        <v/>
      </c>
      <c r="K1050" s="41">
        <f>IF(OR(B1050="",D1050=""),"",D1050&amp;"|"&amp;TEXT(J1050,"yyyy-mm"))</f>
        <v/>
      </c>
      <c r="L1050" s="24">
        <f>IF(K1050="","",IFERROR(INDEX(Lotes!$N$5:$N$154,MATCH(K1050,Lotes!$P$5:$P$154,0)),"Sem lote cadastrado"))</f>
        <v/>
      </c>
      <c r="M1050" s="25">
        <f>IF(H1050="Sim",G1050,0)</f>
        <v>0</v>
      </c>
      <c r="N1050" s="42">
        <f>IF(AND(H1050="Sim",I1050&lt;&gt;"Aceito"),G1050+ROW()/100000,0)</f>
        <v>0</v>
      </c>
    </row>
    <row r="1051">
      <c r="A1051" s="35" t="n"/>
      <c r="B1051" s="39" t="n"/>
      <c r="C1051" s="33" t="n"/>
      <c r="D1051" s="35" t="n"/>
      <c r="E1051" s="33" t="n"/>
      <c r="F1051" s="33" t="n"/>
      <c r="G1051" s="40" t="n"/>
      <c r="H1051" s="35" t="n"/>
      <c r="I1051" s="35" t="n"/>
      <c r="J1051" s="30">
        <f>IF(B1051="","",DATE(YEAR(B1051),MONTH(B1051),1))</f>
        <v/>
      </c>
      <c r="K1051" s="41">
        <f>IF(OR(B1051="",D1051=""),"",D1051&amp;"|"&amp;TEXT(J1051,"yyyy-mm"))</f>
        <v/>
      </c>
      <c r="L1051" s="24">
        <f>IF(K1051="","",IFERROR(INDEX(Lotes!$N$5:$N$154,MATCH(K1051,Lotes!$P$5:$P$154,0)),"Sem lote cadastrado"))</f>
        <v/>
      </c>
      <c r="M1051" s="25">
        <f>IF(H1051="Sim",G1051,0)</f>
        <v>0</v>
      </c>
      <c r="N1051" s="42">
        <f>IF(AND(H1051="Sim",I1051&lt;&gt;"Aceito"),G1051+ROW()/100000,0)</f>
        <v>0</v>
      </c>
    </row>
    <row r="1052">
      <c r="A1052" s="35" t="n"/>
      <c r="B1052" s="39" t="n"/>
      <c r="C1052" s="33" t="n"/>
      <c r="D1052" s="35" t="n"/>
      <c r="E1052" s="33" t="n"/>
      <c r="F1052" s="33" t="n"/>
      <c r="G1052" s="40" t="n"/>
      <c r="H1052" s="35" t="n"/>
      <c r="I1052" s="35" t="n"/>
      <c r="J1052" s="30">
        <f>IF(B1052="","",DATE(YEAR(B1052),MONTH(B1052),1))</f>
        <v/>
      </c>
      <c r="K1052" s="41">
        <f>IF(OR(B1052="",D1052=""),"",D1052&amp;"|"&amp;TEXT(J1052,"yyyy-mm"))</f>
        <v/>
      </c>
      <c r="L1052" s="24">
        <f>IF(K1052="","",IFERROR(INDEX(Lotes!$N$5:$N$154,MATCH(K1052,Lotes!$P$5:$P$154,0)),"Sem lote cadastrado"))</f>
        <v/>
      </c>
      <c r="M1052" s="25">
        <f>IF(H1052="Sim",G1052,0)</f>
        <v>0</v>
      </c>
      <c r="N1052" s="42">
        <f>IF(AND(H1052="Sim",I1052&lt;&gt;"Aceito"),G1052+ROW()/100000,0)</f>
        <v>0</v>
      </c>
    </row>
    <row r="1053">
      <c r="A1053" s="35" t="n"/>
      <c r="B1053" s="39" t="n"/>
      <c r="C1053" s="33" t="n"/>
      <c r="D1053" s="35" t="n"/>
      <c r="E1053" s="33" t="n"/>
      <c r="F1053" s="33" t="n"/>
      <c r="G1053" s="40" t="n"/>
      <c r="H1053" s="35" t="n"/>
      <c r="I1053" s="35" t="n"/>
      <c r="J1053" s="30">
        <f>IF(B1053="","",DATE(YEAR(B1053),MONTH(B1053),1))</f>
        <v/>
      </c>
      <c r="K1053" s="41">
        <f>IF(OR(B1053="",D1053=""),"",D1053&amp;"|"&amp;TEXT(J1053,"yyyy-mm"))</f>
        <v/>
      </c>
      <c r="L1053" s="24">
        <f>IF(K1053="","",IFERROR(INDEX(Lotes!$N$5:$N$154,MATCH(K1053,Lotes!$P$5:$P$154,0)),"Sem lote cadastrado"))</f>
        <v/>
      </c>
      <c r="M1053" s="25">
        <f>IF(H1053="Sim",G1053,0)</f>
        <v>0</v>
      </c>
      <c r="N1053" s="42">
        <f>IF(AND(H1053="Sim",I1053&lt;&gt;"Aceito"),G1053+ROW()/100000,0)</f>
        <v>0</v>
      </c>
    </row>
    <row r="1054">
      <c r="A1054" s="35" t="n"/>
      <c r="B1054" s="39" t="n"/>
      <c r="C1054" s="33" t="n"/>
      <c r="D1054" s="35" t="n"/>
      <c r="E1054" s="33" t="n"/>
      <c r="F1054" s="33" t="n"/>
      <c r="G1054" s="40" t="n"/>
      <c r="H1054" s="35" t="n"/>
      <c r="I1054" s="35" t="n"/>
      <c r="J1054" s="30">
        <f>IF(B1054="","",DATE(YEAR(B1054),MONTH(B1054),1))</f>
        <v/>
      </c>
      <c r="K1054" s="41">
        <f>IF(OR(B1054="",D1054=""),"",D1054&amp;"|"&amp;TEXT(J1054,"yyyy-mm"))</f>
        <v/>
      </c>
      <c r="L1054" s="24">
        <f>IF(K1054="","",IFERROR(INDEX(Lotes!$N$5:$N$154,MATCH(K1054,Lotes!$P$5:$P$154,0)),"Sem lote cadastrado"))</f>
        <v/>
      </c>
      <c r="M1054" s="25">
        <f>IF(H1054="Sim",G1054,0)</f>
        <v>0</v>
      </c>
      <c r="N1054" s="42">
        <f>IF(AND(H1054="Sim",I1054&lt;&gt;"Aceito"),G1054+ROW()/100000,0)</f>
        <v>0</v>
      </c>
    </row>
    <row r="1055">
      <c r="A1055" s="35" t="n"/>
      <c r="B1055" s="39" t="n"/>
      <c r="C1055" s="33" t="n"/>
      <c r="D1055" s="35" t="n"/>
      <c r="E1055" s="33" t="n"/>
      <c r="F1055" s="33" t="n"/>
      <c r="G1055" s="40" t="n"/>
      <c r="H1055" s="35" t="n"/>
      <c r="I1055" s="35" t="n"/>
      <c r="J1055" s="30">
        <f>IF(B1055="","",DATE(YEAR(B1055),MONTH(B1055),1))</f>
        <v/>
      </c>
      <c r="K1055" s="41">
        <f>IF(OR(B1055="",D1055=""),"",D1055&amp;"|"&amp;TEXT(J1055,"yyyy-mm"))</f>
        <v/>
      </c>
      <c r="L1055" s="24">
        <f>IF(K1055="","",IFERROR(INDEX(Lotes!$N$5:$N$154,MATCH(K1055,Lotes!$P$5:$P$154,0)),"Sem lote cadastrado"))</f>
        <v/>
      </c>
      <c r="M1055" s="25">
        <f>IF(H1055="Sim",G1055,0)</f>
        <v>0</v>
      </c>
      <c r="N1055" s="42">
        <f>IF(AND(H1055="Sim",I1055&lt;&gt;"Aceito"),G1055+ROW()/100000,0)</f>
        <v>0</v>
      </c>
    </row>
    <row r="1056">
      <c r="A1056" s="35" t="n"/>
      <c r="B1056" s="39" t="n"/>
      <c r="C1056" s="33" t="n"/>
      <c r="D1056" s="35" t="n"/>
      <c r="E1056" s="33" t="n"/>
      <c r="F1056" s="33" t="n"/>
      <c r="G1056" s="40" t="n"/>
      <c r="H1056" s="35" t="n"/>
      <c r="I1056" s="35" t="n"/>
      <c r="J1056" s="30">
        <f>IF(B1056="","",DATE(YEAR(B1056),MONTH(B1056),1))</f>
        <v/>
      </c>
      <c r="K1056" s="41">
        <f>IF(OR(B1056="",D1056=""),"",D1056&amp;"|"&amp;TEXT(J1056,"yyyy-mm"))</f>
        <v/>
      </c>
      <c r="L1056" s="24">
        <f>IF(K1056="","",IFERROR(INDEX(Lotes!$N$5:$N$154,MATCH(K1056,Lotes!$P$5:$P$154,0)),"Sem lote cadastrado"))</f>
        <v/>
      </c>
      <c r="M1056" s="25">
        <f>IF(H1056="Sim",G1056,0)</f>
        <v>0</v>
      </c>
      <c r="N1056" s="42">
        <f>IF(AND(H1056="Sim",I1056&lt;&gt;"Aceito"),G1056+ROW()/100000,0)</f>
        <v>0</v>
      </c>
    </row>
    <row r="1057">
      <c r="A1057" s="35" t="n"/>
      <c r="B1057" s="39" t="n"/>
      <c r="C1057" s="33" t="n"/>
      <c r="D1057" s="35" t="n"/>
      <c r="E1057" s="33" t="n"/>
      <c r="F1057" s="33" t="n"/>
      <c r="G1057" s="40" t="n"/>
      <c r="H1057" s="35" t="n"/>
      <c r="I1057" s="35" t="n"/>
      <c r="J1057" s="30">
        <f>IF(B1057="","",DATE(YEAR(B1057),MONTH(B1057),1))</f>
        <v/>
      </c>
      <c r="K1057" s="41">
        <f>IF(OR(B1057="",D1057=""),"",D1057&amp;"|"&amp;TEXT(J1057,"yyyy-mm"))</f>
        <v/>
      </c>
      <c r="L1057" s="24">
        <f>IF(K1057="","",IFERROR(INDEX(Lotes!$N$5:$N$154,MATCH(K1057,Lotes!$P$5:$P$154,0)),"Sem lote cadastrado"))</f>
        <v/>
      </c>
      <c r="M1057" s="25">
        <f>IF(H1057="Sim",G1057,0)</f>
        <v>0</v>
      </c>
      <c r="N1057" s="42">
        <f>IF(AND(H1057="Sim",I1057&lt;&gt;"Aceito"),G1057+ROW()/100000,0)</f>
        <v>0</v>
      </c>
    </row>
    <row r="1058">
      <c r="A1058" s="35" t="n"/>
      <c r="B1058" s="39" t="n"/>
      <c r="C1058" s="33" t="n"/>
      <c r="D1058" s="35" t="n"/>
      <c r="E1058" s="33" t="n"/>
      <c r="F1058" s="33" t="n"/>
      <c r="G1058" s="40" t="n"/>
      <c r="H1058" s="35" t="n"/>
      <c r="I1058" s="35" t="n"/>
      <c r="J1058" s="30">
        <f>IF(B1058="","",DATE(YEAR(B1058),MONTH(B1058),1))</f>
        <v/>
      </c>
      <c r="K1058" s="41">
        <f>IF(OR(B1058="",D1058=""),"",D1058&amp;"|"&amp;TEXT(J1058,"yyyy-mm"))</f>
        <v/>
      </c>
      <c r="L1058" s="24">
        <f>IF(K1058="","",IFERROR(INDEX(Lotes!$N$5:$N$154,MATCH(K1058,Lotes!$P$5:$P$154,0)),"Sem lote cadastrado"))</f>
        <v/>
      </c>
      <c r="M1058" s="25">
        <f>IF(H1058="Sim",G1058,0)</f>
        <v>0</v>
      </c>
      <c r="N1058" s="42">
        <f>IF(AND(H1058="Sim",I1058&lt;&gt;"Aceito"),G1058+ROW()/100000,0)</f>
        <v>0</v>
      </c>
    </row>
    <row r="1059">
      <c r="A1059" s="35" t="n"/>
      <c r="B1059" s="39" t="n"/>
      <c r="C1059" s="33" t="n"/>
      <c r="D1059" s="35" t="n"/>
      <c r="E1059" s="33" t="n"/>
      <c r="F1059" s="33" t="n"/>
      <c r="G1059" s="40" t="n"/>
      <c r="H1059" s="35" t="n"/>
      <c r="I1059" s="35" t="n"/>
      <c r="J1059" s="30">
        <f>IF(B1059="","",DATE(YEAR(B1059),MONTH(B1059),1))</f>
        <v/>
      </c>
      <c r="K1059" s="41">
        <f>IF(OR(B1059="",D1059=""),"",D1059&amp;"|"&amp;TEXT(J1059,"yyyy-mm"))</f>
        <v/>
      </c>
      <c r="L1059" s="24">
        <f>IF(K1059="","",IFERROR(INDEX(Lotes!$N$5:$N$154,MATCH(K1059,Lotes!$P$5:$P$154,0)),"Sem lote cadastrado"))</f>
        <v/>
      </c>
      <c r="M1059" s="25">
        <f>IF(H1059="Sim",G1059,0)</f>
        <v>0</v>
      </c>
      <c r="N1059" s="42">
        <f>IF(AND(H1059="Sim",I1059&lt;&gt;"Aceito"),G1059+ROW()/100000,0)</f>
        <v>0</v>
      </c>
    </row>
    <row r="1060">
      <c r="A1060" s="35" t="n"/>
      <c r="B1060" s="39" t="n"/>
      <c r="C1060" s="33" t="n"/>
      <c r="D1060" s="35" t="n"/>
      <c r="E1060" s="33" t="n"/>
      <c r="F1060" s="33" t="n"/>
      <c r="G1060" s="40" t="n"/>
      <c r="H1060" s="35" t="n"/>
      <c r="I1060" s="35" t="n"/>
      <c r="J1060" s="30">
        <f>IF(B1060="","",DATE(YEAR(B1060),MONTH(B1060),1))</f>
        <v/>
      </c>
      <c r="K1060" s="41">
        <f>IF(OR(B1060="",D1060=""),"",D1060&amp;"|"&amp;TEXT(J1060,"yyyy-mm"))</f>
        <v/>
      </c>
      <c r="L1060" s="24">
        <f>IF(K1060="","",IFERROR(INDEX(Lotes!$N$5:$N$154,MATCH(K1060,Lotes!$P$5:$P$154,0)),"Sem lote cadastrado"))</f>
        <v/>
      </c>
      <c r="M1060" s="25">
        <f>IF(H1060="Sim",G1060,0)</f>
        <v>0</v>
      </c>
      <c r="N1060" s="42">
        <f>IF(AND(H1060="Sim",I1060&lt;&gt;"Aceito"),G1060+ROW()/100000,0)</f>
        <v>0</v>
      </c>
    </row>
    <row r="1061">
      <c r="A1061" s="35" t="n"/>
      <c r="B1061" s="39" t="n"/>
      <c r="C1061" s="33" t="n"/>
      <c r="D1061" s="35" t="n"/>
      <c r="E1061" s="33" t="n"/>
      <c r="F1061" s="33" t="n"/>
      <c r="G1061" s="40" t="n"/>
      <c r="H1061" s="35" t="n"/>
      <c r="I1061" s="35" t="n"/>
      <c r="J1061" s="30">
        <f>IF(B1061="","",DATE(YEAR(B1061),MONTH(B1061),1))</f>
        <v/>
      </c>
      <c r="K1061" s="41">
        <f>IF(OR(B1061="",D1061=""),"",D1061&amp;"|"&amp;TEXT(J1061,"yyyy-mm"))</f>
        <v/>
      </c>
      <c r="L1061" s="24">
        <f>IF(K1061="","",IFERROR(INDEX(Lotes!$N$5:$N$154,MATCH(K1061,Lotes!$P$5:$P$154,0)),"Sem lote cadastrado"))</f>
        <v/>
      </c>
      <c r="M1061" s="25">
        <f>IF(H1061="Sim",G1061,0)</f>
        <v>0</v>
      </c>
      <c r="N1061" s="42">
        <f>IF(AND(H1061="Sim",I1061&lt;&gt;"Aceito"),G1061+ROW()/100000,0)</f>
        <v>0</v>
      </c>
    </row>
    <row r="1062">
      <c r="A1062" s="35" t="n"/>
      <c r="B1062" s="39" t="n"/>
      <c r="C1062" s="33" t="n"/>
      <c r="D1062" s="35" t="n"/>
      <c r="E1062" s="33" t="n"/>
      <c r="F1062" s="33" t="n"/>
      <c r="G1062" s="40" t="n"/>
      <c r="H1062" s="35" t="n"/>
      <c r="I1062" s="35" t="n"/>
      <c r="J1062" s="30">
        <f>IF(B1062="","",DATE(YEAR(B1062),MONTH(B1062),1))</f>
        <v/>
      </c>
      <c r="K1062" s="41">
        <f>IF(OR(B1062="",D1062=""),"",D1062&amp;"|"&amp;TEXT(J1062,"yyyy-mm"))</f>
        <v/>
      </c>
      <c r="L1062" s="24">
        <f>IF(K1062="","",IFERROR(INDEX(Lotes!$N$5:$N$154,MATCH(K1062,Lotes!$P$5:$P$154,0)),"Sem lote cadastrado"))</f>
        <v/>
      </c>
      <c r="M1062" s="25">
        <f>IF(H1062="Sim",G1062,0)</f>
        <v>0</v>
      </c>
      <c r="N1062" s="42">
        <f>IF(AND(H1062="Sim",I1062&lt;&gt;"Aceito"),G1062+ROW()/100000,0)</f>
        <v>0</v>
      </c>
    </row>
    <row r="1063">
      <c r="A1063" s="35" t="n"/>
      <c r="B1063" s="39" t="n"/>
      <c r="C1063" s="33" t="n"/>
      <c r="D1063" s="35" t="n"/>
      <c r="E1063" s="33" t="n"/>
      <c r="F1063" s="33" t="n"/>
      <c r="G1063" s="40" t="n"/>
      <c r="H1063" s="35" t="n"/>
      <c r="I1063" s="35" t="n"/>
      <c r="J1063" s="30">
        <f>IF(B1063="","",DATE(YEAR(B1063),MONTH(B1063),1))</f>
        <v/>
      </c>
      <c r="K1063" s="41">
        <f>IF(OR(B1063="",D1063=""),"",D1063&amp;"|"&amp;TEXT(J1063,"yyyy-mm"))</f>
        <v/>
      </c>
      <c r="L1063" s="24">
        <f>IF(K1063="","",IFERROR(INDEX(Lotes!$N$5:$N$154,MATCH(K1063,Lotes!$P$5:$P$154,0)),"Sem lote cadastrado"))</f>
        <v/>
      </c>
      <c r="M1063" s="25">
        <f>IF(H1063="Sim",G1063,0)</f>
        <v>0</v>
      </c>
      <c r="N1063" s="42">
        <f>IF(AND(H1063="Sim",I1063&lt;&gt;"Aceito"),G1063+ROW()/100000,0)</f>
        <v>0</v>
      </c>
    </row>
    <row r="1064">
      <c r="A1064" s="35" t="n"/>
      <c r="B1064" s="39" t="n"/>
      <c r="C1064" s="33" t="n"/>
      <c r="D1064" s="35" t="n"/>
      <c r="E1064" s="33" t="n"/>
      <c r="F1064" s="33" t="n"/>
      <c r="G1064" s="40" t="n"/>
      <c r="H1064" s="35" t="n"/>
      <c r="I1064" s="35" t="n"/>
      <c r="J1064" s="30">
        <f>IF(B1064="","",DATE(YEAR(B1064),MONTH(B1064),1))</f>
        <v/>
      </c>
      <c r="K1064" s="41">
        <f>IF(OR(B1064="",D1064=""),"",D1064&amp;"|"&amp;TEXT(J1064,"yyyy-mm"))</f>
        <v/>
      </c>
      <c r="L1064" s="24">
        <f>IF(K1064="","",IFERROR(INDEX(Lotes!$N$5:$N$154,MATCH(K1064,Lotes!$P$5:$P$154,0)),"Sem lote cadastrado"))</f>
        <v/>
      </c>
      <c r="M1064" s="25">
        <f>IF(H1064="Sim",G1064,0)</f>
        <v>0</v>
      </c>
      <c r="N1064" s="42">
        <f>IF(AND(H1064="Sim",I1064&lt;&gt;"Aceito"),G1064+ROW()/100000,0)</f>
        <v>0</v>
      </c>
    </row>
    <row r="1065">
      <c r="A1065" s="35" t="n"/>
      <c r="B1065" s="39" t="n"/>
      <c r="C1065" s="33" t="n"/>
      <c r="D1065" s="35" t="n"/>
      <c r="E1065" s="33" t="n"/>
      <c r="F1065" s="33" t="n"/>
      <c r="G1065" s="40" t="n"/>
      <c r="H1065" s="35" t="n"/>
      <c r="I1065" s="35" t="n"/>
      <c r="J1065" s="30">
        <f>IF(B1065="","",DATE(YEAR(B1065),MONTH(B1065),1))</f>
        <v/>
      </c>
      <c r="K1065" s="41">
        <f>IF(OR(B1065="",D1065=""),"",D1065&amp;"|"&amp;TEXT(J1065,"yyyy-mm"))</f>
        <v/>
      </c>
      <c r="L1065" s="24">
        <f>IF(K1065="","",IFERROR(INDEX(Lotes!$N$5:$N$154,MATCH(K1065,Lotes!$P$5:$P$154,0)),"Sem lote cadastrado"))</f>
        <v/>
      </c>
      <c r="M1065" s="25">
        <f>IF(H1065="Sim",G1065,0)</f>
        <v>0</v>
      </c>
      <c r="N1065" s="42">
        <f>IF(AND(H1065="Sim",I1065&lt;&gt;"Aceito"),G1065+ROW()/100000,0)</f>
        <v>0</v>
      </c>
    </row>
    <row r="1066">
      <c r="A1066" s="35" t="n"/>
      <c r="B1066" s="39" t="n"/>
      <c r="C1066" s="33" t="n"/>
      <c r="D1066" s="35" t="n"/>
      <c r="E1066" s="33" t="n"/>
      <c r="F1066" s="33" t="n"/>
      <c r="G1066" s="40" t="n"/>
      <c r="H1066" s="35" t="n"/>
      <c r="I1066" s="35" t="n"/>
      <c r="J1066" s="30">
        <f>IF(B1066="","",DATE(YEAR(B1066),MONTH(B1066),1))</f>
        <v/>
      </c>
      <c r="K1066" s="41">
        <f>IF(OR(B1066="",D1066=""),"",D1066&amp;"|"&amp;TEXT(J1066,"yyyy-mm"))</f>
        <v/>
      </c>
      <c r="L1066" s="24">
        <f>IF(K1066="","",IFERROR(INDEX(Lotes!$N$5:$N$154,MATCH(K1066,Lotes!$P$5:$P$154,0)),"Sem lote cadastrado"))</f>
        <v/>
      </c>
      <c r="M1066" s="25">
        <f>IF(H1066="Sim",G1066,0)</f>
        <v>0</v>
      </c>
      <c r="N1066" s="42">
        <f>IF(AND(H1066="Sim",I1066&lt;&gt;"Aceito"),G1066+ROW()/100000,0)</f>
        <v>0</v>
      </c>
    </row>
    <row r="1067">
      <c r="A1067" s="35" t="n"/>
      <c r="B1067" s="39" t="n"/>
      <c r="C1067" s="33" t="n"/>
      <c r="D1067" s="35" t="n"/>
      <c r="E1067" s="33" t="n"/>
      <c r="F1067" s="33" t="n"/>
      <c r="G1067" s="40" t="n"/>
      <c r="H1067" s="35" t="n"/>
      <c r="I1067" s="35" t="n"/>
      <c r="J1067" s="30">
        <f>IF(B1067="","",DATE(YEAR(B1067),MONTH(B1067),1))</f>
        <v/>
      </c>
      <c r="K1067" s="41">
        <f>IF(OR(B1067="",D1067=""),"",D1067&amp;"|"&amp;TEXT(J1067,"yyyy-mm"))</f>
        <v/>
      </c>
      <c r="L1067" s="24">
        <f>IF(K1067="","",IFERROR(INDEX(Lotes!$N$5:$N$154,MATCH(K1067,Lotes!$P$5:$P$154,0)),"Sem lote cadastrado"))</f>
        <v/>
      </c>
      <c r="M1067" s="25">
        <f>IF(H1067="Sim",G1067,0)</f>
        <v>0</v>
      </c>
      <c r="N1067" s="42">
        <f>IF(AND(H1067="Sim",I1067&lt;&gt;"Aceito"),G1067+ROW()/100000,0)</f>
        <v>0</v>
      </c>
    </row>
    <row r="1068">
      <c r="A1068" s="35" t="n"/>
      <c r="B1068" s="39" t="n"/>
      <c r="C1068" s="33" t="n"/>
      <c r="D1068" s="35" t="n"/>
      <c r="E1068" s="33" t="n"/>
      <c r="F1068" s="33" t="n"/>
      <c r="G1068" s="40" t="n"/>
      <c r="H1068" s="35" t="n"/>
      <c r="I1068" s="35" t="n"/>
      <c r="J1068" s="30">
        <f>IF(B1068="","",DATE(YEAR(B1068),MONTH(B1068),1))</f>
        <v/>
      </c>
      <c r="K1068" s="41">
        <f>IF(OR(B1068="",D1068=""),"",D1068&amp;"|"&amp;TEXT(J1068,"yyyy-mm"))</f>
        <v/>
      </c>
      <c r="L1068" s="24">
        <f>IF(K1068="","",IFERROR(INDEX(Lotes!$N$5:$N$154,MATCH(K1068,Lotes!$P$5:$P$154,0)),"Sem lote cadastrado"))</f>
        <v/>
      </c>
      <c r="M1068" s="25">
        <f>IF(H1068="Sim",G1068,0)</f>
        <v>0</v>
      </c>
      <c r="N1068" s="42">
        <f>IF(AND(H1068="Sim",I1068&lt;&gt;"Aceito"),G1068+ROW()/100000,0)</f>
        <v>0</v>
      </c>
    </row>
    <row r="1069">
      <c r="A1069" s="35" t="n"/>
      <c r="B1069" s="39" t="n"/>
      <c r="C1069" s="33" t="n"/>
      <c r="D1069" s="35" t="n"/>
      <c r="E1069" s="33" t="n"/>
      <c r="F1069" s="33" t="n"/>
      <c r="G1069" s="40" t="n"/>
      <c r="H1069" s="35" t="n"/>
      <c r="I1069" s="35" t="n"/>
      <c r="J1069" s="30">
        <f>IF(B1069="","",DATE(YEAR(B1069),MONTH(B1069),1))</f>
        <v/>
      </c>
      <c r="K1069" s="41">
        <f>IF(OR(B1069="",D1069=""),"",D1069&amp;"|"&amp;TEXT(J1069,"yyyy-mm"))</f>
        <v/>
      </c>
      <c r="L1069" s="24">
        <f>IF(K1069="","",IFERROR(INDEX(Lotes!$N$5:$N$154,MATCH(K1069,Lotes!$P$5:$P$154,0)),"Sem lote cadastrado"))</f>
        <v/>
      </c>
      <c r="M1069" s="25">
        <f>IF(H1069="Sim",G1069,0)</f>
        <v>0</v>
      </c>
      <c r="N1069" s="42">
        <f>IF(AND(H1069="Sim",I1069&lt;&gt;"Aceito"),G1069+ROW()/100000,0)</f>
        <v>0</v>
      </c>
    </row>
    <row r="1070">
      <c r="A1070" s="35" t="n"/>
      <c r="B1070" s="39" t="n"/>
      <c r="C1070" s="33" t="n"/>
      <c r="D1070" s="35" t="n"/>
      <c r="E1070" s="33" t="n"/>
      <c r="F1070" s="33" t="n"/>
      <c r="G1070" s="40" t="n"/>
      <c r="H1070" s="35" t="n"/>
      <c r="I1070" s="35" t="n"/>
      <c r="J1070" s="30">
        <f>IF(B1070="","",DATE(YEAR(B1070),MONTH(B1070),1))</f>
        <v/>
      </c>
      <c r="K1070" s="41">
        <f>IF(OR(B1070="",D1070=""),"",D1070&amp;"|"&amp;TEXT(J1070,"yyyy-mm"))</f>
        <v/>
      </c>
      <c r="L1070" s="24">
        <f>IF(K1070="","",IFERROR(INDEX(Lotes!$N$5:$N$154,MATCH(K1070,Lotes!$P$5:$P$154,0)),"Sem lote cadastrado"))</f>
        <v/>
      </c>
      <c r="M1070" s="25">
        <f>IF(H1070="Sim",G1070,0)</f>
        <v>0</v>
      </c>
      <c r="N1070" s="42">
        <f>IF(AND(H1070="Sim",I1070&lt;&gt;"Aceito"),G1070+ROW()/100000,0)</f>
        <v>0</v>
      </c>
    </row>
    <row r="1071">
      <c r="A1071" s="35" t="n"/>
      <c r="B1071" s="39" t="n"/>
      <c r="C1071" s="33" t="n"/>
      <c r="D1071" s="35" t="n"/>
      <c r="E1071" s="33" t="n"/>
      <c r="F1071" s="33" t="n"/>
      <c r="G1071" s="40" t="n"/>
      <c r="H1071" s="35" t="n"/>
      <c r="I1071" s="35" t="n"/>
      <c r="J1071" s="30">
        <f>IF(B1071="","",DATE(YEAR(B1071),MONTH(B1071),1))</f>
        <v/>
      </c>
      <c r="K1071" s="41">
        <f>IF(OR(B1071="",D1071=""),"",D1071&amp;"|"&amp;TEXT(J1071,"yyyy-mm"))</f>
        <v/>
      </c>
      <c r="L1071" s="24">
        <f>IF(K1071="","",IFERROR(INDEX(Lotes!$N$5:$N$154,MATCH(K1071,Lotes!$P$5:$P$154,0)),"Sem lote cadastrado"))</f>
        <v/>
      </c>
      <c r="M1071" s="25">
        <f>IF(H1071="Sim",G1071,0)</f>
        <v>0</v>
      </c>
      <c r="N1071" s="42">
        <f>IF(AND(H1071="Sim",I1071&lt;&gt;"Aceito"),G1071+ROW()/100000,0)</f>
        <v>0</v>
      </c>
    </row>
    <row r="1072">
      <c r="A1072" s="35" t="n"/>
      <c r="B1072" s="39" t="n"/>
      <c r="C1072" s="33" t="n"/>
      <c r="D1072" s="35" t="n"/>
      <c r="E1072" s="33" t="n"/>
      <c r="F1072" s="33" t="n"/>
      <c r="G1072" s="40" t="n"/>
      <c r="H1072" s="35" t="n"/>
      <c r="I1072" s="35" t="n"/>
      <c r="J1072" s="30">
        <f>IF(B1072="","",DATE(YEAR(B1072),MONTH(B1072),1))</f>
        <v/>
      </c>
      <c r="K1072" s="41">
        <f>IF(OR(B1072="",D1072=""),"",D1072&amp;"|"&amp;TEXT(J1072,"yyyy-mm"))</f>
        <v/>
      </c>
      <c r="L1072" s="24">
        <f>IF(K1072="","",IFERROR(INDEX(Lotes!$N$5:$N$154,MATCH(K1072,Lotes!$P$5:$P$154,0)),"Sem lote cadastrado"))</f>
        <v/>
      </c>
      <c r="M1072" s="25">
        <f>IF(H1072="Sim",G1072,0)</f>
        <v>0</v>
      </c>
      <c r="N1072" s="42">
        <f>IF(AND(H1072="Sim",I1072&lt;&gt;"Aceito"),G1072+ROW()/100000,0)</f>
        <v>0</v>
      </c>
    </row>
    <row r="1073">
      <c r="A1073" s="35" t="n"/>
      <c r="B1073" s="39" t="n"/>
      <c r="C1073" s="33" t="n"/>
      <c r="D1073" s="35" t="n"/>
      <c r="E1073" s="33" t="n"/>
      <c r="F1073" s="33" t="n"/>
      <c r="G1073" s="40" t="n"/>
      <c r="H1073" s="35" t="n"/>
      <c r="I1073" s="35" t="n"/>
      <c r="J1073" s="30">
        <f>IF(B1073="","",DATE(YEAR(B1073),MONTH(B1073),1))</f>
        <v/>
      </c>
      <c r="K1073" s="41">
        <f>IF(OR(B1073="",D1073=""),"",D1073&amp;"|"&amp;TEXT(J1073,"yyyy-mm"))</f>
        <v/>
      </c>
      <c r="L1073" s="24">
        <f>IF(K1073="","",IFERROR(INDEX(Lotes!$N$5:$N$154,MATCH(K1073,Lotes!$P$5:$P$154,0)),"Sem lote cadastrado"))</f>
        <v/>
      </c>
      <c r="M1073" s="25">
        <f>IF(H1073="Sim",G1073,0)</f>
        <v>0</v>
      </c>
      <c r="N1073" s="42">
        <f>IF(AND(H1073="Sim",I1073&lt;&gt;"Aceito"),G1073+ROW()/100000,0)</f>
        <v>0</v>
      </c>
    </row>
    <row r="1074">
      <c r="A1074" s="35" t="n"/>
      <c r="B1074" s="39" t="n"/>
      <c r="C1074" s="33" t="n"/>
      <c r="D1074" s="35" t="n"/>
      <c r="E1074" s="33" t="n"/>
      <c r="F1074" s="33" t="n"/>
      <c r="G1074" s="40" t="n"/>
      <c r="H1074" s="35" t="n"/>
      <c r="I1074" s="35" t="n"/>
      <c r="J1074" s="30">
        <f>IF(B1074="","",DATE(YEAR(B1074),MONTH(B1074),1))</f>
        <v/>
      </c>
      <c r="K1074" s="41">
        <f>IF(OR(B1074="",D1074=""),"",D1074&amp;"|"&amp;TEXT(J1074,"yyyy-mm"))</f>
        <v/>
      </c>
      <c r="L1074" s="24">
        <f>IF(K1074="","",IFERROR(INDEX(Lotes!$N$5:$N$154,MATCH(K1074,Lotes!$P$5:$P$154,0)),"Sem lote cadastrado"))</f>
        <v/>
      </c>
      <c r="M1074" s="25">
        <f>IF(H1074="Sim",G1074,0)</f>
        <v>0</v>
      </c>
      <c r="N1074" s="42">
        <f>IF(AND(H1074="Sim",I1074&lt;&gt;"Aceito"),G1074+ROW()/100000,0)</f>
        <v>0</v>
      </c>
    </row>
    <row r="1075">
      <c r="A1075" s="35" t="n"/>
      <c r="B1075" s="39" t="n"/>
      <c r="C1075" s="33" t="n"/>
      <c r="D1075" s="35" t="n"/>
      <c r="E1075" s="33" t="n"/>
      <c r="F1075" s="33" t="n"/>
      <c r="G1075" s="40" t="n"/>
      <c r="H1075" s="35" t="n"/>
      <c r="I1075" s="35" t="n"/>
      <c r="J1075" s="30">
        <f>IF(B1075="","",DATE(YEAR(B1075),MONTH(B1075),1))</f>
        <v/>
      </c>
      <c r="K1075" s="41">
        <f>IF(OR(B1075="",D1075=""),"",D1075&amp;"|"&amp;TEXT(J1075,"yyyy-mm"))</f>
        <v/>
      </c>
      <c r="L1075" s="24">
        <f>IF(K1075="","",IFERROR(INDEX(Lotes!$N$5:$N$154,MATCH(K1075,Lotes!$P$5:$P$154,0)),"Sem lote cadastrado"))</f>
        <v/>
      </c>
      <c r="M1075" s="25">
        <f>IF(H1075="Sim",G1075,0)</f>
        <v>0</v>
      </c>
      <c r="N1075" s="42">
        <f>IF(AND(H1075="Sim",I1075&lt;&gt;"Aceito"),G1075+ROW()/100000,0)</f>
        <v>0</v>
      </c>
    </row>
    <row r="1076">
      <c r="A1076" s="35" t="n"/>
      <c r="B1076" s="39" t="n"/>
      <c r="C1076" s="33" t="n"/>
      <c r="D1076" s="35" t="n"/>
      <c r="E1076" s="33" t="n"/>
      <c r="F1076" s="33" t="n"/>
      <c r="G1076" s="40" t="n"/>
      <c r="H1076" s="35" t="n"/>
      <c r="I1076" s="35" t="n"/>
      <c r="J1076" s="30">
        <f>IF(B1076="","",DATE(YEAR(B1076),MONTH(B1076),1))</f>
        <v/>
      </c>
      <c r="K1076" s="41">
        <f>IF(OR(B1076="",D1076=""),"",D1076&amp;"|"&amp;TEXT(J1076,"yyyy-mm"))</f>
        <v/>
      </c>
      <c r="L1076" s="24">
        <f>IF(K1076="","",IFERROR(INDEX(Lotes!$N$5:$N$154,MATCH(K1076,Lotes!$P$5:$P$154,0)),"Sem lote cadastrado"))</f>
        <v/>
      </c>
      <c r="M1076" s="25">
        <f>IF(H1076="Sim",G1076,0)</f>
        <v>0</v>
      </c>
      <c r="N1076" s="42">
        <f>IF(AND(H1076="Sim",I1076&lt;&gt;"Aceito"),G1076+ROW()/100000,0)</f>
        <v>0</v>
      </c>
    </row>
    <row r="1077">
      <c r="A1077" s="35" t="n"/>
      <c r="B1077" s="39" t="n"/>
      <c r="C1077" s="33" t="n"/>
      <c r="D1077" s="35" t="n"/>
      <c r="E1077" s="33" t="n"/>
      <c r="F1077" s="33" t="n"/>
      <c r="G1077" s="40" t="n"/>
      <c r="H1077" s="35" t="n"/>
      <c r="I1077" s="35" t="n"/>
      <c r="J1077" s="30">
        <f>IF(B1077="","",DATE(YEAR(B1077),MONTH(B1077),1))</f>
        <v/>
      </c>
      <c r="K1077" s="41">
        <f>IF(OR(B1077="",D1077=""),"",D1077&amp;"|"&amp;TEXT(J1077,"yyyy-mm"))</f>
        <v/>
      </c>
      <c r="L1077" s="24">
        <f>IF(K1077="","",IFERROR(INDEX(Lotes!$N$5:$N$154,MATCH(K1077,Lotes!$P$5:$P$154,0)),"Sem lote cadastrado"))</f>
        <v/>
      </c>
      <c r="M1077" s="25">
        <f>IF(H1077="Sim",G1077,0)</f>
        <v>0</v>
      </c>
      <c r="N1077" s="42">
        <f>IF(AND(H1077="Sim",I1077&lt;&gt;"Aceito"),G1077+ROW()/100000,0)</f>
        <v>0</v>
      </c>
    </row>
    <row r="1078">
      <c r="A1078" s="35" t="n"/>
      <c r="B1078" s="39" t="n"/>
      <c r="C1078" s="33" t="n"/>
      <c r="D1078" s="35" t="n"/>
      <c r="E1078" s="33" t="n"/>
      <c r="F1078" s="33" t="n"/>
      <c r="G1078" s="40" t="n"/>
      <c r="H1078" s="35" t="n"/>
      <c r="I1078" s="35" t="n"/>
      <c r="J1078" s="30">
        <f>IF(B1078="","",DATE(YEAR(B1078),MONTH(B1078),1))</f>
        <v/>
      </c>
      <c r="K1078" s="41">
        <f>IF(OR(B1078="",D1078=""),"",D1078&amp;"|"&amp;TEXT(J1078,"yyyy-mm"))</f>
        <v/>
      </c>
      <c r="L1078" s="24">
        <f>IF(K1078="","",IFERROR(INDEX(Lotes!$N$5:$N$154,MATCH(K1078,Lotes!$P$5:$P$154,0)),"Sem lote cadastrado"))</f>
        <v/>
      </c>
      <c r="M1078" s="25">
        <f>IF(H1078="Sim",G1078,0)</f>
        <v>0</v>
      </c>
      <c r="N1078" s="42">
        <f>IF(AND(H1078="Sim",I1078&lt;&gt;"Aceito"),G1078+ROW()/100000,0)</f>
        <v>0</v>
      </c>
    </row>
    <row r="1079">
      <c r="A1079" s="35" t="n"/>
      <c r="B1079" s="39" t="n"/>
      <c r="C1079" s="33" t="n"/>
      <c r="D1079" s="35" t="n"/>
      <c r="E1079" s="33" t="n"/>
      <c r="F1079" s="33" t="n"/>
      <c r="G1079" s="40" t="n"/>
      <c r="H1079" s="35" t="n"/>
      <c r="I1079" s="35" t="n"/>
      <c r="J1079" s="30">
        <f>IF(B1079="","",DATE(YEAR(B1079),MONTH(B1079),1))</f>
        <v/>
      </c>
      <c r="K1079" s="41">
        <f>IF(OR(B1079="",D1079=""),"",D1079&amp;"|"&amp;TEXT(J1079,"yyyy-mm"))</f>
        <v/>
      </c>
      <c r="L1079" s="24">
        <f>IF(K1079="","",IFERROR(INDEX(Lotes!$N$5:$N$154,MATCH(K1079,Lotes!$P$5:$P$154,0)),"Sem lote cadastrado"))</f>
        <v/>
      </c>
      <c r="M1079" s="25">
        <f>IF(H1079="Sim",G1079,0)</f>
        <v>0</v>
      </c>
      <c r="N1079" s="42">
        <f>IF(AND(H1079="Sim",I1079&lt;&gt;"Aceito"),G1079+ROW()/100000,0)</f>
        <v>0</v>
      </c>
    </row>
    <row r="1080">
      <c r="A1080" s="35" t="n"/>
      <c r="B1080" s="39" t="n"/>
      <c r="C1080" s="33" t="n"/>
      <c r="D1080" s="35" t="n"/>
      <c r="E1080" s="33" t="n"/>
      <c r="F1080" s="33" t="n"/>
      <c r="G1080" s="40" t="n"/>
      <c r="H1080" s="35" t="n"/>
      <c r="I1080" s="35" t="n"/>
      <c r="J1080" s="30">
        <f>IF(B1080="","",DATE(YEAR(B1080),MONTH(B1080),1))</f>
        <v/>
      </c>
      <c r="K1080" s="41">
        <f>IF(OR(B1080="",D1080=""),"",D1080&amp;"|"&amp;TEXT(J1080,"yyyy-mm"))</f>
        <v/>
      </c>
      <c r="L1080" s="24">
        <f>IF(K1080="","",IFERROR(INDEX(Lotes!$N$5:$N$154,MATCH(K1080,Lotes!$P$5:$P$154,0)),"Sem lote cadastrado"))</f>
        <v/>
      </c>
      <c r="M1080" s="25">
        <f>IF(H1080="Sim",G1080,0)</f>
        <v>0</v>
      </c>
      <c r="N1080" s="42">
        <f>IF(AND(H1080="Sim",I1080&lt;&gt;"Aceito"),G1080+ROW()/100000,0)</f>
        <v>0</v>
      </c>
    </row>
    <row r="1081">
      <c r="A1081" s="35" t="n"/>
      <c r="B1081" s="39" t="n"/>
      <c r="C1081" s="33" t="n"/>
      <c r="D1081" s="35" t="n"/>
      <c r="E1081" s="33" t="n"/>
      <c r="F1081" s="33" t="n"/>
      <c r="G1081" s="40" t="n"/>
      <c r="H1081" s="35" t="n"/>
      <c r="I1081" s="35" t="n"/>
      <c r="J1081" s="30">
        <f>IF(B1081="","",DATE(YEAR(B1081),MONTH(B1081),1))</f>
        <v/>
      </c>
      <c r="K1081" s="41">
        <f>IF(OR(B1081="",D1081=""),"",D1081&amp;"|"&amp;TEXT(J1081,"yyyy-mm"))</f>
        <v/>
      </c>
      <c r="L1081" s="24">
        <f>IF(K1081="","",IFERROR(INDEX(Lotes!$N$5:$N$154,MATCH(K1081,Lotes!$P$5:$P$154,0)),"Sem lote cadastrado"))</f>
        <v/>
      </c>
      <c r="M1081" s="25">
        <f>IF(H1081="Sim",G1081,0)</f>
        <v>0</v>
      </c>
      <c r="N1081" s="42">
        <f>IF(AND(H1081="Sim",I1081&lt;&gt;"Aceito"),G1081+ROW()/100000,0)</f>
        <v>0</v>
      </c>
    </row>
    <row r="1082">
      <c r="A1082" s="35" t="n"/>
      <c r="B1082" s="39" t="n"/>
      <c r="C1082" s="33" t="n"/>
      <c r="D1082" s="35" t="n"/>
      <c r="E1082" s="33" t="n"/>
      <c r="F1082" s="33" t="n"/>
      <c r="G1082" s="40" t="n"/>
      <c r="H1082" s="35" t="n"/>
      <c r="I1082" s="35" t="n"/>
      <c r="J1082" s="30">
        <f>IF(B1082="","",DATE(YEAR(B1082),MONTH(B1082),1))</f>
        <v/>
      </c>
      <c r="K1082" s="41">
        <f>IF(OR(B1082="",D1082=""),"",D1082&amp;"|"&amp;TEXT(J1082,"yyyy-mm"))</f>
        <v/>
      </c>
      <c r="L1082" s="24">
        <f>IF(K1082="","",IFERROR(INDEX(Lotes!$N$5:$N$154,MATCH(K1082,Lotes!$P$5:$P$154,0)),"Sem lote cadastrado"))</f>
        <v/>
      </c>
      <c r="M1082" s="25">
        <f>IF(H1082="Sim",G1082,0)</f>
        <v>0</v>
      </c>
      <c r="N1082" s="42">
        <f>IF(AND(H1082="Sim",I1082&lt;&gt;"Aceito"),G1082+ROW()/100000,0)</f>
        <v>0</v>
      </c>
    </row>
    <row r="1083">
      <c r="A1083" s="35" t="n"/>
      <c r="B1083" s="39" t="n"/>
      <c r="C1083" s="33" t="n"/>
      <c r="D1083" s="35" t="n"/>
      <c r="E1083" s="33" t="n"/>
      <c r="F1083" s="33" t="n"/>
      <c r="G1083" s="40" t="n"/>
      <c r="H1083" s="35" t="n"/>
      <c r="I1083" s="35" t="n"/>
      <c r="J1083" s="30">
        <f>IF(B1083="","",DATE(YEAR(B1083),MONTH(B1083),1))</f>
        <v/>
      </c>
      <c r="K1083" s="41">
        <f>IF(OR(B1083="",D1083=""),"",D1083&amp;"|"&amp;TEXT(J1083,"yyyy-mm"))</f>
        <v/>
      </c>
      <c r="L1083" s="24">
        <f>IF(K1083="","",IFERROR(INDEX(Lotes!$N$5:$N$154,MATCH(K1083,Lotes!$P$5:$P$154,0)),"Sem lote cadastrado"))</f>
        <v/>
      </c>
      <c r="M1083" s="25">
        <f>IF(H1083="Sim",G1083,0)</f>
        <v>0</v>
      </c>
      <c r="N1083" s="42">
        <f>IF(AND(H1083="Sim",I1083&lt;&gt;"Aceito"),G1083+ROW()/100000,0)</f>
        <v>0</v>
      </c>
    </row>
    <row r="1084">
      <c r="A1084" s="35" t="n"/>
      <c r="B1084" s="39" t="n"/>
      <c r="C1084" s="33" t="n"/>
      <c r="D1084" s="35" t="n"/>
      <c r="E1084" s="33" t="n"/>
      <c r="F1084" s="33" t="n"/>
      <c r="G1084" s="40" t="n"/>
      <c r="H1084" s="35" t="n"/>
      <c r="I1084" s="35" t="n"/>
      <c r="J1084" s="30">
        <f>IF(B1084="","",DATE(YEAR(B1084),MONTH(B1084),1))</f>
        <v/>
      </c>
      <c r="K1084" s="41">
        <f>IF(OR(B1084="",D1084=""),"",D1084&amp;"|"&amp;TEXT(J1084,"yyyy-mm"))</f>
        <v/>
      </c>
      <c r="L1084" s="24">
        <f>IF(K1084="","",IFERROR(INDEX(Lotes!$N$5:$N$154,MATCH(K1084,Lotes!$P$5:$P$154,0)),"Sem lote cadastrado"))</f>
        <v/>
      </c>
      <c r="M1084" s="25">
        <f>IF(H1084="Sim",G1084,0)</f>
        <v>0</v>
      </c>
      <c r="N1084" s="42">
        <f>IF(AND(H1084="Sim",I1084&lt;&gt;"Aceito"),G1084+ROW()/100000,0)</f>
        <v>0</v>
      </c>
    </row>
    <row r="1085">
      <c r="A1085" s="35" t="n"/>
      <c r="B1085" s="39" t="n"/>
      <c r="C1085" s="33" t="n"/>
      <c r="D1085" s="35" t="n"/>
      <c r="E1085" s="33" t="n"/>
      <c r="F1085" s="33" t="n"/>
      <c r="G1085" s="40" t="n"/>
      <c r="H1085" s="35" t="n"/>
      <c r="I1085" s="35" t="n"/>
      <c r="J1085" s="30">
        <f>IF(B1085="","",DATE(YEAR(B1085),MONTH(B1085),1))</f>
        <v/>
      </c>
      <c r="K1085" s="41">
        <f>IF(OR(B1085="",D1085=""),"",D1085&amp;"|"&amp;TEXT(J1085,"yyyy-mm"))</f>
        <v/>
      </c>
      <c r="L1085" s="24">
        <f>IF(K1085="","",IFERROR(INDEX(Lotes!$N$5:$N$154,MATCH(K1085,Lotes!$P$5:$P$154,0)),"Sem lote cadastrado"))</f>
        <v/>
      </c>
      <c r="M1085" s="25">
        <f>IF(H1085="Sim",G1085,0)</f>
        <v>0</v>
      </c>
      <c r="N1085" s="42">
        <f>IF(AND(H1085="Sim",I1085&lt;&gt;"Aceito"),G1085+ROW()/100000,0)</f>
        <v>0</v>
      </c>
    </row>
    <row r="1086">
      <c r="A1086" s="35" t="n"/>
      <c r="B1086" s="39" t="n"/>
      <c r="C1086" s="33" t="n"/>
      <c r="D1086" s="35" t="n"/>
      <c r="E1086" s="33" t="n"/>
      <c r="F1086" s="33" t="n"/>
      <c r="G1086" s="40" t="n"/>
      <c r="H1086" s="35" t="n"/>
      <c r="I1086" s="35" t="n"/>
      <c r="J1086" s="30">
        <f>IF(B1086="","",DATE(YEAR(B1086),MONTH(B1086),1))</f>
        <v/>
      </c>
      <c r="K1086" s="41">
        <f>IF(OR(B1086="",D1086=""),"",D1086&amp;"|"&amp;TEXT(J1086,"yyyy-mm"))</f>
        <v/>
      </c>
      <c r="L1086" s="24">
        <f>IF(K1086="","",IFERROR(INDEX(Lotes!$N$5:$N$154,MATCH(K1086,Lotes!$P$5:$P$154,0)),"Sem lote cadastrado"))</f>
        <v/>
      </c>
      <c r="M1086" s="25">
        <f>IF(H1086="Sim",G1086,0)</f>
        <v>0</v>
      </c>
      <c r="N1086" s="42">
        <f>IF(AND(H1086="Sim",I1086&lt;&gt;"Aceito"),G1086+ROW()/100000,0)</f>
        <v>0</v>
      </c>
    </row>
    <row r="1087">
      <c r="A1087" s="35" t="n"/>
      <c r="B1087" s="39" t="n"/>
      <c r="C1087" s="33" t="n"/>
      <c r="D1087" s="35" t="n"/>
      <c r="E1087" s="33" t="n"/>
      <c r="F1087" s="33" t="n"/>
      <c r="G1087" s="40" t="n"/>
      <c r="H1087" s="35" t="n"/>
      <c r="I1087" s="35" t="n"/>
      <c r="J1087" s="30">
        <f>IF(B1087="","",DATE(YEAR(B1087),MONTH(B1087),1))</f>
        <v/>
      </c>
      <c r="K1087" s="41">
        <f>IF(OR(B1087="",D1087=""),"",D1087&amp;"|"&amp;TEXT(J1087,"yyyy-mm"))</f>
        <v/>
      </c>
      <c r="L1087" s="24">
        <f>IF(K1087="","",IFERROR(INDEX(Lotes!$N$5:$N$154,MATCH(K1087,Lotes!$P$5:$P$154,0)),"Sem lote cadastrado"))</f>
        <v/>
      </c>
      <c r="M1087" s="25">
        <f>IF(H1087="Sim",G1087,0)</f>
        <v>0</v>
      </c>
      <c r="N1087" s="42">
        <f>IF(AND(H1087="Sim",I1087&lt;&gt;"Aceito"),G1087+ROW()/100000,0)</f>
        <v>0</v>
      </c>
    </row>
    <row r="1088">
      <c r="A1088" s="35" t="n"/>
      <c r="B1088" s="39" t="n"/>
      <c r="C1088" s="33" t="n"/>
      <c r="D1088" s="35" t="n"/>
      <c r="E1088" s="33" t="n"/>
      <c r="F1088" s="33" t="n"/>
      <c r="G1088" s="40" t="n"/>
      <c r="H1088" s="35" t="n"/>
      <c r="I1088" s="35" t="n"/>
      <c r="J1088" s="30">
        <f>IF(B1088="","",DATE(YEAR(B1088),MONTH(B1088),1))</f>
        <v/>
      </c>
      <c r="K1088" s="41">
        <f>IF(OR(B1088="",D1088=""),"",D1088&amp;"|"&amp;TEXT(J1088,"yyyy-mm"))</f>
        <v/>
      </c>
      <c r="L1088" s="24">
        <f>IF(K1088="","",IFERROR(INDEX(Lotes!$N$5:$N$154,MATCH(K1088,Lotes!$P$5:$P$154,0)),"Sem lote cadastrado"))</f>
        <v/>
      </c>
      <c r="M1088" s="25">
        <f>IF(H1088="Sim",G1088,0)</f>
        <v>0</v>
      </c>
      <c r="N1088" s="42">
        <f>IF(AND(H1088="Sim",I1088&lt;&gt;"Aceito"),G1088+ROW()/100000,0)</f>
        <v>0</v>
      </c>
    </row>
    <row r="1089">
      <c r="A1089" s="35" t="n"/>
      <c r="B1089" s="39" t="n"/>
      <c r="C1089" s="33" t="n"/>
      <c r="D1089" s="35" t="n"/>
      <c r="E1089" s="33" t="n"/>
      <c r="F1089" s="33" t="n"/>
      <c r="G1089" s="40" t="n"/>
      <c r="H1089" s="35" t="n"/>
      <c r="I1089" s="35" t="n"/>
      <c r="J1089" s="30">
        <f>IF(B1089="","",DATE(YEAR(B1089),MONTH(B1089),1))</f>
        <v/>
      </c>
      <c r="K1089" s="41">
        <f>IF(OR(B1089="",D1089=""),"",D1089&amp;"|"&amp;TEXT(J1089,"yyyy-mm"))</f>
        <v/>
      </c>
      <c r="L1089" s="24">
        <f>IF(K1089="","",IFERROR(INDEX(Lotes!$N$5:$N$154,MATCH(K1089,Lotes!$P$5:$P$154,0)),"Sem lote cadastrado"))</f>
        <v/>
      </c>
      <c r="M1089" s="25">
        <f>IF(H1089="Sim",G1089,0)</f>
        <v>0</v>
      </c>
      <c r="N1089" s="42">
        <f>IF(AND(H1089="Sim",I1089&lt;&gt;"Aceito"),G1089+ROW()/100000,0)</f>
        <v>0</v>
      </c>
    </row>
    <row r="1090">
      <c r="A1090" s="35" t="n"/>
      <c r="B1090" s="39" t="n"/>
      <c r="C1090" s="33" t="n"/>
      <c r="D1090" s="35" t="n"/>
      <c r="E1090" s="33" t="n"/>
      <c r="F1090" s="33" t="n"/>
      <c r="G1090" s="40" t="n"/>
      <c r="H1090" s="35" t="n"/>
      <c r="I1090" s="35" t="n"/>
      <c r="J1090" s="30">
        <f>IF(B1090="","",DATE(YEAR(B1090),MONTH(B1090),1))</f>
        <v/>
      </c>
      <c r="K1090" s="41">
        <f>IF(OR(B1090="",D1090=""),"",D1090&amp;"|"&amp;TEXT(J1090,"yyyy-mm"))</f>
        <v/>
      </c>
      <c r="L1090" s="24">
        <f>IF(K1090="","",IFERROR(INDEX(Lotes!$N$5:$N$154,MATCH(K1090,Lotes!$P$5:$P$154,0)),"Sem lote cadastrado"))</f>
        <v/>
      </c>
      <c r="M1090" s="25">
        <f>IF(H1090="Sim",G1090,0)</f>
        <v>0</v>
      </c>
      <c r="N1090" s="42">
        <f>IF(AND(H1090="Sim",I1090&lt;&gt;"Aceito"),G1090+ROW()/100000,0)</f>
        <v>0</v>
      </c>
    </row>
    <row r="1091">
      <c r="A1091" s="35" t="n"/>
      <c r="B1091" s="39" t="n"/>
      <c r="C1091" s="33" t="n"/>
      <c r="D1091" s="35" t="n"/>
      <c r="E1091" s="33" t="n"/>
      <c r="F1091" s="33" t="n"/>
      <c r="G1091" s="40" t="n"/>
      <c r="H1091" s="35" t="n"/>
      <c r="I1091" s="35" t="n"/>
      <c r="J1091" s="30">
        <f>IF(B1091="","",DATE(YEAR(B1091),MONTH(B1091),1))</f>
        <v/>
      </c>
      <c r="K1091" s="41">
        <f>IF(OR(B1091="",D1091=""),"",D1091&amp;"|"&amp;TEXT(J1091,"yyyy-mm"))</f>
        <v/>
      </c>
      <c r="L1091" s="24">
        <f>IF(K1091="","",IFERROR(INDEX(Lotes!$N$5:$N$154,MATCH(K1091,Lotes!$P$5:$P$154,0)),"Sem lote cadastrado"))</f>
        <v/>
      </c>
      <c r="M1091" s="25">
        <f>IF(H1091="Sim",G1091,0)</f>
        <v>0</v>
      </c>
      <c r="N1091" s="42">
        <f>IF(AND(H1091="Sim",I1091&lt;&gt;"Aceito"),G1091+ROW()/100000,0)</f>
        <v>0</v>
      </c>
    </row>
    <row r="1092">
      <c r="A1092" s="35" t="n"/>
      <c r="B1092" s="39" t="n"/>
      <c r="C1092" s="33" t="n"/>
      <c r="D1092" s="35" t="n"/>
      <c r="E1092" s="33" t="n"/>
      <c r="F1092" s="33" t="n"/>
      <c r="G1092" s="40" t="n"/>
      <c r="H1092" s="35" t="n"/>
      <c r="I1092" s="35" t="n"/>
      <c r="J1092" s="30">
        <f>IF(B1092="","",DATE(YEAR(B1092),MONTH(B1092),1))</f>
        <v/>
      </c>
      <c r="K1092" s="41">
        <f>IF(OR(B1092="",D1092=""),"",D1092&amp;"|"&amp;TEXT(J1092,"yyyy-mm"))</f>
        <v/>
      </c>
      <c r="L1092" s="24">
        <f>IF(K1092="","",IFERROR(INDEX(Lotes!$N$5:$N$154,MATCH(K1092,Lotes!$P$5:$P$154,0)),"Sem lote cadastrado"))</f>
        <v/>
      </c>
      <c r="M1092" s="25">
        <f>IF(H1092="Sim",G1092,0)</f>
        <v>0</v>
      </c>
      <c r="N1092" s="42">
        <f>IF(AND(H1092="Sim",I1092&lt;&gt;"Aceito"),G1092+ROW()/100000,0)</f>
        <v>0</v>
      </c>
    </row>
    <row r="1093">
      <c r="A1093" s="35" t="n"/>
      <c r="B1093" s="39" t="n"/>
      <c r="C1093" s="33" t="n"/>
      <c r="D1093" s="35" t="n"/>
      <c r="E1093" s="33" t="n"/>
      <c r="F1093" s="33" t="n"/>
      <c r="G1093" s="40" t="n"/>
      <c r="H1093" s="35" t="n"/>
      <c r="I1093" s="35" t="n"/>
      <c r="J1093" s="30">
        <f>IF(B1093="","",DATE(YEAR(B1093),MONTH(B1093),1))</f>
        <v/>
      </c>
      <c r="K1093" s="41">
        <f>IF(OR(B1093="",D1093=""),"",D1093&amp;"|"&amp;TEXT(J1093,"yyyy-mm"))</f>
        <v/>
      </c>
      <c r="L1093" s="24">
        <f>IF(K1093="","",IFERROR(INDEX(Lotes!$N$5:$N$154,MATCH(K1093,Lotes!$P$5:$P$154,0)),"Sem lote cadastrado"))</f>
        <v/>
      </c>
      <c r="M1093" s="25">
        <f>IF(H1093="Sim",G1093,0)</f>
        <v>0</v>
      </c>
      <c r="N1093" s="42">
        <f>IF(AND(H1093="Sim",I1093&lt;&gt;"Aceito"),G1093+ROW()/100000,0)</f>
        <v>0</v>
      </c>
    </row>
    <row r="1094">
      <c r="A1094" s="35" t="n"/>
      <c r="B1094" s="39" t="n"/>
      <c r="C1094" s="33" t="n"/>
      <c r="D1094" s="35" t="n"/>
      <c r="E1094" s="33" t="n"/>
      <c r="F1094" s="33" t="n"/>
      <c r="G1094" s="40" t="n"/>
      <c r="H1094" s="35" t="n"/>
      <c r="I1094" s="35" t="n"/>
      <c r="J1094" s="30">
        <f>IF(B1094="","",DATE(YEAR(B1094),MONTH(B1094),1))</f>
        <v/>
      </c>
      <c r="K1094" s="41">
        <f>IF(OR(B1094="",D1094=""),"",D1094&amp;"|"&amp;TEXT(J1094,"yyyy-mm"))</f>
        <v/>
      </c>
      <c r="L1094" s="24">
        <f>IF(K1094="","",IFERROR(INDEX(Lotes!$N$5:$N$154,MATCH(K1094,Lotes!$P$5:$P$154,0)),"Sem lote cadastrado"))</f>
        <v/>
      </c>
      <c r="M1094" s="25">
        <f>IF(H1094="Sim",G1094,0)</f>
        <v>0</v>
      </c>
      <c r="N1094" s="42">
        <f>IF(AND(H1094="Sim",I1094&lt;&gt;"Aceito"),G1094+ROW()/100000,0)</f>
        <v>0</v>
      </c>
    </row>
    <row r="1095">
      <c r="A1095" s="35" t="n"/>
      <c r="B1095" s="39" t="n"/>
      <c r="C1095" s="33" t="n"/>
      <c r="D1095" s="35" t="n"/>
      <c r="E1095" s="33" t="n"/>
      <c r="F1095" s="33" t="n"/>
      <c r="G1095" s="40" t="n"/>
      <c r="H1095" s="35" t="n"/>
      <c r="I1095" s="35" t="n"/>
      <c r="J1095" s="30">
        <f>IF(B1095="","",DATE(YEAR(B1095),MONTH(B1095),1))</f>
        <v/>
      </c>
      <c r="K1095" s="41">
        <f>IF(OR(B1095="",D1095=""),"",D1095&amp;"|"&amp;TEXT(J1095,"yyyy-mm"))</f>
        <v/>
      </c>
      <c r="L1095" s="24">
        <f>IF(K1095="","",IFERROR(INDEX(Lotes!$N$5:$N$154,MATCH(K1095,Lotes!$P$5:$P$154,0)),"Sem lote cadastrado"))</f>
        <v/>
      </c>
      <c r="M1095" s="25">
        <f>IF(H1095="Sim",G1095,0)</f>
        <v>0</v>
      </c>
      <c r="N1095" s="42">
        <f>IF(AND(H1095="Sim",I1095&lt;&gt;"Aceito"),G1095+ROW()/100000,0)</f>
        <v>0</v>
      </c>
    </row>
    <row r="1096">
      <c r="A1096" s="35" t="n"/>
      <c r="B1096" s="39" t="n"/>
      <c r="C1096" s="33" t="n"/>
      <c r="D1096" s="35" t="n"/>
      <c r="E1096" s="33" t="n"/>
      <c r="F1096" s="33" t="n"/>
      <c r="G1096" s="40" t="n"/>
      <c r="H1096" s="35" t="n"/>
      <c r="I1096" s="35" t="n"/>
      <c r="J1096" s="30">
        <f>IF(B1096="","",DATE(YEAR(B1096),MONTH(B1096),1))</f>
        <v/>
      </c>
      <c r="K1096" s="41">
        <f>IF(OR(B1096="",D1096=""),"",D1096&amp;"|"&amp;TEXT(J1096,"yyyy-mm"))</f>
        <v/>
      </c>
      <c r="L1096" s="24">
        <f>IF(K1096="","",IFERROR(INDEX(Lotes!$N$5:$N$154,MATCH(K1096,Lotes!$P$5:$P$154,0)),"Sem lote cadastrado"))</f>
        <v/>
      </c>
      <c r="M1096" s="25">
        <f>IF(H1096="Sim",G1096,0)</f>
        <v>0</v>
      </c>
      <c r="N1096" s="42">
        <f>IF(AND(H1096="Sim",I1096&lt;&gt;"Aceito"),G1096+ROW()/100000,0)</f>
        <v>0</v>
      </c>
    </row>
    <row r="1097">
      <c r="A1097" s="35" t="n"/>
      <c r="B1097" s="39" t="n"/>
      <c r="C1097" s="33" t="n"/>
      <c r="D1097" s="35" t="n"/>
      <c r="E1097" s="33" t="n"/>
      <c r="F1097" s="33" t="n"/>
      <c r="G1097" s="40" t="n"/>
      <c r="H1097" s="35" t="n"/>
      <c r="I1097" s="35" t="n"/>
      <c r="J1097" s="30">
        <f>IF(B1097="","",DATE(YEAR(B1097),MONTH(B1097),1))</f>
        <v/>
      </c>
      <c r="K1097" s="41">
        <f>IF(OR(B1097="",D1097=""),"",D1097&amp;"|"&amp;TEXT(J1097,"yyyy-mm"))</f>
        <v/>
      </c>
      <c r="L1097" s="24">
        <f>IF(K1097="","",IFERROR(INDEX(Lotes!$N$5:$N$154,MATCH(K1097,Lotes!$P$5:$P$154,0)),"Sem lote cadastrado"))</f>
        <v/>
      </c>
      <c r="M1097" s="25">
        <f>IF(H1097="Sim",G1097,0)</f>
        <v>0</v>
      </c>
      <c r="N1097" s="42">
        <f>IF(AND(H1097="Sim",I1097&lt;&gt;"Aceito"),G1097+ROW()/100000,0)</f>
        <v>0</v>
      </c>
    </row>
    <row r="1098">
      <c r="A1098" s="35" t="n"/>
      <c r="B1098" s="39" t="n"/>
      <c r="C1098" s="33" t="n"/>
      <c r="D1098" s="35" t="n"/>
      <c r="E1098" s="33" t="n"/>
      <c r="F1098" s="33" t="n"/>
      <c r="G1098" s="40" t="n"/>
      <c r="H1098" s="35" t="n"/>
      <c r="I1098" s="35" t="n"/>
      <c r="J1098" s="30">
        <f>IF(B1098="","",DATE(YEAR(B1098),MONTH(B1098),1))</f>
        <v/>
      </c>
      <c r="K1098" s="41">
        <f>IF(OR(B1098="",D1098=""),"",D1098&amp;"|"&amp;TEXT(J1098,"yyyy-mm"))</f>
        <v/>
      </c>
      <c r="L1098" s="24">
        <f>IF(K1098="","",IFERROR(INDEX(Lotes!$N$5:$N$154,MATCH(K1098,Lotes!$P$5:$P$154,0)),"Sem lote cadastrado"))</f>
        <v/>
      </c>
      <c r="M1098" s="25">
        <f>IF(H1098="Sim",G1098,0)</f>
        <v>0</v>
      </c>
      <c r="N1098" s="42">
        <f>IF(AND(H1098="Sim",I1098&lt;&gt;"Aceito"),G1098+ROW()/100000,0)</f>
        <v>0</v>
      </c>
    </row>
    <row r="1099">
      <c r="A1099" s="35" t="n"/>
      <c r="B1099" s="39" t="n"/>
      <c r="C1099" s="33" t="n"/>
      <c r="D1099" s="35" t="n"/>
      <c r="E1099" s="33" t="n"/>
      <c r="F1099" s="33" t="n"/>
      <c r="G1099" s="40" t="n"/>
      <c r="H1099" s="35" t="n"/>
      <c r="I1099" s="35" t="n"/>
      <c r="J1099" s="30">
        <f>IF(B1099="","",DATE(YEAR(B1099),MONTH(B1099),1))</f>
        <v/>
      </c>
      <c r="K1099" s="41">
        <f>IF(OR(B1099="",D1099=""),"",D1099&amp;"|"&amp;TEXT(J1099,"yyyy-mm"))</f>
        <v/>
      </c>
      <c r="L1099" s="24">
        <f>IF(K1099="","",IFERROR(INDEX(Lotes!$N$5:$N$154,MATCH(K1099,Lotes!$P$5:$P$154,0)),"Sem lote cadastrado"))</f>
        <v/>
      </c>
      <c r="M1099" s="25">
        <f>IF(H1099="Sim",G1099,0)</f>
        <v>0</v>
      </c>
      <c r="N1099" s="42">
        <f>IF(AND(H1099="Sim",I1099&lt;&gt;"Aceito"),G1099+ROW()/100000,0)</f>
        <v>0</v>
      </c>
    </row>
    <row r="1100">
      <c r="A1100" s="35" t="n"/>
      <c r="B1100" s="39" t="n"/>
      <c r="C1100" s="33" t="n"/>
      <c r="D1100" s="35" t="n"/>
      <c r="E1100" s="33" t="n"/>
      <c r="F1100" s="33" t="n"/>
      <c r="G1100" s="40" t="n"/>
      <c r="H1100" s="35" t="n"/>
      <c r="I1100" s="35" t="n"/>
      <c r="J1100" s="30">
        <f>IF(B1100="","",DATE(YEAR(B1100),MONTH(B1100),1))</f>
        <v/>
      </c>
      <c r="K1100" s="41">
        <f>IF(OR(B1100="",D1100=""),"",D1100&amp;"|"&amp;TEXT(J1100,"yyyy-mm"))</f>
        <v/>
      </c>
      <c r="L1100" s="24">
        <f>IF(K1100="","",IFERROR(INDEX(Lotes!$N$5:$N$154,MATCH(K1100,Lotes!$P$5:$P$154,0)),"Sem lote cadastrado"))</f>
        <v/>
      </c>
      <c r="M1100" s="25">
        <f>IF(H1100="Sim",G1100,0)</f>
        <v>0</v>
      </c>
      <c r="N1100" s="42">
        <f>IF(AND(H1100="Sim",I1100&lt;&gt;"Aceito"),G1100+ROW()/100000,0)</f>
        <v>0</v>
      </c>
    </row>
    <row r="1101">
      <c r="A1101" s="35" t="n"/>
      <c r="B1101" s="39" t="n"/>
      <c r="C1101" s="33" t="n"/>
      <c r="D1101" s="35" t="n"/>
      <c r="E1101" s="33" t="n"/>
      <c r="F1101" s="33" t="n"/>
      <c r="G1101" s="40" t="n"/>
      <c r="H1101" s="35" t="n"/>
      <c r="I1101" s="35" t="n"/>
      <c r="J1101" s="30">
        <f>IF(B1101="","",DATE(YEAR(B1101),MONTH(B1101),1))</f>
        <v/>
      </c>
      <c r="K1101" s="41">
        <f>IF(OR(B1101="",D1101=""),"",D1101&amp;"|"&amp;TEXT(J1101,"yyyy-mm"))</f>
        <v/>
      </c>
      <c r="L1101" s="24">
        <f>IF(K1101="","",IFERROR(INDEX(Lotes!$N$5:$N$154,MATCH(K1101,Lotes!$P$5:$P$154,0)),"Sem lote cadastrado"))</f>
        <v/>
      </c>
      <c r="M1101" s="25">
        <f>IF(H1101="Sim",G1101,0)</f>
        <v>0</v>
      </c>
      <c r="N1101" s="42">
        <f>IF(AND(H1101="Sim",I1101&lt;&gt;"Aceito"),G1101+ROW()/100000,0)</f>
        <v>0</v>
      </c>
    </row>
    <row r="1102">
      <c r="A1102" s="35" t="n"/>
      <c r="B1102" s="39" t="n"/>
      <c r="C1102" s="33" t="n"/>
      <c r="D1102" s="35" t="n"/>
      <c r="E1102" s="33" t="n"/>
      <c r="F1102" s="33" t="n"/>
      <c r="G1102" s="40" t="n"/>
      <c r="H1102" s="35" t="n"/>
      <c r="I1102" s="35" t="n"/>
      <c r="J1102" s="30">
        <f>IF(B1102="","",DATE(YEAR(B1102),MONTH(B1102),1))</f>
        <v/>
      </c>
      <c r="K1102" s="41">
        <f>IF(OR(B1102="",D1102=""),"",D1102&amp;"|"&amp;TEXT(J1102,"yyyy-mm"))</f>
        <v/>
      </c>
      <c r="L1102" s="24">
        <f>IF(K1102="","",IFERROR(INDEX(Lotes!$N$5:$N$154,MATCH(K1102,Lotes!$P$5:$P$154,0)),"Sem lote cadastrado"))</f>
        <v/>
      </c>
      <c r="M1102" s="25">
        <f>IF(H1102="Sim",G1102,0)</f>
        <v>0</v>
      </c>
      <c r="N1102" s="42">
        <f>IF(AND(H1102="Sim",I1102&lt;&gt;"Aceito"),G1102+ROW()/100000,0)</f>
        <v>0</v>
      </c>
    </row>
    <row r="1103">
      <c r="A1103" s="35" t="n"/>
      <c r="B1103" s="39" t="n"/>
      <c r="C1103" s="33" t="n"/>
      <c r="D1103" s="35" t="n"/>
      <c r="E1103" s="33" t="n"/>
      <c r="F1103" s="33" t="n"/>
      <c r="G1103" s="40" t="n"/>
      <c r="H1103" s="35" t="n"/>
      <c r="I1103" s="35" t="n"/>
      <c r="J1103" s="30">
        <f>IF(B1103="","",DATE(YEAR(B1103),MONTH(B1103),1))</f>
        <v/>
      </c>
      <c r="K1103" s="41">
        <f>IF(OR(B1103="",D1103=""),"",D1103&amp;"|"&amp;TEXT(J1103,"yyyy-mm"))</f>
        <v/>
      </c>
      <c r="L1103" s="24">
        <f>IF(K1103="","",IFERROR(INDEX(Lotes!$N$5:$N$154,MATCH(K1103,Lotes!$P$5:$P$154,0)),"Sem lote cadastrado"))</f>
        <v/>
      </c>
      <c r="M1103" s="25">
        <f>IF(H1103="Sim",G1103,0)</f>
        <v>0</v>
      </c>
      <c r="N1103" s="42">
        <f>IF(AND(H1103="Sim",I1103&lt;&gt;"Aceito"),G1103+ROW()/100000,0)</f>
        <v>0</v>
      </c>
    </row>
    <row r="1104">
      <c r="A1104" s="35" t="n"/>
      <c r="B1104" s="39" t="n"/>
      <c r="C1104" s="33" t="n"/>
      <c r="D1104" s="35" t="n"/>
      <c r="E1104" s="33" t="n"/>
      <c r="F1104" s="33" t="n"/>
      <c r="G1104" s="40" t="n"/>
      <c r="H1104" s="35" t="n"/>
      <c r="I1104" s="35" t="n"/>
      <c r="J1104" s="30">
        <f>IF(B1104="","",DATE(YEAR(B1104),MONTH(B1104),1))</f>
        <v/>
      </c>
      <c r="K1104" s="41">
        <f>IF(OR(B1104="",D1104=""),"",D1104&amp;"|"&amp;TEXT(J1104,"yyyy-mm"))</f>
        <v/>
      </c>
      <c r="L1104" s="24">
        <f>IF(K1104="","",IFERROR(INDEX(Lotes!$N$5:$N$154,MATCH(K1104,Lotes!$P$5:$P$154,0)),"Sem lote cadastrado"))</f>
        <v/>
      </c>
      <c r="M1104" s="25">
        <f>IF(H1104="Sim",G1104,0)</f>
        <v>0</v>
      </c>
      <c r="N1104" s="42">
        <f>IF(AND(H1104="Sim",I1104&lt;&gt;"Aceito"),G1104+ROW()/100000,0)</f>
        <v>0</v>
      </c>
    </row>
    <row r="1105">
      <c r="A1105" s="35" t="n"/>
      <c r="B1105" s="39" t="n"/>
      <c r="C1105" s="33" t="n"/>
      <c r="D1105" s="35" t="n"/>
      <c r="E1105" s="33" t="n"/>
      <c r="F1105" s="33" t="n"/>
      <c r="G1105" s="40" t="n"/>
      <c r="H1105" s="35" t="n"/>
      <c r="I1105" s="35" t="n"/>
      <c r="J1105" s="30">
        <f>IF(B1105="","",DATE(YEAR(B1105),MONTH(B1105),1))</f>
        <v/>
      </c>
      <c r="K1105" s="41">
        <f>IF(OR(B1105="",D1105=""),"",D1105&amp;"|"&amp;TEXT(J1105,"yyyy-mm"))</f>
        <v/>
      </c>
      <c r="L1105" s="24">
        <f>IF(K1105="","",IFERROR(INDEX(Lotes!$N$5:$N$154,MATCH(K1105,Lotes!$P$5:$P$154,0)),"Sem lote cadastrado"))</f>
        <v/>
      </c>
      <c r="M1105" s="25">
        <f>IF(H1105="Sim",G1105,0)</f>
        <v>0</v>
      </c>
      <c r="N1105" s="42">
        <f>IF(AND(H1105="Sim",I1105&lt;&gt;"Aceito"),G1105+ROW()/100000,0)</f>
        <v>0</v>
      </c>
    </row>
    <row r="1106">
      <c r="A1106" s="35" t="n"/>
      <c r="B1106" s="39" t="n"/>
      <c r="C1106" s="33" t="n"/>
      <c r="D1106" s="35" t="n"/>
      <c r="E1106" s="33" t="n"/>
      <c r="F1106" s="33" t="n"/>
      <c r="G1106" s="40" t="n"/>
      <c r="H1106" s="35" t="n"/>
      <c r="I1106" s="35" t="n"/>
      <c r="J1106" s="30">
        <f>IF(B1106="","",DATE(YEAR(B1106),MONTH(B1106),1))</f>
        <v/>
      </c>
      <c r="K1106" s="41">
        <f>IF(OR(B1106="",D1106=""),"",D1106&amp;"|"&amp;TEXT(J1106,"yyyy-mm"))</f>
        <v/>
      </c>
      <c r="L1106" s="24">
        <f>IF(K1106="","",IFERROR(INDEX(Lotes!$N$5:$N$154,MATCH(K1106,Lotes!$P$5:$P$154,0)),"Sem lote cadastrado"))</f>
        <v/>
      </c>
      <c r="M1106" s="25">
        <f>IF(H1106="Sim",G1106,0)</f>
        <v>0</v>
      </c>
      <c r="N1106" s="42">
        <f>IF(AND(H1106="Sim",I1106&lt;&gt;"Aceito"),G1106+ROW()/100000,0)</f>
        <v>0</v>
      </c>
    </row>
    <row r="1107">
      <c r="A1107" s="35" t="n"/>
      <c r="B1107" s="39" t="n"/>
      <c r="C1107" s="33" t="n"/>
      <c r="D1107" s="35" t="n"/>
      <c r="E1107" s="33" t="n"/>
      <c r="F1107" s="33" t="n"/>
      <c r="G1107" s="40" t="n"/>
      <c r="H1107" s="35" t="n"/>
      <c r="I1107" s="35" t="n"/>
      <c r="J1107" s="30">
        <f>IF(B1107="","",DATE(YEAR(B1107),MONTH(B1107),1))</f>
        <v/>
      </c>
      <c r="K1107" s="41">
        <f>IF(OR(B1107="",D1107=""),"",D1107&amp;"|"&amp;TEXT(J1107,"yyyy-mm"))</f>
        <v/>
      </c>
      <c r="L1107" s="24">
        <f>IF(K1107="","",IFERROR(INDEX(Lotes!$N$5:$N$154,MATCH(K1107,Lotes!$P$5:$P$154,0)),"Sem lote cadastrado"))</f>
        <v/>
      </c>
      <c r="M1107" s="25">
        <f>IF(H1107="Sim",G1107,0)</f>
        <v>0</v>
      </c>
      <c r="N1107" s="42">
        <f>IF(AND(H1107="Sim",I1107&lt;&gt;"Aceito"),G1107+ROW()/100000,0)</f>
        <v>0</v>
      </c>
    </row>
    <row r="1108">
      <c r="A1108" s="35" t="n"/>
      <c r="B1108" s="39" t="n"/>
      <c r="C1108" s="33" t="n"/>
      <c r="D1108" s="35" t="n"/>
      <c r="E1108" s="33" t="n"/>
      <c r="F1108" s="33" t="n"/>
      <c r="G1108" s="40" t="n"/>
      <c r="H1108" s="35" t="n"/>
      <c r="I1108" s="35" t="n"/>
      <c r="J1108" s="30">
        <f>IF(B1108="","",DATE(YEAR(B1108),MONTH(B1108),1))</f>
        <v/>
      </c>
      <c r="K1108" s="41">
        <f>IF(OR(B1108="",D1108=""),"",D1108&amp;"|"&amp;TEXT(J1108,"yyyy-mm"))</f>
        <v/>
      </c>
      <c r="L1108" s="24">
        <f>IF(K1108="","",IFERROR(INDEX(Lotes!$N$5:$N$154,MATCH(K1108,Lotes!$P$5:$P$154,0)),"Sem lote cadastrado"))</f>
        <v/>
      </c>
      <c r="M1108" s="25">
        <f>IF(H1108="Sim",G1108,0)</f>
        <v>0</v>
      </c>
      <c r="N1108" s="42">
        <f>IF(AND(H1108="Sim",I1108&lt;&gt;"Aceito"),G1108+ROW()/100000,0)</f>
        <v>0</v>
      </c>
    </row>
    <row r="1109">
      <c r="A1109" s="35" t="n"/>
      <c r="B1109" s="39" t="n"/>
      <c r="C1109" s="33" t="n"/>
      <c r="D1109" s="35" t="n"/>
      <c r="E1109" s="33" t="n"/>
      <c r="F1109" s="33" t="n"/>
      <c r="G1109" s="40" t="n"/>
      <c r="H1109" s="35" t="n"/>
      <c r="I1109" s="35" t="n"/>
      <c r="J1109" s="30">
        <f>IF(B1109="","",DATE(YEAR(B1109),MONTH(B1109),1))</f>
        <v/>
      </c>
      <c r="K1109" s="41">
        <f>IF(OR(B1109="",D1109=""),"",D1109&amp;"|"&amp;TEXT(J1109,"yyyy-mm"))</f>
        <v/>
      </c>
      <c r="L1109" s="24">
        <f>IF(K1109="","",IFERROR(INDEX(Lotes!$N$5:$N$154,MATCH(K1109,Lotes!$P$5:$P$154,0)),"Sem lote cadastrado"))</f>
        <v/>
      </c>
      <c r="M1109" s="25">
        <f>IF(H1109="Sim",G1109,0)</f>
        <v>0</v>
      </c>
      <c r="N1109" s="42">
        <f>IF(AND(H1109="Sim",I1109&lt;&gt;"Aceito"),G1109+ROW()/100000,0)</f>
        <v>0</v>
      </c>
    </row>
    <row r="1110">
      <c r="A1110" s="35" t="n"/>
      <c r="B1110" s="39" t="n"/>
      <c r="C1110" s="33" t="n"/>
      <c r="D1110" s="35" t="n"/>
      <c r="E1110" s="33" t="n"/>
      <c r="F1110" s="33" t="n"/>
      <c r="G1110" s="40" t="n"/>
      <c r="H1110" s="35" t="n"/>
      <c r="I1110" s="35" t="n"/>
      <c r="J1110" s="30">
        <f>IF(B1110="","",DATE(YEAR(B1110),MONTH(B1110),1))</f>
        <v/>
      </c>
      <c r="K1110" s="41">
        <f>IF(OR(B1110="",D1110=""),"",D1110&amp;"|"&amp;TEXT(J1110,"yyyy-mm"))</f>
        <v/>
      </c>
      <c r="L1110" s="24">
        <f>IF(K1110="","",IFERROR(INDEX(Lotes!$N$5:$N$154,MATCH(K1110,Lotes!$P$5:$P$154,0)),"Sem lote cadastrado"))</f>
        <v/>
      </c>
      <c r="M1110" s="25">
        <f>IF(H1110="Sim",G1110,0)</f>
        <v>0</v>
      </c>
      <c r="N1110" s="42">
        <f>IF(AND(H1110="Sim",I1110&lt;&gt;"Aceito"),G1110+ROW()/100000,0)</f>
        <v>0</v>
      </c>
    </row>
    <row r="1111">
      <c r="A1111" s="35" t="n"/>
      <c r="B1111" s="39" t="n"/>
      <c r="C1111" s="33" t="n"/>
      <c r="D1111" s="35" t="n"/>
      <c r="E1111" s="33" t="n"/>
      <c r="F1111" s="33" t="n"/>
      <c r="G1111" s="40" t="n"/>
      <c r="H1111" s="35" t="n"/>
      <c r="I1111" s="35" t="n"/>
      <c r="J1111" s="30">
        <f>IF(B1111="","",DATE(YEAR(B1111),MONTH(B1111),1))</f>
        <v/>
      </c>
      <c r="K1111" s="41">
        <f>IF(OR(B1111="",D1111=""),"",D1111&amp;"|"&amp;TEXT(J1111,"yyyy-mm"))</f>
        <v/>
      </c>
      <c r="L1111" s="24">
        <f>IF(K1111="","",IFERROR(INDEX(Lotes!$N$5:$N$154,MATCH(K1111,Lotes!$P$5:$P$154,0)),"Sem lote cadastrado"))</f>
        <v/>
      </c>
      <c r="M1111" s="25">
        <f>IF(H1111="Sim",G1111,0)</f>
        <v>0</v>
      </c>
      <c r="N1111" s="42">
        <f>IF(AND(H1111="Sim",I1111&lt;&gt;"Aceito"),G1111+ROW()/100000,0)</f>
        <v>0</v>
      </c>
    </row>
    <row r="1112">
      <c r="A1112" s="35" t="n"/>
      <c r="B1112" s="39" t="n"/>
      <c r="C1112" s="33" t="n"/>
      <c r="D1112" s="35" t="n"/>
      <c r="E1112" s="33" t="n"/>
      <c r="F1112" s="33" t="n"/>
      <c r="G1112" s="40" t="n"/>
      <c r="H1112" s="35" t="n"/>
      <c r="I1112" s="35" t="n"/>
      <c r="J1112" s="30">
        <f>IF(B1112="","",DATE(YEAR(B1112),MONTH(B1112),1))</f>
        <v/>
      </c>
      <c r="K1112" s="41">
        <f>IF(OR(B1112="",D1112=""),"",D1112&amp;"|"&amp;TEXT(J1112,"yyyy-mm"))</f>
        <v/>
      </c>
      <c r="L1112" s="24">
        <f>IF(K1112="","",IFERROR(INDEX(Lotes!$N$5:$N$154,MATCH(K1112,Lotes!$P$5:$P$154,0)),"Sem lote cadastrado"))</f>
        <v/>
      </c>
      <c r="M1112" s="25">
        <f>IF(H1112="Sim",G1112,0)</f>
        <v>0</v>
      </c>
      <c r="N1112" s="42">
        <f>IF(AND(H1112="Sim",I1112&lt;&gt;"Aceito"),G1112+ROW()/100000,0)</f>
        <v>0</v>
      </c>
    </row>
    <row r="1113">
      <c r="A1113" s="35" t="n"/>
      <c r="B1113" s="39" t="n"/>
      <c r="C1113" s="33" t="n"/>
      <c r="D1113" s="35" t="n"/>
      <c r="E1113" s="33" t="n"/>
      <c r="F1113" s="33" t="n"/>
      <c r="G1113" s="40" t="n"/>
      <c r="H1113" s="35" t="n"/>
      <c r="I1113" s="35" t="n"/>
      <c r="J1113" s="30">
        <f>IF(B1113="","",DATE(YEAR(B1113),MONTH(B1113),1))</f>
        <v/>
      </c>
      <c r="K1113" s="41">
        <f>IF(OR(B1113="",D1113=""),"",D1113&amp;"|"&amp;TEXT(J1113,"yyyy-mm"))</f>
        <v/>
      </c>
      <c r="L1113" s="24">
        <f>IF(K1113="","",IFERROR(INDEX(Lotes!$N$5:$N$154,MATCH(K1113,Lotes!$P$5:$P$154,0)),"Sem lote cadastrado"))</f>
        <v/>
      </c>
      <c r="M1113" s="25">
        <f>IF(H1113="Sim",G1113,0)</f>
        <v>0</v>
      </c>
      <c r="N1113" s="42">
        <f>IF(AND(H1113="Sim",I1113&lt;&gt;"Aceito"),G1113+ROW()/100000,0)</f>
        <v>0</v>
      </c>
    </row>
    <row r="1114">
      <c r="A1114" s="35" t="n"/>
      <c r="B1114" s="39" t="n"/>
      <c r="C1114" s="33" t="n"/>
      <c r="D1114" s="35" t="n"/>
      <c r="E1114" s="33" t="n"/>
      <c r="F1114" s="33" t="n"/>
      <c r="G1114" s="40" t="n"/>
      <c r="H1114" s="35" t="n"/>
      <c r="I1114" s="35" t="n"/>
      <c r="J1114" s="30">
        <f>IF(B1114="","",DATE(YEAR(B1114),MONTH(B1114),1))</f>
        <v/>
      </c>
      <c r="K1114" s="41">
        <f>IF(OR(B1114="",D1114=""),"",D1114&amp;"|"&amp;TEXT(J1114,"yyyy-mm"))</f>
        <v/>
      </c>
      <c r="L1114" s="24">
        <f>IF(K1114="","",IFERROR(INDEX(Lotes!$N$5:$N$154,MATCH(K1114,Lotes!$P$5:$P$154,0)),"Sem lote cadastrado"))</f>
        <v/>
      </c>
      <c r="M1114" s="25">
        <f>IF(H1114="Sim",G1114,0)</f>
        <v>0</v>
      </c>
      <c r="N1114" s="42">
        <f>IF(AND(H1114="Sim",I1114&lt;&gt;"Aceito"),G1114+ROW()/100000,0)</f>
        <v>0</v>
      </c>
    </row>
    <row r="1115">
      <c r="A1115" s="35" t="n"/>
      <c r="B1115" s="39" t="n"/>
      <c r="C1115" s="33" t="n"/>
      <c r="D1115" s="35" t="n"/>
      <c r="E1115" s="33" t="n"/>
      <c r="F1115" s="33" t="n"/>
      <c r="G1115" s="40" t="n"/>
      <c r="H1115" s="35" t="n"/>
      <c r="I1115" s="35" t="n"/>
      <c r="J1115" s="30">
        <f>IF(B1115="","",DATE(YEAR(B1115),MONTH(B1115),1))</f>
        <v/>
      </c>
      <c r="K1115" s="41">
        <f>IF(OR(B1115="",D1115=""),"",D1115&amp;"|"&amp;TEXT(J1115,"yyyy-mm"))</f>
        <v/>
      </c>
      <c r="L1115" s="24">
        <f>IF(K1115="","",IFERROR(INDEX(Lotes!$N$5:$N$154,MATCH(K1115,Lotes!$P$5:$P$154,0)),"Sem lote cadastrado"))</f>
        <v/>
      </c>
      <c r="M1115" s="25">
        <f>IF(H1115="Sim",G1115,0)</f>
        <v>0</v>
      </c>
      <c r="N1115" s="42">
        <f>IF(AND(H1115="Sim",I1115&lt;&gt;"Aceito"),G1115+ROW()/100000,0)</f>
        <v>0</v>
      </c>
    </row>
    <row r="1116">
      <c r="A1116" s="35" t="n"/>
      <c r="B1116" s="39" t="n"/>
      <c r="C1116" s="33" t="n"/>
      <c r="D1116" s="35" t="n"/>
      <c r="E1116" s="33" t="n"/>
      <c r="F1116" s="33" t="n"/>
      <c r="G1116" s="40" t="n"/>
      <c r="H1116" s="35" t="n"/>
      <c r="I1116" s="35" t="n"/>
      <c r="J1116" s="30">
        <f>IF(B1116="","",DATE(YEAR(B1116),MONTH(B1116),1))</f>
        <v/>
      </c>
      <c r="K1116" s="41">
        <f>IF(OR(B1116="",D1116=""),"",D1116&amp;"|"&amp;TEXT(J1116,"yyyy-mm"))</f>
        <v/>
      </c>
      <c r="L1116" s="24">
        <f>IF(K1116="","",IFERROR(INDEX(Lotes!$N$5:$N$154,MATCH(K1116,Lotes!$P$5:$P$154,0)),"Sem lote cadastrado"))</f>
        <v/>
      </c>
      <c r="M1116" s="25">
        <f>IF(H1116="Sim",G1116,0)</f>
        <v>0</v>
      </c>
      <c r="N1116" s="42">
        <f>IF(AND(H1116="Sim",I1116&lt;&gt;"Aceito"),G1116+ROW()/100000,0)</f>
        <v>0</v>
      </c>
    </row>
    <row r="1117">
      <c r="A1117" s="35" t="n"/>
      <c r="B1117" s="39" t="n"/>
      <c r="C1117" s="33" t="n"/>
      <c r="D1117" s="35" t="n"/>
      <c r="E1117" s="33" t="n"/>
      <c r="F1117" s="33" t="n"/>
      <c r="G1117" s="40" t="n"/>
      <c r="H1117" s="35" t="n"/>
      <c r="I1117" s="35" t="n"/>
      <c r="J1117" s="30">
        <f>IF(B1117="","",DATE(YEAR(B1117),MONTH(B1117),1))</f>
        <v/>
      </c>
      <c r="K1117" s="41">
        <f>IF(OR(B1117="",D1117=""),"",D1117&amp;"|"&amp;TEXT(J1117,"yyyy-mm"))</f>
        <v/>
      </c>
      <c r="L1117" s="24">
        <f>IF(K1117="","",IFERROR(INDEX(Lotes!$N$5:$N$154,MATCH(K1117,Lotes!$P$5:$P$154,0)),"Sem lote cadastrado"))</f>
        <v/>
      </c>
      <c r="M1117" s="25">
        <f>IF(H1117="Sim",G1117,0)</f>
        <v>0</v>
      </c>
      <c r="N1117" s="42">
        <f>IF(AND(H1117="Sim",I1117&lt;&gt;"Aceito"),G1117+ROW()/100000,0)</f>
        <v>0</v>
      </c>
    </row>
    <row r="1118">
      <c r="A1118" s="35" t="n"/>
      <c r="B1118" s="39" t="n"/>
      <c r="C1118" s="33" t="n"/>
      <c r="D1118" s="35" t="n"/>
      <c r="E1118" s="33" t="n"/>
      <c r="F1118" s="33" t="n"/>
      <c r="G1118" s="40" t="n"/>
      <c r="H1118" s="35" t="n"/>
      <c r="I1118" s="35" t="n"/>
      <c r="J1118" s="30">
        <f>IF(B1118="","",DATE(YEAR(B1118),MONTH(B1118),1))</f>
        <v/>
      </c>
      <c r="K1118" s="41">
        <f>IF(OR(B1118="",D1118=""),"",D1118&amp;"|"&amp;TEXT(J1118,"yyyy-mm"))</f>
        <v/>
      </c>
      <c r="L1118" s="24">
        <f>IF(K1118="","",IFERROR(INDEX(Lotes!$N$5:$N$154,MATCH(K1118,Lotes!$P$5:$P$154,0)),"Sem lote cadastrado"))</f>
        <v/>
      </c>
      <c r="M1118" s="25">
        <f>IF(H1118="Sim",G1118,0)</f>
        <v>0</v>
      </c>
      <c r="N1118" s="42">
        <f>IF(AND(H1118="Sim",I1118&lt;&gt;"Aceito"),G1118+ROW()/100000,0)</f>
        <v>0</v>
      </c>
    </row>
    <row r="1119">
      <c r="A1119" s="35" t="n"/>
      <c r="B1119" s="39" t="n"/>
      <c r="C1119" s="33" t="n"/>
      <c r="D1119" s="35" t="n"/>
      <c r="E1119" s="33" t="n"/>
      <c r="F1119" s="33" t="n"/>
      <c r="G1119" s="40" t="n"/>
      <c r="H1119" s="35" t="n"/>
      <c r="I1119" s="35" t="n"/>
      <c r="J1119" s="30">
        <f>IF(B1119="","",DATE(YEAR(B1119),MONTH(B1119),1))</f>
        <v/>
      </c>
      <c r="K1119" s="41">
        <f>IF(OR(B1119="",D1119=""),"",D1119&amp;"|"&amp;TEXT(J1119,"yyyy-mm"))</f>
        <v/>
      </c>
      <c r="L1119" s="24">
        <f>IF(K1119="","",IFERROR(INDEX(Lotes!$N$5:$N$154,MATCH(K1119,Lotes!$P$5:$P$154,0)),"Sem lote cadastrado"))</f>
        <v/>
      </c>
      <c r="M1119" s="25">
        <f>IF(H1119="Sim",G1119,0)</f>
        <v>0</v>
      </c>
      <c r="N1119" s="42">
        <f>IF(AND(H1119="Sim",I1119&lt;&gt;"Aceito"),G1119+ROW()/100000,0)</f>
        <v>0</v>
      </c>
    </row>
    <row r="1120">
      <c r="A1120" s="35" t="n"/>
      <c r="B1120" s="39" t="n"/>
      <c r="C1120" s="33" t="n"/>
      <c r="D1120" s="35" t="n"/>
      <c r="E1120" s="33" t="n"/>
      <c r="F1120" s="33" t="n"/>
      <c r="G1120" s="40" t="n"/>
      <c r="H1120" s="35" t="n"/>
      <c r="I1120" s="35" t="n"/>
      <c r="J1120" s="30">
        <f>IF(B1120="","",DATE(YEAR(B1120),MONTH(B1120),1))</f>
        <v/>
      </c>
      <c r="K1120" s="41">
        <f>IF(OR(B1120="",D1120=""),"",D1120&amp;"|"&amp;TEXT(J1120,"yyyy-mm"))</f>
        <v/>
      </c>
      <c r="L1120" s="24">
        <f>IF(K1120="","",IFERROR(INDEX(Lotes!$N$5:$N$154,MATCH(K1120,Lotes!$P$5:$P$154,0)),"Sem lote cadastrado"))</f>
        <v/>
      </c>
      <c r="M1120" s="25">
        <f>IF(H1120="Sim",G1120,0)</f>
        <v>0</v>
      </c>
      <c r="N1120" s="42">
        <f>IF(AND(H1120="Sim",I1120&lt;&gt;"Aceito"),G1120+ROW()/100000,0)</f>
        <v>0</v>
      </c>
    </row>
    <row r="1121">
      <c r="A1121" s="35" t="n"/>
      <c r="B1121" s="39" t="n"/>
      <c r="C1121" s="33" t="n"/>
      <c r="D1121" s="35" t="n"/>
      <c r="E1121" s="33" t="n"/>
      <c r="F1121" s="33" t="n"/>
      <c r="G1121" s="40" t="n"/>
      <c r="H1121" s="35" t="n"/>
      <c r="I1121" s="35" t="n"/>
      <c r="J1121" s="30">
        <f>IF(B1121="","",DATE(YEAR(B1121),MONTH(B1121),1))</f>
        <v/>
      </c>
      <c r="K1121" s="41">
        <f>IF(OR(B1121="",D1121=""),"",D1121&amp;"|"&amp;TEXT(J1121,"yyyy-mm"))</f>
        <v/>
      </c>
      <c r="L1121" s="24">
        <f>IF(K1121="","",IFERROR(INDEX(Lotes!$N$5:$N$154,MATCH(K1121,Lotes!$P$5:$P$154,0)),"Sem lote cadastrado"))</f>
        <v/>
      </c>
      <c r="M1121" s="25">
        <f>IF(H1121="Sim",G1121,0)</f>
        <v>0</v>
      </c>
      <c r="N1121" s="42">
        <f>IF(AND(H1121="Sim",I1121&lt;&gt;"Aceito"),G1121+ROW()/100000,0)</f>
        <v>0</v>
      </c>
    </row>
    <row r="1122">
      <c r="A1122" s="35" t="n"/>
      <c r="B1122" s="39" t="n"/>
      <c r="C1122" s="33" t="n"/>
      <c r="D1122" s="35" t="n"/>
      <c r="E1122" s="33" t="n"/>
      <c r="F1122" s="33" t="n"/>
      <c r="G1122" s="40" t="n"/>
      <c r="H1122" s="35" t="n"/>
      <c r="I1122" s="35" t="n"/>
      <c r="J1122" s="30">
        <f>IF(B1122="","",DATE(YEAR(B1122),MONTH(B1122),1))</f>
        <v/>
      </c>
      <c r="K1122" s="41">
        <f>IF(OR(B1122="",D1122=""),"",D1122&amp;"|"&amp;TEXT(J1122,"yyyy-mm"))</f>
        <v/>
      </c>
      <c r="L1122" s="24">
        <f>IF(K1122="","",IFERROR(INDEX(Lotes!$N$5:$N$154,MATCH(K1122,Lotes!$P$5:$P$154,0)),"Sem lote cadastrado"))</f>
        <v/>
      </c>
      <c r="M1122" s="25">
        <f>IF(H1122="Sim",G1122,0)</f>
        <v>0</v>
      </c>
      <c r="N1122" s="42">
        <f>IF(AND(H1122="Sim",I1122&lt;&gt;"Aceito"),G1122+ROW()/100000,0)</f>
        <v>0</v>
      </c>
    </row>
    <row r="1123">
      <c r="A1123" s="35" t="n"/>
      <c r="B1123" s="39" t="n"/>
      <c r="C1123" s="33" t="n"/>
      <c r="D1123" s="35" t="n"/>
      <c r="E1123" s="33" t="n"/>
      <c r="F1123" s="33" t="n"/>
      <c r="G1123" s="40" t="n"/>
      <c r="H1123" s="35" t="n"/>
      <c r="I1123" s="35" t="n"/>
      <c r="J1123" s="30">
        <f>IF(B1123="","",DATE(YEAR(B1123),MONTH(B1123),1))</f>
        <v/>
      </c>
      <c r="K1123" s="41">
        <f>IF(OR(B1123="",D1123=""),"",D1123&amp;"|"&amp;TEXT(J1123,"yyyy-mm"))</f>
        <v/>
      </c>
      <c r="L1123" s="24">
        <f>IF(K1123="","",IFERROR(INDEX(Lotes!$N$5:$N$154,MATCH(K1123,Lotes!$P$5:$P$154,0)),"Sem lote cadastrado"))</f>
        <v/>
      </c>
      <c r="M1123" s="25">
        <f>IF(H1123="Sim",G1123,0)</f>
        <v>0</v>
      </c>
      <c r="N1123" s="42">
        <f>IF(AND(H1123="Sim",I1123&lt;&gt;"Aceito"),G1123+ROW()/100000,0)</f>
        <v>0</v>
      </c>
    </row>
    <row r="1124">
      <c r="A1124" s="35" t="n"/>
      <c r="B1124" s="39" t="n"/>
      <c r="C1124" s="33" t="n"/>
      <c r="D1124" s="35" t="n"/>
      <c r="E1124" s="33" t="n"/>
      <c r="F1124" s="33" t="n"/>
      <c r="G1124" s="40" t="n"/>
      <c r="H1124" s="35" t="n"/>
      <c r="I1124" s="35" t="n"/>
      <c r="J1124" s="30">
        <f>IF(B1124="","",DATE(YEAR(B1124),MONTH(B1124),1))</f>
        <v/>
      </c>
      <c r="K1124" s="41">
        <f>IF(OR(B1124="",D1124=""),"",D1124&amp;"|"&amp;TEXT(J1124,"yyyy-mm"))</f>
        <v/>
      </c>
      <c r="L1124" s="24">
        <f>IF(K1124="","",IFERROR(INDEX(Lotes!$N$5:$N$154,MATCH(K1124,Lotes!$P$5:$P$154,0)),"Sem lote cadastrado"))</f>
        <v/>
      </c>
      <c r="M1124" s="25">
        <f>IF(H1124="Sim",G1124,0)</f>
        <v>0</v>
      </c>
      <c r="N1124" s="42">
        <f>IF(AND(H1124="Sim",I1124&lt;&gt;"Aceito"),G1124+ROW()/100000,0)</f>
        <v>0</v>
      </c>
    </row>
    <row r="1125">
      <c r="A1125" s="35" t="n"/>
      <c r="B1125" s="39" t="n"/>
      <c r="C1125" s="33" t="n"/>
      <c r="D1125" s="35" t="n"/>
      <c r="E1125" s="33" t="n"/>
      <c r="F1125" s="33" t="n"/>
      <c r="G1125" s="40" t="n"/>
      <c r="H1125" s="35" t="n"/>
      <c r="I1125" s="35" t="n"/>
      <c r="J1125" s="30">
        <f>IF(B1125="","",DATE(YEAR(B1125),MONTH(B1125),1))</f>
        <v/>
      </c>
      <c r="K1125" s="41">
        <f>IF(OR(B1125="",D1125=""),"",D1125&amp;"|"&amp;TEXT(J1125,"yyyy-mm"))</f>
        <v/>
      </c>
      <c r="L1125" s="24">
        <f>IF(K1125="","",IFERROR(INDEX(Lotes!$N$5:$N$154,MATCH(K1125,Lotes!$P$5:$P$154,0)),"Sem lote cadastrado"))</f>
        <v/>
      </c>
      <c r="M1125" s="25">
        <f>IF(H1125="Sim",G1125,0)</f>
        <v>0</v>
      </c>
      <c r="N1125" s="42">
        <f>IF(AND(H1125="Sim",I1125&lt;&gt;"Aceito"),G1125+ROW()/100000,0)</f>
        <v>0</v>
      </c>
    </row>
    <row r="1126">
      <c r="A1126" s="35" t="n"/>
      <c r="B1126" s="39" t="n"/>
      <c r="C1126" s="33" t="n"/>
      <c r="D1126" s="35" t="n"/>
      <c r="E1126" s="33" t="n"/>
      <c r="F1126" s="33" t="n"/>
      <c r="G1126" s="40" t="n"/>
      <c r="H1126" s="35" t="n"/>
      <c r="I1126" s="35" t="n"/>
      <c r="J1126" s="30">
        <f>IF(B1126="","",DATE(YEAR(B1126),MONTH(B1126),1))</f>
        <v/>
      </c>
      <c r="K1126" s="41">
        <f>IF(OR(B1126="",D1126=""),"",D1126&amp;"|"&amp;TEXT(J1126,"yyyy-mm"))</f>
        <v/>
      </c>
      <c r="L1126" s="24">
        <f>IF(K1126="","",IFERROR(INDEX(Lotes!$N$5:$N$154,MATCH(K1126,Lotes!$P$5:$P$154,0)),"Sem lote cadastrado"))</f>
        <v/>
      </c>
      <c r="M1126" s="25">
        <f>IF(H1126="Sim",G1126,0)</f>
        <v>0</v>
      </c>
      <c r="N1126" s="42">
        <f>IF(AND(H1126="Sim",I1126&lt;&gt;"Aceito"),G1126+ROW()/100000,0)</f>
        <v>0</v>
      </c>
    </row>
    <row r="1127">
      <c r="A1127" s="35" t="n"/>
      <c r="B1127" s="39" t="n"/>
      <c r="C1127" s="33" t="n"/>
      <c r="D1127" s="35" t="n"/>
      <c r="E1127" s="33" t="n"/>
      <c r="F1127" s="33" t="n"/>
      <c r="G1127" s="40" t="n"/>
      <c r="H1127" s="35" t="n"/>
      <c r="I1127" s="35" t="n"/>
      <c r="J1127" s="30">
        <f>IF(B1127="","",DATE(YEAR(B1127),MONTH(B1127),1))</f>
        <v/>
      </c>
      <c r="K1127" s="41">
        <f>IF(OR(B1127="",D1127=""),"",D1127&amp;"|"&amp;TEXT(J1127,"yyyy-mm"))</f>
        <v/>
      </c>
      <c r="L1127" s="24">
        <f>IF(K1127="","",IFERROR(INDEX(Lotes!$N$5:$N$154,MATCH(K1127,Lotes!$P$5:$P$154,0)),"Sem lote cadastrado"))</f>
        <v/>
      </c>
      <c r="M1127" s="25">
        <f>IF(H1127="Sim",G1127,0)</f>
        <v>0</v>
      </c>
      <c r="N1127" s="42">
        <f>IF(AND(H1127="Sim",I1127&lt;&gt;"Aceito"),G1127+ROW()/100000,0)</f>
        <v>0</v>
      </c>
    </row>
    <row r="1128">
      <c r="A1128" s="35" t="n"/>
      <c r="B1128" s="39" t="n"/>
      <c r="C1128" s="33" t="n"/>
      <c r="D1128" s="35" t="n"/>
      <c r="E1128" s="33" t="n"/>
      <c r="F1128" s="33" t="n"/>
      <c r="G1128" s="40" t="n"/>
      <c r="H1128" s="35" t="n"/>
      <c r="I1128" s="35" t="n"/>
      <c r="J1128" s="30">
        <f>IF(B1128="","",DATE(YEAR(B1128),MONTH(B1128),1))</f>
        <v/>
      </c>
      <c r="K1128" s="41">
        <f>IF(OR(B1128="",D1128=""),"",D1128&amp;"|"&amp;TEXT(J1128,"yyyy-mm"))</f>
        <v/>
      </c>
      <c r="L1128" s="24">
        <f>IF(K1128="","",IFERROR(INDEX(Lotes!$N$5:$N$154,MATCH(K1128,Lotes!$P$5:$P$154,0)),"Sem lote cadastrado"))</f>
        <v/>
      </c>
      <c r="M1128" s="25">
        <f>IF(H1128="Sim",G1128,0)</f>
        <v>0</v>
      </c>
      <c r="N1128" s="42">
        <f>IF(AND(H1128="Sim",I1128&lt;&gt;"Aceito"),G1128+ROW()/100000,0)</f>
        <v>0</v>
      </c>
    </row>
    <row r="1129">
      <c r="A1129" s="35" t="n"/>
      <c r="B1129" s="39" t="n"/>
      <c r="C1129" s="33" t="n"/>
      <c r="D1129" s="35" t="n"/>
      <c r="E1129" s="33" t="n"/>
      <c r="F1129" s="33" t="n"/>
      <c r="G1129" s="40" t="n"/>
      <c r="H1129" s="35" t="n"/>
      <c r="I1129" s="35" t="n"/>
      <c r="J1129" s="30">
        <f>IF(B1129="","",DATE(YEAR(B1129),MONTH(B1129),1))</f>
        <v/>
      </c>
      <c r="K1129" s="41">
        <f>IF(OR(B1129="",D1129=""),"",D1129&amp;"|"&amp;TEXT(J1129,"yyyy-mm"))</f>
        <v/>
      </c>
      <c r="L1129" s="24">
        <f>IF(K1129="","",IFERROR(INDEX(Lotes!$N$5:$N$154,MATCH(K1129,Lotes!$P$5:$P$154,0)),"Sem lote cadastrado"))</f>
        <v/>
      </c>
      <c r="M1129" s="25">
        <f>IF(H1129="Sim",G1129,0)</f>
        <v>0</v>
      </c>
      <c r="N1129" s="42">
        <f>IF(AND(H1129="Sim",I1129&lt;&gt;"Aceito"),G1129+ROW()/100000,0)</f>
        <v>0</v>
      </c>
    </row>
    <row r="1130">
      <c r="A1130" s="35" t="n"/>
      <c r="B1130" s="39" t="n"/>
      <c r="C1130" s="33" t="n"/>
      <c r="D1130" s="35" t="n"/>
      <c r="E1130" s="33" t="n"/>
      <c r="F1130" s="33" t="n"/>
      <c r="G1130" s="40" t="n"/>
      <c r="H1130" s="35" t="n"/>
      <c r="I1130" s="35" t="n"/>
      <c r="J1130" s="30">
        <f>IF(B1130="","",DATE(YEAR(B1130),MONTH(B1130),1))</f>
        <v/>
      </c>
      <c r="K1130" s="41">
        <f>IF(OR(B1130="",D1130=""),"",D1130&amp;"|"&amp;TEXT(J1130,"yyyy-mm"))</f>
        <v/>
      </c>
      <c r="L1130" s="24">
        <f>IF(K1130="","",IFERROR(INDEX(Lotes!$N$5:$N$154,MATCH(K1130,Lotes!$P$5:$P$154,0)),"Sem lote cadastrado"))</f>
        <v/>
      </c>
      <c r="M1130" s="25">
        <f>IF(H1130="Sim",G1130,0)</f>
        <v>0</v>
      </c>
      <c r="N1130" s="42">
        <f>IF(AND(H1130="Sim",I1130&lt;&gt;"Aceito"),G1130+ROW()/100000,0)</f>
        <v>0</v>
      </c>
    </row>
    <row r="1131">
      <c r="A1131" s="35" t="n"/>
      <c r="B1131" s="39" t="n"/>
      <c r="C1131" s="33" t="n"/>
      <c r="D1131" s="35" t="n"/>
      <c r="E1131" s="33" t="n"/>
      <c r="F1131" s="33" t="n"/>
      <c r="G1131" s="40" t="n"/>
      <c r="H1131" s="35" t="n"/>
      <c r="I1131" s="35" t="n"/>
      <c r="J1131" s="30">
        <f>IF(B1131="","",DATE(YEAR(B1131),MONTH(B1131),1))</f>
        <v/>
      </c>
      <c r="K1131" s="41">
        <f>IF(OR(B1131="",D1131=""),"",D1131&amp;"|"&amp;TEXT(J1131,"yyyy-mm"))</f>
        <v/>
      </c>
      <c r="L1131" s="24">
        <f>IF(K1131="","",IFERROR(INDEX(Lotes!$N$5:$N$154,MATCH(K1131,Lotes!$P$5:$P$154,0)),"Sem lote cadastrado"))</f>
        <v/>
      </c>
      <c r="M1131" s="25">
        <f>IF(H1131="Sim",G1131,0)</f>
        <v>0</v>
      </c>
      <c r="N1131" s="42">
        <f>IF(AND(H1131="Sim",I1131&lt;&gt;"Aceito"),G1131+ROW()/100000,0)</f>
        <v>0</v>
      </c>
    </row>
    <row r="1132">
      <c r="A1132" s="35" t="n"/>
      <c r="B1132" s="39" t="n"/>
      <c r="C1132" s="33" t="n"/>
      <c r="D1132" s="35" t="n"/>
      <c r="E1132" s="33" t="n"/>
      <c r="F1132" s="33" t="n"/>
      <c r="G1132" s="40" t="n"/>
      <c r="H1132" s="35" t="n"/>
      <c r="I1132" s="35" t="n"/>
      <c r="J1132" s="30">
        <f>IF(B1132="","",DATE(YEAR(B1132),MONTH(B1132),1))</f>
        <v/>
      </c>
      <c r="K1132" s="41">
        <f>IF(OR(B1132="",D1132=""),"",D1132&amp;"|"&amp;TEXT(J1132,"yyyy-mm"))</f>
        <v/>
      </c>
      <c r="L1132" s="24">
        <f>IF(K1132="","",IFERROR(INDEX(Lotes!$N$5:$N$154,MATCH(K1132,Lotes!$P$5:$P$154,0)),"Sem lote cadastrado"))</f>
        <v/>
      </c>
      <c r="M1132" s="25">
        <f>IF(H1132="Sim",G1132,0)</f>
        <v>0</v>
      </c>
      <c r="N1132" s="42">
        <f>IF(AND(H1132="Sim",I1132&lt;&gt;"Aceito"),G1132+ROW()/100000,0)</f>
        <v>0</v>
      </c>
    </row>
    <row r="1133">
      <c r="A1133" s="35" t="n"/>
      <c r="B1133" s="39" t="n"/>
      <c r="C1133" s="33" t="n"/>
      <c r="D1133" s="35" t="n"/>
      <c r="E1133" s="33" t="n"/>
      <c r="F1133" s="33" t="n"/>
      <c r="G1133" s="40" t="n"/>
      <c r="H1133" s="35" t="n"/>
      <c r="I1133" s="35" t="n"/>
      <c r="J1133" s="30">
        <f>IF(B1133="","",DATE(YEAR(B1133),MONTH(B1133),1))</f>
        <v/>
      </c>
      <c r="K1133" s="41">
        <f>IF(OR(B1133="",D1133=""),"",D1133&amp;"|"&amp;TEXT(J1133,"yyyy-mm"))</f>
        <v/>
      </c>
      <c r="L1133" s="24">
        <f>IF(K1133="","",IFERROR(INDEX(Lotes!$N$5:$N$154,MATCH(K1133,Lotes!$P$5:$P$154,0)),"Sem lote cadastrado"))</f>
        <v/>
      </c>
      <c r="M1133" s="25">
        <f>IF(H1133="Sim",G1133,0)</f>
        <v>0</v>
      </c>
      <c r="N1133" s="42">
        <f>IF(AND(H1133="Sim",I1133&lt;&gt;"Aceito"),G1133+ROW()/100000,0)</f>
        <v>0</v>
      </c>
    </row>
    <row r="1134">
      <c r="A1134" s="35" t="n"/>
      <c r="B1134" s="39" t="n"/>
      <c r="C1134" s="33" t="n"/>
      <c r="D1134" s="35" t="n"/>
      <c r="E1134" s="33" t="n"/>
      <c r="F1134" s="33" t="n"/>
      <c r="G1134" s="40" t="n"/>
      <c r="H1134" s="35" t="n"/>
      <c r="I1134" s="35" t="n"/>
      <c r="J1134" s="30">
        <f>IF(B1134="","",DATE(YEAR(B1134),MONTH(B1134),1))</f>
        <v/>
      </c>
      <c r="K1134" s="41">
        <f>IF(OR(B1134="",D1134=""),"",D1134&amp;"|"&amp;TEXT(J1134,"yyyy-mm"))</f>
        <v/>
      </c>
      <c r="L1134" s="24">
        <f>IF(K1134="","",IFERROR(INDEX(Lotes!$N$5:$N$154,MATCH(K1134,Lotes!$P$5:$P$154,0)),"Sem lote cadastrado"))</f>
        <v/>
      </c>
      <c r="M1134" s="25">
        <f>IF(H1134="Sim",G1134,0)</f>
        <v>0</v>
      </c>
      <c r="N1134" s="42">
        <f>IF(AND(H1134="Sim",I1134&lt;&gt;"Aceito"),G1134+ROW()/100000,0)</f>
        <v>0</v>
      </c>
    </row>
    <row r="1135">
      <c r="A1135" s="35" t="n"/>
      <c r="B1135" s="39" t="n"/>
      <c r="C1135" s="33" t="n"/>
      <c r="D1135" s="35" t="n"/>
      <c r="E1135" s="33" t="n"/>
      <c r="F1135" s="33" t="n"/>
      <c r="G1135" s="40" t="n"/>
      <c r="H1135" s="35" t="n"/>
      <c r="I1135" s="35" t="n"/>
      <c r="J1135" s="30">
        <f>IF(B1135="","",DATE(YEAR(B1135),MONTH(B1135),1))</f>
        <v/>
      </c>
      <c r="K1135" s="41">
        <f>IF(OR(B1135="",D1135=""),"",D1135&amp;"|"&amp;TEXT(J1135,"yyyy-mm"))</f>
        <v/>
      </c>
      <c r="L1135" s="24">
        <f>IF(K1135="","",IFERROR(INDEX(Lotes!$N$5:$N$154,MATCH(K1135,Lotes!$P$5:$P$154,0)),"Sem lote cadastrado"))</f>
        <v/>
      </c>
      <c r="M1135" s="25">
        <f>IF(H1135="Sim",G1135,0)</f>
        <v>0</v>
      </c>
      <c r="N1135" s="42">
        <f>IF(AND(H1135="Sim",I1135&lt;&gt;"Aceito"),G1135+ROW()/100000,0)</f>
        <v>0</v>
      </c>
    </row>
    <row r="1136">
      <c r="A1136" s="35" t="n"/>
      <c r="B1136" s="39" t="n"/>
      <c r="C1136" s="33" t="n"/>
      <c r="D1136" s="35" t="n"/>
      <c r="E1136" s="33" t="n"/>
      <c r="F1136" s="33" t="n"/>
      <c r="G1136" s="40" t="n"/>
      <c r="H1136" s="35" t="n"/>
      <c r="I1136" s="35" t="n"/>
      <c r="J1136" s="30">
        <f>IF(B1136="","",DATE(YEAR(B1136),MONTH(B1136),1))</f>
        <v/>
      </c>
      <c r="K1136" s="41">
        <f>IF(OR(B1136="",D1136=""),"",D1136&amp;"|"&amp;TEXT(J1136,"yyyy-mm"))</f>
        <v/>
      </c>
      <c r="L1136" s="24">
        <f>IF(K1136="","",IFERROR(INDEX(Lotes!$N$5:$N$154,MATCH(K1136,Lotes!$P$5:$P$154,0)),"Sem lote cadastrado"))</f>
        <v/>
      </c>
      <c r="M1136" s="25">
        <f>IF(H1136="Sim",G1136,0)</f>
        <v>0</v>
      </c>
      <c r="N1136" s="42">
        <f>IF(AND(H1136="Sim",I1136&lt;&gt;"Aceito"),G1136+ROW()/100000,0)</f>
        <v>0</v>
      </c>
    </row>
    <row r="1137">
      <c r="A1137" s="35" t="n"/>
      <c r="B1137" s="39" t="n"/>
      <c r="C1137" s="33" t="n"/>
      <c r="D1137" s="35" t="n"/>
      <c r="E1137" s="33" t="n"/>
      <c r="F1137" s="33" t="n"/>
      <c r="G1137" s="40" t="n"/>
      <c r="H1137" s="35" t="n"/>
      <c r="I1137" s="35" t="n"/>
      <c r="J1137" s="30">
        <f>IF(B1137="","",DATE(YEAR(B1137),MONTH(B1137),1))</f>
        <v/>
      </c>
      <c r="K1137" s="41">
        <f>IF(OR(B1137="",D1137=""),"",D1137&amp;"|"&amp;TEXT(J1137,"yyyy-mm"))</f>
        <v/>
      </c>
      <c r="L1137" s="24">
        <f>IF(K1137="","",IFERROR(INDEX(Lotes!$N$5:$N$154,MATCH(K1137,Lotes!$P$5:$P$154,0)),"Sem lote cadastrado"))</f>
        <v/>
      </c>
      <c r="M1137" s="25">
        <f>IF(H1137="Sim",G1137,0)</f>
        <v>0</v>
      </c>
      <c r="N1137" s="42">
        <f>IF(AND(H1137="Sim",I1137&lt;&gt;"Aceito"),G1137+ROW()/100000,0)</f>
        <v>0</v>
      </c>
    </row>
    <row r="1138">
      <c r="A1138" s="35" t="n"/>
      <c r="B1138" s="39" t="n"/>
      <c r="C1138" s="33" t="n"/>
      <c r="D1138" s="35" t="n"/>
      <c r="E1138" s="33" t="n"/>
      <c r="F1138" s="33" t="n"/>
      <c r="G1138" s="40" t="n"/>
      <c r="H1138" s="35" t="n"/>
      <c r="I1138" s="35" t="n"/>
      <c r="J1138" s="30">
        <f>IF(B1138="","",DATE(YEAR(B1138),MONTH(B1138),1))</f>
        <v/>
      </c>
      <c r="K1138" s="41">
        <f>IF(OR(B1138="",D1138=""),"",D1138&amp;"|"&amp;TEXT(J1138,"yyyy-mm"))</f>
        <v/>
      </c>
      <c r="L1138" s="24">
        <f>IF(K1138="","",IFERROR(INDEX(Lotes!$N$5:$N$154,MATCH(K1138,Lotes!$P$5:$P$154,0)),"Sem lote cadastrado"))</f>
        <v/>
      </c>
      <c r="M1138" s="25">
        <f>IF(H1138="Sim",G1138,0)</f>
        <v>0</v>
      </c>
      <c r="N1138" s="42">
        <f>IF(AND(H1138="Sim",I1138&lt;&gt;"Aceito"),G1138+ROW()/100000,0)</f>
        <v>0</v>
      </c>
    </row>
    <row r="1139">
      <c r="A1139" s="35" t="n"/>
      <c r="B1139" s="39" t="n"/>
      <c r="C1139" s="33" t="n"/>
      <c r="D1139" s="35" t="n"/>
      <c r="E1139" s="33" t="n"/>
      <c r="F1139" s="33" t="n"/>
      <c r="G1139" s="40" t="n"/>
      <c r="H1139" s="35" t="n"/>
      <c r="I1139" s="35" t="n"/>
      <c r="J1139" s="30">
        <f>IF(B1139="","",DATE(YEAR(B1139),MONTH(B1139),1))</f>
        <v/>
      </c>
      <c r="K1139" s="41">
        <f>IF(OR(B1139="",D1139=""),"",D1139&amp;"|"&amp;TEXT(J1139,"yyyy-mm"))</f>
        <v/>
      </c>
      <c r="L1139" s="24">
        <f>IF(K1139="","",IFERROR(INDEX(Lotes!$N$5:$N$154,MATCH(K1139,Lotes!$P$5:$P$154,0)),"Sem lote cadastrado"))</f>
        <v/>
      </c>
      <c r="M1139" s="25">
        <f>IF(H1139="Sim",G1139,0)</f>
        <v>0</v>
      </c>
      <c r="N1139" s="42">
        <f>IF(AND(H1139="Sim",I1139&lt;&gt;"Aceito"),G1139+ROW()/100000,0)</f>
        <v>0</v>
      </c>
    </row>
    <row r="1140">
      <c r="A1140" s="35" t="n"/>
      <c r="B1140" s="39" t="n"/>
      <c r="C1140" s="33" t="n"/>
      <c r="D1140" s="35" t="n"/>
      <c r="E1140" s="33" t="n"/>
      <c r="F1140" s="33" t="n"/>
      <c r="G1140" s="40" t="n"/>
      <c r="H1140" s="35" t="n"/>
      <c r="I1140" s="35" t="n"/>
      <c r="J1140" s="30">
        <f>IF(B1140="","",DATE(YEAR(B1140),MONTH(B1140),1))</f>
        <v/>
      </c>
      <c r="K1140" s="41">
        <f>IF(OR(B1140="",D1140=""),"",D1140&amp;"|"&amp;TEXT(J1140,"yyyy-mm"))</f>
        <v/>
      </c>
      <c r="L1140" s="24">
        <f>IF(K1140="","",IFERROR(INDEX(Lotes!$N$5:$N$154,MATCH(K1140,Lotes!$P$5:$P$154,0)),"Sem lote cadastrado"))</f>
        <v/>
      </c>
      <c r="M1140" s="25">
        <f>IF(H1140="Sim",G1140,0)</f>
        <v>0</v>
      </c>
      <c r="N1140" s="42">
        <f>IF(AND(H1140="Sim",I1140&lt;&gt;"Aceito"),G1140+ROW()/100000,0)</f>
        <v>0</v>
      </c>
    </row>
    <row r="1141">
      <c r="A1141" s="35" t="n"/>
      <c r="B1141" s="39" t="n"/>
      <c r="C1141" s="33" t="n"/>
      <c r="D1141" s="35" t="n"/>
      <c r="E1141" s="33" t="n"/>
      <c r="F1141" s="33" t="n"/>
      <c r="G1141" s="40" t="n"/>
      <c r="H1141" s="35" t="n"/>
      <c r="I1141" s="35" t="n"/>
      <c r="J1141" s="30">
        <f>IF(B1141="","",DATE(YEAR(B1141),MONTH(B1141),1))</f>
        <v/>
      </c>
      <c r="K1141" s="41">
        <f>IF(OR(B1141="",D1141=""),"",D1141&amp;"|"&amp;TEXT(J1141,"yyyy-mm"))</f>
        <v/>
      </c>
      <c r="L1141" s="24">
        <f>IF(K1141="","",IFERROR(INDEX(Lotes!$N$5:$N$154,MATCH(K1141,Lotes!$P$5:$P$154,0)),"Sem lote cadastrado"))</f>
        <v/>
      </c>
      <c r="M1141" s="25">
        <f>IF(H1141="Sim",G1141,0)</f>
        <v>0</v>
      </c>
      <c r="N1141" s="42">
        <f>IF(AND(H1141="Sim",I1141&lt;&gt;"Aceito"),G1141+ROW()/100000,0)</f>
        <v>0</v>
      </c>
    </row>
    <row r="1142">
      <c r="A1142" s="35" t="n"/>
      <c r="B1142" s="39" t="n"/>
      <c r="C1142" s="33" t="n"/>
      <c r="D1142" s="35" t="n"/>
      <c r="E1142" s="33" t="n"/>
      <c r="F1142" s="33" t="n"/>
      <c r="G1142" s="40" t="n"/>
      <c r="H1142" s="35" t="n"/>
      <c r="I1142" s="35" t="n"/>
      <c r="J1142" s="30">
        <f>IF(B1142="","",DATE(YEAR(B1142),MONTH(B1142),1))</f>
        <v/>
      </c>
      <c r="K1142" s="41">
        <f>IF(OR(B1142="",D1142=""),"",D1142&amp;"|"&amp;TEXT(J1142,"yyyy-mm"))</f>
        <v/>
      </c>
      <c r="L1142" s="24">
        <f>IF(K1142="","",IFERROR(INDEX(Lotes!$N$5:$N$154,MATCH(K1142,Lotes!$P$5:$P$154,0)),"Sem lote cadastrado"))</f>
        <v/>
      </c>
      <c r="M1142" s="25">
        <f>IF(H1142="Sim",G1142,0)</f>
        <v>0</v>
      </c>
      <c r="N1142" s="42">
        <f>IF(AND(H1142="Sim",I1142&lt;&gt;"Aceito"),G1142+ROW()/100000,0)</f>
        <v>0</v>
      </c>
    </row>
    <row r="1143">
      <c r="A1143" s="35" t="n"/>
      <c r="B1143" s="39" t="n"/>
      <c r="C1143" s="33" t="n"/>
      <c r="D1143" s="35" t="n"/>
      <c r="E1143" s="33" t="n"/>
      <c r="F1143" s="33" t="n"/>
      <c r="G1143" s="40" t="n"/>
      <c r="H1143" s="35" t="n"/>
      <c r="I1143" s="35" t="n"/>
      <c r="J1143" s="30">
        <f>IF(B1143="","",DATE(YEAR(B1143),MONTH(B1143),1))</f>
        <v/>
      </c>
      <c r="K1143" s="41">
        <f>IF(OR(B1143="",D1143=""),"",D1143&amp;"|"&amp;TEXT(J1143,"yyyy-mm"))</f>
        <v/>
      </c>
      <c r="L1143" s="24">
        <f>IF(K1143="","",IFERROR(INDEX(Lotes!$N$5:$N$154,MATCH(K1143,Lotes!$P$5:$P$154,0)),"Sem lote cadastrado"))</f>
        <v/>
      </c>
      <c r="M1143" s="25">
        <f>IF(H1143="Sim",G1143,0)</f>
        <v>0</v>
      </c>
      <c r="N1143" s="42">
        <f>IF(AND(H1143="Sim",I1143&lt;&gt;"Aceito"),G1143+ROW()/100000,0)</f>
        <v>0</v>
      </c>
    </row>
    <row r="1144">
      <c r="A1144" s="35" t="n"/>
      <c r="B1144" s="39" t="n"/>
      <c r="C1144" s="33" t="n"/>
      <c r="D1144" s="35" t="n"/>
      <c r="E1144" s="33" t="n"/>
      <c r="F1144" s="33" t="n"/>
      <c r="G1144" s="40" t="n"/>
      <c r="H1144" s="35" t="n"/>
      <c r="I1144" s="35" t="n"/>
      <c r="J1144" s="30">
        <f>IF(B1144="","",DATE(YEAR(B1144),MONTH(B1144),1))</f>
        <v/>
      </c>
      <c r="K1144" s="41">
        <f>IF(OR(B1144="",D1144=""),"",D1144&amp;"|"&amp;TEXT(J1144,"yyyy-mm"))</f>
        <v/>
      </c>
      <c r="L1144" s="24">
        <f>IF(K1144="","",IFERROR(INDEX(Lotes!$N$5:$N$154,MATCH(K1144,Lotes!$P$5:$P$154,0)),"Sem lote cadastrado"))</f>
        <v/>
      </c>
      <c r="M1144" s="25">
        <f>IF(H1144="Sim",G1144,0)</f>
        <v>0</v>
      </c>
      <c r="N1144" s="42">
        <f>IF(AND(H1144="Sim",I1144&lt;&gt;"Aceito"),G1144+ROW()/100000,0)</f>
        <v>0</v>
      </c>
    </row>
    <row r="1145">
      <c r="A1145" s="35" t="n"/>
      <c r="B1145" s="39" t="n"/>
      <c r="C1145" s="33" t="n"/>
      <c r="D1145" s="35" t="n"/>
      <c r="E1145" s="33" t="n"/>
      <c r="F1145" s="33" t="n"/>
      <c r="G1145" s="40" t="n"/>
      <c r="H1145" s="35" t="n"/>
      <c r="I1145" s="35" t="n"/>
      <c r="J1145" s="30">
        <f>IF(B1145="","",DATE(YEAR(B1145),MONTH(B1145),1))</f>
        <v/>
      </c>
      <c r="K1145" s="41">
        <f>IF(OR(B1145="",D1145=""),"",D1145&amp;"|"&amp;TEXT(J1145,"yyyy-mm"))</f>
        <v/>
      </c>
      <c r="L1145" s="24">
        <f>IF(K1145="","",IFERROR(INDEX(Lotes!$N$5:$N$154,MATCH(K1145,Lotes!$P$5:$P$154,0)),"Sem lote cadastrado"))</f>
        <v/>
      </c>
      <c r="M1145" s="25">
        <f>IF(H1145="Sim",G1145,0)</f>
        <v>0</v>
      </c>
      <c r="N1145" s="42">
        <f>IF(AND(H1145="Sim",I1145&lt;&gt;"Aceito"),G1145+ROW()/100000,0)</f>
        <v>0</v>
      </c>
    </row>
    <row r="1146">
      <c r="A1146" s="35" t="n"/>
      <c r="B1146" s="39" t="n"/>
      <c r="C1146" s="33" t="n"/>
      <c r="D1146" s="35" t="n"/>
      <c r="E1146" s="33" t="n"/>
      <c r="F1146" s="33" t="n"/>
      <c r="G1146" s="40" t="n"/>
      <c r="H1146" s="35" t="n"/>
      <c r="I1146" s="35" t="n"/>
      <c r="J1146" s="30">
        <f>IF(B1146="","",DATE(YEAR(B1146),MONTH(B1146),1))</f>
        <v/>
      </c>
      <c r="K1146" s="41">
        <f>IF(OR(B1146="",D1146=""),"",D1146&amp;"|"&amp;TEXT(J1146,"yyyy-mm"))</f>
        <v/>
      </c>
      <c r="L1146" s="24">
        <f>IF(K1146="","",IFERROR(INDEX(Lotes!$N$5:$N$154,MATCH(K1146,Lotes!$P$5:$P$154,0)),"Sem lote cadastrado"))</f>
        <v/>
      </c>
      <c r="M1146" s="25">
        <f>IF(H1146="Sim",G1146,0)</f>
        <v>0</v>
      </c>
      <c r="N1146" s="42">
        <f>IF(AND(H1146="Sim",I1146&lt;&gt;"Aceito"),G1146+ROW()/100000,0)</f>
        <v>0</v>
      </c>
    </row>
    <row r="1147">
      <c r="A1147" s="35" t="n"/>
      <c r="B1147" s="39" t="n"/>
      <c r="C1147" s="33" t="n"/>
      <c r="D1147" s="35" t="n"/>
      <c r="E1147" s="33" t="n"/>
      <c r="F1147" s="33" t="n"/>
      <c r="G1147" s="40" t="n"/>
      <c r="H1147" s="35" t="n"/>
      <c r="I1147" s="35" t="n"/>
      <c r="J1147" s="30">
        <f>IF(B1147="","",DATE(YEAR(B1147),MONTH(B1147),1))</f>
        <v/>
      </c>
      <c r="K1147" s="41">
        <f>IF(OR(B1147="",D1147=""),"",D1147&amp;"|"&amp;TEXT(J1147,"yyyy-mm"))</f>
        <v/>
      </c>
      <c r="L1147" s="24">
        <f>IF(K1147="","",IFERROR(INDEX(Lotes!$N$5:$N$154,MATCH(K1147,Lotes!$P$5:$P$154,0)),"Sem lote cadastrado"))</f>
        <v/>
      </c>
      <c r="M1147" s="25">
        <f>IF(H1147="Sim",G1147,0)</f>
        <v>0</v>
      </c>
      <c r="N1147" s="42">
        <f>IF(AND(H1147="Sim",I1147&lt;&gt;"Aceito"),G1147+ROW()/100000,0)</f>
        <v>0</v>
      </c>
    </row>
    <row r="1148">
      <c r="A1148" s="35" t="n"/>
      <c r="B1148" s="39" t="n"/>
      <c r="C1148" s="33" t="n"/>
      <c r="D1148" s="35" t="n"/>
      <c r="E1148" s="33" t="n"/>
      <c r="F1148" s="33" t="n"/>
      <c r="G1148" s="40" t="n"/>
      <c r="H1148" s="35" t="n"/>
      <c r="I1148" s="35" t="n"/>
      <c r="J1148" s="30">
        <f>IF(B1148="","",DATE(YEAR(B1148),MONTH(B1148),1))</f>
        <v/>
      </c>
      <c r="K1148" s="41">
        <f>IF(OR(B1148="",D1148=""),"",D1148&amp;"|"&amp;TEXT(J1148,"yyyy-mm"))</f>
        <v/>
      </c>
      <c r="L1148" s="24">
        <f>IF(K1148="","",IFERROR(INDEX(Lotes!$N$5:$N$154,MATCH(K1148,Lotes!$P$5:$P$154,0)),"Sem lote cadastrado"))</f>
        <v/>
      </c>
      <c r="M1148" s="25">
        <f>IF(H1148="Sim",G1148,0)</f>
        <v>0</v>
      </c>
      <c r="N1148" s="42">
        <f>IF(AND(H1148="Sim",I1148&lt;&gt;"Aceito"),G1148+ROW()/100000,0)</f>
        <v>0</v>
      </c>
    </row>
    <row r="1149">
      <c r="A1149" s="35" t="n"/>
      <c r="B1149" s="39" t="n"/>
      <c r="C1149" s="33" t="n"/>
      <c r="D1149" s="35" t="n"/>
      <c r="E1149" s="33" t="n"/>
      <c r="F1149" s="33" t="n"/>
      <c r="G1149" s="40" t="n"/>
      <c r="H1149" s="35" t="n"/>
      <c r="I1149" s="35" t="n"/>
      <c r="J1149" s="30">
        <f>IF(B1149="","",DATE(YEAR(B1149),MONTH(B1149),1))</f>
        <v/>
      </c>
      <c r="K1149" s="41">
        <f>IF(OR(B1149="",D1149=""),"",D1149&amp;"|"&amp;TEXT(J1149,"yyyy-mm"))</f>
        <v/>
      </c>
      <c r="L1149" s="24">
        <f>IF(K1149="","",IFERROR(INDEX(Lotes!$N$5:$N$154,MATCH(K1149,Lotes!$P$5:$P$154,0)),"Sem lote cadastrado"))</f>
        <v/>
      </c>
      <c r="M1149" s="25">
        <f>IF(H1149="Sim",G1149,0)</f>
        <v>0</v>
      </c>
      <c r="N1149" s="42">
        <f>IF(AND(H1149="Sim",I1149&lt;&gt;"Aceito"),G1149+ROW()/100000,0)</f>
        <v>0</v>
      </c>
    </row>
    <row r="1150">
      <c r="A1150" s="35" t="n"/>
      <c r="B1150" s="39" t="n"/>
      <c r="C1150" s="33" t="n"/>
      <c r="D1150" s="35" t="n"/>
      <c r="E1150" s="33" t="n"/>
      <c r="F1150" s="33" t="n"/>
      <c r="G1150" s="40" t="n"/>
      <c r="H1150" s="35" t="n"/>
      <c r="I1150" s="35" t="n"/>
      <c r="J1150" s="30">
        <f>IF(B1150="","",DATE(YEAR(B1150),MONTH(B1150),1))</f>
        <v/>
      </c>
      <c r="K1150" s="41">
        <f>IF(OR(B1150="",D1150=""),"",D1150&amp;"|"&amp;TEXT(J1150,"yyyy-mm"))</f>
        <v/>
      </c>
      <c r="L1150" s="24">
        <f>IF(K1150="","",IFERROR(INDEX(Lotes!$N$5:$N$154,MATCH(K1150,Lotes!$P$5:$P$154,0)),"Sem lote cadastrado"))</f>
        <v/>
      </c>
      <c r="M1150" s="25">
        <f>IF(H1150="Sim",G1150,0)</f>
        <v>0</v>
      </c>
      <c r="N1150" s="42">
        <f>IF(AND(H1150="Sim",I1150&lt;&gt;"Aceito"),G1150+ROW()/100000,0)</f>
        <v>0</v>
      </c>
    </row>
    <row r="1151">
      <c r="A1151" s="35" t="n"/>
      <c r="B1151" s="39" t="n"/>
      <c r="C1151" s="33" t="n"/>
      <c r="D1151" s="35" t="n"/>
      <c r="E1151" s="33" t="n"/>
      <c r="F1151" s="33" t="n"/>
      <c r="G1151" s="40" t="n"/>
      <c r="H1151" s="35" t="n"/>
      <c r="I1151" s="35" t="n"/>
      <c r="J1151" s="30">
        <f>IF(B1151="","",DATE(YEAR(B1151),MONTH(B1151),1))</f>
        <v/>
      </c>
      <c r="K1151" s="41">
        <f>IF(OR(B1151="",D1151=""),"",D1151&amp;"|"&amp;TEXT(J1151,"yyyy-mm"))</f>
        <v/>
      </c>
      <c r="L1151" s="24">
        <f>IF(K1151="","",IFERROR(INDEX(Lotes!$N$5:$N$154,MATCH(K1151,Lotes!$P$5:$P$154,0)),"Sem lote cadastrado"))</f>
        <v/>
      </c>
      <c r="M1151" s="25">
        <f>IF(H1151="Sim",G1151,0)</f>
        <v>0</v>
      </c>
      <c r="N1151" s="42">
        <f>IF(AND(H1151="Sim",I1151&lt;&gt;"Aceito"),G1151+ROW()/100000,0)</f>
        <v>0</v>
      </c>
    </row>
    <row r="1152">
      <c r="A1152" s="35" t="n"/>
      <c r="B1152" s="39" t="n"/>
      <c r="C1152" s="33" t="n"/>
      <c r="D1152" s="35" t="n"/>
      <c r="E1152" s="33" t="n"/>
      <c r="F1152" s="33" t="n"/>
      <c r="G1152" s="40" t="n"/>
      <c r="H1152" s="35" t="n"/>
      <c r="I1152" s="35" t="n"/>
      <c r="J1152" s="30">
        <f>IF(B1152="","",DATE(YEAR(B1152),MONTH(B1152),1))</f>
        <v/>
      </c>
      <c r="K1152" s="41">
        <f>IF(OR(B1152="",D1152=""),"",D1152&amp;"|"&amp;TEXT(J1152,"yyyy-mm"))</f>
        <v/>
      </c>
      <c r="L1152" s="24">
        <f>IF(K1152="","",IFERROR(INDEX(Lotes!$N$5:$N$154,MATCH(K1152,Lotes!$P$5:$P$154,0)),"Sem lote cadastrado"))</f>
        <v/>
      </c>
      <c r="M1152" s="25">
        <f>IF(H1152="Sim",G1152,0)</f>
        <v>0</v>
      </c>
      <c r="N1152" s="42">
        <f>IF(AND(H1152="Sim",I1152&lt;&gt;"Aceito"),G1152+ROW()/100000,0)</f>
        <v>0</v>
      </c>
    </row>
    <row r="1153">
      <c r="A1153" s="35" t="n"/>
      <c r="B1153" s="39" t="n"/>
      <c r="C1153" s="33" t="n"/>
      <c r="D1153" s="35" t="n"/>
      <c r="E1153" s="33" t="n"/>
      <c r="F1153" s="33" t="n"/>
      <c r="G1153" s="40" t="n"/>
      <c r="H1153" s="35" t="n"/>
      <c r="I1153" s="35" t="n"/>
      <c r="J1153" s="30">
        <f>IF(B1153="","",DATE(YEAR(B1153),MONTH(B1153),1))</f>
        <v/>
      </c>
      <c r="K1153" s="41">
        <f>IF(OR(B1153="",D1153=""),"",D1153&amp;"|"&amp;TEXT(J1153,"yyyy-mm"))</f>
        <v/>
      </c>
      <c r="L1153" s="24">
        <f>IF(K1153="","",IFERROR(INDEX(Lotes!$N$5:$N$154,MATCH(K1153,Lotes!$P$5:$P$154,0)),"Sem lote cadastrado"))</f>
        <v/>
      </c>
      <c r="M1153" s="25">
        <f>IF(H1153="Sim",G1153,0)</f>
        <v>0</v>
      </c>
      <c r="N1153" s="42">
        <f>IF(AND(H1153="Sim",I1153&lt;&gt;"Aceito"),G1153+ROW()/100000,0)</f>
        <v>0</v>
      </c>
    </row>
    <row r="1154">
      <c r="A1154" s="35" t="n"/>
      <c r="B1154" s="39" t="n"/>
      <c r="C1154" s="33" t="n"/>
      <c r="D1154" s="35" t="n"/>
      <c r="E1154" s="33" t="n"/>
      <c r="F1154" s="33" t="n"/>
      <c r="G1154" s="40" t="n"/>
      <c r="H1154" s="35" t="n"/>
      <c r="I1154" s="35" t="n"/>
      <c r="J1154" s="30">
        <f>IF(B1154="","",DATE(YEAR(B1154),MONTH(B1154),1))</f>
        <v/>
      </c>
      <c r="K1154" s="41">
        <f>IF(OR(B1154="",D1154=""),"",D1154&amp;"|"&amp;TEXT(J1154,"yyyy-mm"))</f>
        <v/>
      </c>
      <c r="L1154" s="24">
        <f>IF(K1154="","",IFERROR(INDEX(Lotes!$N$5:$N$154,MATCH(K1154,Lotes!$P$5:$P$154,0)),"Sem lote cadastrado"))</f>
        <v/>
      </c>
      <c r="M1154" s="25">
        <f>IF(H1154="Sim",G1154,0)</f>
        <v>0</v>
      </c>
      <c r="N1154" s="42">
        <f>IF(AND(H1154="Sim",I1154&lt;&gt;"Aceito"),G1154+ROW()/100000,0)</f>
        <v>0</v>
      </c>
    </row>
    <row r="1155">
      <c r="A1155" s="35" t="n"/>
      <c r="B1155" s="39" t="n"/>
      <c r="C1155" s="33" t="n"/>
      <c r="D1155" s="35" t="n"/>
      <c r="E1155" s="33" t="n"/>
      <c r="F1155" s="33" t="n"/>
      <c r="G1155" s="40" t="n"/>
      <c r="H1155" s="35" t="n"/>
      <c r="I1155" s="35" t="n"/>
      <c r="J1155" s="30">
        <f>IF(B1155="","",DATE(YEAR(B1155),MONTH(B1155),1))</f>
        <v/>
      </c>
      <c r="K1155" s="41">
        <f>IF(OR(B1155="",D1155=""),"",D1155&amp;"|"&amp;TEXT(J1155,"yyyy-mm"))</f>
        <v/>
      </c>
      <c r="L1155" s="24">
        <f>IF(K1155="","",IFERROR(INDEX(Lotes!$N$5:$N$154,MATCH(K1155,Lotes!$P$5:$P$154,0)),"Sem lote cadastrado"))</f>
        <v/>
      </c>
      <c r="M1155" s="25">
        <f>IF(H1155="Sim",G1155,0)</f>
        <v>0</v>
      </c>
      <c r="N1155" s="42">
        <f>IF(AND(H1155="Sim",I1155&lt;&gt;"Aceito"),G1155+ROW()/100000,0)</f>
        <v>0</v>
      </c>
    </row>
    <row r="1156">
      <c r="A1156" s="35" t="n"/>
      <c r="B1156" s="39" t="n"/>
      <c r="C1156" s="33" t="n"/>
      <c r="D1156" s="35" t="n"/>
      <c r="E1156" s="33" t="n"/>
      <c r="F1156" s="33" t="n"/>
      <c r="G1156" s="40" t="n"/>
      <c r="H1156" s="35" t="n"/>
      <c r="I1156" s="35" t="n"/>
      <c r="J1156" s="30">
        <f>IF(B1156="","",DATE(YEAR(B1156),MONTH(B1156),1))</f>
        <v/>
      </c>
      <c r="K1156" s="41">
        <f>IF(OR(B1156="",D1156=""),"",D1156&amp;"|"&amp;TEXT(J1156,"yyyy-mm"))</f>
        <v/>
      </c>
      <c r="L1156" s="24">
        <f>IF(K1156="","",IFERROR(INDEX(Lotes!$N$5:$N$154,MATCH(K1156,Lotes!$P$5:$P$154,0)),"Sem lote cadastrado"))</f>
        <v/>
      </c>
      <c r="M1156" s="25">
        <f>IF(H1156="Sim",G1156,0)</f>
        <v>0</v>
      </c>
      <c r="N1156" s="42">
        <f>IF(AND(H1156="Sim",I1156&lt;&gt;"Aceito"),G1156+ROW()/100000,0)</f>
        <v>0</v>
      </c>
    </row>
    <row r="1157">
      <c r="A1157" s="35" t="n"/>
      <c r="B1157" s="39" t="n"/>
      <c r="C1157" s="33" t="n"/>
      <c r="D1157" s="35" t="n"/>
      <c r="E1157" s="33" t="n"/>
      <c r="F1157" s="33" t="n"/>
      <c r="G1157" s="40" t="n"/>
      <c r="H1157" s="35" t="n"/>
      <c r="I1157" s="35" t="n"/>
      <c r="J1157" s="30">
        <f>IF(B1157="","",DATE(YEAR(B1157),MONTH(B1157),1))</f>
        <v/>
      </c>
      <c r="K1157" s="41">
        <f>IF(OR(B1157="",D1157=""),"",D1157&amp;"|"&amp;TEXT(J1157,"yyyy-mm"))</f>
        <v/>
      </c>
      <c r="L1157" s="24">
        <f>IF(K1157="","",IFERROR(INDEX(Lotes!$N$5:$N$154,MATCH(K1157,Lotes!$P$5:$P$154,0)),"Sem lote cadastrado"))</f>
        <v/>
      </c>
      <c r="M1157" s="25">
        <f>IF(H1157="Sim",G1157,0)</f>
        <v>0</v>
      </c>
      <c r="N1157" s="42">
        <f>IF(AND(H1157="Sim",I1157&lt;&gt;"Aceito"),G1157+ROW()/100000,0)</f>
        <v>0</v>
      </c>
    </row>
    <row r="1158">
      <c r="A1158" s="35" t="n"/>
      <c r="B1158" s="39" t="n"/>
      <c r="C1158" s="33" t="n"/>
      <c r="D1158" s="35" t="n"/>
      <c r="E1158" s="33" t="n"/>
      <c r="F1158" s="33" t="n"/>
      <c r="G1158" s="40" t="n"/>
      <c r="H1158" s="35" t="n"/>
      <c r="I1158" s="35" t="n"/>
      <c r="J1158" s="30">
        <f>IF(B1158="","",DATE(YEAR(B1158),MONTH(B1158),1))</f>
        <v/>
      </c>
      <c r="K1158" s="41">
        <f>IF(OR(B1158="",D1158=""),"",D1158&amp;"|"&amp;TEXT(J1158,"yyyy-mm"))</f>
        <v/>
      </c>
      <c r="L1158" s="24">
        <f>IF(K1158="","",IFERROR(INDEX(Lotes!$N$5:$N$154,MATCH(K1158,Lotes!$P$5:$P$154,0)),"Sem lote cadastrado"))</f>
        <v/>
      </c>
      <c r="M1158" s="25">
        <f>IF(H1158="Sim",G1158,0)</f>
        <v>0</v>
      </c>
      <c r="N1158" s="42">
        <f>IF(AND(H1158="Sim",I1158&lt;&gt;"Aceito"),G1158+ROW()/100000,0)</f>
        <v>0</v>
      </c>
    </row>
    <row r="1159">
      <c r="A1159" s="35" t="n"/>
      <c r="B1159" s="39" t="n"/>
      <c r="C1159" s="33" t="n"/>
      <c r="D1159" s="35" t="n"/>
      <c r="E1159" s="33" t="n"/>
      <c r="F1159" s="33" t="n"/>
      <c r="G1159" s="40" t="n"/>
      <c r="H1159" s="35" t="n"/>
      <c r="I1159" s="35" t="n"/>
      <c r="J1159" s="30">
        <f>IF(B1159="","",DATE(YEAR(B1159),MONTH(B1159),1))</f>
        <v/>
      </c>
      <c r="K1159" s="41">
        <f>IF(OR(B1159="",D1159=""),"",D1159&amp;"|"&amp;TEXT(J1159,"yyyy-mm"))</f>
        <v/>
      </c>
      <c r="L1159" s="24">
        <f>IF(K1159="","",IFERROR(INDEX(Lotes!$N$5:$N$154,MATCH(K1159,Lotes!$P$5:$P$154,0)),"Sem lote cadastrado"))</f>
        <v/>
      </c>
      <c r="M1159" s="25">
        <f>IF(H1159="Sim",G1159,0)</f>
        <v>0</v>
      </c>
      <c r="N1159" s="42">
        <f>IF(AND(H1159="Sim",I1159&lt;&gt;"Aceito"),G1159+ROW()/100000,0)</f>
        <v>0</v>
      </c>
    </row>
    <row r="1160">
      <c r="A1160" s="35" t="n"/>
      <c r="B1160" s="39" t="n"/>
      <c r="C1160" s="33" t="n"/>
      <c r="D1160" s="35" t="n"/>
      <c r="E1160" s="33" t="n"/>
      <c r="F1160" s="33" t="n"/>
      <c r="G1160" s="40" t="n"/>
      <c r="H1160" s="35" t="n"/>
      <c r="I1160" s="35" t="n"/>
      <c r="J1160" s="30">
        <f>IF(B1160="","",DATE(YEAR(B1160),MONTH(B1160),1))</f>
        <v/>
      </c>
      <c r="K1160" s="41">
        <f>IF(OR(B1160="",D1160=""),"",D1160&amp;"|"&amp;TEXT(J1160,"yyyy-mm"))</f>
        <v/>
      </c>
      <c r="L1160" s="24">
        <f>IF(K1160="","",IFERROR(INDEX(Lotes!$N$5:$N$154,MATCH(K1160,Lotes!$P$5:$P$154,0)),"Sem lote cadastrado"))</f>
        <v/>
      </c>
      <c r="M1160" s="25">
        <f>IF(H1160="Sim",G1160,0)</f>
        <v>0</v>
      </c>
      <c r="N1160" s="42">
        <f>IF(AND(H1160="Sim",I1160&lt;&gt;"Aceito"),G1160+ROW()/100000,0)</f>
        <v>0</v>
      </c>
    </row>
    <row r="1161">
      <c r="A1161" s="35" t="n"/>
      <c r="B1161" s="39" t="n"/>
      <c r="C1161" s="33" t="n"/>
      <c r="D1161" s="35" t="n"/>
      <c r="E1161" s="33" t="n"/>
      <c r="F1161" s="33" t="n"/>
      <c r="G1161" s="40" t="n"/>
      <c r="H1161" s="35" t="n"/>
      <c r="I1161" s="35" t="n"/>
      <c r="J1161" s="30">
        <f>IF(B1161="","",DATE(YEAR(B1161),MONTH(B1161),1))</f>
        <v/>
      </c>
      <c r="K1161" s="41">
        <f>IF(OR(B1161="",D1161=""),"",D1161&amp;"|"&amp;TEXT(J1161,"yyyy-mm"))</f>
        <v/>
      </c>
      <c r="L1161" s="24">
        <f>IF(K1161="","",IFERROR(INDEX(Lotes!$N$5:$N$154,MATCH(K1161,Lotes!$P$5:$P$154,0)),"Sem lote cadastrado"))</f>
        <v/>
      </c>
      <c r="M1161" s="25">
        <f>IF(H1161="Sim",G1161,0)</f>
        <v>0</v>
      </c>
      <c r="N1161" s="42">
        <f>IF(AND(H1161="Sim",I1161&lt;&gt;"Aceito"),G1161+ROW()/100000,0)</f>
        <v>0</v>
      </c>
    </row>
    <row r="1162">
      <c r="A1162" s="35" t="n"/>
      <c r="B1162" s="39" t="n"/>
      <c r="C1162" s="33" t="n"/>
      <c r="D1162" s="35" t="n"/>
      <c r="E1162" s="33" t="n"/>
      <c r="F1162" s="33" t="n"/>
      <c r="G1162" s="40" t="n"/>
      <c r="H1162" s="35" t="n"/>
      <c r="I1162" s="35" t="n"/>
      <c r="J1162" s="30">
        <f>IF(B1162="","",DATE(YEAR(B1162),MONTH(B1162),1))</f>
        <v/>
      </c>
      <c r="K1162" s="41">
        <f>IF(OR(B1162="",D1162=""),"",D1162&amp;"|"&amp;TEXT(J1162,"yyyy-mm"))</f>
        <v/>
      </c>
      <c r="L1162" s="24">
        <f>IF(K1162="","",IFERROR(INDEX(Lotes!$N$5:$N$154,MATCH(K1162,Lotes!$P$5:$P$154,0)),"Sem lote cadastrado"))</f>
        <v/>
      </c>
      <c r="M1162" s="25">
        <f>IF(H1162="Sim",G1162,0)</f>
        <v>0</v>
      </c>
      <c r="N1162" s="42">
        <f>IF(AND(H1162="Sim",I1162&lt;&gt;"Aceito"),G1162+ROW()/100000,0)</f>
        <v>0</v>
      </c>
    </row>
    <row r="1163">
      <c r="A1163" s="35" t="n"/>
      <c r="B1163" s="39" t="n"/>
      <c r="C1163" s="33" t="n"/>
      <c r="D1163" s="35" t="n"/>
      <c r="E1163" s="33" t="n"/>
      <c r="F1163" s="33" t="n"/>
      <c r="G1163" s="40" t="n"/>
      <c r="H1163" s="35" t="n"/>
      <c r="I1163" s="35" t="n"/>
      <c r="J1163" s="30">
        <f>IF(B1163="","",DATE(YEAR(B1163),MONTH(B1163),1))</f>
        <v/>
      </c>
      <c r="K1163" s="41">
        <f>IF(OR(B1163="",D1163=""),"",D1163&amp;"|"&amp;TEXT(J1163,"yyyy-mm"))</f>
        <v/>
      </c>
      <c r="L1163" s="24">
        <f>IF(K1163="","",IFERROR(INDEX(Lotes!$N$5:$N$154,MATCH(K1163,Lotes!$P$5:$P$154,0)),"Sem lote cadastrado"))</f>
        <v/>
      </c>
      <c r="M1163" s="25">
        <f>IF(H1163="Sim",G1163,0)</f>
        <v>0</v>
      </c>
      <c r="N1163" s="42">
        <f>IF(AND(H1163="Sim",I1163&lt;&gt;"Aceito"),G1163+ROW()/100000,0)</f>
        <v>0</v>
      </c>
    </row>
    <row r="1164">
      <c r="A1164" s="35" t="n"/>
      <c r="B1164" s="39" t="n"/>
      <c r="C1164" s="33" t="n"/>
      <c r="D1164" s="35" t="n"/>
      <c r="E1164" s="33" t="n"/>
      <c r="F1164" s="33" t="n"/>
      <c r="G1164" s="40" t="n"/>
      <c r="H1164" s="35" t="n"/>
      <c r="I1164" s="35" t="n"/>
      <c r="J1164" s="30">
        <f>IF(B1164="","",DATE(YEAR(B1164),MONTH(B1164),1))</f>
        <v/>
      </c>
      <c r="K1164" s="41">
        <f>IF(OR(B1164="",D1164=""),"",D1164&amp;"|"&amp;TEXT(J1164,"yyyy-mm"))</f>
        <v/>
      </c>
      <c r="L1164" s="24">
        <f>IF(K1164="","",IFERROR(INDEX(Lotes!$N$5:$N$154,MATCH(K1164,Lotes!$P$5:$P$154,0)),"Sem lote cadastrado"))</f>
        <v/>
      </c>
      <c r="M1164" s="25">
        <f>IF(H1164="Sim",G1164,0)</f>
        <v>0</v>
      </c>
      <c r="N1164" s="42">
        <f>IF(AND(H1164="Sim",I1164&lt;&gt;"Aceito"),G1164+ROW()/100000,0)</f>
        <v>0</v>
      </c>
    </row>
    <row r="1165">
      <c r="A1165" s="35" t="n"/>
      <c r="B1165" s="39" t="n"/>
      <c r="C1165" s="33" t="n"/>
      <c r="D1165" s="35" t="n"/>
      <c r="E1165" s="33" t="n"/>
      <c r="F1165" s="33" t="n"/>
      <c r="G1165" s="40" t="n"/>
      <c r="H1165" s="35" t="n"/>
      <c r="I1165" s="35" t="n"/>
      <c r="J1165" s="30">
        <f>IF(B1165="","",DATE(YEAR(B1165),MONTH(B1165),1))</f>
        <v/>
      </c>
      <c r="K1165" s="41">
        <f>IF(OR(B1165="",D1165=""),"",D1165&amp;"|"&amp;TEXT(J1165,"yyyy-mm"))</f>
        <v/>
      </c>
      <c r="L1165" s="24">
        <f>IF(K1165="","",IFERROR(INDEX(Lotes!$N$5:$N$154,MATCH(K1165,Lotes!$P$5:$P$154,0)),"Sem lote cadastrado"))</f>
        <v/>
      </c>
      <c r="M1165" s="25">
        <f>IF(H1165="Sim",G1165,0)</f>
        <v>0</v>
      </c>
      <c r="N1165" s="42">
        <f>IF(AND(H1165="Sim",I1165&lt;&gt;"Aceito"),G1165+ROW()/100000,0)</f>
        <v>0</v>
      </c>
    </row>
    <row r="1166">
      <c r="A1166" s="35" t="n"/>
      <c r="B1166" s="39" t="n"/>
      <c r="C1166" s="33" t="n"/>
      <c r="D1166" s="35" t="n"/>
      <c r="E1166" s="33" t="n"/>
      <c r="F1166" s="33" t="n"/>
      <c r="G1166" s="40" t="n"/>
      <c r="H1166" s="35" t="n"/>
      <c r="I1166" s="35" t="n"/>
      <c r="J1166" s="30">
        <f>IF(B1166="","",DATE(YEAR(B1166),MONTH(B1166),1))</f>
        <v/>
      </c>
      <c r="K1166" s="41">
        <f>IF(OR(B1166="",D1166=""),"",D1166&amp;"|"&amp;TEXT(J1166,"yyyy-mm"))</f>
        <v/>
      </c>
      <c r="L1166" s="24">
        <f>IF(K1166="","",IFERROR(INDEX(Lotes!$N$5:$N$154,MATCH(K1166,Lotes!$P$5:$P$154,0)),"Sem lote cadastrado"))</f>
        <v/>
      </c>
      <c r="M1166" s="25">
        <f>IF(H1166="Sim",G1166,0)</f>
        <v>0</v>
      </c>
      <c r="N1166" s="42">
        <f>IF(AND(H1166="Sim",I1166&lt;&gt;"Aceito"),G1166+ROW()/100000,0)</f>
        <v>0</v>
      </c>
    </row>
    <row r="1167">
      <c r="A1167" s="35" t="n"/>
      <c r="B1167" s="39" t="n"/>
      <c r="C1167" s="33" t="n"/>
      <c r="D1167" s="35" t="n"/>
      <c r="E1167" s="33" t="n"/>
      <c r="F1167" s="33" t="n"/>
      <c r="G1167" s="40" t="n"/>
      <c r="H1167" s="35" t="n"/>
      <c r="I1167" s="35" t="n"/>
      <c r="J1167" s="30">
        <f>IF(B1167="","",DATE(YEAR(B1167),MONTH(B1167),1))</f>
        <v/>
      </c>
      <c r="K1167" s="41">
        <f>IF(OR(B1167="",D1167=""),"",D1167&amp;"|"&amp;TEXT(J1167,"yyyy-mm"))</f>
        <v/>
      </c>
      <c r="L1167" s="24">
        <f>IF(K1167="","",IFERROR(INDEX(Lotes!$N$5:$N$154,MATCH(K1167,Lotes!$P$5:$P$154,0)),"Sem lote cadastrado"))</f>
        <v/>
      </c>
      <c r="M1167" s="25">
        <f>IF(H1167="Sim",G1167,0)</f>
        <v>0</v>
      </c>
      <c r="N1167" s="42">
        <f>IF(AND(H1167="Sim",I1167&lt;&gt;"Aceito"),G1167+ROW()/100000,0)</f>
        <v>0</v>
      </c>
    </row>
    <row r="1168">
      <c r="A1168" s="35" t="n"/>
      <c r="B1168" s="39" t="n"/>
      <c r="C1168" s="33" t="n"/>
      <c r="D1168" s="35" t="n"/>
      <c r="E1168" s="33" t="n"/>
      <c r="F1168" s="33" t="n"/>
      <c r="G1168" s="40" t="n"/>
      <c r="H1168" s="35" t="n"/>
      <c r="I1168" s="35" t="n"/>
      <c r="J1168" s="30">
        <f>IF(B1168="","",DATE(YEAR(B1168),MONTH(B1168),1))</f>
        <v/>
      </c>
      <c r="K1168" s="41">
        <f>IF(OR(B1168="",D1168=""),"",D1168&amp;"|"&amp;TEXT(J1168,"yyyy-mm"))</f>
        <v/>
      </c>
      <c r="L1168" s="24">
        <f>IF(K1168="","",IFERROR(INDEX(Lotes!$N$5:$N$154,MATCH(K1168,Lotes!$P$5:$P$154,0)),"Sem lote cadastrado"))</f>
        <v/>
      </c>
      <c r="M1168" s="25">
        <f>IF(H1168="Sim",G1168,0)</f>
        <v>0</v>
      </c>
      <c r="N1168" s="42">
        <f>IF(AND(H1168="Sim",I1168&lt;&gt;"Aceito"),G1168+ROW()/100000,0)</f>
        <v>0</v>
      </c>
    </row>
    <row r="1169">
      <c r="A1169" s="35" t="n"/>
      <c r="B1169" s="39" t="n"/>
      <c r="C1169" s="33" t="n"/>
      <c r="D1169" s="35" t="n"/>
      <c r="E1169" s="33" t="n"/>
      <c r="F1169" s="33" t="n"/>
      <c r="G1169" s="40" t="n"/>
      <c r="H1169" s="35" t="n"/>
      <c r="I1169" s="35" t="n"/>
      <c r="J1169" s="30">
        <f>IF(B1169="","",DATE(YEAR(B1169),MONTH(B1169),1))</f>
        <v/>
      </c>
      <c r="K1169" s="41">
        <f>IF(OR(B1169="",D1169=""),"",D1169&amp;"|"&amp;TEXT(J1169,"yyyy-mm"))</f>
        <v/>
      </c>
      <c r="L1169" s="24">
        <f>IF(K1169="","",IFERROR(INDEX(Lotes!$N$5:$N$154,MATCH(K1169,Lotes!$P$5:$P$154,0)),"Sem lote cadastrado"))</f>
        <v/>
      </c>
      <c r="M1169" s="25">
        <f>IF(H1169="Sim",G1169,0)</f>
        <v>0</v>
      </c>
      <c r="N1169" s="42">
        <f>IF(AND(H1169="Sim",I1169&lt;&gt;"Aceito"),G1169+ROW()/100000,0)</f>
        <v>0</v>
      </c>
    </row>
    <row r="1170">
      <c r="A1170" s="35" t="n"/>
      <c r="B1170" s="39" t="n"/>
      <c r="C1170" s="33" t="n"/>
      <c r="D1170" s="35" t="n"/>
      <c r="E1170" s="33" t="n"/>
      <c r="F1170" s="33" t="n"/>
      <c r="G1170" s="40" t="n"/>
      <c r="H1170" s="35" t="n"/>
      <c r="I1170" s="35" t="n"/>
      <c r="J1170" s="30">
        <f>IF(B1170="","",DATE(YEAR(B1170),MONTH(B1170),1))</f>
        <v/>
      </c>
      <c r="K1170" s="41">
        <f>IF(OR(B1170="",D1170=""),"",D1170&amp;"|"&amp;TEXT(J1170,"yyyy-mm"))</f>
        <v/>
      </c>
      <c r="L1170" s="24">
        <f>IF(K1170="","",IFERROR(INDEX(Lotes!$N$5:$N$154,MATCH(K1170,Lotes!$P$5:$P$154,0)),"Sem lote cadastrado"))</f>
        <v/>
      </c>
      <c r="M1170" s="25">
        <f>IF(H1170="Sim",G1170,0)</f>
        <v>0</v>
      </c>
      <c r="N1170" s="42">
        <f>IF(AND(H1170="Sim",I1170&lt;&gt;"Aceito"),G1170+ROW()/100000,0)</f>
        <v>0</v>
      </c>
    </row>
    <row r="1171">
      <c r="A1171" s="35" t="n"/>
      <c r="B1171" s="39" t="n"/>
      <c r="C1171" s="33" t="n"/>
      <c r="D1171" s="35" t="n"/>
      <c r="E1171" s="33" t="n"/>
      <c r="F1171" s="33" t="n"/>
      <c r="G1171" s="40" t="n"/>
      <c r="H1171" s="35" t="n"/>
      <c r="I1171" s="35" t="n"/>
      <c r="J1171" s="30">
        <f>IF(B1171="","",DATE(YEAR(B1171),MONTH(B1171),1))</f>
        <v/>
      </c>
      <c r="K1171" s="41">
        <f>IF(OR(B1171="",D1171=""),"",D1171&amp;"|"&amp;TEXT(J1171,"yyyy-mm"))</f>
        <v/>
      </c>
      <c r="L1171" s="24">
        <f>IF(K1171="","",IFERROR(INDEX(Lotes!$N$5:$N$154,MATCH(K1171,Lotes!$P$5:$P$154,0)),"Sem lote cadastrado"))</f>
        <v/>
      </c>
      <c r="M1171" s="25">
        <f>IF(H1171="Sim",G1171,0)</f>
        <v>0</v>
      </c>
      <c r="N1171" s="42">
        <f>IF(AND(H1171="Sim",I1171&lt;&gt;"Aceito"),G1171+ROW()/100000,0)</f>
        <v>0</v>
      </c>
    </row>
    <row r="1172">
      <c r="A1172" s="35" t="n"/>
      <c r="B1172" s="39" t="n"/>
      <c r="C1172" s="33" t="n"/>
      <c r="D1172" s="35" t="n"/>
      <c r="E1172" s="33" t="n"/>
      <c r="F1172" s="33" t="n"/>
      <c r="G1172" s="40" t="n"/>
      <c r="H1172" s="35" t="n"/>
      <c r="I1172" s="35" t="n"/>
      <c r="J1172" s="30">
        <f>IF(B1172="","",DATE(YEAR(B1172),MONTH(B1172),1))</f>
        <v/>
      </c>
      <c r="K1172" s="41">
        <f>IF(OR(B1172="",D1172=""),"",D1172&amp;"|"&amp;TEXT(J1172,"yyyy-mm"))</f>
        <v/>
      </c>
      <c r="L1172" s="24">
        <f>IF(K1172="","",IFERROR(INDEX(Lotes!$N$5:$N$154,MATCH(K1172,Lotes!$P$5:$P$154,0)),"Sem lote cadastrado"))</f>
        <v/>
      </c>
      <c r="M1172" s="25">
        <f>IF(H1172="Sim",G1172,0)</f>
        <v>0</v>
      </c>
      <c r="N1172" s="42">
        <f>IF(AND(H1172="Sim",I1172&lt;&gt;"Aceito"),G1172+ROW()/100000,0)</f>
        <v>0</v>
      </c>
    </row>
    <row r="1173">
      <c r="A1173" s="35" t="n"/>
      <c r="B1173" s="39" t="n"/>
      <c r="C1173" s="33" t="n"/>
      <c r="D1173" s="35" t="n"/>
      <c r="E1173" s="33" t="n"/>
      <c r="F1173" s="33" t="n"/>
      <c r="G1173" s="40" t="n"/>
      <c r="H1173" s="35" t="n"/>
      <c r="I1173" s="35" t="n"/>
      <c r="J1173" s="30">
        <f>IF(B1173="","",DATE(YEAR(B1173),MONTH(B1173),1))</f>
        <v/>
      </c>
      <c r="K1173" s="41">
        <f>IF(OR(B1173="",D1173=""),"",D1173&amp;"|"&amp;TEXT(J1173,"yyyy-mm"))</f>
        <v/>
      </c>
      <c r="L1173" s="24">
        <f>IF(K1173="","",IFERROR(INDEX(Lotes!$N$5:$N$154,MATCH(K1173,Lotes!$P$5:$P$154,0)),"Sem lote cadastrado"))</f>
        <v/>
      </c>
      <c r="M1173" s="25">
        <f>IF(H1173="Sim",G1173,0)</f>
        <v>0</v>
      </c>
      <c r="N1173" s="42">
        <f>IF(AND(H1173="Sim",I1173&lt;&gt;"Aceito"),G1173+ROW()/100000,0)</f>
        <v>0</v>
      </c>
    </row>
    <row r="1174">
      <c r="A1174" s="35" t="n"/>
      <c r="B1174" s="39" t="n"/>
      <c r="C1174" s="33" t="n"/>
      <c r="D1174" s="35" t="n"/>
      <c r="E1174" s="33" t="n"/>
      <c r="F1174" s="33" t="n"/>
      <c r="G1174" s="40" t="n"/>
      <c r="H1174" s="35" t="n"/>
      <c r="I1174" s="35" t="n"/>
      <c r="J1174" s="30">
        <f>IF(B1174="","",DATE(YEAR(B1174),MONTH(B1174),1))</f>
        <v/>
      </c>
      <c r="K1174" s="41">
        <f>IF(OR(B1174="",D1174=""),"",D1174&amp;"|"&amp;TEXT(J1174,"yyyy-mm"))</f>
        <v/>
      </c>
      <c r="L1174" s="24">
        <f>IF(K1174="","",IFERROR(INDEX(Lotes!$N$5:$N$154,MATCH(K1174,Lotes!$P$5:$P$154,0)),"Sem lote cadastrado"))</f>
        <v/>
      </c>
      <c r="M1174" s="25">
        <f>IF(H1174="Sim",G1174,0)</f>
        <v>0</v>
      </c>
      <c r="N1174" s="42">
        <f>IF(AND(H1174="Sim",I1174&lt;&gt;"Aceito"),G1174+ROW()/100000,0)</f>
        <v>0</v>
      </c>
    </row>
    <row r="1175">
      <c r="A1175" s="35" t="n"/>
      <c r="B1175" s="39" t="n"/>
      <c r="C1175" s="33" t="n"/>
      <c r="D1175" s="35" t="n"/>
      <c r="E1175" s="33" t="n"/>
      <c r="F1175" s="33" t="n"/>
      <c r="G1175" s="40" t="n"/>
      <c r="H1175" s="35" t="n"/>
      <c r="I1175" s="35" t="n"/>
      <c r="J1175" s="30">
        <f>IF(B1175="","",DATE(YEAR(B1175),MONTH(B1175),1))</f>
        <v/>
      </c>
      <c r="K1175" s="41">
        <f>IF(OR(B1175="",D1175=""),"",D1175&amp;"|"&amp;TEXT(J1175,"yyyy-mm"))</f>
        <v/>
      </c>
      <c r="L1175" s="24">
        <f>IF(K1175="","",IFERROR(INDEX(Lotes!$N$5:$N$154,MATCH(K1175,Lotes!$P$5:$P$154,0)),"Sem lote cadastrado"))</f>
        <v/>
      </c>
      <c r="M1175" s="25">
        <f>IF(H1175="Sim",G1175,0)</f>
        <v>0</v>
      </c>
      <c r="N1175" s="42">
        <f>IF(AND(H1175="Sim",I1175&lt;&gt;"Aceito"),G1175+ROW()/100000,0)</f>
        <v>0</v>
      </c>
    </row>
    <row r="1176">
      <c r="A1176" s="35" t="n"/>
      <c r="B1176" s="39" t="n"/>
      <c r="C1176" s="33" t="n"/>
      <c r="D1176" s="35" t="n"/>
      <c r="E1176" s="33" t="n"/>
      <c r="F1176" s="33" t="n"/>
      <c r="G1176" s="40" t="n"/>
      <c r="H1176" s="35" t="n"/>
      <c r="I1176" s="35" t="n"/>
      <c r="J1176" s="30">
        <f>IF(B1176="","",DATE(YEAR(B1176),MONTH(B1176),1))</f>
        <v/>
      </c>
      <c r="K1176" s="41">
        <f>IF(OR(B1176="",D1176=""),"",D1176&amp;"|"&amp;TEXT(J1176,"yyyy-mm"))</f>
        <v/>
      </c>
      <c r="L1176" s="24">
        <f>IF(K1176="","",IFERROR(INDEX(Lotes!$N$5:$N$154,MATCH(K1176,Lotes!$P$5:$P$154,0)),"Sem lote cadastrado"))</f>
        <v/>
      </c>
      <c r="M1176" s="25">
        <f>IF(H1176="Sim",G1176,0)</f>
        <v>0</v>
      </c>
      <c r="N1176" s="42">
        <f>IF(AND(H1176="Sim",I1176&lt;&gt;"Aceito"),G1176+ROW()/100000,0)</f>
        <v>0</v>
      </c>
    </row>
    <row r="1177">
      <c r="A1177" s="35" t="n"/>
      <c r="B1177" s="39" t="n"/>
      <c r="C1177" s="33" t="n"/>
      <c r="D1177" s="35" t="n"/>
      <c r="E1177" s="33" t="n"/>
      <c r="F1177" s="33" t="n"/>
      <c r="G1177" s="40" t="n"/>
      <c r="H1177" s="35" t="n"/>
      <c r="I1177" s="35" t="n"/>
      <c r="J1177" s="30">
        <f>IF(B1177="","",DATE(YEAR(B1177),MONTH(B1177),1))</f>
        <v/>
      </c>
      <c r="K1177" s="41">
        <f>IF(OR(B1177="",D1177=""),"",D1177&amp;"|"&amp;TEXT(J1177,"yyyy-mm"))</f>
        <v/>
      </c>
      <c r="L1177" s="24">
        <f>IF(K1177="","",IFERROR(INDEX(Lotes!$N$5:$N$154,MATCH(K1177,Lotes!$P$5:$P$154,0)),"Sem lote cadastrado"))</f>
        <v/>
      </c>
      <c r="M1177" s="25">
        <f>IF(H1177="Sim",G1177,0)</f>
        <v>0</v>
      </c>
      <c r="N1177" s="42">
        <f>IF(AND(H1177="Sim",I1177&lt;&gt;"Aceito"),G1177+ROW()/100000,0)</f>
        <v>0</v>
      </c>
    </row>
    <row r="1178">
      <c r="A1178" s="35" t="n"/>
      <c r="B1178" s="39" t="n"/>
      <c r="C1178" s="33" t="n"/>
      <c r="D1178" s="35" t="n"/>
      <c r="E1178" s="33" t="n"/>
      <c r="F1178" s="33" t="n"/>
      <c r="G1178" s="40" t="n"/>
      <c r="H1178" s="35" t="n"/>
      <c r="I1178" s="35" t="n"/>
      <c r="J1178" s="30">
        <f>IF(B1178="","",DATE(YEAR(B1178),MONTH(B1178),1))</f>
        <v/>
      </c>
      <c r="K1178" s="41">
        <f>IF(OR(B1178="",D1178=""),"",D1178&amp;"|"&amp;TEXT(J1178,"yyyy-mm"))</f>
        <v/>
      </c>
      <c r="L1178" s="24">
        <f>IF(K1178="","",IFERROR(INDEX(Lotes!$N$5:$N$154,MATCH(K1178,Lotes!$P$5:$P$154,0)),"Sem lote cadastrado"))</f>
        <v/>
      </c>
      <c r="M1178" s="25">
        <f>IF(H1178="Sim",G1178,0)</f>
        <v>0</v>
      </c>
      <c r="N1178" s="42">
        <f>IF(AND(H1178="Sim",I1178&lt;&gt;"Aceito"),G1178+ROW()/100000,0)</f>
        <v>0</v>
      </c>
    </row>
    <row r="1179">
      <c r="A1179" s="35" t="n"/>
      <c r="B1179" s="39" t="n"/>
      <c r="C1179" s="33" t="n"/>
      <c r="D1179" s="35" t="n"/>
      <c r="E1179" s="33" t="n"/>
      <c r="F1179" s="33" t="n"/>
      <c r="G1179" s="40" t="n"/>
      <c r="H1179" s="35" t="n"/>
      <c r="I1179" s="35" t="n"/>
      <c r="J1179" s="30">
        <f>IF(B1179="","",DATE(YEAR(B1179),MONTH(B1179),1))</f>
        <v/>
      </c>
      <c r="K1179" s="41">
        <f>IF(OR(B1179="",D1179=""),"",D1179&amp;"|"&amp;TEXT(J1179,"yyyy-mm"))</f>
        <v/>
      </c>
      <c r="L1179" s="24">
        <f>IF(K1179="","",IFERROR(INDEX(Lotes!$N$5:$N$154,MATCH(K1179,Lotes!$P$5:$P$154,0)),"Sem lote cadastrado"))</f>
        <v/>
      </c>
      <c r="M1179" s="25">
        <f>IF(H1179="Sim",G1179,0)</f>
        <v>0</v>
      </c>
      <c r="N1179" s="42">
        <f>IF(AND(H1179="Sim",I1179&lt;&gt;"Aceito"),G1179+ROW()/100000,0)</f>
        <v>0</v>
      </c>
    </row>
    <row r="1180">
      <c r="A1180" s="35" t="n"/>
      <c r="B1180" s="39" t="n"/>
      <c r="C1180" s="33" t="n"/>
      <c r="D1180" s="35" t="n"/>
      <c r="E1180" s="33" t="n"/>
      <c r="F1180" s="33" t="n"/>
      <c r="G1180" s="40" t="n"/>
      <c r="H1180" s="35" t="n"/>
      <c r="I1180" s="35" t="n"/>
      <c r="J1180" s="30">
        <f>IF(B1180="","",DATE(YEAR(B1180),MONTH(B1180),1))</f>
        <v/>
      </c>
      <c r="K1180" s="41">
        <f>IF(OR(B1180="",D1180=""),"",D1180&amp;"|"&amp;TEXT(J1180,"yyyy-mm"))</f>
        <v/>
      </c>
      <c r="L1180" s="24">
        <f>IF(K1180="","",IFERROR(INDEX(Lotes!$N$5:$N$154,MATCH(K1180,Lotes!$P$5:$P$154,0)),"Sem lote cadastrado"))</f>
        <v/>
      </c>
      <c r="M1180" s="25">
        <f>IF(H1180="Sim",G1180,0)</f>
        <v>0</v>
      </c>
      <c r="N1180" s="42">
        <f>IF(AND(H1180="Sim",I1180&lt;&gt;"Aceito"),G1180+ROW()/100000,0)</f>
        <v>0</v>
      </c>
    </row>
    <row r="1181">
      <c r="A1181" s="35" t="n"/>
      <c r="B1181" s="39" t="n"/>
      <c r="C1181" s="33" t="n"/>
      <c r="D1181" s="35" t="n"/>
      <c r="E1181" s="33" t="n"/>
      <c r="F1181" s="33" t="n"/>
      <c r="G1181" s="40" t="n"/>
      <c r="H1181" s="35" t="n"/>
      <c r="I1181" s="35" t="n"/>
      <c r="J1181" s="30">
        <f>IF(B1181="","",DATE(YEAR(B1181),MONTH(B1181),1))</f>
        <v/>
      </c>
      <c r="K1181" s="41">
        <f>IF(OR(B1181="",D1181=""),"",D1181&amp;"|"&amp;TEXT(J1181,"yyyy-mm"))</f>
        <v/>
      </c>
      <c r="L1181" s="24">
        <f>IF(K1181="","",IFERROR(INDEX(Lotes!$N$5:$N$154,MATCH(K1181,Lotes!$P$5:$P$154,0)),"Sem lote cadastrado"))</f>
        <v/>
      </c>
      <c r="M1181" s="25">
        <f>IF(H1181="Sim",G1181,0)</f>
        <v>0</v>
      </c>
      <c r="N1181" s="42">
        <f>IF(AND(H1181="Sim",I1181&lt;&gt;"Aceito"),G1181+ROW()/100000,0)</f>
        <v>0</v>
      </c>
    </row>
    <row r="1182">
      <c r="A1182" s="35" t="n"/>
      <c r="B1182" s="39" t="n"/>
      <c r="C1182" s="33" t="n"/>
      <c r="D1182" s="35" t="n"/>
      <c r="E1182" s="33" t="n"/>
      <c r="F1182" s="33" t="n"/>
      <c r="G1182" s="40" t="n"/>
      <c r="H1182" s="35" t="n"/>
      <c r="I1182" s="35" t="n"/>
      <c r="J1182" s="30">
        <f>IF(B1182="","",DATE(YEAR(B1182),MONTH(B1182),1))</f>
        <v/>
      </c>
      <c r="K1182" s="41">
        <f>IF(OR(B1182="",D1182=""),"",D1182&amp;"|"&amp;TEXT(J1182,"yyyy-mm"))</f>
        <v/>
      </c>
      <c r="L1182" s="24">
        <f>IF(K1182="","",IFERROR(INDEX(Lotes!$N$5:$N$154,MATCH(K1182,Lotes!$P$5:$P$154,0)),"Sem lote cadastrado"))</f>
        <v/>
      </c>
      <c r="M1182" s="25">
        <f>IF(H1182="Sim",G1182,0)</f>
        <v>0</v>
      </c>
      <c r="N1182" s="42">
        <f>IF(AND(H1182="Sim",I1182&lt;&gt;"Aceito"),G1182+ROW()/100000,0)</f>
        <v>0</v>
      </c>
    </row>
    <row r="1183">
      <c r="A1183" s="35" t="n"/>
      <c r="B1183" s="39" t="n"/>
      <c r="C1183" s="33" t="n"/>
      <c r="D1183" s="35" t="n"/>
      <c r="E1183" s="33" t="n"/>
      <c r="F1183" s="33" t="n"/>
      <c r="G1183" s="40" t="n"/>
      <c r="H1183" s="35" t="n"/>
      <c r="I1183" s="35" t="n"/>
      <c r="J1183" s="30">
        <f>IF(B1183="","",DATE(YEAR(B1183),MONTH(B1183),1))</f>
        <v/>
      </c>
      <c r="K1183" s="41">
        <f>IF(OR(B1183="",D1183=""),"",D1183&amp;"|"&amp;TEXT(J1183,"yyyy-mm"))</f>
        <v/>
      </c>
      <c r="L1183" s="24">
        <f>IF(K1183="","",IFERROR(INDEX(Lotes!$N$5:$N$154,MATCH(K1183,Lotes!$P$5:$P$154,0)),"Sem lote cadastrado"))</f>
        <v/>
      </c>
      <c r="M1183" s="25">
        <f>IF(H1183="Sim",G1183,0)</f>
        <v>0</v>
      </c>
      <c r="N1183" s="42">
        <f>IF(AND(H1183="Sim",I1183&lt;&gt;"Aceito"),G1183+ROW()/100000,0)</f>
        <v>0</v>
      </c>
    </row>
    <row r="1184">
      <c r="A1184" s="35" t="n"/>
      <c r="B1184" s="39" t="n"/>
      <c r="C1184" s="33" t="n"/>
      <c r="D1184" s="35" t="n"/>
      <c r="E1184" s="33" t="n"/>
      <c r="F1184" s="33" t="n"/>
      <c r="G1184" s="40" t="n"/>
      <c r="H1184" s="35" t="n"/>
      <c r="I1184" s="35" t="n"/>
      <c r="J1184" s="30">
        <f>IF(B1184="","",DATE(YEAR(B1184),MONTH(B1184),1))</f>
        <v/>
      </c>
      <c r="K1184" s="41">
        <f>IF(OR(B1184="",D1184=""),"",D1184&amp;"|"&amp;TEXT(J1184,"yyyy-mm"))</f>
        <v/>
      </c>
      <c r="L1184" s="24">
        <f>IF(K1184="","",IFERROR(INDEX(Lotes!$N$5:$N$154,MATCH(K1184,Lotes!$P$5:$P$154,0)),"Sem lote cadastrado"))</f>
        <v/>
      </c>
      <c r="M1184" s="25">
        <f>IF(H1184="Sim",G1184,0)</f>
        <v>0</v>
      </c>
      <c r="N1184" s="42">
        <f>IF(AND(H1184="Sim",I1184&lt;&gt;"Aceito"),G1184+ROW()/100000,0)</f>
        <v>0</v>
      </c>
    </row>
    <row r="1185">
      <c r="A1185" s="35" t="n"/>
      <c r="B1185" s="39" t="n"/>
      <c r="C1185" s="33" t="n"/>
      <c r="D1185" s="35" t="n"/>
      <c r="E1185" s="33" t="n"/>
      <c r="F1185" s="33" t="n"/>
      <c r="G1185" s="40" t="n"/>
      <c r="H1185" s="35" t="n"/>
      <c r="I1185" s="35" t="n"/>
      <c r="J1185" s="30">
        <f>IF(B1185="","",DATE(YEAR(B1185),MONTH(B1185),1))</f>
        <v/>
      </c>
      <c r="K1185" s="41">
        <f>IF(OR(B1185="",D1185=""),"",D1185&amp;"|"&amp;TEXT(J1185,"yyyy-mm"))</f>
        <v/>
      </c>
      <c r="L1185" s="24">
        <f>IF(K1185="","",IFERROR(INDEX(Lotes!$N$5:$N$154,MATCH(K1185,Lotes!$P$5:$P$154,0)),"Sem lote cadastrado"))</f>
        <v/>
      </c>
      <c r="M1185" s="25">
        <f>IF(H1185="Sim",G1185,0)</f>
        <v>0</v>
      </c>
      <c r="N1185" s="42">
        <f>IF(AND(H1185="Sim",I1185&lt;&gt;"Aceito"),G1185+ROW()/100000,0)</f>
        <v>0</v>
      </c>
    </row>
    <row r="1186">
      <c r="A1186" s="35" t="n"/>
      <c r="B1186" s="39" t="n"/>
      <c r="C1186" s="33" t="n"/>
      <c r="D1186" s="35" t="n"/>
      <c r="E1186" s="33" t="n"/>
      <c r="F1186" s="33" t="n"/>
      <c r="G1186" s="40" t="n"/>
      <c r="H1186" s="35" t="n"/>
      <c r="I1186" s="35" t="n"/>
      <c r="J1186" s="30">
        <f>IF(B1186="","",DATE(YEAR(B1186),MONTH(B1186),1))</f>
        <v/>
      </c>
      <c r="K1186" s="41">
        <f>IF(OR(B1186="",D1186=""),"",D1186&amp;"|"&amp;TEXT(J1186,"yyyy-mm"))</f>
        <v/>
      </c>
      <c r="L1186" s="24">
        <f>IF(K1186="","",IFERROR(INDEX(Lotes!$N$5:$N$154,MATCH(K1186,Lotes!$P$5:$P$154,0)),"Sem lote cadastrado"))</f>
        <v/>
      </c>
      <c r="M1186" s="25">
        <f>IF(H1186="Sim",G1186,0)</f>
        <v>0</v>
      </c>
      <c r="N1186" s="42">
        <f>IF(AND(H1186="Sim",I1186&lt;&gt;"Aceito"),G1186+ROW()/100000,0)</f>
        <v>0</v>
      </c>
    </row>
    <row r="1187">
      <c r="A1187" s="35" t="n"/>
      <c r="B1187" s="39" t="n"/>
      <c r="C1187" s="33" t="n"/>
      <c r="D1187" s="35" t="n"/>
      <c r="E1187" s="33" t="n"/>
      <c r="F1187" s="33" t="n"/>
      <c r="G1187" s="40" t="n"/>
      <c r="H1187" s="35" t="n"/>
      <c r="I1187" s="35" t="n"/>
      <c r="J1187" s="30">
        <f>IF(B1187="","",DATE(YEAR(B1187),MONTH(B1187),1))</f>
        <v/>
      </c>
      <c r="K1187" s="41">
        <f>IF(OR(B1187="",D1187=""),"",D1187&amp;"|"&amp;TEXT(J1187,"yyyy-mm"))</f>
        <v/>
      </c>
      <c r="L1187" s="24">
        <f>IF(K1187="","",IFERROR(INDEX(Lotes!$N$5:$N$154,MATCH(K1187,Lotes!$P$5:$P$154,0)),"Sem lote cadastrado"))</f>
        <v/>
      </c>
      <c r="M1187" s="25">
        <f>IF(H1187="Sim",G1187,0)</f>
        <v>0</v>
      </c>
      <c r="N1187" s="42">
        <f>IF(AND(H1187="Sim",I1187&lt;&gt;"Aceito"),G1187+ROW()/100000,0)</f>
        <v>0</v>
      </c>
    </row>
    <row r="1188">
      <c r="A1188" s="35" t="n"/>
      <c r="B1188" s="39" t="n"/>
      <c r="C1188" s="33" t="n"/>
      <c r="D1188" s="35" t="n"/>
      <c r="E1188" s="33" t="n"/>
      <c r="F1188" s="33" t="n"/>
      <c r="G1188" s="40" t="n"/>
      <c r="H1188" s="35" t="n"/>
      <c r="I1188" s="35" t="n"/>
      <c r="J1188" s="30">
        <f>IF(B1188="","",DATE(YEAR(B1188),MONTH(B1188),1))</f>
        <v/>
      </c>
      <c r="K1188" s="41">
        <f>IF(OR(B1188="",D1188=""),"",D1188&amp;"|"&amp;TEXT(J1188,"yyyy-mm"))</f>
        <v/>
      </c>
      <c r="L1188" s="24">
        <f>IF(K1188="","",IFERROR(INDEX(Lotes!$N$5:$N$154,MATCH(K1188,Lotes!$P$5:$P$154,0)),"Sem lote cadastrado"))</f>
        <v/>
      </c>
      <c r="M1188" s="25">
        <f>IF(H1188="Sim",G1188,0)</f>
        <v>0</v>
      </c>
      <c r="N1188" s="42">
        <f>IF(AND(H1188="Sim",I1188&lt;&gt;"Aceito"),G1188+ROW()/100000,0)</f>
        <v>0</v>
      </c>
    </row>
    <row r="1189">
      <c r="A1189" s="35" t="n"/>
      <c r="B1189" s="39" t="n"/>
      <c r="C1189" s="33" t="n"/>
      <c r="D1189" s="35" t="n"/>
      <c r="E1189" s="33" t="n"/>
      <c r="F1189" s="33" t="n"/>
      <c r="G1189" s="40" t="n"/>
      <c r="H1189" s="35" t="n"/>
      <c r="I1189" s="35" t="n"/>
      <c r="J1189" s="30">
        <f>IF(B1189="","",DATE(YEAR(B1189),MONTH(B1189),1))</f>
        <v/>
      </c>
      <c r="K1189" s="41">
        <f>IF(OR(B1189="",D1189=""),"",D1189&amp;"|"&amp;TEXT(J1189,"yyyy-mm"))</f>
        <v/>
      </c>
      <c r="L1189" s="24">
        <f>IF(K1189="","",IFERROR(INDEX(Lotes!$N$5:$N$154,MATCH(K1189,Lotes!$P$5:$P$154,0)),"Sem lote cadastrado"))</f>
        <v/>
      </c>
      <c r="M1189" s="25">
        <f>IF(H1189="Sim",G1189,0)</f>
        <v>0</v>
      </c>
      <c r="N1189" s="42">
        <f>IF(AND(H1189="Sim",I1189&lt;&gt;"Aceito"),G1189+ROW()/100000,0)</f>
        <v>0</v>
      </c>
    </row>
    <row r="1190">
      <c r="A1190" s="35" t="n"/>
      <c r="B1190" s="39" t="n"/>
      <c r="C1190" s="33" t="n"/>
      <c r="D1190" s="35" t="n"/>
      <c r="E1190" s="33" t="n"/>
      <c r="F1190" s="33" t="n"/>
      <c r="G1190" s="40" t="n"/>
      <c r="H1190" s="35" t="n"/>
      <c r="I1190" s="35" t="n"/>
      <c r="J1190" s="30">
        <f>IF(B1190="","",DATE(YEAR(B1190),MONTH(B1190),1))</f>
        <v/>
      </c>
      <c r="K1190" s="41">
        <f>IF(OR(B1190="",D1190=""),"",D1190&amp;"|"&amp;TEXT(J1190,"yyyy-mm"))</f>
        <v/>
      </c>
      <c r="L1190" s="24">
        <f>IF(K1190="","",IFERROR(INDEX(Lotes!$N$5:$N$154,MATCH(K1190,Lotes!$P$5:$P$154,0)),"Sem lote cadastrado"))</f>
        <v/>
      </c>
      <c r="M1190" s="25">
        <f>IF(H1190="Sim",G1190,0)</f>
        <v>0</v>
      </c>
      <c r="N1190" s="42">
        <f>IF(AND(H1190="Sim",I1190&lt;&gt;"Aceito"),G1190+ROW()/100000,0)</f>
        <v>0</v>
      </c>
    </row>
    <row r="1191">
      <c r="A1191" s="35" t="n"/>
      <c r="B1191" s="39" t="n"/>
      <c r="C1191" s="33" t="n"/>
      <c r="D1191" s="35" t="n"/>
      <c r="E1191" s="33" t="n"/>
      <c r="F1191" s="33" t="n"/>
      <c r="G1191" s="40" t="n"/>
      <c r="H1191" s="35" t="n"/>
      <c r="I1191" s="35" t="n"/>
      <c r="J1191" s="30">
        <f>IF(B1191="","",DATE(YEAR(B1191),MONTH(B1191),1))</f>
        <v/>
      </c>
      <c r="K1191" s="41">
        <f>IF(OR(B1191="",D1191=""),"",D1191&amp;"|"&amp;TEXT(J1191,"yyyy-mm"))</f>
        <v/>
      </c>
      <c r="L1191" s="24">
        <f>IF(K1191="","",IFERROR(INDEX(Lotes!$N$5:$N$154,MATCH(K1191,Lotes!$P$5:$P$154,0)),"Sem lote cadastrado"))</f>
        <v/>
      </c>
      <c r="M1191" s="25">
        <f>IF(H1191="Sim",G1191,0)</f>
        <v>0</v>
      </c>
      <c r="N1191" s="42">
        <f>IF(AND(H1191="Sim",I1191&lt;&gt;"Aceito"),G1191+ROW()/100000,0)</f>
        <v>0</v>
      </c>
    </row>
    <row r="1192">
      <c r="A1192" s="35" t="n"/>
      <c r="B1192" s="39" t="n"/>
      <c r="C1192" s="33" t="n"/>
      <c r="D1192" s="35" t="n"/>
      <c r="E1192" s="33" t="n"/>
      <c r="F1192" s="33" t="n"/>
      <c r="G1192" s="40" t="n"/>
      <c r="H1192" s="35" t="n"/>
      <c r="I1192" s="35" t="n"/>
      <c r="J1192" s="30">
        <f>IF(B1192="","",DATE(YEAR(B1192),MONTH(B1192),1))</f>
        <v/>
      </c>
      <c r="K1192" s="41">
        <f>IF(OR(B1192="",D1192=""),"",D1192&amp;"|"&amp;TEXT(J1192,"yyyy-mm"))</f>
        <v/>
      </c>
      <c r="L1192" s="24">
        <f>IF(K1192="","",IFERROR(INDEX(Lotes!$N$5:$N$154,MATCH(K1192,Lotes!$P$5:$P$154,0)),"Sem lote cadastrado"))</f>
        <v/>
      </c>
      <c r="M1192" s="25">
        <f>IF(H1192="Sim",G1192,0)</f>
        <v>0</v>
      </c>
      <c r="N1192" s="42">
        <f>IF(AND(H1192="Sim",I1192&lt;&gt;"Aceito"),G1192+ROW()/100000,0)</f>
        <v>0</v>
      </c>
    </row>
    <row r="1193">
      <c r="A1193" s="35" t="n"/>
      <c r="B1193" s="39" t="n"/>
      <c r="C1193" s="33" t="n"/>
      <c r="D1193" s="35" t="n"/>
      <c r="E1193" s="33" t="n"/>
      <c r="F1193" s="33" t="n"/>
      <c r="G1193" s="40" t="n"/>
      <c r="H1193" s="35" t="n"/>
      <c r="I1193" s="35" t="n"/>
      <c r="J1193" s="30">
        <f>IF(B1193="","",DATE(YEAR(B1193),MONTH(B1193),1))</f>
        <v/>
      </c>
      <c r="K1193" s="41">
        <f>IF(OR(B1193="",D1193=""),"",D1193&amp;"|"&amp;TEXT(J1193,"yyyy-mm"))</f>
        <v/>
      </c>
      <c r="L1193" s="24">
        <f>IF(K1193="","",IFERROR(INDEX(Lotes!$N$5:$N$154,MATCH(K1193,Lotes!$P$5:$P$154,0)),"Sem lote cadastrado"))</f>
        <v/>
      </c>
      <c r="M1193" s="25">
        <f>IF(H1193="Sim",G1193,0)</f>
        <v>0</v>
      </c>
      <c r="N1193" s="42">
        <f>IF(AND(H1193="Sim",I1193&lt;&gt;"Aceito"),G1193+ROW()/100000,0)</f>
        <v>0</v>
      </c>
    </row>
    <row r="1194">
      <c r="A1194" s="35" t="n"/>
      <c r="B1194" s="39" t="n"/>
      <c r="C1194" s="33" t="n"/>
      <c r="D1194" s="35" t="n"/>
      <c r="E1194" s="33" t="n"/>
      <c r="F1194" s="33" t="n"/>
      <c r="G1194" s="40" t="n"/>
      <c r="H1194" s="35" t="n"/>
      <c r="I1194" s="35" t="n"/>
      <c r="J1194" s="30">
        <f>IF(B1194="","",DATE(YEAR(B1194),MONTH(B1194),1))</f>
        <v/>
      </c>
      <c r="K1194" s="41">
        <f>IF(OR(B1194="",D1194=""),"",D1194&amp;"|"&amp;TEXT(J1194,"yyyy-mm"))</f>
        <v/>
      </c>
      <c r="L1194" s="24">
        <f>IF(K1194="","",IFERROR(INDEX(Lotes!$N$5:$N$154,MATCH(K1194,Lotes!$P$5:$P$154,0)),"Sem lote cadastrado"))</f>
        <v/>
      </c>
      <c r="M1194" s="25">
        <f>IF(H1194="Sim",G1194,0)</f>
        <v>0</v>
      </c>
      <c r="N1194" s="42">
        <f>IF(AND(H1194="Sim",I1194&lt;&gt;"Aceito"),G1194+ROW()/100000,0)</f>
        <v>0</v>
      </c>
    </row>
    <row r="1195">
      <c r="A1195" s="35" t="n"/>
      <c r="B1195" s="39" t="n"/>
      <c r="C1195" s="33" t="n"/>
      <c r="D1195" s="35" t="n"/>
      <c r="E1195" s="33" t="n"/>
      <c r="F1195" s="33" t="n"/>
      <c r="G1195" s="40" t="n"/>
      <c r="H1195" s="35" t="n"/>
      <c r="I1195" s="35" t="n"/>
      <c r="J1195" s="30">
        <f>IF(B1195="","",DATE(YEAR(B1195),MONTH(B1195),1))</f>
        <v/>
      </c>
      <c r="K1195" s="41">
        <f>IF(OR(B1195="",D1195=""),"",D1195&amp;"|"&amp;TEXT(J1195,"yyyy-mm"))</f>
        <v/>
      </c>
      <c r="L1195" s="24">
        <f>IF(K1195="","",IFERROR(INDEX(Lotes!$N$5:$N$154,MATCH(K1195,Lotes!$P$5:$P$154,0)),"Sem lote cadastrado"))</f>
        <v/>
      </c>
      <c r="M1195" s="25">
        <f>IF(H1195="Sim",G1195,0)</f>
        <v>0</v>
      </c>
      <c r="N1195" s="42">
        <f>IF(AND(H1195="Sim",I1195&lt;&gt;"Aceito"),G1195+ROW()/100000,0)</f>
        <v>0</v>
      </c>
    </row>
    <row r="1196">
      <c r="A1196" s="35" t="n"/>
      <c r="B1196" s="39" t="n"/>
      <c r="C1196" s="33" t="n"/>
      <c r="D1196" s="35" t="n"/>
      <c r="E1196" s="33" t="n"/>
      <c r="F1196" s="33" t="n"/>
      <c r="G1196" s="40" t="n"/>
      <c r="H1196" s="35" t="n"/>
      <c r="I1196" s="35" t="n"/>
      <c r="J1196" s="30">
        <f>IF(B1196="","",DATE(YEAR(B1196),MONTH(B1196),1))</f>
        <v/>
      </c>
      <c r="K1196" s="41">
        <f>IF(OR(B1196="",D1196=""),"",D1196&amp;"|"&amp;TEXT(J1196,"yyyy-mm"))</f>
        <v/>
      </c>
      <c r="L1196" s="24">
        <f>IF(K1196="","",IFERROR(INDEX(Lotes!$N$5:$N$154,MATCH(K1196,Lotes!$P$5:$P$154,0)),"Sem lote cadastrado"))</f>
        <v/>
      </c>
      <c r="M1196" s="25">
        <f>IF(H1196="Sim",G1196,0)</f>
        <v>0</v>
      </c>
      <c r="N1196" s="42">
        <f>IF(AND(H1196="Sim",I1196&lt;&gt;"Aceito"),G1196+ROW()/100000,0)</f>
        <v>0</v>
      </c>
    </row>
    <row r="1197">
      <c r="A1197" s="35" t="n"/>
      <c r="B1197" s="39" t="n"/>
      <c r="C1197" s="33" t="n"/>
      <c r="D1197" s="35" t="n"/>
      <c r="E1197" s="33" t="n"/>
      <c r="F1197" s="33" t="n"/>
      <c r="G1197" s="40" t="n"/>
      <c r="H1197" s="35" t="n"/>
      <c r="I1197" s="35" t="n"/>
      <c r="J1197" s="30">
        <f>IF(B1197="","",DATE(YEAR(B1197),MONTH(B1197),1))</f>
        <v/>
      </c>
      <c r="K1197" s="41">
        <f>IF(OR(B1197="",D1197=""),"",D1197&amp;"|"&amp;TEXT(J1197,"yyyy-mm"))</f>
        <v/>
      </c>
      <c r="L1197" s="24">
        <f>IF(K1197="","",IFERROR(INDEX(Lotes!$N$5:$N$154,MATCH(K1197,Lotes!$P$5:$P$154,0)),"Sem lote cadastrado"))</f>
        <v/>
      </c>
      <c r="M1197" s="25">
        <f>IF(H1197="Sim",G1197,0)</f>
        <v>0</v>
      </c>
      <c r="N1197" s="42">
        <f>IF(AND(H1197="Sim",I1197&lt;&gt;"Aceito"),G1197+ROW()/100000,0)</f>
        <v>0</v>
      </c>
    </row>
    <row r="1198">
      <c r="A1198" s="35" t="n"/>
      <c r="B1198" s="39" t="n"/>
      <c r="C1198" s="33" t="n"/>
      <c r="D1198" s="35" t="n"/>
      <c r="E1198" s="33" t="n"/>
      <c r="F1198" s="33" t="n"/>
      <c r="G1198" s="40" t="n"/>
      <c r="H1198" s="35" t="n"/>
      <c r="I1198" s="35" t="n"/>
      <c r="J1198" s="30">
        <f>IF(B1198="","",DATE(YEAR(B1198),MONTH(B1198),1))</f>
        <v/>
      </c>
      <c r="K1198" s="41">
        <f>IF(OR(B1198="",D1198=""),"",D1198&amp;"|"&amp;TEXT(J1198,"yyyy-mm"))</f>
        <v/>
      </c>
      <c r="L1198" s="24">
        <f>IF(K1198="","",IFERROR(INDEX(Lotes!$N$5:$N$154,MATCH(K1198,Lotes!$P$5:$P$154,0)),"Sem lote cadastrado"))</f>
        <v/>
      </c>
      <c r="M1198" s="25">
        <f>IF(H1198="Sim",G1198,0)</f>
        <v>0</v>
      </c>
      <c r="N1198" s="42">
        <f>IF(AND(H1198="Sim",I1198&lt;&gt;"Aceito"),G1198+ROW()/100000,0)</f>
        <v>0</v>
      </c>
    </row>
    <row r="1199">
      <c r="A1199" s="35" t="n"/>
      <c r="B1199" s="39" t="n"/>
      <c r="C1199" s="33" t="n"/>
      <c r="D1199" s="35" t="n"/>
      <c r="E1199" s="33" t="n"/>
      <c r="F1199" s="33" t="n"/>
      <c r="G1199" s="40" t="n"/>
      <c r="H1199" s="35" t="n"/>
      <c r="I1199" s="35" t="n"/>
      <c r="J1199" s="30">
        <f>IF(B1199="","",DATE(YEAR(B1199),MONTH(B1199),1))</f>
        <v/>
      </c>
      <c r="K1199" s="41">
        <f>IF(OR(B1199="",D1199=""),"",D1199&amp;"|"&amp;TEXT(J1199,"yyyy-mm"))</f>
        <v/>
      </c>
      <c r="L1199" s="24">
        <f>IF(K1199="","",IFERROR(INDEX(Lotes!$N$5:$N$154,MATCH(K1199,Lotes!$P$5:$P$154,0)),"Sem lote cadastrado"))</f>
        <v/>
      </c>
      <c r="M1199" s="25">
        <f>IF(H1199="Sim",G1199,0)</f>
        <v>0</v>
      </c>
      <c r="N1199" s="42">
        <f>IF(AND(H1199="Sim",I1199&lt;&gt;"Aceito"),G1199+ROW()/100000,0)</f>
        <v>0</v>
      </c>
    </row>
    <row r="1200">
      <c r="A1200" s="35" t="n"/>
      <c r="B1200" s="39" t="n"/>
      <c r="C1200" s="33" t="n"/>
      <c r="D1200" s="35" t="n"/>
      <c r="E1200" s="33" t="n"/>
      <c r="F1200" s="33" t="n"/>
      <c r="G1200" s="40" t="n"/>
      <c r="H1200" s="35" t="n"/>
      <c r="I1200" s="35" t="n"/>
      <c r="J1200" s="30">
        <f>IF(B1200="","",DATE(YEAR(B1200),MONTH(B1200),1))</f>
        <v/>
      </c>
      <c r="K1200" s="41">
        <f>IF(OR(B1200="",D1200=""),"",D1200&amp;"|"&amp;TEXT(J1200,"yyyy-mm"))</f>
        <v/>
      </c>
      <c r="L1200" s="24">
        <f>IF(K1200="","",IFERROR(INDEX(Lotes!$N$5:$N$154,MATCH(K1200,Lotes!$P$5:$P$154,0)),"Sem lote cadastrado"))</f>
        <v/>
      </c>
      <c r="M1200" s="25">
        <f>IF(H1200="Sim",G1200,0)</f>
        <v>0</v>
      </c>
      <c r="N1200" s="42">
        <f>IF(AND(H1200="Sim",I1200&lt;&gt;"Aceito"),G1200+ROW()/100000,0)</f>
        <v>0</v>
      </c>
    </row>
    <row r="1201">
      <c r="A1201" s="35" t="n"/>
      <c r="B1201" s="39" t="n"/>
      <c r="C1201" s="33" t="n"/>
      <c r="D1201" s="35" t="n"/>
      <c r="E1201" s="33" t="n"/>
      <c r="F1201" s="33" t="n"/>
      <c r="G1201" s="40" t="n"/>
      <c r="H1201" s="35" t="n"/>
      <c r="I1201" s="35" t="n"/>
      <c r="J1201" s="30">
        <f>IF(B1201="","",DATE(YEAR(B1201),MONTH(B1201),1))</f>
        <v/>
      </c>
      <c r="K1201" s="41">
        <f>IF(OR(B1201="",D1201=""),"",D1201&amp;"|"&amp;TEXT(J1201,"yyyy-mm"))</f>
        <v/>
      </c>
      <c r="L1201" s="24">
        <f>IF(K1201="","",IFERROR(INDEX(Lotes!$N$5:$N$154,MATCH(K1201,Lotes!$P$5:$P$154,0)),"Sem lote cadastrado"))</f>
        <v/>
      </c>
      <c r="M1201" s="25">
        <f>IF(H1201="Sim",G1201,0)</f>
        <v>0</v>
      </c>
      <c r="N1201" s="42">
        <f>IF(AND(H1201="Sim",I1201&lt;&gt;"Aceito"),G1201+ROW()/100000,0)</f>
        <v>0</v>
      </c>
    </row>
    <row r="1202">
      <c r="A1202" s="35" t="n"/>
      <c r="B1202" s="39" t="n"/>
      <c r="C1202" s="33" t="n"/>
      <c r="D1202" s="35" t="n"/>
      <c r="E1202" s="33" t="n"/>
      <c r="F1202" s="33" t="n"/>
      <c r="G1202" s="40" t="n"/>
      <c r="H1202" s="35" t="n"/>
      <c r="I1202" s="35" t="n"/>
      <c r="J1202" s="30">
        <f>IF(B1202="","",DATE(YEAR(B1202),MONTH(B1202),1))</f>
        <v/>
      </c>
      <c r="K1202" s="41">
        <f>IF(OR(B1202="",D1202=""),"",D1202&amp;"|"&amp;TEXT(J1202,"yyyy-mm"))</f>
        <v/>
      </c>
      <c r="L1202" s="24">
        <f>IF(K1202="","",IFERROR(INDEX(Lotes!$N$5:$N$154,MATCH(K1202,Lotes!$P$5:$P$154,0)),"Sem lote cadastrado"))</f>
        <v/>
      </c>
      <c r="M1202" s="25">
        <f>IF(H1202="Sim",G1202,0)</f>
        <v>0</v>
      </c>
      <c r="N1202" s="42">
        <f>IF(AND(H1202="Sim",I1202&lt;&gt;"Aceito"),G1202+ROW()/100000,0)</f>
        <v>0</v>
      </c>
    </row>
    <row r="1203">
      <c r="A1203" s="35" t="n"/>
      <c r="B1203" s="39" t="n"/>
      <c r="C1203" s="33" t="n"/>
      <c r="D1203" s="35" t="n"/>
      <c r="E1203" s="33" t="n"/>
      <c r="F1203" s="33" t="n"/>
      <c r="G1203" s="40" t="n"/>
      <c r="H1203" s="35" t="n"/>
      <c r="I1203" s="35" t="n"/>
      <c r="J1203" s="30">
        <f>IF(B1203="","",DATE(YEAR(B1203),MONTH(B1203),1))</f>
        <v/>
      </c>
      <c r="K1203" s="41">
        <f>IF(OR(B1203="",D1203=""),"",D1203&amp;"|"&amp;TEXT(J1203,"yyyy-mm"))</f>
        <v/>
      </c>
      <c r="L1203" s="24">
        <f>IF(K1203="","",IFERROR(INDEX(Lotes!$N$5:$N$154,MATCH(K1203,Lotes!$P$5:$P$154,0)),"Sem lote cadastrado"))</f>
        <v/>
      </c>
      <c r="M1203" s="25">
        <f>IF(H1203="Sim",G1203,0)</f>
        <v>0</v>
      </c>
      <c r="N1203" s="42">
        <f>IF(AND(H1203="Sim",I1203&lt;&gt;"Aceito"),G1203+ROW()/100000,0)</f>
        <v>0</v>
      </c>
    </row>
    <row r="1204">
      <c r="A1204" s="35" t="n"/>
      <c r="B1204" s="39" t="n"/>
      <c r="C1204" s="33" t="n"/>
      <c r="D1204" s="35" t="n"/>
      <c r="E1204" s="33" t="n"/>
      <c r="F1204" s="33" t="n"/>
      <c r="G1204" s="40" t="n"/>
      <c r="H1204" s="35" t="n"/>
      <c r="I1204" s="35" t="n"/>
      <c r="J1204" s="30">
        <f>IF(B1204="","",DATE(YEAR(B1204),MONTH(B1204),1))</f>
        <v/>
      </c>
      <c r="K1204" s="41">
        <f>IF(OR(B1204="",D1204=""),"",D1204&amp;"|"&amp;TEXT(J1204,"yyyy-mm"))</f>
        <v/>
      </c>
      <c r="L1204" s="24">
        <f>IF(K1204="","",IFERROR(INDEX(Lotes!$N$5:$N$154,MATCH(K1204,Lotes!$P$5:$P$154,0)),"Sem lote cadastrado"))</f>
        <v/>
      </c>
      <c r="M1204" s="25">
        <f>IF(H1204="Sim",G1204,0)</f>
        <v>0</v>
      </c>
      <c r="N1204" s="42">
        <f>IF(AND(H1204="Sim",I1204&lt;&gt;"Aceito"),G1204+ROW()/100000,0)</f>
        <v>0</v>
      </c>
    </row>
    <row r="1205">
      <c r="A1205" s="35" t="n"/>
      <c r="B1205" s="39" t="n"/>
      <c r="C1205" s="33" t="n"/>
      <c r="D1205" s="35" t="n"/>
      <c r="E1205" s="33" t="n"/>
      <c r="F1205" s="33" t="n"/>
      <c r="G1205" s="40" t="n"/>
      <c r="H1205" s="35" t="n"/>
      <c r="I1205" s="35" t="n"/>
      <c r="J1205" s="30">
        <f>IF(B1205="","",DATE(YEAR(B1205),MONTH(B1205),1))</f>
        <v/>
      </c>
      <c r="K1205" s="41">
        <f>IF(OR(B1205="",D1205=""),"",D1205&amp;"|"&amp;TEXT(J1205,"yyyy-mm"))</f>
        <v/>
      </c>
      <c r="L1205" s="24">
        <f>IF(K1205="","",IFERROR(INDEX(Lotes!$N$5:$N$154,MATCH(K1205,Lotes!$P$5:$P$154,0)),"Sem lote cadastrado"))</f>
        <v/>
      </c>
      <c r="M1205" s="25">
        <f>IF(H1205="Sim",G1205,0)</f>
        <v>0</v>
      </c>
      <c r="N1205" s="42">
        <f>IF(AND(H1205="Sim",I1205&lt;&gt;"Aceito"),G1205+ROW()/100000,0)</f>
        <v>0</v>
      </c>
    </row>
    <row r="1206">
      <c r="A1206" s="35" t="n"/>
      <c r="B1206" s="39" t="n"/>
      <c r="C1206" s="33" t="n"/>
      <c r="D1206" s="35" t="n"/>
      <c r="E1206" s="33" t="n"/>
      <c r="F1206" s="33" t="n"/>
      <c r="G1206" s="40" t="n"/>
      <c r="H1206" s="35" t="n"/>
      <c r="I1206" s="35" t="n"/>
      <c r="J1206" s="30">
        <f>IF(B1206="","",DATE(YEAR(B1206),MONTH(B1206),1))</f>
        <v/>
      </c>
      <c r="K1206" s="41">
        <f>IF(OR(B1206="",D1206=""),"",D1206&amp;"|"&amp;TEXT(J1206,"yyyy-mm"))</f>
        <v/>
      </c>
      <c r="L1206" s="24">
        <f>IF(K1206="","",IFERROR(INDEX(Lotes!$N$5:$N$154,MATCH(K1206,Lotes!$P$5:$P$154,0)),"Sem lote cadastrado"))</f>
        <v/>
      </c>
      <c r="M1206" s="25">
        <f>IF(H1206="Sim",G1206,0)</f>
        <v>0</v>
      </c>
      <c r="N1206" s="42">
        <f>IF(AND(H1206="Sim",I1206&lt;&gt;"Aceito"),G1206+ROW()/100000,0)</f>
        <v>0</v>
      </c>
    </row>
    <row r="1207">
      <c r="A1207" s="35" t="n"/>
      <c r="B1207" s="39" t="n"/>
      <c r="C1207" s="33" t="n"/>
      <c r="D1207" s="35" t="n"/>
      <c r="E1207" s="33" t="n"/>
      <c r="F1207" s="33" t="n"/>
      <c r="G1207" s="40" t="n"/>
      <c r="H1207" s="35" t="n"/>
      <c r="I1207" s="35" t="n"/>
      <c r="J1207" s="30">
        <f>IF(B1207="","",DATE(YEAR(B1207),MONTH(B1207),1))</f>
        <v/>
      </c>
      <c r="K1207" s="41">
        <f>IF(OR(B1207="",D1207=""),"",D1207&amp;"|"&amp;TEXT(J1207,"yyyy-mm"))</f>
        <v/>
      </c>
      <c r="L1207" s="24">
        <f>IF(K1207="","",IFERROR(INDEX(Lotes!$N$5:$N$154,MATCH(K1207,Lotes!$P$5:$P$154,0)),"Sem lote cadastrado"))</f>
        <v/>
      </c>
      <c r="M1207" s="25">
        <f>IF(H1207="Sim",G1207,0)</f>
        <v>0</v>
      </c>
      <c r="N1207" s="42">
        <f>IF(AND(H1207="Sim",I1207&lt;&gt;"Aceito"),G1207+ROW()/100000,0)</f>
        <v>0</v>
      </c>
    </row>
    <row r="1208">
      <c r="A1208" s="35" t="n"/>
      <c r="B1208" s="39" t="n"/>
      <c r="C1208" s="33" t="n"/>
      <c r="D1208" s="35" t="n"/>
      <c r="E1208" s="33" t="n"/>
      <c r="F1208" s="33" t="n"/>
      <c r="G1208" s="40" t="n"/>
      <c r="H1208" s="35" t="n"/>
      <c r="I1208" s="35" t="n"/>
      <c r="J1208" s="30">
        <f>IF(B1208="","",DATE(YEAR(B1208),MONTH(B1208),1))</f>
        <v/>
      </c>
      <c r="K1208" s="41">
        <f>IF(OR(B1208="",D1208=""),"",D1208&amp;"|"&amp;TEXT(J1208,"yyyy-mm"))</f>
        <v/>
      </c>
      <c r="L1208" s="24">
        <f>IF(K1208="","",IFERROR(INDEX(Lotes!$N$5:$N$154,MATCH(K1208,Lotes!$P$5:$P$154,0)),"Sem lote cadastrado"))</f>
        <v/>
      </c>
      <c r="M1208" s="25">
        <f>IF(H1208="Sim",G1208,0)</f>
        <v>0</v>
      </c>
      <c r="N1208" s="42">
        <f>IF(AND(H1208="Sim",I1208&lt;&gt;"Aceito"),G1208+ROW()/100000,0)</f>
        <v>0</v>
      </c>
    </row>
    <row r="1209">
      <c r="A1209" s="35" t="n"/>
      <c r="B1209" s="39" t="n"/>
      <c r="C1209" s="33" t="n"/>
      <c r="D1209" s="35" t="n"/>
      <c r="E1209" s="33" t="n"/>
      <c r="F1209" s="33" t="n"/>
      <c r="G1209" s="40" t="n"/>
      <c r="H1209" s="35" t="n"/>
      <c r="I1209" s="35" t="n"/>
      <c r="J1209" s="30">
        <f>IF(B1209="","",DATE(YEAR(B1209),MONTH(B1209),1))</f>
        <v/>
      </c>
      <c r="K1209" s="41">
        <f>IF(OR(B1209="",D1209=""),"",D1209&amp;"|"&amp;TEXT(J1209,"yyyy-mm"))</f>
        <v/>
      </c>
      <c r="L1209" s="24">
        <f>IF(K1209="","",IFERROR(INDEX(Lotes!$N$5:$N$154,MATCH(K1209,Lotes!$P$5:$P$154,0)),"Sem lote cadastrado"))</f>
        <v/>
      </c>
      <c r="M1209" s="25">
        <f>IF(H1209="Sim",G1209,0)</f>
        <v>0</v>
      </c>
      <c r="N1209" s="42">
        <f>IF(AND(H1209="Sim",I1209&lt;&gt;"Aceito"),G1209+ROW()/100000,0)</f>
        <v>0</v>
      </c>
    </row>
    <row r="1210">
      <c r="A1210" s="35" t="n"/>
      <c r="B1210" s="39" t="n"/>
      <c r="C1210" s="33" t="n"/>
      <c r="D1210" s="35" t="n"/>
      <c r="E1210" s="33" t="n"/>
      <c r="F1210" s="33" t="n"/>
      <c r="G1210" s="40" t="n"/>
      <c r="H1210" s="35" t="n"/>
      <c r="I1210" s="35" t="n"/>
      <c r="J1210" s="30">
        <f>IF(B1210="","",DATE(YEAR(B1210),MONTH(B1210),1))</f>
        <v/>
      </c>
      <c r="K1210" s="41">
        <f>IF(OR(B1210="",D1210=""),"",D1210&amp;"|"&amp;TEXT(J1210,"yyyy-mm"))</f>
        <v/>
      </c>
      <c r="L1210" s="24">
        <f>IF(K1210="","",IFERROR(INDEX(Lotes!$N$5:$N$154,MATCH(K1210,Lotes!$P$5:$P$154,0)),"Sem lote cadastrado"))</f>
        <v/>
      </c>
      <c r="M1210" s="25">
        <f>IF(H1210="Sim",G1210,0)</f>
        <v>0</v>
      </c>
      <c r="N1210" s="42">
        <f>IF(AND(H1210="Sim",I1210&lt;&gt;"Aceito"),G1210+ROW()/100000,0)</f>
        <v>0</v>
      </c>
    </row>
    <row r="1211">
      <c r="A1211" s="35" t="n"/>
      <c r="B1211" s="39" t="n"/>
      <c r="C1211" s="33" t="n"/>
      <c r="D1211" s="35" t="n"/>
      <c r="E1211" s="33" t="n"/>
      <c r="F1211" s="33" t="n"/>
      <c r="G1211" s="40" t="n"/>
      <c r="H1211" s="35" t="n"/>
      <c r="I1211" s="35" t="n"/>
      <c r="J1211" s="30">
        <f>IF(B1211="","",DATE(YEAR(B1211),MONTH(B1211),1))</f>
        <v/>
      </c>
      <c r="K1211" s="41">
        <f>IF(OR(B1211="",D1211=""),"",D1211&amp;"|"&amp;TEXT(J1211,"yyyy-mm"))</f>
        <v/>
      </c>
      <c r="L1211" s="24">
        <f>IF(K1211="","",IFERROR(INDEX(Lotes!$N$5:$N$154,MATCH(K1211,Lotes!$P$5:$P$154,0)),"Sem lote cadastrado"))</f>
        <v/>
      </c>
      <c r="M1211" s="25">
        <f>IF(H1211="Sim",G1211,0)</f>
        <v>0</v>
      </c>
      <c r="N1211" s="42">
        <f>IF(AND(H1211="Sim",I1211&lt;&gt;"Aceito"),G1211+ROW()/100000,0)</f>
        <v>0</v>
      </c>
    </row>
    <row r="1212">
      <c r="A1212" s="35" t="n"/>
      <c r="B1212" s="39" t="n"/>
      <c r="C1212" s="33" t="n"/>
      <c r="D1212" s="35" t="n"/>
      <c r="E1212" s="33" t="n"/>
      <c r="F1212" s="33" t="n"/>
      <c r="G1212" s="40" t="n"/>
      <c r="H1212" s="35" t="n"/>
      <c r="I1212" s="35" t="n"/>
      <c r="J1212" s="30">
        <f>IF(B1212="","",DATE(YEAR(B1212),MONTH(B1212),1))</f>
        <v/>
      </c>
      <c r="K1212" s="41">
        <f>IF(OR(B1212="",D1212=""),"",D1212&amp;"|"&amp;TEXT(J1212,"yyyy-mm"))</f>
        <v/>
      </c>
      <c r="L1212" s="24">
        <f>IF(K1212="","",IFERROR(INDEX(Lotes!$N$5:$N$154,MATCH(K1212,Lotes!$P$5:$P$154,0)),"Sem lote cadastrado"))</f>
        <v/>
      </c>
      <c r="M1212" s="25">
        <f>IF(H1212="Sim",G1212,0)</f>
        <v>0</v>
      </c>
      <c r="N1212" s="42">
        <f>IF(AND(H1212="Sim",I1212&lt;&gt;"Aceito"),G1212+ROW()/100000,0)</f>
        <v>0</v>
      </c>
    </row>
    <row r="1213">
      <c r="A1213" s="35" t="n"/>
      <c r="B1213" s="39" t="n"/>
      <c r="C1213" s="33" t="n"/>
      <c r="D1213" s="35" t="n"/>
      <c r="E1213" s="33" t="n"/>
      <c r="F1213" s="33" t="n"/>
      <c r="G1213" s="40" t="n"/>
      <c r="H1213" s="35" t="n"/>
      <c r="I1213" s="35" t="n"/>
      <c r="J1213" s="30">
        <f>IF(B1213="","",DATE(YEAR(B1213),MONTH(B1213),1))</f>
        <v/>
      </c>
      <c r="K1213" s="41">
        <f>IF(OR(B1213="",D1213=""),"",D1213&amp;"|"&amp;TEXT(J1213,"yyyy-mm"))</f>
        <v/>
      </c>
      <c r="L1213" s="24">
        <f>IF(K1213="","",IFERROR(INDEX(Lotes!$N$5:$N$154,MATCH(K1213,Lotes!$P$5:$P$154,0)),"Sem lote cadastrado"))</f>
        <v/>
      </c>
      <c r="M1213" s="25">
        <f>IF(H1213="Sim",G1213,0)</f>
        <v>0</v>
      </c>
      <c r="N1213" s="42">
        <f>IF(AND(H1213="Sim",I1213&lt;&gt;"Aceito"),G1213+ROW()/100000,0)</f>
        <v>0</v>
      </c>
    </row>
    <row r="1214">
      <c r="A1214" s="35" t="n"/>
      <c r="B1214" s="39" t="n"/>
      <c r="C1214" s="33" t="n"/>
      <c r="D1214" s="35" t="n"/>
      <c r="E1214" s="33" t="n"/>
      <c r="F1214" s="33" t="n"/>
      <c r="G1214" s="40" t="n"/>
      <c r="H1214" s="35" t="n"/>
      <c r="I1214" s="35" t="n"/>
      <c r="J1214" s="30">
        <f>IF(B1214="","",DATE(YEAR(B1214),MONTH(B1214),1))</f>
        <v/>
      </c>
      <c r="K1214" s="41">
        <f>IF(OR(B1214="",D1214=""),"",D1214&amp;"|"&amp;TEXT(J1214,"yyyy-mm"))</f>
        <v/>
      </c>
      <c r="L1214" s="24">
        <f>IF(K1214="","",IFERROR(INDEX(Lotes!$N$5:$N$154,MATCH(K1214,Lotes!$P$5:$P$154,0)),"Sem lote cadastrado"))</f>
        <v/>
      </c>
      <c r="M1214" s="25">
        <f>IF(H1214="Sim",G1214,0)</f>
        <v>0</v>
      </c>
      <c r="N1214" s="42">
        <f>IF(AND(H1214="Sim",I1214&lt;&gt;"Aceito"),G1214+ROW()/100000,0)</f>
        <v>0</v>
      </c>
    </row>
    <row r="1215">
      <c r="A1215" s="35" t="n"/>
      <c r="B1215" s="39" t="n"/>
      <c r="C1215" s="33" t="n"/>
      <c r="D1215" s="35" t="n"/>
      <c r="E1215" s="33" t="n"/>
      <c r="F1215" s="33" t="n"/>
      <c r="G1215" s="40" t="n"/>
      <c r="H1215" s="35" t="n"/>
      <c r="I1215" s="35" t="n"/>
      <c r="J1215" s="30">
        <f>IF(B1215="","",DATE(YEAR(B1215),MONTH(B1215),1))</f>
        <v/>
      </c>
      <c r="K1215" s="41">
        <f>IF(OR(B1215="",D1215=""),"",D1215&amp;"|"&amp;TEXT(J1215,"yyyy-mm"))</f>
        <v/>
      </c>
      <c r="L1215" s="24">
        <f>IF(K1215="","",IFERROR(INDEX(Lotes!$N$5:$N$154,MATCH(K1215,Lotes!$P$5:$P$154,0)),"Sem lote cadastrado"))</f>
        <v/>
      </c>
      <c r="M1215" s="25">
        <f>IF(H1215="Sim",G1215,0)</f>
        <v>0</v>
      </c>
      <c r="N1215" s="42">
        <f>IF(AND(H1215="Sim",I1215&lt;&gt;"Aceito"),G1215+ROW()/100000,0)</f>
        <v>0</v>
      </c>
    </row>
    <row r="1216">
      <c r="A1216" s="35" t="n"/>
      <c r="B1216" s="39" t="n"/>
      <c r="C1216" s="33" t="n"/>
      <c r="D1216" s="35" t="n"/>
      <c r="E1216" s="33" t="n"/>
      <c r="F1216" s="33" t="n"/>
      <c r="G1216" s="40" t="n"/>
      <c r="H1216" s="35" t="n"/>
      <c r="I1216" s="35" t="n"/>
      <c r="J1216" s="30">
        <f>IF(B1216="","",DATE(YEAR(B1216),MONTH(B1216),1))</f>
        <v/>
      </c>
      <c r="K1216" s="41">
        <f>IF(OR(B1216="",D1216=""),"",D1216&amp;"|"&amp;TEXT(J1216,"yyyy-mm"))</f>
        <v/>
      </c>
      <c r="L1216" s="24">
        <f>IF(K1216="","",IFERROR(INDEX(Lotes!$N$5:$N$154,MATCH(K1216,Lotes!$P$5:$P$154,0)),"Sem lote cadastrado"))</f>
        <v/>
      </c>
      <c r="M1216" s="25">
        <f>IF(H1216="Sim",G1216,0)</f>
        <v>0</v>
      </c>
      <c r="N1216" s="42">
        <f>IF(AND(H1216="Sim",I1216&lt;&gt;"Aceito"),G1216+ROW()/100000,0)</f>
        <v>0</v>
      </c>
    </row>
    <row r="1217">
      <c r="A1217" s="35" t="n"/>
      <c r="B1217" s="39" t="n"/>
      <c r="C1217" s="33" t="n"/>
      <c r="D1217" s="35" t="n"/>
      <c r="E1217" s="33" t="n"/>
      <c r="F1217" s="33" t="n"/>
      <c r="G1217" s="40" t="n"/>
      <c r="H1217" s="35" t="n"/>
      <c r="I1217" s="35" t="n"/>
      <c r="J1217" s="30">
        <f>IF(B1217="","",DATE(YEAR(B1217),MONTH(B1217),1))</f>
        <v/>
      </c>
      <c r="K1217" s="41">
        <f>IF(OR(B1217="",D1217=""),"",D1217&amp;"|"&amp;TEXT(J1217,"yyyy-mm"))</f>
        <v/>
      </c>
      <c r="L1217" s="24">
        <f>IF(K1217="","",IFERROR(INDEX(Lotes!$N$5:$N$154,MATCH(K1217,Lotes!$P$5:$P$154,0)),"Sem lote cadastrado"))</f>
        <v/>
      </c>
      <c r="M1217" s="25">
        <f>IF(H1217="Sim",G1217,0)</f>
        <v>0</v>
      </c>
      <c r="N1217" s="42">
        <f>IF(AND(H1217="Sim",I1217&lt;&gt;"Aceito"),G1217+ROW()/100000,0)</f>
        <v>0</v>
      </c>
    </row>
    <row r="1218">
      <c r="A1218" s="35" t="n"/>
      <c r="B1218" s="39" t="n"/>
      <c r="C1218" s="33" t="n"/>
      <c r="D1218" s="35" t="n"/>
      <c r="E1218" s="33" t="n"/>
      <c r="F1218" s="33" t="n"/>
      <c r="G1218" s="40" t="n"/>
      <c r="H1218" s="35" t="n"/>
      <c r="I1218" s="35" t="n"/>
      <c r="J1218" s="30">
        <f>IF(B1218="","",DATE(YEAR(B1218),MONTH(B1218),1))</f>
        <v/>
      </c>
      <c r="K1218" s="41">
        <f>IF(OR(B1218="",D1218=""),"",D1218&amp;"|"&amp;TEXT(J1218,"yyyy-mm"))</f>
        <v/>
      </c>
      <c r="L1218" s="24">
        <f>IF(K1218="","",IFERROR(INDEX(Lotes!$N$5:$N$154,MATCH(K1218,Lotes!$P$5:$P$154,0)),"Sem lote cadastrado"))</f>
        <v/>
      </c>
      <c r="M1218" s="25">
        <f>IF(H1218="Sim",G1218,0)</f>
        <v>0</v>
      </c>
      <c r="N1218" s="42">
        <f>IF(AND(H1218="Sim",I1218&lt;&gt;"Aceito"),G1218+ROW()/100000,0)</f>
        <v>0</v>
      </c>
    </row>
    <row r="1219">
      <c r="A1219" s="35" t="n"/>
      <c r="B1219" s="39" t="n"/>
      <c r="C1219" s="33" t="n"/>
      <c r="D1219" s="35" t="n"/>
      <c r="E1219" s="33" t="n"/>
      <c r="F1219" s="33" t="n"/>
      <c r="G1219" s="40" t="n"/>
      <c r="H1219" s="35" t="n"/>
      <c r="I1219" s="35" t="n"/>
      <c r="J1219" s="30">
        <f>IF(B1219="","",DATE(YEAR(B1219),MONTH(B1219),1))</f>
        <v/>
      </c>
      <c r="K1219" s="41">
        <f>IF(OR(B1219="",D1219=""),"",D1219&amp;"|"&amp;TEXT(J1219,"yyyy-mm"))</f>
        <v/>
      </c>
      <c r="L1219" s="24">
        <f>IF(K1219="","",IFERROR(INDEX(Lotes!$N$5:$N$154,MATCH(K1219,Lotes!$P$5:$P$154,0)),"Sem lote cadastrado"))</f>
        <v/>
      </c>
      <c r="M1219" s="25">
        <f>IF(H1219="Sim",G1219,0)</f>
        <v>0</v>
      </c>
      <c r="N1219" s="42">
        <f>IF(AND(H1219="Sim",I1219&lt;&gt;"Aceito"),G1219+ROW()/100000,0)</f>
        <v>0</v>
      </c>
    </row>
    <row r="1220">
      <c r="A1220" s="35" t="n"/>
      <c r="B1220" s="39" t="n"/>
      <c r="C1220" s="33" t="n"/>
      <c r="D1220" s="35" t="n"/>
      <c r="E1220" s="33" t="n"/>
      <c r="F1220" s="33" t="n"/>
      <c r="G1220" s="40" t="n"/>
      <c r="H1220" s="35" t="n"/>
      <c r="I1220" s="35" t="n"/>
      <c r="J1220" s="30">
        <f>IF(B1220="","",DATE(YEAR(B1220),MONTH(B1220),1))</f>
        <v/>
      </c>
      <c r="K1220" s="41">
        <f>IF(OR(B1220="",D1220=""),"",D1220&amp;"|"&amp;TEXT(J1220,"yyyy-mm"))</f>
        <v/>
      </c>
      <c r="L1220" s="24">
        <f>IF(K1220="","",IFERROR(INDEX(Lotes!$N$5:$N$154,MATCH(K1220,Lotes!$P$5:$P$154,0)),"Sem lote cadastrado"))</f>
        <v/>
      </c>
      <c r="M1220" s="25">
        <f>IF(H1220="Sim",G1220,0)</f>
        <v>0</v>
      </c>
      <c r="N1220" s="42">
        <f>IF(AND(H1220="Sim",I1220&lt;&gt;"Aceito"),G1220+ROW()/100000,0)</f>
        <v>0</v>
      </c>
    </row>
    <row r="1221">
      <c r="A1221" s="35" t="n"/>
      <c r="B1221" s="39" t="n"/>
      <c r="C1221" s="33" t="n"/>
      <c r="D1221" s="35" t="n"/>
      <c r="E1221" s="33" t="n"/>
      <c r="F1221" s="33" t="n"/>
      <c r="G1221" s="40" t="n"/>
      <c r="H1221" s="35" t="n"/>
      <c r="I1221" s="35" t="n"/>
      <c r="J1221" s="30">
        <f>IF(B1221="","",DATE(YEAR(B1221),MONTH(B1221),1))</f>
        <v/>
      </c>
      <c r="K1221" s="41">
        <f>IF(OR(B1221="",D1221=""),"",D1221&amp;"|"&amp;TEXT(J1221,"yyyy-mm"))</f>
        <v/>
      </c>
      <c r="L1221" s="24">
        <f>IF(K1221="","",IFERROR(INDEX(Lotes!$N$5:$N$154,MATCH(K1221,Lotes!$P$5:$P$154,0)),"Sem lote cadastrado"))</f>
        <v/>
      </c>
      <c r="M1221" s="25">
        <f>IF(H1221="Sim",G1221,0)</f>
        <v>0</v>
      </c>
      <c r="N1221" s="42">
        <f>IF(AND(H1221="Sim",I1221&lt;&gt;"Aceito"),G1221+ROW()/100000,0)</f>
        <v>0</v>
      </c>
    </row>
    <row r="1222">
      <c r="A1222" s="35" t="n"/>
      <c r="B1222" s="39" t="n"/>
      <c r="C1222" s="33" t="n"/>
      <c r="D1222" s="35" t="n"/>
      <c r="E1222" s="33" t="n"/>
      <c r="F1222" s="33" t="n"/>
      <c r="G1222" s="40" t="n"/>
      <c r="H1222" s="35" t="n"/>
      <c r="I1222" s="35" t="n"/>
      <c r="J1222" s="30">
        <f>IF(B1222="","",DATE(YEAR(B1222),MONTH(B1222),1))</f>
        <v/>
      </c>
      <c r="K1222" s="41">
        <f>IF(OR(B1222="",D1222=""),"",D1222&amp;"|"&amp;TEXT(J1222,"yyyy-mm"))</f>
        <v/>
      </c>
      <c r="L1222" s="24">
        <f>IF(K1222="","",IFERROR(INDEX(Lotes!$N$5:$N$154,MATCH(K1222,Lotes!$P$5:$P$154,0)),"Sem lote cadastrado"))</f>
        <v/>
      </c>
      <c r="M1222" s="25">
        <f>IF(H1222="Sim",G1222,0)</f>
        <v>0</v>
      </c>
      <c r="N1222" s="42">
        <f>IF(AND(H1222="Sim",I1222&lt;&gt;"Aceito"),G1222+ROW()/100000,0)</f>
        <v>0</v>
      </c>
    </row>
    <row r="1223">
      <c r="A1223" s="35" t="n"/>
      <c r="B1223" s="39" t="n"/>
      <c r="C1223" s="33" t="n"/>
      <c r="D1223" s="35" t="n"/>
      <c r="E1223" s="33" t="n"/>
      <c r="F1223" s="33" t="n"/>
      <c r="G1223" s="40" t="n"/>
      <c r="H1223" s="35" t="n"/>
      <c r="I1223" s="35" t="n"/>
      <c r="J1223" s="30">
        <f>IF(B1223="","",DATE(YEAR(B1223),MONTH(B1223),1))</f>
        <v/>
      </c>
      <c r="K1223" s="41">
        <f>IF(OR(B1223="",D1223=""),"",D1223&amp;"|"&amp;TEXT(J1223,"yyyy-mm"))</f>
        <v/>
      </c>
      <c r="L1223" s="24">
        <f>IF(K1223="","",IFERROR(INDEX(Lotes!$N$5:$N$154,MATCH(K1223,Lotes!$P$5:$P$154,0)),"Sem lote cadastrado"))</f>
        <v/>
      </c>
      <c r="M1223" s="25">
        <f>IF(H1223="Sim",G1223,0)</f>
        <v>0</v>
      </c>
      <c r="N1223" s="42">
        <f>IF(AND(H1223="Sim",I1223&lt;&gt;"Aceito"),G1223+ROW()/100000,0)</f>
        <v>0</v>
      </c>
    </row>
    <row r="1224">
      <c r="A1224" s="35" t="n"/>
      <c r="B1224" s="39" t="n"/>
      <c r="C1224" s="33" t="n"/>
      <c r="D1224" s="35" t="n"/>
      <c r="E1224" s="33" t="n"/>
      <c r="F1224" s="33" t="n"/>
      <c r="G1224" s="40" t="n"/>
      <c r="H1224" s="35" t="n"/>
      <c r="I1224" s="35" t="n"/>
      <c r="J1224" s="30">
        <f>IF(B1224="","",DATE(YEAR(B1224),MONTH(B1224),1))</f>
        <v/>
      </c>
      <c r="K1224" s="41">
        <f>IF(OR(B1224="",D1224=""),"",D1224&amp;"|"&amp;TEXT(J1224,"yyyy-mm"))</f>
        <v/>
      </c>
      <c r="L1224" s="24">
        <f>IF(K1224="","",IFERROR(INDEX(Lotes!$N$5:$N$154,MATCH(K1224,Lotes!$P$5:$P$154,0)),"Sem lote cadastrado"))</f>
        <v/>
      </c>
      <c r="M1224" s="25">
        <f>IF(H1224="Sim",G1224,0)</f>
        <v>0</v>
      </c>
      <c r="N1224" s="42">
        <f>IF(AND(H1224="Sim",I1224&lt;&gt;"Aceito"),G1224+ROW()/100000,0)</f>
        <v>0</v>
      </c>
    </row>
    <row r="1225">
      <c r="A1225" s="35" t="n"/>
      <c r="B1225" s="39" t="n"/>
      <c r="C1225" s="33" t="n"/>
      <c r="D1225" s="35" t="n"/>
      <c r="E1225" s="33" t="n"/>
      <c r="F1225" s="33" t="n"/>
      <c r="G1225" s="40" t="n"/>
      <c r="H1225" s="35" t="n"/>
      <c r="I1225" s="35" t="n"/>
      <c r="J1225" s="30">
        <f>IF(B1225="","",DATE(YEAR(B1225),MONTH(B1225),1))</f>
        <v/>
      </c>
      <c r="K1225" s="41">
        <f>IF(OR(B1225="",D1225=""),"",D1225&amp;"|"&amp;TEXT(J1225,"yyyy-mm"))</f>
        <v/>
      </c>
      <c r="L1225" s="24">
        <f>IF(K1225="","",IFERROR(INDEX(Lotes!$N$5:$N$154,MATCH(K1225,Lotes!$P$5:$P$154,0)),"Sem lote cadastrado"))</f>
        <v/>
      </c>
      <c r="M1225" s="25">
        <f>IF(H1225="Sim",G1225,0)</f>
        <v>0</v>
      </c>
      <c r="N1225" s="42">
        <f>IF(AND(H1225="Sim",I1225&lt;&gt;"Aceito"),G1225+ROW()/100000,0)</f>
        <v>0</v>
      </c>
    </row>
    <row r="1226">
      <c r="A1226" s="35" t="n"/>
      <c r="B1226" s="39" t="n"/>
      <c r="C1226" s="33" t="n"/>
      <c r="D1226" s="35" t="n"/>
      <c r="E1226" s="33" t="n"/>
      <c r="F1226" s="33" t="n"/>
      <c r="G1226" s="40" t="n"/>
      <c r="H1226" s="35" t="n"/>
      <c r="I1226" s="35" t="n"/>
      <c r="J1226" s="30">
        <f>IF(B1226="","",DATE(YEAR(B1226),MONTH(B1226),1))</f>
        <v/>
      </c>
      <c r="K1226" s="41">
        <f>IF(OR(B1226="",D1226=""),"",D1226&amp;"|"&amp;TEXT(J1226,"yyyy-mm"))</f>
        <v/>
      </c>
      <c r="L1226" s="24">
        <f>IF(K1226="","",IFERROR(INDEX(Lotes!$N$5:$N$154,MATCH(K1226,Lotes!$P$5:$P$154,0)),"Sem lote cadastrado"))</f>
        <v/>
      </c>
      <c r="M1226" s="25">
        <f>IF(H1226="Sim",G1226,0)</f>
        <v>0</v>
      </c>
      <c r="N1226" s="42">
        <f>IF(AND(H1226="Sim",I1226&lt;&gt;"Aceito"),G1226+ROW()/100000,0)</f>
        <v>0</v>
      </c>
    </row>
    <row r="1227">
      <c r="A1227" s="35" t="n"/>
      <c r="B1227" s="39" t="n"/>
      <c r="C1227" s="33" t="n"/>
      <c r="D1227" s="35" t="n"/>
      <c r="E1227" s="33" t="n"/>
      <c r="F1227" s="33" t="n"/>
      <c r="G1227" s="40" t="n"/>
      <c r="H1227" s="35" t="n"/>
      <c r="I1227" s="35" t="n"/>
      <c r="J1227" s="30">
        <f>IF(B1227="","",DATE(YEAR(B1227),MONTH(B1227),1))</f>
        <v/>
      </c>
      <c r="K1227" s="41">
        <f>IF(OR(B1227="",D1227=""),"",D1227&amp;"|"&amp;TEXT(J1227,"yyyy-mm"))</f>
        <v/>
      </c>
      <c r="L1227" s="24">
        <f>IF(K1227="","",IFERROR(INDEX(Lotes!$N$5:$N$154,MATCH(K1227,Lotes!$P$5:$P$154,0)),"Sem lote cadastrado"))</f>
        <v/>
      </c>
      <c r="M1227" s="25">
        <f>IF(H1227="Sim",G1227,0)</f>
        <v>0</v>
      </c>
      <c r="N1227" s="42">
        <f>IF(AND(H1227="Sim",I1227&lt;&gt;"Aceito"),G1227+ROW()/100000,0)</f>
        <v>0</v>
      </c>
    </row>
    <row r="1228">
      <c r="A1228" s="35" t="n"/>
      <c r="B1228" s="39" t="n"/>
      <c r="C1228" s="33" t="n"/>
      <c r="D1228" s="35" t="n"/>
      <c r="E1228" s="33" t="n"/>
      <c r="F1228" s="33" t="n"/>
      <c r="G1228" s="40" t="n"/>
      <c r="H1228" s="35" t="n"/>
      <c r="I1228" s="35" t="n"/>
      <c r="J1228" s="30">
        <f>IF(B1228="","",DATE(YEAR(B1228),MONTH(B1228),1))</f>
        <v/>
      </c>
      <c r="K1228" s="41">
        <f>IF(OR(B1228="",D1228=""),"",D1228&amp;"|"&amp;TEXT(J1228,"yyyy-mm"))</f>
        <v/>
      </c>
      <c r="L1228" s="24">
        <f>IF(K1228="","",IFERROR(INDEX(Lotes!$N$5:$N$154,MATCH(K1228,Lotes!$P$5:$P$154,0)),"Sem lote cadastrado"))</f>
        <v/>
      </c>
      <c r="M1228" s="25">
        <f>IF(H1228="Sim",G1228,0)</f>
        <v>0</v>
      </c>
      <c r="N1228" s="42">
        <f>IF(AND(H1228="Sim",I1228&lt;&gt;"Aceito"),G1228+ROW()/100000,0)</f>
        <v>0</v>
      </c>
    </row>
    <row r="1229">
      <c r="A1229" s="35" t="n"/>
      <c r="B1229" s="39" t="n"/>
      <c r="C1229" s="33" t="n"/>
      <c r="D1229" s="35" t="n"/>
      <c r="E1229" s="33" t="n"/>
      <c r="F1229" s="33" t="n"/>
      <c r="G1229" s="40" t="n"/>
      <c r="H1229" s="35" t="n"/>
      <c r="I1229" s="35" t="n"/>
      <c r="J1229" s="30">
        <f>IF(B1229="","",DATE(YEAR(B1229),MONTH(B1229),1))</f>
        <v/>
      </c>
      <c r="K1229" s="41">
        <f>IF(OR(B1229="",D1229=""),"",D1229&amp;"|"&amp;TEXT(J1229,"yyyy-mm"))</f>
        <v/>
      </c>
      <c r="L1229" s="24">
        <f>IF(K1229="","",IFERROR(INDEX(Lotes!$N$5:$N$154,MATCH(K1229,Lotes!$P$5:$P$154,0)),"Sem lote cadastrado"))</f>
        <v/>
      </c>
      <c r="M1229" s="25">
        <f>IF(H1229="Sim",G1229,0)</f>
        <v>0</v>
      </c>
      <c r="N1229" s="42">
        <f>IF(AND(H1229="Sim",I1229&lt;&gt;"Aceito"),G1229+ROW()/100000,0)</f>
        <v>0</v>
      </c>
    </row>
    <row r="1230">
      <c r="A1230" s="35" t="n"/>
      <c r="B1230" s="39" t="n"/>
      <c r="C1230" s="33" t="n"/>
      <c r="D1230" s="35" t="n"/>
      <c r="E1230" s="33" t="n"/>
      <c r="F1230" s="33" t="n"/>
      <c r="G1230" s="40" t="n"/>
      <c r="H1230" s="35" t="n"/>
      <c r="I1230" s="35" t="n"/>
      <c r="J1230" s="30">
        <f>IF(B1230="","",DATE(YEAR(B1230),MONTH(B1230),1))</f>
        <v/>
      </c>
      <c r="K1230" s="41">
        <f>IF(OR(B1230="",D1230=""),"",D1230&amp;"|"&amp;TEXT(J1230,"yyyy-mm"))</f>
        <v/>
      </c>
      <c r="L1230" s="24">
        <f>IF(K1230="","",IFERROR(INDEX(Lotes!$N$5:$N$154,MATCH(K1230,Lotes!$P$5:$P$154,0)),"Sem lote cadastrado"))</f>
        <v/>
      </c>
      <c r="M1230" s="25">
        <f>IF(H1230="Sim",G1230,0)</f>
        <v>0</v>
      </c>
      <c r="N1230" s="42">
        <f>IF(AND(H1230="Sim",I1230&lt;&gt;"Aceito"),G1230+ROW()/100000,0)</f>
        <v>0</v>
      </c>
    </row>
    <row r="1231">
      <c r="A1231" s="35" t="n"/>
      <c r="B1231" s="39" t="n"/>
      <c r="C1231" s="33" t="n"/>
      <c r="D1231" s="35" t="n"/>
      <c r="E1231" s="33" t="n"/>
      <c r="F1231" s="33" t="n"/>
      <c r="G1231" s="40" t="n"/>
      <c r="H1231" s="35" t="n"/>
      <c r="I1231" s="35" t="n"/>
      <c r="J1231" s="30">
        <f>IF(B1231="","",DATE(YEAR(B1231),MONTH(B1231),1))</f>
        <v/>
      </c>
      <c r="K1231" s="41">
        <f>IF(OR(B1231="",D1231=""),"",D1231&amp;"|"&amp;TEXT(J1231,"yyyy-mm"))</f>
        <v/>
      </c>
      <c r="L1231" s="24">
        <f>IF(K1231="","",IFERROR(INDEX(Lotes!$N$5:$N$154,MATCH(K1231,Lotes!$P$5:$P$154,0)),"Sem lote cadastrado"))</f>
        <v/>
      </c>
      <c r="M1231" s="25">
        <f>IF(H1231="Sim",G1231,0)</f>
        <v>0</v>
      </c>
      <c r="N1231" s="42">
        <f>IF(AND(H1231="Sim",I1231&lt;&gt;"Aceito"),G1231+ROW()/100000,0)</f>
        <v>0</v>
      </c>
    </row>
    <row r="1232">
      <c r="A1232" s="35" t="n"/>
      <c r="B1232" s="39" t="n"/>
      <c r="C1232" s="33" t="n"/>
      <c r="D1232" s="35" t="n"/>
      <c r="E1232" s="33" t="n"/>
      <c r="F1232" s="33" t="n"/>
      <c r="G1232" s="40" t="n"/>
      <c r="H1232" s="35" t="n"/>
      <c r="I1232" s="35" t="n"/>
      <c r="J1232" s="30">
        <f>IF(B1232="","",DATE(YEAR(B1232),MONTH(B1232),1))</f>
        <v/>
      </c>
      <c r="K1232" s="41">
        <f>IF(OR(B1232="",D1232=""),"",D1232&amp;"|"&amp;TEXT(J1232,"yyyy-mm"))</f>
        <v/>
      </c>
      <c r="L1232" s="24">
        <f>IF(K1232="","",IFERROR(INDEX(Lotes!$N$5:$N$154,MATCH(K1232,Lotes!$P$5:$P$154,0)),"Sem lote cadastrado"))</f>
        <v/>
      </c>
      <c r="M1232" s="25">
        <f>IF(H1232="Sim",G1232,0)</f>
        <v>0</v>
      </c>
      <c r="N1232" s="42">
        <f>IF(AND(H1232="Sim",I1232&lt;&gt;"Aceito"),G1232+ROW()/100000,0)</f>
        <v>0</v>
      </c>
    </row>
    <row r="1233">
      <c r="A1233" s="35" t="n"/>
      <c r="B1233" s="39" t="n"/>
      <c r="C1233" s="33" t="n"/>
      <c r="D1233" s="35" t="n"/>
      <c r="E1233" s="33" t="n"/>
      <c r="F1233" s="33" t="n"/>
      <c r="G1233" s="40" t="n"/>
      <c r="H1233" s="35" t="n"/>
      <c r="I1233" s="35" t="n"/>
      <c r="J1233" s="30">
        <f>IF(B1233="","",DATE(YEAR(B1233),MONTH(B1233),1))</f>
        <v/>
      </c>
      <c r="K1233" s="41">
        <f>IF(OR(B1233="",D1233=""),"",D1233&amp;"|"&amp;TEXT(J1233,"yyyy-mm"))</f>
        <v/>
      </c>
      <c r="L1233" s="24">
        <f>IF(K1233="","",IFERROR(INDEX(Lotes!$N$5:$N$154,MATCH(K1233,Lotes!$P$5:$P$154,0)),"Sem lote cadastrado"))</f>
        <v/>
      </c>
      <c r="M1233" s="25">
        <f>IF(H1233="Sim",G1233,0)</f>
        <v>0</v>
      </c>
      <c r="N1233" s="42">
        <f>IF(AND(H1233="Sim",I1233&lt;&gt;"Aceito"),G1233+ROW()/100000,0)</f>
        <v>0</v>
      </c>
    </row>
    <row r="1234">
      <c r="A1234" s="35" t="n"/>
      <c r="B1234" s="39" t="n"/>
      <c r="C1234" s="33" t="n"/>
      <c r="D1234" s="35" t="n"/>
      <c r="E1234" s="33" t="n"/>
      <c r="F1234" s="33" t="n"/>
      <c r="G1234" s="40" t="n"/>
      <c r="H1234" s="35" t="n"/>
      <c r="I1234" s="35" t="n"/>
      <c r="J1234" s="30">
        <f>IF(B1234="","",DATE(YEAR(B1234),MONTH(B1234),1))</f>
        <v/>
      </c>
      <c r="K1234" s="41">
        <f>IF(OR(B1234="",D1234=""),"",D1234&amp;"|"&amp;TEXT(J1234,"yyyy-mm"))</f>
        <v/>
      </c>
      <c r="L1234" s="24">
        <f>IF(K1234="","",IFERROR(INDEX(Lotes!$N$5:$N$154,MATCH(K1234,Lotes!$P$5:$P$154,0)),"Sem lote cadastrado"))</f>
        <v/>
      </c>
      <c r="M1234" s="25">
        <f>IF(H1234="Sim",G1234,0)</f>
        <v>0</v>
      </c>
      <c r="N1234" s="42">
        <f>IF(AND(H1234="Sim",I1234&lt;&gt;"Aceito"),G1234+ROW()/100000,0)</f>
        <v>0</v>
      </c>
    </row>
    <row r="1235">
      <c r="A1235" s="35" t="n"/>
      <c r="B1235" s="39" t="n"/>
      <c r="C1235" s="33" t="n"/>
      <c r="D1235" s="35" t="n"/>
      <c r="E1235" s="33" t="n"/>
      <c r="F1235" s="33" t="n"/>
      <c r="G1235" s="40" t="n"/>
      <c r="H1235" s="35" t="n"/>
      <c r="I1235" s="35" t="n"/>
      <c r="J1235" s="30">
        <f>IF(B1235="","",DATE(YEAR(B1235),MONTH(B1235),1))</f>
        <v/>
      </c>
      <c r="K1235" s="41">
        <f>IF(OR(B1235="",D1235=""),"",D1235&amp;"|"&amp;TEXT(J1235,"yyyy-mm"))</f>
        <v/>
      </c>
      <c r="L1235" s="24">
        <f>IF(K1235="","",IFERROR(INDEX(Lotes!$N$5:$N$154,MATCH(K1235,Lotes!$P$5:$P$154,0)),"Sem lote cadastrado"))</f>
        <v/>
      </c>
      <c r="M1235" s="25">
        <f>IF(H1235="Sim",G1235,0)</f>
        <v>0</v>
      </c>
      <c r="N1235" s="42">
        <f>IF(AND(H1235="Sim",I1235&lt;&gt;"Aceito"),G1235+ROW()/100000,0)</f>
        <v>0</v>
      </c>
    </row>
    <row r="1236">
      <c r="A1236" s="35" t="n"/>
      <c r="B1236" s="39" t="n"/>
      <c r="C1236" s="33" t="n"/>
      <c r="D1236" s="35" t="n"/>
      <c r="E1236" s="33" t="n"/>
      <c r="F1236" s="33" t="n"/>
      <c r="G1236" s="40" t="n"/>
      <c r="H1236" s="35" t="n"/>
      <c r="I1236" s="35" t="n"/>
      <c r="J1236" s="30">
        <f>IF(B1236="","",DATE(YEAR(B1236),MONTH(B1236),1))</f>
        <v/>
      </c>
      <c r="K1236" s="41">
        <f>IF(OR(B1236="",D1236=""),"",D1236&amp;"|"&amp;TEXT(J1236,"yyyy-mm"))</f>
        <v/>
      </c>
      <c r="L1236" s="24">
        <f>IF(K1236="","",IFERROR(INDEX(Lotes!$N$5:$N$154,MATCH(K1236,Lotes!$P$5:$P$154,0)),"Sem lote cadastrado"))</f>
        <v/>
      </c>
      <c r="M1236" s="25">
        <f>IF(H1236="Sim",G1236,0)</f>
        <v>0</v>
      </c>
      <c r="N1236" s="42">
        <f>IF(AND(H1236="Sim",I1236&lt;&gt;"Aceito"),G1236+ROW()/100000,0)</f>
        <v>0</v>
      </c>
    </row>
    <row r="1237">
      <c r="A1237" s="35" t="n"/>
      <c r="B1237" s="39" t="n"/>
      <c r="C1237" s="33" t="n"/>
      <c r="D1237" s="35" t="n"/>
      <c r="E1237" s="33" t="n"/>
      <c r="F1237" s="33" t="n"/>
      <c r="G1237" s="40" t="n"/>
      <c r="H1237" s="35" t="n"/>
      <c r="I1237" s="35" t="n"/>
      <c r="J1237" s="30">
        <f>IF(B1237="","",DATE(YEAR(B1237),MONTH(B1237),1))</f>
        <v/>
      </c>
      <c r="K1237" s="41">
        <f>IF(OR(B1237="",D1237=""),"",D1237&amp;"|"&amp;TEXT(J1237,"yyyy-mm"))</f>
        <v/>
      </c>
      <c r="L1237" s="24">
        <f>IF(K1237="","",IFERROR(INDEX(Lotes!$N$5:$N$154,MATCH(K1237,Lotes!$P$5:$P$154,0)),"Sem lote cadastrado"))</f>
        <v/>
      </c>
      <c r="M1237" s="25">
        <f>IF(H1237="Sim",G1237,0)</f>
        <v>0</v>
      </c>
      <c r="N1237" s="42">
        <f>IF(AND(H1237="Sim",I1237&lt;&gt;"Aceito"),G1237+ROW()/100000,0)</f>
        <v>0</v>
      </c>
    </row>
    <row r="1238">
      <c r="A1238" s="35" t="n"/>
      <c r="B1238" s="39" t="n"/>
      <c r="C1238" s="33" t="n"/>
      <c r="D1238" s="35" t="n"/>
      <c r="E1238" s="33" t="n"/>
      <c r="F1238" s="33" t="n"/>
      <c r="G1238" s="40" t="n"/>
      <c r="H1238" s="35" t="n"/>
      <c r="I1238" s="35" t="n"/>
      <c r="J1238" s="30">
        <f>IF(B1238="","",DATE(YEAR(B1238),MONTH(B1238),1))</f>
        <v/>
      </c>
      <c r="K1238" s="41">
        <f>IF(OR(B1238="",D1238=""),"",D1238&amp;"|"&amp;TEXT(J1238,"yyyy-mm"))</f>
        <v/>
      </c>
      <c r="L1238" s="24">
        <f>IF(K1238="","",IFERROR(INDEX(Lotes!$N$5:$N$154,MATCH(K1238,Lotes!$P$5:$P$154,0)),"Sem lote cadastrado"))</f>
        <v/>
      </c>
      <c r="M1238" s="25">
        <f>IF(H1238="Sim",G1238,0)</f>
        <v>0</v>
      </c>
      <c r="N1238" s="42">
        <f>IF(AND(H1238="Sim",I1238&lt;&gt;"Aceito"),G1238+ROW()/100000,0)</f>
        <v>0</v>
      </c>
    </row>
    <row r="1239">
      <c r="A1239" s="35" t="n"/>
      <c r="B1239" s="39" t="n"/>
      <c r="C1239" s="33" t="n"/>
      <c r="D1239" s="35" t="n"/>
      <c r="E1239" s="33" t="n"/>
      <c r="F1239" s="33" t="n"/>
      <c r="G1239" s="40" t="n"/>
      <c r="H1239" s="35" t="n"/>
      <c r="I1239" s="35" t="n"/>
      <c r="J1239" s="30">
        <f>IF(B1239="","",DATE(YEAR(B1239),MONTH(B1239),1))</f>
        <v/>
      </c>
      <c r="K1239" s="41">
        <f>IF(OR(B1239="",D1239=""),"",D1239&amp;"|"&amp;TEXT(J1239,"yyyy-mm"))</f>
        <v/>
      </c>
      <c r="L1239" s="24">
        <f>IF(K1239="","",IFERROR(INDEX(Lotes!$N$5:$N$154,MATCH(K1239,Lotes!$P$5:$P$154,0)),"Sem lote cadastrado"))</f>
        <v/>
      </c>
      <c r="M1239" s="25">
        <f>IF(H1239="Sim",G1239,0)</f>
        <v>0</v>
      </c>
      <c r="N1239" s="42">
        <f>IF(AND(H1239="Sim",I1239&lt;&gt;"Aceito"),G1239+ROW()/100000,0)</f>
        <v>0</v>
      </c>
    </row>
    <row r="1240">
      <c r="A1240" s="35" t="n"/>
      <c r="B1240" s="39" t="n"/>
      <c r="C1240" s="33" t="n"/>
      <c r="D1240" s="35" t="n"/>
      <c r="E1240" s="33" t="n"/>
      <c r="F1240" s="33" t="n"/>
      <c r="G1240" s="40" t="n"/>
      <c r="H1240" s="35" t="n"/>
      <c r="I1240" s="35" t="n"/>
      <c r="J1240" s="30">
        <f>IF(B1240="","",DATE(YEAR(B1240),MONTH(B1240),1))</f>
        <v/>
      </c>
      <c r="K1240" s="41">
        <f>IF(OR(B1240="",D1240=""),"",D1240&amp;"|"&amp;TEXT(J1240,"yyyy-mm"))</f>
        <v/>
      </c>
      <c r="L1240" s="24">
        <f>IF(K1240="","",IFERROR(INDEX(Lotes!$N$5:$N$154,MATCH(K1240,Lotes!$P$5:$P$154,0)),"Sem lote cadastrado"))</f>
        <v/>
      </c>
      <c r="M1240" s="25">
        <f>IF(H1240="Sim",G1240,0)</f>
        <v>0</v>
      </c>
      <c r="N1240" s="42">
        <f>IF(AND(H1240="Sim",I1240&lt;&gt;"Aceito"),G1240+ROW()/100000,0)</f>
        <v>0</v>
      </c>
    </row>
    <row r="1241">
      <c r="A1241" s="35" t="n"/>
      <c r="B1241" s="39" t="n"/>
      <c r="C1241" s="33" t="n"/>
      <c r="D1241" s="35" t="n"/>
      <c r="E1241" s="33" t="n"/>
      <c r="F1241" s="33" t="n"/>
      <c r="G1241" s="40" t="n"/>
      <c r="H1241" s="35" t="n"/>
      <c r="I1241" s="35" t="n"/>
      <c r="J1241" s="30">
        <f>IF(B1241="","",DATE(YEAR(B1241),MONTH(B1241),1))</f>
        <v/>
      </c>
      <c r="K1241" s="41">
        <f>IF(OR(B1241="",D1241=""),"",D1241&amp;"|"&amp;TEXT(J1241,"yyyy-mm"))</f>
        <v/>
      </c>
      <c r="L1241" s="24">
        <f>IF(K1241="","",IFERROR(INDEX(Lotes!$N$5:$N$154,MATCH(K1241,Lotes!$P$5:$P$154,0)),"Sem lote cadastrado"))</f>
        <v/>
      </c>
      <c r="M1241" s="25">
        <f>IF(H1241="Sim",G1241,0)</f>
        <v>0</v>
      </c>
      <c r="N1241" s="42">
        <f>IF(AND(H1241="Sim",I1241&lt;&gt;"Aceito"),G1241+ROW()/100000,0)</f>
        <v>0</v>
      </c>
    </row>
    <row r="1242">
      <c r="A1242" s="35" t="n"/>
      <c r="B1242" s="39" t="n"/>
      <c r="C1242" s="33" t="n"/>
      <c r="D1242" s="35" t="n"/>
      <c r="E1242" s="33" t="n"/>
      <c r="F1242" s="33" t="n"/>
      <c r="G1242" s="40" t="n"/>
      <c r="H1242" s="35" t="n"/>
      <c r="I1242" s="35" t="n"/>
      <c r="J1242" s="30">
        <f>IF(B1242="","",DATE(YEAR(B1242),MONTH(B1242),1))</f>
        <v/>
      </c>
      <c r="K1242" s="41">
        <f>IF(OR(B1242="",D1242=""),"",D1242&amp;"|"&amp;TEXT(J1242,"yyyy-mm"))</f>
        <v/>
      </c>
      <c r="L1242" s="24">
        <f>IF(K1242="","",IFERROR(INDEX(Lotes!$N$5:$N$154,MATCH(K1242,Lotes!$P$5:$P$154,0)),"Sem lote cadastrado"))</f>
        <v/>
      </c>
      <c r="M1242" s="25">
        <f>IF(H1242="Sim",G1242,0)</f>
        <v>0</v>
      </c>
      <c r="N1242" s="42">
        <f>IF(AND(H1242="Sim",I1242&lt;&gt;"Aceito"),G1242+ROW()/100000,0)</f>
        <v>0</v>
      </c>
    </row>
    <row r="1243">
      <c r="A1243" s="35" t="n"/>
      <c r="B1243" s="39" t="n"/>
      <c r="C1243" s="33" t="n"/>
      <c r="D1243" s="35" t="n"/>
      <c r="E1243" s="33" t="n"/>
      <c r="F1243" s="33" t="n"/>
      <c r="G1243" s="40" t="n"/>
      <c r="H1243" s="35" t="n"/>
      <c r="I1243" s="35" t="n"/>
      <c r="J1243" s="30">
        <f>IF(B1243="","",DATE(YEAR(B1243),MONTH(B1243),1))</f>
        <v/>
      </c>
      <c r="K1243" s="41">
        <f>IF(OR(B1243="",D1243=""),"",D1243&amp;"|"&amp;TEXT(J1243,"yyyy-mm"))</f>
        <v/>
      </c>
      <c r="L1243" s="24">
        <f>IF(K1243="","",IFERROR(INDEX(Lotes!$N$5:$N$154,MATCH(K1243,Lotes!$P$5:$P$154,0)),"Sem lote cadastrado"))</f>
        <v/>
      </c>
      <c r="M1243" s="25">
        <f>IF(H1243="Sim",G1243,0)</f>
        <v>0</v>
      </c>
      <c r="N1243" s="42">
        <f>IF(AND(H1243="Sim",I1243&lt;&gt;"Aceito"),G1243+ROW()/100000,0)</f>
        <v>0</v>
      </c>
    </row>
    <row r="1244">
      <c r="A1244" s="35" t="n"/>
      <c r="B1244" s="39" t="n"/>
      <c r="C1244" s="33" t="n"/>
      <c r="D1244" s="35" t="n"/>
      <c r="E1244" s="33" t="n"/>
      <c r="F1244" s="33" t="n"/>
      <c r="G1244" s="40" t="n"/>
      <c r="H1244" s="35" t="n"/>
      <c r="I1244" s="35" t="n"/>
      <c r="J1244" s="30">
        <f>IF(B1244="","",DATE(YEAR(B1244),MONTH(B1244),1))</f>
        <v/>
      </c>
      <c r="K1244" s="41">
        <f>IF(OR(B1244="",D1244=""),"",D1244&amp;"|"&amp;TEXT(J1244,"yyyy-mm"))</f>
        <v/>
      </c>
      <c r="L1244" s="24">
        <f>IF(K1244="","",IFERROR(INDEX(Lotes!$N$5:$N$154,MATCH(K1244,Lotes!$P$5:$P$154,0)),"Sem lote cadastrado"))</f>
        <v/>
      </c>
      <c r="M1244" s="25">
        <f>IF(H1244="Sim",G1244,0)</f>
        <v>0</v>
      </c>
      <c r="N1244" s="42">
        <f>IF(AND(H1244="Sim",I1244&lt;&gt;"Aceito"),G1244+ROW()/100000,0)</f>
        <v>0</v>
      </c>
    </row>
    <row r="1245">
      <c r="A1245" s="35" t="n"/>
      <c r="B1245" s="39" t="n"/>
      <c r="C1245" s="33" t="n"/>
      <c r="D1245" s="35" t="n"/>
      <c r="E1245" s="33" t="n"/>
      <c r="F1245" s="33" t="n"/>
      <c r="G1245" s="40" t="n"/>
      <c r="H1245" s="35" t="n"/>
      <c r="I1245" s="35" t="n"/>
      <c r="J1245" s="30">
        <f>IF(B1245="","",DATE(YEAR(B1245),MONTH(B1245),1))</f>
        <v/>
      </c>
      <c r="K1245" s="41">
        <f>IF(OR(B1245="",D1245=""),"",D1245&amp;"|"&amp;TEXT(J1245,"yyyy-mm"))</f>
        <v/>
      </c>
      <c r="L1245" s="24">
        <f>IF(K1245="","",IFERROR(INDEX(Lotes!$N$5:$N$154,MATCH(K1245,Lotes!$P$5:$P$154,0)),"Sem lote cadastrado"))</f>
        <v/>
      </c>
      <c r="M1245" s="25">
        <f>IF(H1245="Sim",G1245,0)</f>
        <v>0</v>
      </c>
      <c r="N1245" s="42">
        <f>IF(AND(H1245="Sim",I1245&lt;&gt;"Aceito"),G1245+ROW()/100000,0)</f>
        <v>0</v>
      </c>
    </row>
    <row r="1246">
      <c r="A1246" s="35" t="n"/>
      <c r="B1246" s="39" t="n"/>
      <c r="C1246" s="33" t="n"/>
      <c r="D1246" s="35" t="n"/>
      <c r="E1246" s="33" t="n"/>
      <c r="F1246" s="33" t="n"/>
      <c r="G1246" s="40" t="n"/>
      <c r="H1246" s="35" t="n"/>
      <c r="I1246" s="35" t="n"/>
      <c r="J1246" s="30">
        <f>IF(B1246="","",DATE(YEAR(B1246),MONTH(B1246),1))</f>
        <v/>
      </c>
      <c r="K1246" s="41">
        <f>IF(OR(B1246="",D1246=""),"",D1246&amp;"|"&amp;TEXT(J1246,"yyyy-mm"))</f>
        <v/>
      </c>
      <c r="L1246" s="24">
        <f>IF(K1246="","",IFERROR(INDEX(Lotes!$N$5:$N$154,MATCH(K1246,Lotes!$P$5:$P$154,0)),"Sem lote cadastrado"))</f>
        <v/>
      </c>
      <c r="M1246" s="25">
        <f>IF(H1246="Sim",G1246,0)</f>
        <v>0</v>
      </c>
      <c r="N1246" s="42">
        <f>IF(AND(H1246="Sim",I1246&lt;&gt;"Aceito"),G1246+ROW()/100000,0)</f>
        <v>0</v>
      </c>
    </row>
    <row r="1247">
      <c r="A1247" s="35" t="n"/>
      <c r="B1247" s="39" t="n"/>
      <c r="C1247" s="33" t="n"/>
      <c r="D1247" s="35" t="n"/>
      <c r="E1247" s="33" t="n"/>
      <c r="F1247" s="33" t="n"/>
      <c r="G1247" s="40" t="n"/>
      <c r="H1247" s="35" t="n"/>
      <c r="I1247" s="35" t="n"/>
      <c r="J1247" s="30">
        <f>IF(B1247="","",DATE(YEAR(B1247),MONTH(B1247),1))</f>
        <v/>
      </c>
      <c r="K1247" s="41">
        <f>IF(OR(B1247="",D1247=""),"",D1247&amp;"|"&amp;TEXT(J1247,"yyyy-mm"))</f>
        <v/>
      </c>
      <c r="L1247" s="24">
        <f>IF(K1247="","",IFERROR(INDEX(Lotes!$N$5:$N$154,MATCH(K1247,Lotes!$P$5:$P$154,0)),"Sem lote cadastrado"))</f>
        <v/>
      </c>
      <c r="M1247" s="25">
        <f>IF(H1247="Sim",G1247,0)</f>
        <v>0</v>
      </c>
      <c r="N1247" s="42">
        <f>IF(AND(H1247="Sim",I1247&lt;&gt;"Aceito"),G1247+ROW()/100000,0)</f>
        <v>0</v>
      </c>
    </row>
    <row r="1248">
      <c r="A1248" s="35" t="n"/>
      <c r="B1248" s="39" t="n"/>
      <c r="C1248" s="33" t="n"/>
      <c r="D1248" s="35" t="n"/>
      <c r="E1248" s="33" t="n"/>
      <c r="F1248" s="33" t="n"/>
      <c r="G1248" s="40" t="n"/>
      <c r="H1248" s="35" t="n"/>
      <c r="I1248" s="35" t="n"/>
      <c r="J1248" s="30">
        <f>IF(B1248="","",DATE(YEAR(B1248),MONTH(B1248),1))</f>
        <v/>
      </c>
      <c r="K1248" s="41">
        <f>IF(OR(B1248="",D1248=""),"",D1248&amp;"|"&amp;TEXT(J1248,"yyyy-mm"))</f>
        <v/>
      </c>
      <c r="L1248" s="24">
        <f>IF(K1248="","",IFERROR(INDEX(Lotes!$N$5:$N$154,MATCH(K1248,Lotes!$P$5:$P$154,0)),"Sem lote cadastrado"))</f>
        <v/>
      </c>
      <c r="M1248" s="25">
        <f>IF(H1248="Sim",G1248,0)</f>
        <v>0</v>
      </c>
      <c r="N1248" s="42">
        <f>IF(AND(H1248="Sim",I1248&lt;&gt;"Aceito"),G1248+ROW()/100000,0)</f>
        <v>0</v>
      </c>
    </row>
    <row r="1249">
      <c r="A1249" s="35" t="n"/>
      <c r="B1249" s="39" t="n"/>
      <c r="C1249" s="33" t="n"/>
      <c r="D1249" s="35" t="n"/>
      <c r="E1249" s="33" t="n"/>
      <c r="F1249" s="33" t="n"/>
      <c r="G1249" s="40" t="n"/>
      <c r="H1249" s="35" t="n"/>
      <c r="I1249" s="35" t="n"/>
      <c r="J1249" s="30">
        <f>IF(B1249="","",DATE(YEAR(B1249),MONTH(B1249),1))</f>
        <v/>
      </c>
      <c r="K1249" s="41">
        <f>IF(OR(B1249="",D1249=""),"",D1249&amp;"|"&amp;TEXT(J1249,"yyyy-mm"))</f>
        <v/>
      </c>
      <c r="L1249" s="24">
        <f>IF(K1249="","",IFERROR(INDEX(Lotes!$N$5:$N$154,MATCH(K1249,Lotes!$P$5:$P$154,0)),"Sem lote cadastrado"))</f>
        <v/>
      </c>
      <c r="M1249" s="25">
        <f>IF(H1249="Sim",G1249,0)</f>
        <v>0</v>
      </c>
      <c r="N1249" s="42">
        <f>IF(AND(H1249="Sim",I1249&lt;&gt;"Aceito"),G1249+ROW()/100000,0)</f>
        <v>0</v>
      </c>
    </row>
    <row r="1250">
      <c r="A1250" s="35" t="n"/>
      <c r="B1250" s="39" t="n"/>
      <c r="C1250" s="33" t="n"/>
      <c r="D1250" s="35" t="n"/>
      <c r="E1250" s="33" t="n"/>
      <c r="F1250" s="33" t="n"/>
      <c r="G1250" s="40" t="n"/>
      <c r="H1250" s="35" t="n"/>
      <c r="I1250" s="35" t="n"/>
      <c r="J1250" s="30">
        <f>IF(B1250="","",DATE(YEAR(B1250),MONTH(B1250),1))</f>
        <v/>
      </c>
      <c r="K1250" s="41">
        <f>IF(OR(B1250="",D1250=""),"",D1250&amp;"|"&amp;TEXT(J1250,"yyyy-mm"))</f>
        <v/>
      </c>
      <c r="L1250" s="24">
        <f>IF(K1250="","",IFERROR(INDEX(Lotes!$N$5:$N$154,MATCH(K1250,Lotes!$P$5:$P$154,0)),"Sem lote cadastrado"))</f>
        <v/>
      </c>
      <c r="M1250" s="25">
        <f>IF(H1250="Sim",G1250,0)</f>
        <v>0</v>
      </c>
      <c r="N1250" s="42">
        <f>IF(AND(H1250="Sim",I1250&lt;&gt;"Aceito"),G1250+ROW()/100000,0)</f>
        <v>0</v>
      </c>
    </row>
    <row r="1251">
      <c r="A1251" s="35" t="n"/>
      <c r="B1251" s="39" t="n"/>
      <c r="C1251" s="33" t="n"/>
      <c r="D1251" s="35" t="n"/>
      <c r="E1251" s="33" t="n"/>
      <c r="F1251" s="33" t="n"/>
      <c r="G1251" s="40" t="n"/>
      <c r="H1251" s="35" t="n"/>
      <c r="I1251" s="35" t="n"/>
      <c r="J1251" s="30">
        <f>IF(B1251="","",DATE(YEAR(B1251),MONTH(B1251),1))</f>
        <v/>
      </c>
      <c r="K1251" s="41">
        <f>IF(OR(B1251="",D1251=""),"",D1251&amp;"|"&amp;TEXT(J1251,"yyyy-mm"))</f>
        <v/>
      </c>
      <c r="L1251" s="24">
        <f>IF(K1251="","",IFERROR(INDEX(Lotes!$N$5:$N$154,MATCH(K1251,Lotes!$P$5:$P$154,0)),"Sem lote cadastrado"))</f>
        <v/>
      </c>
      <c r="M1251" s="25">
        <f>IF(H1251="Sim",G1251,0)</f>
        <v>0</v>
      </c>
      <c r="N1251" s="42">
        <f>IF(AND(H1251="Sim",I1251&lt;&gt;"Aceito"),G1251+ROW()/100000,0)</f>
        <v>0</v>
      </c>
    </row>
    <row r="1252">
      <c r="A1252" s="35" t="n"/>
      <c r="B1252" s="39" t="n"/>
      <c r="C1252" s="33" t="n"/>
      <c r="D1252" s="35" t="n"/>
      <c r="E1252" s="33" t="n"/>
      <c r="F1252" s="33" t="n"/>
      <c r="G1252" s="40" t="n"/>
      <c r="H1252" s="35" t="n"/>
      <c r="I1252" s="35" t="n"/>
      <c r="J1252" s="30">
        <f>IF(B1252="","",DATE(YEAR(B1252),MONTH(B1252),1))</f>
        <v/>
      </c>
      <c r="K1252" s="41">
        <f>IF(OR(B1252="",D1252=""),"",D1252&amp;"|"&amp;TEXT(J1252,"yyyy-mm"))</f>
        <v/>
      </c>
      <c r="L1252" s="24">
        <f>IF(K1252="","",IFERROR(INDEX(Lotes!$N$5:$N$154,MATCH(K1252,Lotes!$P$5:$P$154,0)),"Sem lote cadastrado"))</f>
        <v/>
      </c>
      <c r="M1252" s="25">
        <f>IF(H1252="Sim",G1252,0)</f>
        <v>0</v>
      </c>
      <c r="N1252" s="42">
        <f>IF(AND(H1252="Sim",I1252&lt;&gt;"Aceito"),G1252+ROW()/100000,0)</f>
        <v>0</v>
      </c>
    </row>
    <row r="1253">
      <c r="A1253" s="35" t="n"/>
      <c r="B1253" s="39" t="n"/>
      <c r="C1253" s="33" t="n"/>
      <c r="D1253" s="35" t="n"/>
      <c r="E1253" s="33" t="n"/>
      <c r="F1253" s="33" t="n"/>
      <c r="G1253" s="40" t="n"/>
      <c r="H1253" s="35" t="n"/>
      <c r="I1253" s="35" t="n"/>
      <c r="J1253" s="30">
        <f>IF(B1253="","",DATE(YEAR(B1253),MONTH(B1253),1))</f>
        <v/>
      </c>
      <c r="K1253" s="41">
        <f>IF(OR(B1253="",D1253=""),"",D1253&amp;"|"&amp;TEXT(J1253,"yyyy-mm"))</f>
        <v/>
      </c>
      <c r="L1253" s="24">
        <f>IF(K1253="","",IFERROR(INDEX(Lotes!$N$5:$N$154,MATCH(K1253,Lotes!$P$5:$P$154,0)),"Sem lote cadastrado"))</f>
        <v/>
      </c>
      <c r="M1253" s="25">
        <f>IF(H1253="Sim",G1253,0)</f>
        <v>0</v>
      </c>
      <c r="N1253" s="42">
        <f>IF(AND(H1253="Sim",I1253&lt;&gt;"Aceito"),G1253+ROW()/100000,0)</f>
        <v>0</v>
      </c>
    </row>
    <row r="1254">
      <c r="A1254" s="35" t="n"/>
      <c r="B1254" s="39" t="n"/>
      <c r="C1254" s="33" t="n"/>
      <c r="D1254" s="35" t="n"/>
      <c r="E1254" s="33" t="n"/>
      <c r="F1254" s="33" t="n"/>
      <c r="G1254" s="40" t="n"/>
      <c r="H1254" s="35" t="n"/>
      <c r="I1254" s="35" t="n"/>
      <c r="J1254" s="30">
        <f>IF(B1254="","",DATE(YEAR(B1254),MONTH(B1254),1))</f>
        <v/>
      </c>
      <c r="K1254" s="41">
        <f>IF(OR(B1254="",D1254=""),"",D1254&amp;"|"&amp;TEXT(J1254,"yyyy-mm"))</f>
        <v/>
      </c>
      <c r="L1254" s="24">
        <f>IF(K1254="","",IFERROR(INDEX(Lotes!$N$5:$N$154,MATCH(K1254,Lotes!$P$5:$P$154,0)),"Sem lote cadastrado"))</f>
        <v/>
      </c>
      <c r="M1254" s="25">
        <f>IF(H1254="Sim",G1254,0)</f>
        <v>0</v>
      </c>
      <c r="N1254" s="42">
        <f>IF(AND(H1254="Sim",I1254&lt;&gt;"Aceito"),G1254+ROW()/100000,0)</f>
        <v>0</v>
      </c>
    </row>
    <row r="1255">
      <c r="A1255" s="35" t="n"/>
      <c r="B1255" s="39" t="n"/>
      <c r="C1255" s="33" t="n"/>
      <c r="D1255" s="35" t="n"/>
      <c r="E1255" s="33" t="n"/>
      <c r="F1255" s="33" t="n"/>
      <c r="G1255" s="40" t="n"/>
      <c r="H1255" s="35" t="n"/>
      <c r="I1255" s="35" t="n"/>
      <c r="J1255" s="30">
        <f>IF(B1255="","",DATE(YEAR(B1255),MONTH(B1255),1))</f>
        <v/>
      </c>
      <c r="K1255" s="41">
        <f>IF(OR(B1255="",D1255=""),"",D1255&amp;"|"&amp;TEXT(J1255,"yyyy-mm"))</f>
        <v/>
      </c>
      <c r="L1255" s="24">
        <f>IF(K1255="","",IFERROR(INDEX(Lotes!$N$5:$N$154,MATCH(K1255,Lotes!$P$5:$P$154,0)),"Sem lote cadastrado"))</f>
        <v/>
      </c>
      <c r="M1255" s="25">
        <f>IF(H1255="Sim",G1255,0)</f>
        <v>0</v>
      </c>
      <c r="N1255" s="42">
        <f>IF(AND(H1255="Sim",I1255&lt;&gt;"Aceito"),G1255+ROW()/100000,0)</f>
        <v>0</v>
      </c>
    </row>
    <row r="1256">
      <c r="A1256" s="35" t="n"/>
      <c r="B1256" s="39" t="n"/>
      <c r="C1256" s="33" t="n"/>
      <c r="D1256" s="35" t="n"/>
      <c r="E1256" s="33" t="n"/>
      <c r="F1256" s="33" t="n"/>
      <c r="G1256" s="40" t="n"/>
      <c r="H1256" s="35" t="n"/>
      <c r="I1256" s="35" t="n"/>
      <c r="J1256" s="30">
        <f>IF(B1256="","",DATE(YEAR(B1256),MONTH(B1256),1))</f>
        <v/>
      </c>
      <c r="K1256" s="41">
        <f>IF(OR(B1256="",D1256=""),"",D1256&amp;"|"&amp;TEXT(J1256,"yyyy-mm"))</f>
        <v/>
      </c>
      <c r="L1256" s="24">
        <f>IF(K1256="","",IFERROR(INDEX(Lotes!$N$5:$N$154,MATCH(K1256,Lotes!$P$5:$P$154,0)),"Sem lote cadastrado"))</f>
        <v/>
      </c>
      <c r="M1256" s="25">
        <f>IF(H1256="Sim",G1256,0)</f>
        <v>0</v>
      </c>
      <c r="N1256" s="42">
        <f>IF(AND(H1256="Sim",I1256&lt;&gt;"Aceito"),G1256+ROW()/100000,0)</f>
        <v>0</v>
      </c>
    </row>
    <row r="1257">
      <c r="A1257" s="35" t="n"/>
      <c r="B1257" s="39" t="n"/>
      <c r="C1257" s="33" t="n"/>
      <c r="D1257" s="35" t="n"/>
      <c r="E1257" s="33" t="n"/>
      <c r="F1257" s="33" t="n"/>
      <c r="G1257" s="40" t="n"/>
      <c r="H1257" s="35" t="n"/>
      <c r="I1257" s="35" t="n"/>
      <c r="J1257" s="30">
        <f>IF(B1257="","",DATE(YEAR(B1257),MONTH(B1257),1))</f>
        <v/>
      </c>
      <c r="K1257" s="41">
        <f>IF(OR(B1257="",D1257=""),"",D1257&amp;"|"&amp;TEXT(J1257,"yyyy-mm"))</f>
        <v/>
      </c>
      <c r="L1257" s="24">
        <f>IF(K1257="","",IFERROR(INDEX(Lotes!$N$5:$N$154,MATCH(K1257,Lotes!$P$5:$P$154,0)),"Sem lote cadastrado"))</f>
        <v/>
      </c>
      <c r="M1257" s="25">
        <f>IF(H1257="Sim",G1257,0)</f>
        <v>0</v>
      </c>
      <c r="N1257" s="42">
        <f>IF(AND(H1257="Sim",I1257&lt;&gt;"Aceito"),G1257+ROW()/100000,0)</f>
        <v>0</v>
      </c>
    </row>
    <row r="1258">
      <c r="A1258" s="35" t="n"/>
      <c r="B1258" s="39" t="n"/>
      <c r="C1258" s="33" t="n"/>
      <c r="D1258" s="35" t="n"/>
      <c r="E1258" s="33" t="n"/>
      <c r="F1258" s="33" t="n"/>
      <c r="G1258" s="40" t="n"/>
      <c r="H1258" s="35" t="n"/>
      <c r="I1258" s="35" t="n"/>
      <c r="J1258" s="30">
        <f>IF(B1258="","",DATE(YEAR(B1258),MONTH(B1258),1))</f>
        <v/>
      </c>
      <c r="K1258" s="41">
        <f>IF(OR(B1258="",D1258=""),"",D1258&amp;"|"&amp;TEXT(J1258,"yyyy-mm"))</f>
        <v/>
      </c>
      <c r="L1258" s="24">
        <f>IF(K1258="","",IFERROR(INDEX(Lotes!$N$5:$N$154,MATCH(K1258,Lotes!$P$5:$P$154,0)),"Sem lote cadastrado"))</f>
        <v/>
      </c>
      <c r="M1258" s="25">
        <f>IF(H1258="Sim",G1258,0)</f>
        <v>0</v>
      </c>
      <c r="N1258" s="42">
        <f>IF(AND(H1258="Sim",I1258&lt;&gt;"Aceito"),G1258+ROW()/100000,0)</f>
        <v>0</v>
      </c>
    </row>
    <row r="1259">
      <c r="A1259" s="35" t="n"/>
      <c r="B1259" s="39" t="n"/>
      <c r="C1259" s="33" t="n"/>
      <c r="D1259" s="35" t="n"/>
      <c r="E1259" s="33" t="n"/>
      <c r="F1259" s="33" t="n"/>
      <c r="G1259" s="40" t="n"/>
      <c r="H1259" s="35" t="n"/>
      <c r="I1259" s="35" t="n"/>
      <c r="J1259" s="30">
        <f>IF(B1259="","",DATE(YEAR(B1259),MONTH(B1259),1))</f>
        <v/>
      </c>
      <c r="K1259" s="41">
        <f>IF(OR(B1259="",D1259=""),"",D1259&amp;"|"&amp;TEXT(J1259,"yyyy-mm"))</f>
        <v/>
      </c>
      <c r="L1259" s="24">
        <f>IF(K1259="","",IFERROR(INDEX(Lotes!$N$5:$N$154,MATCH(K1259,Lotes!$P$5:$P$154,0)),"Sem lote cadastrado"))</f>
        <v/>
      </c>
      <c r="M1259" s="25">
        <f>IF(H1259="Sim",G1259,0)</f>
        <v>0</v>
      </c>
      <c r="N1259" s="42">
        <f>IF(AND(H1259="Sim",I1259&lt;&gt;"Aceito"),G1259+ROW()/100000,0)</f>
        <v>0</v>
      </c>
    </row>
    <row r="1260">
      <c r="A1260" s="35" t="n"/>
      <c r="B1260" s="39" t="n"/>
      <c r="C1260" s="33" t="n"/>
      <c r="D1260" s="35" t="n"/>
      <c r="E1260" s="33" t="n"/>
      <c r="F1260" s="33" t="n"/>
      <c r="G1260" s="40" t="n"/>
      <c r="H1260" s="35" t="n"/>
      <c r="I1260" s="35" t="n"/>
      <c r="J1260" s="30">
        <f>IF(B1260="","",DATE(YEAR(B1260),MONTH(B1260),1))</f>
        <v/>
      </c>
      <c r="K1260" s="41">
        <f>IF(OR(B1260="",D1260=""),"",D1260&amp;"|"&amp;TEXT(J1260,"yyyy-mm"))</f>
        <v/>
      </c>
      <c r="L1260" s="24">
        <f>IF(K1260="","",IFERROR(INDEX(Lotes!$N$5:$N$154,MATCH(K1260,Lotes!$P$5:$P$154,0)),"Sem lote cadastrado"))</f>
        <v/>
      </c>
      <c r="M1260" s="25">
        <f>IF(H1260="Sim",G1260,0)</f>
        <v>0</v>
      </c>
      <c r="N1260" s="42">
        <f>IF(AND(H1260="Sim",I1260&lt;&gt;"Aceito"),G1260+ROW()/100000,0)</f>
        <v>0</v>
      </c>
    </row>
    <row r="1261">
      <c r="A1261" s="35" t="n"/>
      <c r="B1261" s="39" t="n"/>
      <c r="C1261" s="33" t="n"/>
      <c r="D1261" s="35" t="n"/>
      <c r="E1261" s="33" t="n"/>
      <c r="F1261" s="33" t="n"/>
      <c r="G1261" s="40" t="n"/>
      <c r="H1261" s="35" t="n"/>
      <c r="I1261" s="35" t="n"/>
      <c r="J1261" s="30">
        <f>IF(B1261="","",DATE(YEAR(B1261),MONTH(B1261),1))</f>
        <v/>
      </c>
      <c r="K1261" s="41">
        <f>IF(OR(B1261="",D1261=""),"",D1261&amp;"|"&amp;TEXT(J1261,"yyyy-mm"))</f>
        <v/>
      </c>
      <c r="L1261" s="24">
        <f>IF(K1261="","",IFERROR(INDEX(Lotes!$N$5:$N$154,MATCH(K1261,Lotes!$P$5:$P$154,0)),"Sem lote cadastrado"))</f>
        <v/>
      </c>
      <c r="M1261" s="25">
        <f>IF(H1261="Sim",G1261,0)</f>
        <v>0</v>
      </c>
      <c r="N1261" s="42">
        <f>IF(AND(H1261="Sim",I1261&lt;&gt;"Aceito"),G1261+ROW()/100000,0)</f>
        <v>0</v>
      </c>
    </row>
    <row r="1262">
      <c r="A1262" s="35" t="n"/>
      <c r="B1262" s="39" t="n"/>
      <c r="C1262" s="33" t="n"/>
      <c r="D1262" s="35" t="n"/>
      <c r="E1262" s="33" t="n"/>
      <c r="F1262" s="33" t="n"/>
      <c r="G1262" s="40" t="n"/>
      <c r="H1262" s="35" t="n"/>
      <c r="I1262" s="35" t="n"/>
      <c r="J1262" s="30">
        <f>IF(B1262="","",DATE(YEAR(B1262),MONTH(B1262),1))</f>
        <v/>
      </c>
      <c r="K1262" s="41">
        <f>IF(OR(B1262="",D1262=""),"",D1262&amp;"|"&amp;TEXT(J1262,"yyyy-mm"))</f>
        <v/>
      </c>
      <c r="L1262" s="24">
        <f>IF(K1262="","",IFERROR(INDEX(Lotes!$N$5:$N$154,MATCH(K1262,Lotes!$P$5:$P$154,0)),"Sem lote cadastrado"))</f>
        <v/>
      </c>
      <c r="M1262" s="25">
        <f>IF(H1262="Sim",G1262,0)</f>
        <v>0</v>
      </c>
      <c r="N1262" s="42">
        <f>IF(AND(H1262="Sim",I1262&lt;&gt;"Aceito"),G1262+ROW()/100000,0)</f>
        <v>0</v>
      </c>
    </row>
    <row r="1263">
      <c r="A1263" s="35" t="n"/>
      <c r="B1263" s="39" t="n"/>
      <c r="C1263" s="33" t="n"/>
      <c r="D1263" s="35" t="n"/>
      <c r="E1263" s="33" t="n"/>
      <c r="F1263" s="33" t="n"/>
      <c r="G1263" s="40" t="n"/>
      <c r="H1263" s="35" t="n"/>
      <c r="I1263" s="35" t="n"/>
      <c r="J1263" s="30">
        <f>IF(B1263="","",DATE(YEAR(B1263),MONTH(B1263),1))</f>
        <v/>
      </c>
      <c r="K1263" s="41">
        <f>IF(OR(B1263="",D1263=""),"",D1263&amp;"|"&amp;TEXT(J1263,"yyyy-mm"))</f>
        <v/>
      </c>
      <c r="L1263" s="24">
        <f>IF(K1263="","",IFERROR(INDEX(Lotes!$N$5:$N$154,MATCH(K1263,Lotes!$P$5:$P$154,0)),"Sem lote cadastrado"))</f>
        <v/>
      </c>
      <c r="M1263" s="25">
        <f>IF(H1263="Sim",G1263,0)</f>
        <v>0</v>
      </c>
      <c r="N1263" s="42">
        <f>IF(AND(H1263="Sim",I1263&lt;&gt;"Aceito"),G1263+ROW()/100000,0)</f>
        <v>0</v>
      </c>
    </row>
    <row r="1264">
      <c r="A1264" s="35" t="n"/>
      <c r="B1264" s="39" t="n"/>
      <c r="C1264" s="33" t="n"/>
      <c r="D1264" s="35" t="n"/>
      <c r="E1264" s="33" t="n"/>
      <c r="F1264" s="33" t="n"/>
      <c r="G1264" s="40" t="n"/>
      <c r="H1264" s="35" t="n"/>
      <c r="I1264" s="35" t="n"/>
      <c r="J1264" s="30">
        <f>IF(B1264="","",DATE(YEAR(B1264),MONTH(B1264),1))</f>
        <v/>
      </c>
      <c r="K1264" s="41">
        <f>IF(OR(B1264="",D1264=""),"",D1264&amp;"|"&amp;TEXT(J1264,"yyyy-mm"))</f>
        <v/>
      </c>
      <c r="L1264" s="24">
        <f>IF(K1264="","",IFERROR(INDEX(Lotes!$N$5:$N$154,MATCH(K1264,Lotes!$P$5:$P$154,0)),"Sem lote cadastrado"))</f>
        <v/>
      </c>
      <c r="M1264" s="25">
        <f>IF(H1264="Sim",G1264,0)</f>
        <v>0</v>
      </c>
      <c r="N1264" s="42">
        <f>IF(AND(H1264="Sim",I1264&lt;&gt;"Aceito"),G1264+ROW()/100000,0)</f>
        <v>0</v>
      </c>
    </row>
    <row r="1265">
      <c r="A1265" s="35" t="n"/>
      <c r="B1265" s="39" t="n"/>
      <c r="C1265" s="33" t="n"/>
      <c r="D1265" s="35" t="n"/>
      <c r="E1265" s="33" t="n"/>
      <c r="F1265" s="33" t="n"/>
      <c r="G1265" s="40" t="n"/>
      <c r="H1265" s="35" t="n"/>
      <c r="I1265" s="35" t="n"/>
      <c r="J1265" s="30">
        <f>IF(B1265="","",DATE(YEAR(B1265),MONTH(B1265),1))</f>
        <v/>
      </c>
      <c r="K1265" s="41">
        <f>IF(OR(B1265="",D1265=""),"",D1265&amp;"|"&amp;TEXT(J1265,"yyyy-mm"))</f>
        <v/>
      </c>
      <c r="L1265" s="24">
        <f>IF(K1265="","",IFERROR(INDEX(Lotes!$N$5:$N$154,MATCH(K1265,Lotes!$P$5:$P$154,0)),"Sem lote cadastrado"))</f>
        <v/>
      </c>
      <c r="M1265" s="25">
        <f>IF(H1265="Sim",G1265,0)</f>
        <v>0</v>
      </c>
      <c r="N1265" s="42">
        <f>IF(AND(H1265="Sim",I1265&lt;&gt;"Aceito"),G1265+ROW()/100000,0)</f>
        <v>0</v>
      </c>
    </row>
    <row r="1266">
      <c r="A1266" s="35" t="n"/>
      <c r="B1266" s="39" t="n"/>
      <c r="C1266" s="33" t="n"/>
      <c r="D1266" s="35" t="n"/>
      <c r="E1266" s="33" t="n"/>
      <c r="F1266" s="33" t="n"/>
      <c r="G1266" s="40" t="n"/>
      <c r="H1266" s="35" t="n"/>
      <c r="I1266" s="35" t="n"/>
      <c r="J1266" s="30">
        <f>IF(B1266="","",DATE(YEAR(B1266),MONTH(B1266),1))</f>
        <v/>
      </c>
      <c r="K1266" s="41">
        <f>IF(OR(B1266="",D1266=""),"",D1266&amp;"|"&amp;TEXT(J1266,"yyyy-mm"))</f>
        <v/>
      </c>
      <c r="L1266" s="24">
        <f>IF(K1266="","",IFERROR(INDEX(Lotes!$N$5:$N$154,MATCH(K1266,Lotes!$P$5:$P$154,0)),"Sem lote cadastrado"))</f>
        <v/>
      </c>
      <c r="M1266" s="25">
        <f>IF(H1266="Sim",G1266,0)</f>
        <v>0</v>
      </c>
      <c r="N1266" s="42">
        <f>IF(AND(H1266="Sim",I1266&lt;&gt;"Aceito"),G1266+ROW()/100000,0)</f>
        <v>0</v>
      </c>
    </row>
    <row r="1267">
      <c r="A1267" s="35" t="n"/>
      <c r="B1267" s="39" t="n"/>
      <c r="C1267" s="33" t="n"/>
      <c r="D1267" s="35" t="n"/>
      <c r="E1267" s="33" t="n"/>
      <c r="F1267" s="33" t="n"/>
      <c r="G1267" s="40" t="n"/>
      <c r="H1267" s="35" t="n"/>
      <c r="I1267" s="35" t="n"/>
      <c r="J1267" s="30">
        <f>IF(B1267="","",DATE(YEAR(B1267),MONTH(B1267),1))</f>
        <v/>
      </c>
      <c r="K1267" s="41">
        <f>IF(OR(B1267="",D1267=""),"",D1267&amp;"|"&amp;TEXT(J1267,"yyyy-mm"))</f>
        <v/>
      </c>
      <c r="L1267" s="24">
        <f>IF(K1267="","",IFERROR(INDEX(Lotes!$N$5:$N$154,MATCH(K1267,Lotes!$P$5:$P$154,0)),"Sem lote cadastrado"))</f>
        <v/>
      </c>
      <c r="M1267" s="25">
        <f>IF(H1267="Sim",G1267,0)</f>
        <v>0</v>
      </c>
      <c r="N1267" s="42">
        <f>IF(AND(H1267="Sim",I1267&lt;&gt;"Aceito"),G1267+ROW()/100000,0)</f>
        <v>0</v>
      </c>
    </row>
    <row r="1268">
      <c r="A1268" s="35" t="n"/>
      <c r="B1268" s="39" t="n"/>
      <c r="C1268" s="33" t="n"/>
      <c r="D1268" s="35" t="n"/>
      <c r="E1268" s="33" t="n"/>
      <c r="F1268" s="33" t="n"/>
      <c r="G1268" s="40" t="n"/>
      <c r="H1268" s="35" t="n"/>
      <c r="I1268" s="35" t="n"/>
      <c r="J1268" s="30">
        <f>IF(B1268="","",DATE(YEAR(B1268),MONTH(B1268),1))</f>
        <v/>
      </c>
      <c r="K1268" s="41">
        <f>IF(OR(B1268="",D1268=""),"",D1268&amp;"|"&amp;TEXT(J1268,"yyyy-mm"))</f>
        <v/>
      </c>
      <c r="L1268" s="24">
        <f>IF(K1268="","",IFERROR(INDEX(Lotes!$N$5:$N$154,MATCH(K1268,Lotes!$P$5:$P$154,0)),"Sem lote cadastrado"))</f>
        <v/>
      </c>
      <c r="M1268" s="25">
        <f>IF(H1268="Sim",G1268,0)</f>
        <v>0</v>
      </c>
      <c r="N1268" s="42">
        <f>IF(AND(H1268="Sim",I1268&lt;&gt;"Aceito"),G1268+ROW()/100000,0)</f>
        <v>0</v>
      </c>
    </row>
    <row r="1269">
      <c r="A1269" s="35" t="n"/>
      <c r="B1269" s="39" t="n"/>
      <c r="C1269" s="33" t="n"/>
      <c r="D1269" s="35" t="n"/>
      <c r="E1269" s="33" t="n"/>
      <c r="F1269" s="33" t="n"/>
      <c r="G1269" s="40" t="n"/>
      <c r="H1269" s="35" t="n"/>
      <c r="I1269" s="35" t="n"/>
      <c r="J1269" s="30">
        <f>IF(B1269="","",DATE(YEAR(B1269),MONTH(B1269),1))</f>
        <v/>
      </c>
      <c r="K1269" s="41">
        <f>IF(OR(B1269="",D1269=""),"",D1269&amp;"|"&amp;TEXT(J1269,"yyyy-mm"))</f>
        <v/>
      </c>
      <c r="L1269" s="24">
        <f>IF(K1269="","",IFERROR(INDEX(Lotes!$N$5:$N$154,MATCH(K1269,Lotes!$P$5:$P$154,0)),"Sem lote cadastrado"))</f>
        <v/>
      </c>
      <c r="M1269" s="25">
        <f>IF(H1269="Sim",G1269,0)</f>
        <v>0</v>
      </c>
      <c r="N1269" s="42">
        <f>IF(AND(H1269="Sim",I1269&lt;&gt;"Aceito"),G1269+ROW()/100000,0)</f>
        <v>0</v>
      </c>
    </row>
    <row r="1270">
      <c r="A1270" s="35" t="n"/>
      <c r="B1270" s="39" t="n"/>
      <c r="C1270" s="33" t="n"/>
      <c r="D1270" s="35" t="n"/>
      <c r="E1270" s="33" t="n"/>
      <c r="F1270" s="33" t="n"/>
      <c r="G1270" s="40" t="n"/>
      <c r="H1270" s="35" t="n"/>
      <c r="I1270" s="35" t="n"/>
      <c r="J1270" s="30">
        <f>IF(B1270="","",DATE(YEAR(B1270),MONTH(B1270),1))</f>
        <v/>
      </c>
      <c r="K1270" s="41">
        <f>IF(OR(B1270="",D1270=""),"",D1270&amp;"|"&amp;TEXT(J1270,"yyyy-mm"))</f>
        <v/>
      </c>
      <c r="L1270" s="24">
        <f>IF(K1270="","",IFERROR(INDEX(Lotes!$N$5:$N$154,MATCH(K1270,Lotes!$P$5:$P$154,0)),"Sem lote cadastrado"))</f>
        <v/>
      </c>
      <c r="M1270" s="25">
        <f>IF(H1270="Sim",G1270,0)</f>
        <v>0</v>
      </c>
      <c r="N1270" s="42">
        <f>IF(AND(H1270="Sim",I1270&lt;&gt;"Aceito"),G1270+ROW()/100000,0)</f>
        <v>0</v>
      </c>
    </row>
    <row r="1271">
      <c r="A1271" s="35" t="n"/>
      <c r="B1271" s="39" t="n"/>
      <c r="C1271" s="33" t="n"/>
      <c r="D1271" s="35" t="n"/>
      <c r="E1271" s="33" t="n"/>
      <c r="F1271" s="33" t="n"/>
      <c r="G1271" s="40" t="n"/>
      <c r="H1271" s="35" t="n"/>
      <c r="I1271" s="35" t="n"/>
      <c r="J1271" s="30">
        <f>IF(B1271="","",DATE(YEAR(B1271),MONTH(B1271),1))</f>
        <v/>
      </c>
      <c r="K1271" s="41">
        <f>IF(OR(B1271="",D1271=""),"",D1271&amp;"|"&amp;TEXT(J1271,"yyyy-mm"))</f>
        <v/>
      </c>
      <c r="L1271" s="24">
        <f>IF(K1271="","",IFERROR(INDEX(Lotes!$N$5:$N$154,MATCH(K1271,Lotes!$P$5:$P$154,0)),"Sem lote cadastrado"))</f>
        <v/>
      </c>
      <c r="M1271" s="25">
        <f>IF(H1271="Sim",G1271,0)</f>
        <v>0</v>
      </c>
      <c r="N1271" s="42">
        <f>IF(AND(H1271="Sim",I1271&lt;&gt;"Aceito"),G1271+ROW()/100000,0)</f>
        <v>0</v>
      </c>
    </row>
    <row r="1272">
      <c r="A1272" s="35" t="n"/>
      <c r="B1272" s="39" t="n"/>
      <c r="C1272" s="33" t="n"/>
      <c r="D1272" s="35" t="n"/>
      <c r="E1272" s="33" t="n"/>
      <c r="F1272" s="33" t="n"/>
      <c r="G1272" s="40" t="n"/>
      <c r="H1272" s="35" t="n"/>
      <c r="I1272" s="35" t="n"/>
      <c r="J1272" s="30">
        <f>IF(B1272="","",DATE(YEAR(B1272),MONTH(B1272),1))</f>
        <v/>
      </c>
      <c r="K1272" s="41">
        <f>IF(OR(B1272="",D1272=""),"",D1272&amp;"|"&amp;TEXT(J1272,"yyyy-mm"))</f>
        <v/>
      </c>
      <c r="L1272" s="24">
        <f>IF(K1272="","",IFERROR(INDEX(Lotes!$N$5:$N$154,MATCH(K1272,Lotes!$P$5:$P$154,0)),"Sem lote cadastrado"))</f>
        <v/>
      </c>
      <c r="M1272" s="25">
        <f>IF(H1272="Sim",G1272,0)</f>
        <v>0</v>
      </c>
      <c r="N1272" s="42">
        <f>IF(AND(H1272="Sim",I1272&lt;&gt;"Aceito"),G1272+ROW()/100000,0)</f>
        <v>0</v>
      </c>
    </row>
    <row r="1273">
      <c r="A1273" s="35" t="n"/>
      <c r="B1273" s="39" t="n"/>
      <c r="C1273" s="33" t="n"/>
      <c r="D1273" s="35" t="n"/>
      <c r="E1273" s="33" t="n"/>
      <c r="F1273" s="33" t="n"/>
      <c r="G1273" s="40" t="n"/>
      <c r="H1273" s="35" t="n"/>
      <c r="I1273" s="35" t="n"/>
      <c r="J1273" s="30">
        <f>IF(B1273="","",DATE(YEAR(B1273),MONTH(B1273),1))</f>
        <v/>
      </c>
      <c r="K1273" s="41">
        <f>IF(OR(B1273="",D1273=""),"",D1273&amp;"|"&amp;TEXT(J1273,"yyyy-mm"))</f>
        <v/>
      </c>
      <c r="L1273" s="24">
        <f>IF(K1273="","",IFERROR(INDEX(Lotes!$N$5:$N$154,MATCH(K1273,Lotes!$P$5:$P$154,0)),"Sem lote cadastrado"))</f>
        <v/>
      </c>
      <c r="M1273" s="25">
        <f>IF(H1273="Sim",G1273,0)</f>
        <v>0</v>
      </c>
      <c r="N1273" s="42">
        <f>IF(AND(H1273="Sim",I1273&lt;&gt;"Aceito"),G1273+ROW()/100000,0)</f>
        <v>0</v>
      </c>
    </row>
    <row r="1274">
      <c r="A1274" s="35" t="n"/>
      <c r="B1274" s="39" t="n"/>
      <c r="C1274" s="33" t="n"/>
      <c r="D1274" s="35" t="n"/>
      <c r="E1274" s="33" t="n"/>
      <c r="F1274" s="33" t="n"/>
      <c r="G1274" s="40" t="n"/>
      <c r="H1274" s="35" t="n"/>
      <c r="I1274" s="35" t="n"/>
      <c r="J1274" s="30">
        <f>IF(B1274="","",DATE(YEAR(B1274),MONTH(B1274),1))</f>
        <v/>
      </c>
      <c r="K1274" s="41">
        <f>IF(OR(B1274="",D1274=""),"",D1274&amp;"|"&amp;TEXT(J1274,"yyyy-mm"))</f>
        <v/>
      </c>
      <c r="L1274" s="24">
        <f>IF(K1274="","",IFERROR(INDEX(Lotes!$N$5:$N$154,MATCH(K1274,Lotes!$P$5:$P$154,0)),"Sem lote cadastrado"))</f>
        <v/>
      </c>
      <c r="M1274" s="25">
        <f>IF(H1274="Sim",G1274,0)</f>
        <v>0</v>
      </c>
      <c r="N1274" s="42">
        <f>IF(AND(H1274="Sim",I1274&lt;&gt;"Aceito"),G1274+ROW()/100000,0)</f>
        <v>0</v>
      </c>
    </row>
    <row r="1275">
      <c r="A1275" s="35" t="n"/>
      <c r="B1275" s="39" t="n"/>
      <c r="C1275" s="33" t="n"/>
      <c r="D1275" s="35" t="n"/>
      <c r="E1275" s="33" t="n"/>
      <c r="F1275" s="33" t="n"/>
      <c r="G1275" s="40" t="n"/>
      <c r="H1275" s="35" t="n"/>
      <c r="I1275" s="35" t="n"/>
      <c r="J1275" s="30">
        <f>IF(B1275="","",DATE(YEAR(B1275),MONTH(B1275),1))</f>
        <v/>
      </c>
      <c r="K1275" s="41">
        <f>IF(OR(B1275="",D1275=""),"",D1275&amp;"|"&amp;TEXT(J1275,"yyyy-mm"))</f>
        <v/>
      </c>
      <c r="L1275" s="24">
        <f>IF(K1275="","",IFERROR(INDEX(Lotes!$N$5:$N$154,MATCH(K1275,Lotes!$P$5:$P$154,0)),"Sem lote cadastrado"))</f>
        <v/>
      </c>
      <c r="M1275" s="25">
        <f>IF(H1275="Sim",G1275,0)</f>
        <v>0</v>
      </c>
      <c r="N1275" s="42">
        <f>IF(AND(H1275="Sim",I1275&lt;&gt;"Aceito"),G1275+ROW()/100000,0)</f>
        <v>0</v>
      </c>
    </row>
    <row r="1276">
      <c r="A1276" s="35" t="n"/>
      <c r="B1276" s="39" t="n"/>
      <c r="C1276" s="33" t="n"/>
      <c r="D1276" s="35" t="n"/>
      <c r="E1276" s="33" t="n"/>
      <c r="F1276" s="33" t="n"/>
      <c r="G1276" s="40" t="n"/>
      <c r="H1276" s="35" t="n"/>
      <c r="I1276" s="35" t="n"/>
      <c r="J1276" s="30">
        <f>IF(B1276="","",DATE(YEAR(B1276),MONTH(B1276),1))</f>
        <v/>
      </c>
      <c r="K1276" s="41">
        <f>IF(OR(B1276="",D1276=""),"",D1276&amp;"|"&amp;TEXT(J1276,"yyyy-mm"))</f>
        <v/>
      </c>
      <c r="L1276" s="24">
        <f>IF(K1276="","",IFERROR(INDEX(Lotes!$N$5:$N$154,MATCH(K1276,Lotes!$P$5:$P$154,0)),"Sem lote cadastrado"))</f>
        <v/>
      </c>
      <c r="M1276" s="25">
        <f>IF(H1276="Sim",G1276,0)</f>
        <v>0</v>
      </c>
      <c r="N1276" s="42">
        <f>IF(AND(H1276="Sim",I1276&lt;&gt;"Aceito"),G1276+ROW()/100000,0)</f>
        <v>0</v>
      </c>
    </row>
    <row r="1277">
      <c r="A1277" s="35" t="n"/>
      <c r="B1277" s="39" t="n"/>
      <c r="C1277" s="33" t="n"/>
      <c r="D1277" s="35" t="n"/>
      <c r="E1277" s="33" t="n"/>
      <c r="F1277" s="33" t="n"/>
      <c r="G1277" s="40" t="n"/>
      <c r="H1277" s="35" t="n"/>
      <c r="I1277" s="35" t="n"/>
      <c r="J1277" s="30">
        <f>IF(B1277="","",DATE(YEAR(B1277),MONTH(B1277),1))</f>
        <v/>
      </c>
      <c r="K1277" s="41">
        <f>IF(OR(B1277="",D1277=""),"",D1277&amp;"|"&amp;TEXT(J1277,"yyyy-mm"))</f>
        <v/>
      </c>
      <c r="L1277" s="24">
        <f>IF(K1277="","",IFERROR(INDEX(Lotes!$N$5:$N$154,MATCH(K1277,Lotes!$P$5:$P$154,0)),"Sem lote cadastrado"))</f>
        <v/>
      </c>
      <c r="M1277" s="25">
        <f>IF(H1277="Sim",G1277,0)</f>
        <v>0</v>
      </c>
      <c r="N1277" s="42">
        <f>IF(AND(H1277="Sim",I1277&lt;&gt;"Aceito"),G1277+ROW()/100000,0)</f>
        <v>0</v>
      </c>
    </row>
    <row r="1278">
      <c r="A1278" s="35" t="n"/>
      <c r="B1278" s="39" t="n"/>
      <c r="C1278" s="33" t="n"/>
      <c r="D1278" s="35" t="n"/>
      <c r="E1278" s="33" t="n"/>
      <c r="F1278" s="33" t="n"/>
      <c r="G1278" s="40" t="n"/>
      <c r="H1278" s="35" t="n"/>
      <c r="I1278" s="35" t="n"/>
      <c r="J1278" s="30">
        <f>IF(B1278="","",DATE(YEAR(B1278),MONTH(B1278),1))</f>
        <v/>
      </c>
      <c r="K1278" s="41">
        <f>IF(OR(B1278="",D1278=""),"",D1278&amp;"|"&amp;TEXT(J1278,"yyyy-mm"))</f>
        <v/>
      </c>
      <c r="L1278" s="24">
        <f>IF(K1278="","",IFERROR(INDEX(Lotes!$N$5:$N$154,MATCH(K1278,Lotes!$P$5:$P$154,0)),"Sem lote cadastrado"))</f>
        <v/>
      </c>
      <c r="M1278" s="25">
        <f>IF(H1278="Sim",G1278,0)</f>
        <v>0</v>
      </c>
      <c r="N1278" s="42">
        <f>IF(AND(H1278="Sim",I1278&lt;&gt;"Aceito"),G1278+ROW()/100000,0)</f>
        <v>0</v>
      </c>
    </row>
    <row r="1279">
      <c r="A1279" s="35" t="n"/>
      <c r="B1279" s="39" t="n"/>
      <c r="C1279" s="33" t="n"/>
      <c r="D1279" s="35" t="n"/>
      <c r="E1279" s="33" t="n"/>
      <c r="F1279" s="33" t="n"/>
      <c r="G1279" s="40" t="n"/>
      <c r="H1279" s="35" t="n"/>
      <c r="I1279" s="35" t="n"/>
      <c r="J1279" s="30">
        <f>IF(B1279="","",DATE(YEAR(B1279),MONTH(B1279),1))</f>
        <v/>
      </c>
      <c r="K1279" s="41">
        <f>IF(OR(B1279="",D1279=""),"",D1279&amp;"|"&amp;TEXT(J1279,"yyyy-mm"))</f>
        <v/>
      </c>
      <c r="L1279" s="24">
        <f>IF(K1279="","",IFERROR(INDEX(Lotes!$N$5:$N$154,MATCH(K1279,Lotes!$P$5:$P$154,0)),"Sem lote cadastrado"))</f>
        <v/>
      </c>
      <c r="M1279" s="25">
        <f>IF(H1279="Sim",G1279,0)</f>
        <v>0</v>
      </c>
      <c r="N1279" s="42">
        <f>IF(AND(H1279="Sim",I1279&lt;&gt;"Aceito"),G1279+ROW()/100000,0)</f>
        <v>0</v>
      </c>
    </row>
    <row r="1280">
      <c r="A1280" s="35" t="n"/>
      <c r="B1280" s="39" t="n"/>
      <c r="C1280" s="33" t="n"/>
      <c r="D1280" s="35" t="n"/>
      <c r="E1280" s="33" t="n"/>
      <c r="F1280" s="33" t="n"/>
      <c r="G1280" s="40" t="n"/>
      <c r="H1280" s="35" t="n"/>
      <c r="I1280" s="35" t="n"/>
      <c r="J1280" s="30">
        <f>IF(B1280="","",DATE(YEAR(B1280),MONTH(B1280),1))</f>
        <v/>
      </c>
      <c r="K1280" s="41">
        <f>IF(OR(B1280="",D1280=""),"",D1280&amp;"|"&amp;TEXT(J1280,"yyyy-mm"))</f>
        <v/>
      </c>
      <c r="L1280" s="24">
        <f>IF(K1280="","",IFERROR(INDEX(Lotes!$N$5:$N$154,MATCH(K1280,Lotes!$P$5:$P$154,0)),"Sem lote cadastrado"))</f>
        <v/>
      </c>
      <c r="M1280" s="25">
        <f>IF(H1280="Sim",G1280,0)</f>
        <v>0</v>
      </c>
      <c r="N1280" s="42">
        <f>IF(AND(H1280="Sim",I1280&lt;&gt;"Aceito"),G1280+ROW()/100000,0)</f>
        <v>0</v>
      </c>
    </row>
    <row r="1281">
      <c r="A1281" s="35" t="n"/>
      <c r="B1281" s="39" t="n"/>
      <c r="C1281" s="33" t="n"/>
      <c r="D1281" s="35" t="n"/>
      <c r="E1281" s="33" t="n"/>
      <c r="F1281" s="33" t="n"/>
      <c r="G1281" s="40" t="n"/>
      <c r="H1281" s="35" t="n"/>
      <c r="I1281" s="35" t="n"/>
      <c r="J1281" s="30">
        <f>IF(B1281="","",DATE(YEAR(B1281),MONTH(B1281),1))</f>
        <v/>
      </c>
      <c r="K1281" s="41">
        <f>IF(OR(B1281="",D1281=""),"",D1281&amp;"|"&amp;TEXT(J1281,"yyyy-mm"))</f>
        <v/>
      </c>
      <c r="L1281" s="24">
        <f>IF(K1281="","",IFERROR(INDEX(Lotes!$N$5:$N$154,MATCH(K1281,Lotes!$P$5:$P$154,0)),"Sem lote cadastrado"))</f>
        <v/>
      </c>
      <c r="M1281" s="25">
        <f>IF(H1281="Sim",G1281,0)</f>
        <v>0</v>
      </c>
      <c r="N1281" s="42">
        <f>IF(AND(H1281="Sim",I1281&lt;&gt;"Aceito"),G1281+ROW()/100000,0)</f>
        <v>0</v>
      </c>
    </row>
    <row r="1282">
      <c r="A1282" s="35" t="n"/>
      <c r="B1282" s="39" t="n"/>
      <c r="C1282" s="33" t="n"/>
      <c r="D1282" s="35" t="n"/>
      <c r="E1282" s="33" t="n"/>
      <c r="F1282" s="33" t="n"/>
      <c r="G1282" s="40" t="n"/>
      <c r="H1282" s="35" t="n"/>
      <c r="I1282" s="35" t="n"/>
      <c r="J1282" s="30">
        <f>IF(B1282="","",DATE(YEAR(B1282),MONTH(B1282),1))</f>
        <v/>
      </c>
      <c r="K1282" s="41">
        <f>IF(OR(B1282="",D1282=""),"",D1282&amp;"|"&amp;TEXT(J1282,"yyyy-mm"))</f>
        <v/>
      </c>
      <c r="L1282" s="24">
        <f>IF(K1282="","",IFERROR(INDEX(Lotes!$N$5:$N$154,MATCH(K1282,Lotes!$P$5:$P$154,0)),"Sem lote cadastrado"))</f>
        <v/>
      </c>
      <c r="M1282" s="25">
        <f>IF(H1282="Sim",G1282,0)</f>
        <v>0</v>
      </c>
      <c r="N1282" s="42">
        <f>IF(AND(H1282="Sim",I1282&lt;&gt;"Aceito"),G1282+ROW()/100000,0)</f>
        <v>0</v>
      </c>
    </row>
    <row r="1283">
      <c r="A1283" s="35" t="n"/>
      <c r="B1283" s="39" t="n"/>
      <c r="C1283" s="33" t="n"/>
      <c r="D1283" s="35" t="n"/>
      <c r="E1283" s="33" t="n"/>
      <c r="F1283" s="33" t="n"/>
      <c r="G1283" s="40" t="n"/>
      <c r="H1283" s="35" t="n"/>
      <c r="I1283" s="35" t="n"/>
      <c r="J1283" s="30">
        <f>IF(B1283="","",DATE(YEAR(B1283),MONTH(B1283),1))</f>
        <v/>
      </c>
      <c r="K1283" s="41">
        <f>IF(OR(B1283="",D1283=""),"",D1283&amp;"|"&amp;TEXT(J1283,"yyyy-mm"))</f>
        <v/>
      </c>
      <c r="L1283" s="24">
        <f>IF(K1283="","",IFERROR(INDEX(Lotes!$N$5:$N$154,MATCH(K1283,Lotes!$P$5:$P$154,0)),"Sem lote cadastrado"))</f>
        <v/>
      </c>
      <c r="M1283" s="25">
        <f>IF(H1283="Sim",G1283,0)</f>
        <v>0</v>
      </c>
      <c r="N1283" s="42">
        <f>IF(AND(H1283="Sim",I1283&lt;&gt;"Aceito"),G1283+ROW()/100000,0)</f>
        <v>0</v>
      </c>
    </row>
    <row r="1284">
      <c r="A1284" s="35" t="n"/>
      <c r="B1284" s="39" t="n"/>
      <c r="C1284" s="33" t="n"/>
      <c r="D1284" s="35" t="n"/>
      <c r="E1284" s="33" t="n"/>
      <c r="F1284" s="33" t="n"/>
      <c r="G1284" s="40" t="n"/>
      <c r="H1284" s="35" t="n"/>
      <c r="I1284" s="35" t="n"/>
      <c r="J1284" s="30">
        <f>IF(B1284="","",DATE(YEAR(B1284),MONTH(B1284),1))</f>
        <v/>
      </c>
      <c r="K1284" s="41">
        <f>IF(OR(B1284="",D1284=""),"",D1284&amp;"|"&amp;TEXT(J1284,"yyyy-mm"))</f>
        <v/>
      </c>
      <c r="L1284" s="24">
        <f>IF(K1284="","",IFERROR(INDEX(Lotes!$N$5:$N$154,MATCH(K1284,Lotes!$P$5:$P$154,0)),"Sem lote cadastrado"))</f>
        <v/>
      </c>
      <c r="M1284" s="25">
        <f>IF(H1284="Sim",G1284,0)</f>
        <v>0</v>
      </c>
      <c r="N1284" s="42">
        <f>IF(AND(H1284="Sim",I1284&lt;&gt;"Aceito"),G1284+ROW()/100000,0)</f>
        <v>0</v>
      </c>
    </row>
    <row r="1285">
      <c r="A1285" s="35" t="n"/>
      <c r="B1285" s="39" t="n"/>
      <c r="C1285" s="33" t="n"/>
      <c r="D1285" s="35" t="n"/>
      <c r="E1285" s="33" t="n"/>
      <c r="F1285" s="33" t="n"/>
      <c r="G1285" s="40" t="n"/>
      <c r="H1285" s="35" t="n"/>
      <c r="I1285" s="35" t="n"/>
      <c r="J1285" s="30">
        <f>IF(B1285="","",DATE(YEAR(B1285),MONTH(B1285),1))</f>
        <v/>
      </c>
      <c r="K1285" s="41">
        <f>IF(OR(B1285="",D1285=""),"",D1285&amp;"|"&amp;TEXT(J1285,"yyyy-mm"))</f>
        <v/>
      </c>
      <c r="L1285" s="24">
        <f>IF(K1285="","",IFERROR(INDEX(Lotes!$N$5:$N$154,MATCH(K1285,Lotes!$P$5:$P$154,0)),"Sem lote cadastrado"))</f>
        <v/>
      </c>
      <c r="M1285" s="25">
        <f>IF(H1285="Sim",G1285,0)</f>
        <v>0</v>
      </c>
      <c r="N1285" s="42">
        <f>IF(AND(H1285="Sim",I1285&lt;&gt;"Aceito"),G1285+ROW()/100000,0)</f>
        <v>0</v>
      </c>
    </row>
    <row r="1286">
      <c r="A1286" s="35" t="n"/>
      <c r="B1286" s="39" t="n"/>
      <c r="C1286" s="33" t="n"/>
      <c r="D1286" s="35" t="n"/>
      <c r="E1286" s="33" t="n"/>
      <c r="F1286" s="33" t="n"/>
      <c r="G1286" s="40" t="n"/>
      <c r="H1286" s="35" t="n"/>
      <c r="I1286" s="35" t="n"/>
      <c r="J1286" s="30">
        <f>IF(B1286="","",DATE(YEAR(B1286),MONTH(B1286),1))</f>
        <v/>
      </c>
      <c r="K1286" s="41">
        <f>IF(OR(B1286="",D1286=""),"",D1286&amp;"|"&amp;TEXT(J1286,"yyyy-mm"))</f>
        <v/>
      </c>
      <c r="L1286" s="24">
        <f>IF(K1286="","",IFERROR(INDEX(Lotes!$N$5:$N$154,MATCH(K1286,Lotes!$P$5:$P$154,0)),"Sem lote cadastrado"))</f>
        <v/>
      </c>
      <c r="M1286" s="25">
        <f>IF(H1286="Sim",G1286,0)</f>
        <v>0</v>
      </c>
      <c r="N1286" s="42">
        <f>IF(AND(H1286="Sim",I1286&lt;&gt;"Aceito"),G1286+ROW()/100000,0)</f>
        <v>0</v>
      </c>
    </row>
    <row r="1287">
      <c r="A1287" s="35" t="n"/>
      <c r="B1287" s="39" t="n"/>
      <c r="C1287" s="33" t="n"/>
      <c r="D1287" s="35" t="n"/>
      <c r="E1287" s="33" t="n"/>
      <c r="F1287" s="33" t="n"/>
      <c r="G1287" s="40" t="n"/>
      <c r="H1287" s="35" t="n"/>
      <c r="I1287" s="35" t="n"/>
      <c r="J1287" s="30">
        <f>IF(B1287="","",DATE(YEAR(B1287),MONTH(B1287),1))</f>
        <v/>
      </c>
      <c r="K1287" s="41">
        <f>IF(OR(B1287="",D1287=""),"",D1287&amp;"|"&amp;TEXT(J1287,"yyyy-mm"))</f>
        <v/>
      </c>
      <c r="L1287" s="24">
        <f>IF(K1287="","",IFERROR(INDEX(Lotes!$N$5:$N$154,MATCH(K1287,Lotes!$P$5:$P$154,0)),"Sem lote cadastrado"))</f>
        <v/>
      </c>
      <c r="M1287" s="25">
        <f>IF(H1287="Sim",G1287,0)</f>
        <v>0</v>
      </c>
      <c r="N1287" s="42">
        <f>IF(AND(H1287="Sim",I1287&lt;&gt;"Aceito"),G1287+ROW()/100000,0)</f>
        <v>0</v>
      </c>
    </row>
    <row r="1288">
      <c r="A1288" s="35" t="n"/>
      <c r="B1288" s="39" t="n"/>
      <c r="C1288" s="33" t="n"/>
      <c r="D1288" s="35" t="n"/>
      <c r="E1288" s="33" t="n"/>
      <c r="F1288" s="33" t="n"/>
      <c r="G1288" s="40" t="n"/>
      <c r="H1288" s="35" t="n"/>
      <c r="I1288" s="35" t="n"/>
      <c r="J1288" s="30">
        <f>IF(B1288="","",DATE(YEAR(B1288),MONTH(B1288),1))</f>
        <v/>
      </c>
      <c r="K1288" s="41">
        <f>IF(OR(B1288="",D1288=""),"",D1288&amp;"|"&amp;TEXT(J1288,"yyyy-mm"))</f>
        <v/>
      </c>
      <c r="L1288" s="24">
        <f>IF(K1288="","",IFERROR(INDEX(Lotes!$N$5:$N$154,MATCH(K1288,Lotes!$P$5:$P$154,0)),"Sem lote cadastrado"))</f>
        <v/>
      </c>
      <c r="M1288" s="25">
        <f>IF(H1288="Sim",G1288,0)</f>
        <v>0</v>
      </c>
      <c r="N1288" s="42">
        <f>IF(AND(H1288="Sim",I1288&lt;&gt;"Aceito"),G1288+ROW()/100000,0)</f>
        <v>0</v>
      </c>
    </row>
    <row r="1289">
      <c r="A1289" s="35" t="n"/>
      <c r="B1289" s="39" t="n"/>
      <c r="C1289" s="33" t="n"/>
      <c r="D1289" s="35" t="n"/>
      <c r="E1289" s="33" t="n"/>
      <c r="F1289" s="33" t="n"/>
      <c r="G1289" s="40" t="n"/>
      <c r="H1289" s="35" t="n"/>
      <c r="I1289" s="35" t="n"/>
      <c r="J1289" s="30">
        <f>IF(B1289="","",DATE(YEAR(B1289),MONTH(B1289),1))</f>
        <v/>
      </c>
      <c r="K1289" s="41">
        <f>IF(OR(B1289="",D1289=""),"",D1289&amp;"|"&amp;TEXT(J1289,"yyyy-mm"))</f>
        <v/>
      </c>
      <c r="L1289" s="24">
        <f>IF(K1289="","",IFERROR(INDEX(Lotes!$N$5:$N$154,MATCH(K1289,Lotes!$P$5:$P$154,0)),"Sem lote cadastrado"))</f>
        <v/>
      </c>
      <c r="M1289" s="25">
        <f>IF(H1289="Sim",G1289,0)</f>
        <v>0</v>
      </c>
      <c r="N1289" s="42">
        <f>IF(AND(H1289="Sim",I1289&lt;&gt;"Aceito"),G1289+ROW()/100000,0)</f>
        <v>0</v>
      </c>
    </row>
    <row r="1290">
      <c r="A1290" s="35" t="n"/>
      <c r="B1290" s="39" t="n"/>
      <c r="C1290" s="33" t="n"/>
      <c r="D1290" s="35" t="n"/>
      <c r="E1290" s="33" t="n"/>
      <c r="F1290" s="33" t="n"/>
      <c r="G1290" s="40" t="n"/>
      <c r="H1290" s="35" t="n"/>
      <c r="I1290" s="35" t="n"/>
      <c r="J1290" s="30">
        <f>IF(B1290="","",DATE(YEAR(B1290),MONTH(B1290),1))</f>
        <v/>
      </c>
      <c r="K1290" s="41">
        <f>IF(OR(B1290="",D1290=""),"",D1290&amp;"|"&amp;TEXT(J1290,"yyyy-mm"))</f>
        <v/>
      </c>
      <c r="L1290" s="24">
        <f>IF(K1290="","",IFERROR(INDEX(Lotes!$N$5:$N$154,MATCH(K1290,Lotes!$P$5:$P$154,0)),"Sem lote cadastrado"))</f>
        <v/>
      </c>
      <c r="M1290" s="25">
        <f>IF(H1290="Sim",G1290,0)</f>
        <v>0</v>
      </c>
      <c r="N1290" s="42">
        <f>IF(AND(H1290="Sim",I1290&lt;&gt;"Aceito"),G1290+ROW()/100000,0)</f>
        <v>0</v>
      </c>
    </row>
    <row r="1291">
      <c r="A1291" s="35" t="n"/>
      <c r="B1291" s="39" t="n"/>
      <c r="C1291" s="33" t="n"/>
      <c r="D1291" s="35" t="n"/>
      <c r="E1291" s="33" t="n"/>
      <c r="F1291" s="33" t="n"/>
      <c r="G1291" s="40" t="n"/>
      <c r="H1291" s="35" t="n"/>
      <c r="I1291" s="35" t="n"/>
      <c r="J1291" s="30">
        <f>IF(B1291="","",DATE(YEAR(B1291),MONTH(B1291),1))</f>
        <v/>
      </c>
      <c r="K1291" s="41">
        <f>IF(OR(B1291="",D1291=""),"",D1291&amp;"|"&amp;TEXT(J1291,"yyyy-mm"))</f>
        <v/>
      </c>
      <c r="L1291" s="24">
        <f>IF(K1291="","",IFERROR(INDEX(Lotes!$N$5:$N$154,MATCH(K1291,Lotes!$P$5:$P$154,0)),"Sem lote cadastrado"))</f>
        <v/>
      </c>
      <c r="M1291" s="25">
        <f>IF(H1291="Sim",G1291,0)</f>
        <v>0</v>
      </c>
      <c r="N1291" s="42">
        <f>IF(AND(H1291="Sim",I1291&lt;&gt;"Aceito"),G1291+ROW()/100000,0)</f>
        <v>0</v>
      </c>
    </row>
    <row r="1292">
      <c r="A1292" s="35" t="n"/>
      <c r="B1292" s="39" t="n"/>
      <c r="C1292" s="33" t="n"/>
      <c r="D1292" s="35" t="n"/>
      <c r="E1292" s="33" t="n"/>
      <c r="F1292" s="33" t="n"/>
      <c r="G1292" s="40" t="n"/>
      <c r="H1292" s="35" t="n"/>
      <c r="I1292" s="35" t="n"/>
      <c r="J1292" s="30">
        <f>IF(B1292="","",DATE(YEAR(B1292),MONTH(B1292),1))</f>
        <v/>
      </c>
      <c r="K1292" s="41">
        <f>IF(OR(B1292="",D1292=""),"",D1292&amp;"|"&amp;TEXT(J1292,"yyyy-mm"))</f>
        <v/>
      </c>
      <c r="L1292" s="24">
        <f>IF(K1292="","",IFERROR(INDEX(Lotes!$N$5:$N$154,MATCH(K1292,Lotes!$P$5:$P$154,0)),"Sem lote cadastrado"))</f>
        <v/>
      </c>
      <c r="M1292" s="25">
        <f>IF(H1292="Sim",G1292,0)</f>
        <v>0</v>
      </c>
      <c r="N1292" s="42">
        <f>IF(AND(H1292="Sim",I1292&lt;&gt;"Aceito"),G1292+ROW()/100000,0)</f>
        <v>0</v>
      </c>
    </row>
    <row r="1293">
      <c r="A1293" s="35" t="n"/>
      <c r="B1293" s="39" t="n"/>
      <c r="C1293" s="33" t="n"/>
      <c r="D1293" s="35" t="n"/>
      <c r="E1293" s="33" t="n"/>
      <c r="F1293" s="33" t="n"/>
      <c r="G1293" s="40" t="n"/>
      <c r="H1293" s="35" t="n"/>
      <c r="I1293" s="35" t="n"/>
      <c r="J1293" s="30">
        <f>IF(B1293="","",DATE(YEAR(B1293),MONTH(B1293),1))</f>
        <v/>
      </c>
      <c r="K1293" s="41">
        <f>IF(OR(B1293="",D1293=""),"",D1293&amp;"|"&amp;TEXT(J1293,"yyyy-mm"))</f>
        <v/>
      </c>
      <c r="L1293" s="24">
        <f>IF(K1293="","",IFERROR(INDEX(Lotes!$N$5:$N$154,MATCH(K1293,Lotes!$P$5:$P$154,0)),"Sem lote cadastrado"))</f>
        <v/>
      </c>
      <c r="M1293" s="25">
        <f>IF(H1293="Sim",G1293,0)</f>
        <v>0</v>
      </c>
      <c r="N1293" s="42">
        <f>IF(AND(H1293="Sim",I1293&lt;&gt;"Aceito"),G1293+ROW()/100000,0)</f>
        <v>0</v>
      </c>
    </row>
    <row r="1294">
      <c r="A1294" s="35" t="n"/>
      <c r="B1294" s="39" t="n"/>
      <c r="C1294" s="33" t="n"/>
      <c r="D1294" s="35" t="n"/>
      <c r="E1294" s="33" t="n"/>
      <c r="F1294" s="33" t="n"/>
      <c r="G1294" s="40" t="n"/>
      <c r="H1294" s="35" t="n"/>
      <c r="I1294" s="35" t="n"/>
      <c r="J1294" s="30">
        <f>IF(B1294="","",DATE(YEAR(B1294),MONTH(B1294),1))</f>
        <v/>
      </c>
      <c r="K1294" s="41">
        <f>IF(OR(B1294="",D1294=""),"",D1294&amp;"|"&amp;TEXT(J1294,"yyyy-mm"))</f>
        <v/>
      </c>
      <c r="L1294" s="24">
        <f>IF(K1294="","",IFERROR(INDEX(Lotes!$N$5:$N$154,MATCH(K1294,Lotes!$P$5:$P$154,0)),"Sem lote cadastrado"))</f>
        <v/>
      </c>
      <c r="M1294" s="25">
        <f>IF(H1294="Sim",G1294,0)</f>
        <v>0</v>
      </c>
      <c r="N1294" s="42">
        <f>IF(AND(H1294="Sim",I1294&lt;&gt;"Aceito"),G1294+ROW()/100000,0)</f>
        <v>0</v>
      </c>
    </row>
    <row r="1295">
      <c r="A1295" s="35" t="n"/>
      <c r="B1295" s="39" t="n"/>
      <c r="C1295" s="33" t="n"/>
      <c r="D1295" s="35" t="n"/>
      <c r="E1295" s="33" t="n"/>
      <c r="F1295" s="33" t="n"/>
      <c r="G1295" s="40" t="n"/>
      <c r="H1295" s="35" t="n"/>
      <c r="I1295" s="35" t="n"/>
      <c r="J1295" s="30">
        <f>IF(B1295="","",DATE(YEAR(B1295),MONTH(B1295),1))</f>
        <v/>
      </c>
      <c r="K1295" s="41">
        <f>IF(OR(B1295="",D1295=""),"",D1295&amp;"|"&amp;TEXT(J1295,"yyyy-mm"))</f>
        <v/>
      </c>
      <c r="L1295" s="24">
        <f>IF(K1295="","",IFERROR(INDEX(Lotes!$N$5:$N$154,MATCH(K1295,Lotes!$P$5:$P$154,0)),"Sem lote cadastrado"))</f>
        <v/>
      </c>
      <c r="M1295" s="25">
        <f>IF(H1295="Sim",G1295,0)</f>
        <v>0</v>
      </c>
      <c r="N1295" s="42">
        <f>IF(AND(H1295="Sim",I1295&lt;&gt;"Aceito"),G1295+ROW()/100000,0)</f>
        <v>0</v>
      </c>
    </row>
    <row r="1296">
      <c r="A1296" s="35" t="n"/>
      <c r="B1296" s="39" t="n"/>
      <c r="C1296" s="33" t="n"/>
      <c r="D1296" s="35" t="n"/>
      <c r="E1296" s="33" t="n"/>
      <c r="F1296" s="33" t="n"/>
      <c r="G1296" s="40" t="n"/>
      <c r="H1296" s="35" t="n"/>
      <c r="I1296" s="35" t="n"/>
      <c r="J1296" s="30">
        <f>IF(B1296="","",DATE(YEAR(B1296),MONTH(B1296),1))</f>
        <v/>
      </c>
      <c r="K1296" s="41">
        <f>IF(OR(B1296="",D1296=""),"",D1296&amp;"|"&amp;TEXT(J1296,"yyyy-mm"))</f>
        <v/>
      </c>
      <c r="L1296" s="24">
        <f>IF(K1296="","",IFERROR(INDEX(Lotes!$N$5:$N$154,MATCH(K1296,Lotes!$P$5:$P$154,0)),"Sem lote cadastrado"))</f>
        <v/>
      </c>
      <c r="M1296" s="25">
        <f>IF(H1296="Sim",G1296,0)</f>
        <v>0</v>
      </c>
      <c r="N1296" s="42">
        <f>IF(AND(H1296="Sim",I1296&lt;&gt;"Aceito"),G1296+ROW()/100000,0)</f>
        <v>0</v>
      </c>
    </row>
    <row r="1297">
      <c r="A1297" s="35" t="n"/>
      <c r="B1297" s="39" t="n"/>
      <c r="C1297" s="33" t="n"/>
      <c r="D1297" s="35" t="n"/>
      <c r="E1297" s="33" t="n"/>
      <c r="F1297" s="33" t="n"/>
      <c r="G1297" s="40" t="n"/>
      <c r="H1297" s="35" t="n"/>
      <c r="I1297" s="35" t="n"/>
      <c r="J1297" s="30">
        <f>IF(B1297="","",DATE(YEAR(B1297),MONTH(B1297),1))</f>
        <v/>
      </c>
      <c r="K1297" s="41">
        <f>IF(OR(B1297="",D1297=""),"",D1297&amp;"|"&amp;TEXT(J1297,"yyyy-mm"))</f>
        <v/>
      </c>
      <c r="L1297" s="24">
        <f>IF(K1297="","",IFERROR(INDEX(Lotes!$N$5:$N$154,MATCH(K1297,Lotes!$P$5:$P$154,0)),"Sem lote cadastrado"))</f>
        <v/>
      </c>
      <c r="M1297" s="25">
        <f>IF(H1297="Sim",G1297,0)</f>
        <v>0</v>
      </c>
      <c r="N1297" s="42">
        <f>IF(AND(H1297="Sim",I1297&lt;&gt;"Aceito"),G1297+ROW()/100000,0)</f>
        <v>0</v>
      </c>
    </row>
    <row r="1298">
      <c r="A1298" s="35" t="n"/>
      <c r="B1298" s="39" t="n"/>
      <c r="C1298" s="33" t="n"/>
      <c r="D1298" s="35" t="n"/>
      <c r="E1298" s="33" t="n"/>
      <c r="F1298" s="33" t="n"/>
      <c r="G1298" s="40" t="n"/>
      <c r="H1298" s="35" t="n"/>
      <c r="I1298" s="35" t="n"/>
      <c r="J1298" s="30">
        <f>IF(B1298="","",DATE(YEAR(B1298),MONTH(B1298),1))</f>
        <v/>
      </c>
      <c r="K1298" s="41">
        <f>IF(OR(B1298="",D1298=""),"",D1298&amp;"|"&amp;TEXT(J1298,"yyyy-mm"))</f>
        <v/>
      </c>
      <c r="L1298" s="24">
        <f>IF(K1298="","",IFERROR(INDEX(Lotes!$N$5:$N$154,MATCH(K1298,Lotes!$P$5:$P$154,0)),"Sem lote cadastrado"))</f>
        <v/>
      </c>
      <c r="M1298" s="25">
        <f>IF(H1298="Sim",G1298,0)</f>
        <v>0</v>
      </c>
      <c r="N1298" s="42">
        <f>IF(AND(H1298="Sim",I1298&lt;&gt;"Aceito"),G1298+ROW()/100000,0)</f>
        <v>0</v>
      </c>
    </row>
    <row r="1299">
      <c r="A1299" s="35" t="n"/>
      <c r="B1299" s="39" t="n"/>
      <c r="C1299" s="33" t="n"/>
      <c r="D1299" s="35" t="n"/>
      <c r="E1299" s="33" t="n"/>
      <c r="F1299" s="33" t="n"/>
      <c r="G1299" s="40" t="n"/>
      <c r="H1299" s="35" t="n"/>
      <c r="I1299" s="35" t="n"/>
      <c r="J1299" s="30">
        <f>IF(B1299="","",DATE(YEAR(B1299),MONTH(B1299),1))</f>
        <v/>
      </c>
      <c r="K1299" s="41">
        <f>IF(OR(B1299="",D1299=""),"",D1299&amp;"|"&amp;TEXT(J1299,"yyyy-mm"))</f>
        <v/>
      </c>
      <c r="L1299" s="24">
        <f>IF(K1299="","",IFERROR(INDEX(Lotes!$N$5:$N$154,MATCH(K1299,Lotes!$P$5:$P$154,0)),"Sem lote cadastrado"))</f>
        <v/>
      </c>
      <c r="M1299" s="25">
        <f>IF(H1299="Sim",G1299,0)</f>
        <v>0</v>
      </c>
      <c r="N1299" s="42">
        <f>IF(AND(H1299="Sim",I1299&lt;&gt;"Aceito"),G1299+ROW()/100000,0)</f>
        <v>0</v>
      </c>
    </row>
    <row r="1300">
      <c r="A1300" s="35" t="n"/>
      <c r="B1300" s="39" t="n"/>
      <c r="C1300" s="33" t="n"/>
      <c r="D1300" s="35" t="n"/>
      <c r="E1300" s="33" t="n"/>
      <c r="F1300" s="33" t="n"/>
      <c r="G1300" s="40" t="n"/>
      <c r="H1300" s="35" t="n"/>
      <c r="I1300" s="35" t="n"/>
      <c r="J1300" s="30">
        <f>IF(B1300="","",DATE(YEAR(B1300),MONTH(B1300),1))</f>
        <v/>
      </c>
      <c r="K1300" s="41">
        <f>IF(OR(B1300="",D1300=""),"",D1300&amp;"|"&amp;TEXT(J1300,"yyyy-mm"))</f>
        <v/>
      </c>
      <c r="L1300" s="24">
        <f>IF(K1300="","",IFERROR(INDEX(Lotes!$N$5:$N$154,MATCH(K1300,Lotes!$P$5:$P$154,0)),"Sem lote cadastrado"))</f>
        <v/>
      </c>
      <c r="M1300" s="25">
        <f>IF(H1300="Sim",G1300,0)</f>
        <v>0</v>
      </c>
      <c r="N1300" s="42">
        <f>IF(AND(H1300="Sim",I1300&lt;&gt;"Aceito"),G1300+ROW()/100000,0)</f>
        <v>0</v>
      </c>
    </row>
    <row r="1301">
      <c r="A1301" s="35" t="n"/>
      <c r="B1301" s="39" t="n"/>
      <c r="C1301" s="33" t="n"/>
      <c r="D1301" s="35" t="n"/>
      <c r="E1301" s="33" t="n"/>
      <c r="F1301" s="33" t="n"/>
      <c r="G1301" s="40" t="n"/>
      <c r="H1301" s="35" t="n"/>
      <c r="I1301" s="35" t="n"/>
      <c r="J1301" s="30">
        <f>IF(B1301="","",DATE(YEAR(B1301),MONTH(B1301),1))</f>
        <v/>
      </c>
      <c r="K1301" s="41">
        <f>IF(OR(B1301="",D1301=""),"",D1301&amp;"|"&amp;TEXT(J1301,"yyyy-mm"))</f>
        <v/>
      </c>
      <c r="L1301" s="24">
        <f>IF(K1301="","",IFERROR(INDEX(Lotes!$N$5:$N$154,MATCH(K1301,Lotes!$P$5:$P$154,0)),"Sem lote cadastrado"))</f>
        <v/>
      </c>
      <c r="M1301" s="25">
        <f>IF(H1301="Sim",G1301,0)</f>
        <v>0</v>
      </c>
      <c r="N1301" s="42">
        <f>IF(AND(H1301="Sim",I1301&lt;&gt;"Aceito"),G1301+ROW()/100000,0)</f>
        <v>0</v>
      </c>
    </row>
    <row r="1302">
      <c r="A1302" s="35" t="n"/>
      <c r="B1302" s="39" t="n"/>
      <c r="C1302" s="33" t="n"/>
      <c r="D1302" s="35" t="n"/>
      <c r="E1302" s="33" t="n"/>
      <c r="F1302" s="33" t="n"/>
      <c r="G1302" s="40" t="n"/>
      <c r="H1302" s="35" t="n"/>
      <c r="I1302" s="35" t="n"/>
      <c r="J1302" s="30">
        <f>IF(B1302="","",DATE(YEAR(B1302),MONTH(B1302),1))</f>
        <v/>
      </c>
      <c r="K1302" s="41">
        <f>IF(OR(B1302="",D1302=""),"",D1302&amp;"|"&amp;TEXT(J1302,"yyyy-mm"))</f>
        <v/>
      </c>
      <c r="L1302" s="24">
        <f>IF(K1302="","",IFERROR(INDEX(Lotes!$N$5:$N$154,MATCH(K1302,Lotes!$P$5:$P$154,0)),"Sem lote cadastrado"))</f>
        <v/>
      </c>
      <c r="M1302" s="25">
        <f>IF(H1302="Sim",G1302,0)</f>
        <v>0</v>
      </c>
      <c r="N1302" s="42">
        <f>IF(AND(H1302="Sim",I1302&lt;&gt;"Aceito"),G1302+ROW()/100000,0)</f>
        <v>0</v>
      </c>
    </row>
    <row r="1303">
      <c r="A1303" s="35" t="n"/>
      <c r="B1303" s="39" t="n"/>
      <c r="C1303" s="33" t="n"/>
      <c r="D1303" s="35" t="n"/>
      <c r="E1303" s="33" t="n"/>
      <c r="F1303" s="33" t="n"/>
      <c r="G1303" s="40" t="n"/>
      <c r="H1303" s="35" t="n"/>
      <c r="I1303" s="35" t="n"/>
      <c r="J1303" s="30">
        <f>IF(B1303="","",DATE(YEAR(B1303),MONTH(B1303),1))</f>
        <v/>
      </c>
      <c r="K1303" s="41">
        <f>IF(OR(B1303="",D1303=""),"",D1303&amp;"|"&amp;TEXT(J1303,"yyyy-mm"))</f>
        <v/>
      </c>
      <c r="L1303" s="24">
        <f>IF(K1303="","",IFERROR(INDEX(Lotes!$N$5:$N$154,MATCH(K1303,Lotes!$P$5:$P$154,0)),"Sem lote cadastrado"))</f>
        <v/>
      </c>
      <c r="M1303" s="25">
        <f>IF(H1303="Sim",G1303,0)</f>
        <v>0</v>
      </c>
      <c r="N1303" s="42">
        <f>IF(AND(H1303="Sim",I1303&lt;&gt;"Aceito"),G1303+ROW()/100000,0)</f>
        <v>0</v>
      </c>
    </row>
    <row r="1304">
      <c r="A1304" s="35" t="n"/>
      <c r="B1304" s="39" t="n"/>
      <c r="C1304" s="33" t="n"/>
      <c r="D1304" s="35" t="n"/>
      <c r="E1304" s="33" t="n"/>
      <c r="F1304" s="33" t="n"/>
      <c r="G1304" s="40" t="n"/>
      <c r="H1304" s="35" t="n"/>
      <c r="I1304" s="35" t="n"/>
      <c r="J1304" s="30">
        <f>IF(B1304="","",DATE(YEAR(B1304),MONTH(B1304),1))</f>
        <v/>
      </c>
      <c r="K1304" s="41">
        <f>IF(OR(B1304="",D1304=""),"",D1304&amp;"|"&amp;TEXT(J1304,"yyyy-mm"))</f>
        <v/>
      </c>
      <c r="L1304" s="24">
        <f>IF(K1304="","",IFERROR(INDEX(Lotes!$N$5:$N$154,MATCH(K1304,Lotes!$P$5:$P$154,0)),"Sem lote cadastrado"))</f>
        <v/>
      </c>
      <c r="M1304" s="25">
        <f>IF(H1304="Sim",G1304,0)</f>
        <v>0</v>
      </c>
      <c r="N1304" s="42">
        <f>IF(AND(H1304="Sim",I1304&lt;&gt;"Aceito"),G1304+ROW()/100000,0)</f>
        <v>0</v>
      </c>
    </row>
    <row r="1305">
      <c r="A1305" s="35" t="n"/>
      <c r="B1305" s="39" t="n"/>
      <c r="C1305" s="33" t="n"/>
      <c r="D1305" s="35" t="n"/>
      <c r="E1305" s="33" t="n"/>
      <c r="F1305" s="33" t="n"/>
      <c r="G1305" s="40" t="n"/>
      <c r="H1305" s="35" t="n"/>
      <c r="I1305" s="35" t="n"/>
      <c r="J1305" s="30">
        <f>IF(B1305="","",DATE(YEAR(B1305),MONTH(B1305),1))</f>
        <v/>
      </c>
      <c r="K1305" s="41">
        <f>IF(OR(B1305="",D1305=""),"",D1305&amp;"|"&amp;TEXT(J1305,"yyyy-mm"))</f>
        <v/>
      </c>
      <c r="L1305" s="24">
        <f>IF(K1305="","",IFERROR(INDEX(Lotes!$N$5:$N$154,MATCH(K1305,Lotes!$P$5:$P$154,0)),"Sem lote cadastrado"))</f>
        <v/>
      </c>
      <c r="M1305" s="25">
        <f>IF(H1305="Sim",G1305,0)</f>
        <v>0</v>
      </c>
      <c r="N1305" s="42">
        <f>IF(AND(H1305="Sim",I1305&lt;&gt;"Aceito"),G1305+ROW()/100000,0)</f>
        <v>0</v>
      </c>
    </row>
    <row r="1306">
      <c r="A1306" s="35" t="n"/>
      <c r="B1306" s="39" t="n"/>
      <c r="C1306" s="33" t="n"/>
      <c r="D1306" s="35" t="n"/>
      <c r="E1306" s="33" t="n"/>
      <c r="F1306" s="33" t="n"/>
      <c r="G1306" s="40" t="n"/>
      <c r="H1306" s="35" t="n"/>
      <c r="I1306" s="35" t="n"/>
      <c r="J1306" s="30">
        <f>IF(B1306="","",DATE(YEAR(B1306),MONTH(B1306),1))</f>
        <v/>
      </c>
      <c r="K1306" s="41">
        <f>IF(OR(B1306="",D1306=""),"",D1306&amp;"|"&amp;TEXT(J1306,"yyyy-mm"))</f>
        <v/>
      </c>
      <c r="L1306" s="24">
        <f>IF(K1306="","",IFERROR(INDEX(Lotes!$N$5:$N$154,MATCH(K1306,Lotes!$P$5:$P$154,0)),"Sem lote cadastrado"))</f>
        <v/>
      </c>
      <c r="M1306" s="25">
        <f>IF(H1306="Sim",G1306,0)</f>
        <v>0</v>
      </c>
      <c r="N1306" s="42">
        <f>IF(AND(H1306="Sim",I1306&lt;&gt;"Aceito"),G1306+ROW()/100000,0)</f>
        <v>0</v>
      </c>
    </row>
    <row r="1307">
      <c r="A1307" s="35" t="n"/>
      <c r="B1307" s="39" t="n"/>
      <c r="C1307" s="33" t="n"/>
      <c r="D1307" s="35" t="n"/>
      <c r="E1307" s="33" t="n"/>
      <c r="F1307" s="33" t="n"/>
      <c r="G1307" s="40" t="n"/>
      <c r="H1307" s="35" t="n"/>
      <c r="I1307" s="35" t="n"/>
      <c r="J1307" s="30">
        <f>IF(B1307="","",DATE(YEAR(B1307),MONTH(B1307),1))</f>
        <v/>
      </c>
      <c r="K1307" s="41">
        <f>IF(OR(B1307="",D1307=""),"",D1307&amp;"|"&amp;TEXT(J1307,"yyyy-mm"))</f>
        <v/>
      </c>
      <c r="L1307" s="24">
        <f>IF(K1307="","",IFERROR(INDEX(Lotes!$N$5:$N$154,MATCH(K1307,Lotes!$P$5:$P$154,0)),"Sem lote cadastrado"))</f>
        <v/>
      </c>
      <c r="M1307" s="25">
        <f>IF(H1307="Sim",G1307,0)</f>
        <v>0</v>
      </c>
      <c r="N1307" s="42">
        <f>IF(AND(H1307="Sim",I1307&lt;&gt;"Aceito"),G1307+ROW()/100000,0)</f>
        <v>0</v>
      </c>
    </row>
    <row r="1308">
      <c r="A1308" s="35" t="n"/>
      <c r="B1308" s="39" t="n"/>
      <c r="C1308" s="33" t="n"/>
      <c r="D1308" s="35" t="n"/>
      <c r="E1308" s="33" t="n"/>
      <c r="F1308" s="33" t="n"/>
      <c r="G1308" s="40" t="n"/>
      <c r="H1308" s="35" t="n"/>
      <c r="I1308" s="35" t="n"/>
      <c r="J1308" s="30">
        <f>IF(B1308="","",DATE(YEAR(B1308),MONTH(B1308),1))</f>
        <v/>
      </c>
      <c r="K1308" s="41">
        <f>IF(OR(B1308="",D1308=""),"",D1308&amp;"|"&amp;TEXT(J1308,"yyyy-mm"))</f>
        <v/>
      </c>
      <c r="L1308" s="24">
        <f>IF(K1308="","",IFERROR(INDEX(Lotes!$N$5:$N$154,MATCH(K1308,Lotes!$P$5:$P$154,0)),"Sem lote cadastrado"))</f>
        <v/>
      </c>
      <c r="M1308" s="25">
        <f>IF(H1308="Sim",G1308,0)</f>
        <v>0</v>
      </c>
      <c r="N1308" s="42">
        <f>IF(AND(H1308="Sim",I1308&lt;&gt;"Aceito"),G1308+ROW()/100000,0)</f>
        <v>0</v>
      </c>
    </row>
    <row r="1309">
      <c r="A1309" s="35" t="n"/>
      <c r="B1309" s="39" t="n"/>
      <c r="C1309" s="33" t="n"/>
      <c r="D1309" s="35" t="n"/>
      <c r="E1309" s="33" t="n"/>
      <c r="F1309" s="33" t="n"/>
      <c r="G1309" s="40" t="n"/>
      <c r="H1309" s="35" t="n"/>
      <c r="I1309" s="35" t="n"/>
      <c r="J1309" s="30">
        <f>IF(B1309="","",DATE(YEAR(B1309),MONTH(B1309),1))</f>
        <v/>
      </c>
      <c r="K1309" s="41">
        <f>IF(OR(B1309="",D1309=""),"",D1309&amp;"|"&amp;TEXT(J1309,"yyyy-mm"))</f>
        <v/>
      </c>
      <c r="L1309" s="24">
        <f>IF(K1309="","",IFERROR(INDEX(Lotes!$N$5:$N$154,MATCH(K1309,Lotes!$P$5:$P$154,0)),"Sem lote cadastrado"))</f>
        <v/>
      </c>
      <c r="M1309" s="25">
        <f>IF(H1309="Sim",G1309,0)</f>
        <v>0</v>
      </c>
      <c r="N1309" s="42">
        <f>IF(AND(H1309="Sim",I1309&lt;&gt;"Aceito"),G1309+ROW()/100000,0)</f>
        <v>0</v>
      </c>
    </row>
    <row r="1310">
      <c r="A1310" s="35" t="n"/>
      <c r="B1310" s="39" t="n"/>
      <c r="C1310" s="33" t="n"/>
      <c r="D1310" s="35" t="n"/>
      <c r="E1310" s="33" t="n"/>
      <c r="F1310" s="33" t="n"/>
      <c r="G1310" s="40" t="n"/>
      <c r="H1310" s="35" t="n"/>
      <c r="I1310" s="35" t="n"/>
      <c r="J1310" s="30">
        <f>IF(B1310="","",DATE(YEAR(B1310),MONTH(B1310),1))</f>
        <v/>
      </c>
      <c r="K1310" s="41">
        <f>IF(OR(B1310="",D1310=""),"",D1310&amp;"|"&amp;TEXT(J1310,"yyyy-mm"))</f>
        <v/>
      </c>
      <c r="L1310" s="24">
        <f>IF(K1310="","",IFERROR(INDEX(Lotes!$N$5:$N$154,MATCH(K1310,Lotes!$P$5:$P$154,0)),"Sem lote cadastrado"))</f>
        <v/>
      </c>
      <c r="M1310" s="25">
        <f>IF(H1310="Sim",G1310,0)</f>
        <v>0</v>
      </c>
      <c r="N1310" s="42">
        <f>IF(AND(H1310="Sim",I1310&lt;&gt;"Aceito"),G1310+ROW()/100000,0)</f>
        <v>0</v>
      </c>
    </row>
    <row r="1311">
      <c r="A1311" s="35" t="n"/>
      <c r="B1311" s="39" t="n"/>
      <c r="C1311" s="33" t="n"/>
      <c r="D1311" s="35" t="n"/>
      <c r="E1311" s="33" t="n"/>
      <c r="F1311" s="33" t="n"/>
      <c r="G1311" s="40" t="n"/>
      <c r="H1311" s="35" t="n"/>
      <c r="I1311" s="35" t="n"/>
      <c r="J1311" s="30">
        <f>IF(B1311="","",DATE(YEAR(B1311),MONTH(B1311),1))</f>
        <v/>
      </c>
      <c r="K1311" s="41">
        <f>IF(OR(B1311="",D1311=""),"",D1311&amp;"|"&amp;TEXT(J1311,"yyyy-mm"))</f>
        <v/>
      </c>
      <c r="L1311" s="24">
        <f>IF(K1311="","",IFERROR(INDEX(Lotes!$N$5:$N$154,MATCH(K1311,Lotes!$P$5:$P$154,0)),"Sem lote cadastrado"))</f>
        <v/>
      </c>
      <c r="M1311" s="25">
        <f>IF(H1311="Sim",G1311,0)</f>
        <v>0</v>
      </c>
      <c r="N1311" s="42">
        <f>IF(AND(H1311="Sim",I1311&lt;&gt;"Aceito"),G1311+ROW()/100000,0)</f>
        <v>0</v>
      </c>
    </row>
    <row r="1312">
      <c r="A1312" s="35" t="n"/>
      <c r="B1312" s="39" t="n"/>
      <c r="C1312" s="33" t="n"/>
      <c r="D1312" s="35" t="n"/>
      <c r="E1312" s="33" t="n"/>
      <c r="F1312" s="33" t="n"/>
      <c r="G1312" s="40" t="n"/>
      <c r="H1312" s="35" t="n"/>
      <c r="I1312" s="35" t="n"/>
      <c r="J1312" s="30">
        <f>IF(B1312="","",DATE(YEAR(B1312),MONTH(B1312),1))</f>
        <v/>
      </c>
      <c r="K1312" s="41">
        <f>IF(OR(B1312="",D1312=""),"",D1312&amp;"|"&amp;TEXT(J1312,"yyyy-mm"))</f>
        <v/>
      </c>
      <c r="L1312" s="24">
        <f>IF(K1312="","",IFERROR(INDEX(Lotes!$N$5:$N$154,MATCH(K1312,Lotes!$P$5:$P$154,0)),"Sem lote cadastrado"))</f>
        <v/>
      </c>
      <c r="M1312" s="25">
        <f>IF(H1312="Sim",G1312,0)</f>
        <v>0</v>
      </c>
      <c r="N1312" s="42">
        <f>IF(AND(H1312="Sim",I1312&lt;&gt;"Aceito"),G1312+ROW()/100000,0)</f>
        <v>0</v>
      </c>
    </row>
    <row r="1313">
      <c r="A1313" s="35" t="n"/>
      <c r="B1313" s="39" t="n"/>
      <c r="C1313" s="33" t="n"/>
      <c r="D1313" s="35" t="n"/>
      <c r="E1313" s="33" t="n"/>
      <c r="F1313" s="33" t="n"/>
      <c r="G1313" s="40" t="n"/>
      <c r="H1313" s="35" t="n"/>
      <c r="I1313" s="35" t="n"/>
      <c r="J1313" s="30">
        <f>IF(B1313="","",DATE(YEAR(B1313),MONTH(B1313),1))</f>
        <v/>
      </c>
      <c r="K1313" s="41">
        <f>IF(OR(B1313="",D1313=""),"",D1313&amp;"|"&amp;TEXT(J1313,"yyyy-mm"))</f>
        <v/>
      </c>
      <c r="L1313" s="24">
        <f>IF(K1313="","",IFERROR(INDEX(Lotes!$N$5:$N$154,MATCH(K1313,Lotes!$P$5:$P$154,0)),"Sem lote cadastrado"))</f>
        <v/>
      </c>
      <c r="M1313" s="25">
        <f>IF(H1313="Sim",G1313,0)</f>
        <v>0</v>
      </c>
      <c r="N1313" s="42">
        <f>IF(AND(H1313="Sim",I1313&lt;&gt;"Aceito"),G1313+ROW()/100000,0)</f>
        <v>0</v>
      </c>
    </row>
    <row r="1314">
      <c r="A1314" s="35" t="n"/>
      <c r="B1314" s="39" t="n"/>
      <c r="C1314" s="33" t="n"/>
      <c r="D1314" s="35" t="n"/>
      <c r="E1314" s="33" t="n"/>
      <c r="F1314" s="33" t="n"/>
      <c r="G1314" s="40" t="n"/>
      <c r="H1314" s="35" t="n"/>
      <c r="I1314" s="35" t="n"/>
      <c r="J1314" s="30">
        <f>IF(B1314="","",DATE(YEAR(B1314),MONTH(B1314),1))</f>
        <v/>
      </c>
      <c r="K1314" s="41">
        <f>IF(OR(B1314="",D1314=""),"",D1314&amp;"|"&amp;TEXT(J1314,"yyyy-mm"))</f>
        <v/>
      </c>
      <c r="L1314" s="24">
        <f>IF(K1314="","",IFERROR(INDEX(Lotes!$N$5:$N$154,MATCH(K1314,Lotes!$P$5:$P$154,0)),"Sem lote cadastrado"))</f>
        <v/>
      </c>
      <c r="M1314" s="25">
        <f>IF(H1314="Sim",G1314,0)</f>
        <v>0</v>
      </c>
      <c r="N1314" s="42">
        <f>IF(AND(H1314="Sim",I1314&lt;&gt;"Aceito"),G1314+ROW()/100000,0)</f>
        <v>0</v>
      </c>
    </row>
    <row r="1315">
      <c r="A1315" s="35" t="n"/>
      <c r="B1315" s="39" t="n"/>
      <c r="C1315" s="33" t="n"/>
      <c r="D1315" s="35" t="n"/>
      <c r="E1315" s="33" t="n"/>
      <c r="F1315" s="33" t="n"/>
      <c r="G1315" s="40" t="n"/>
      <c r="H1315" s="35" t="n"/>
      <c r="I1315" s="35" t="n"/>
      <c r="J1315" s="30">
        <f>IF(B1315="","",DATE(YEAR(B1315),MONTH(B1315),1))</f>
        <v/>
      </c>
      <c r="K1315" s="41">
        <f>IF(OR(B1315="",D1315=""),"",D1315&amp;"|"&amp;TEXT(J1315,"yyyy-mm"))</f>
        <v/>
      </c>
      <c r="L1315" s="24">
        <f>IF(K1315="","",IFERROR(INDEX(Lotes!$N$5:$N$154,MATCH(K1315,Lotes!$P$5:$P$154,0)),"Sem lote cadastrado"))</f>
        <v/>
      </c>
      <c r="M1315" s="25">
        <f>IF(H1315="Sim",G1315,0)</f>
        <v>0</v>
      </c>
      <c r="N1315" s="42">
        <f>IF(AND(H1315="Sim",I1315&lt;&gt;"Aceito"),G1315+ROW()/100000,0)</f>
        <v>0</v>
      </c>
    </row>
    <row r="1316">
      <c r="A1316" s="35" t="n"/>
      <c r="B1316" s="39" t="n"/>
      <c r="C1316" s="33" t="n"/>
      <c r="D1316" s="35" t="n"/>
      <c r="E1316" s="33" t="n"/>
      <c r="F1316" s="33" t="n"/>
      <c r="G1316" s="40" t="n"/>
      <c r="H1316" s="35" t="n"/>
      <c r="I1316" s="35" t="n"/>
      <c r="J1316" s="30">
        <f>IF(B1316="","",DATE(YEAR(B1316),MONTH(B1316),1))</f>
        <v/>
      </c>
      <c r="K1316" s="41">
        <f>IF(OR(B1316="",D1316=""),"",D1316&amp;"|"&amp;TEXT(J1316,"yyyy-mm"))</f>
        <v/>
      </c>
      <c r="L1316" s="24">
        <f>IF(K1316="","",IFERROR(INDEX(Lotes!$N$5:$N$154,MATCH(K1316,Lotes!$P$5:$P$154,0)),"Sem lote cadastrado"))</f>
        <v/>
      </c>
      <c r="M1316" s="25">
        <f>IF(H1316="Sim",G1316,0)</f>
        <v>0</v>
      </c>
      <c r="N1316" s="42">
        <f>IF(AND(H1316="Sim",I1316&lt;&gt;"Aceito"),G1316+ROW()/100000,0)</f>
        <v>0</v>
      </c>
    </row>
    <row r="1317">
      <c r="A1317" s="35" t="n"/>
      <c r="B1317" s="39" t="n"/>
      <c r="C1317" s="33" t="n"/>
      <c r="D1317" s="35" t="n"/>
      <c r="E1317" s="33" t="n"/>
      <c r="F1317" s="33" t="n"/>
      <c r="G1317" s="40" t="n"/>
      <c r="H1317" s="35" t="n"/>
      <c r="I1317" s="35" t="n"/>
      <c r="J1317" s="30">
        <f>IF(B1317="","",DATE(YEAR(B1317),MONTH(B1317),1))</f>
        <v/>
      </c>
      <c r="K1317" s="41">
        <f>IF(OR(B1317="",D1317=""),"",D1317&amp;"|"&amp;TEXT(J1317,"yyyy-mm"))</f>
        <v/>
      </c>
      <c r="L1317" s="24">
        <f>IF(K1317="","",IFERROR(INDEX(Lotes!$N$5:$N$154,MATCH(K1317,Lotes!$P$5:$P$154,0)),"Sem lote cadastrado"))</f>
        <v/>
      </c>
      <c r="M1317" s="25">
        <f>IF(H1317="Sim",G1317,0)</f>
        <v>0</v>
      </c>
      <c r="N1317" s="42">
        <f>IF(AND(H1317="Sim",I1317&lt;&gt;"Aceito"),G1317+ROW()/100000,0)</f>
        <v>0</v>
      </c>
    </row>
    <row r="1318">
      <c r="A1318" s="35" t="n"/>
      <c r="B1318" s="39" t="n"/>
      <c r="C1318" s="33" t="n"/>
      <c r="D1318" s="35" t="n"/>
      <c r="E1318" s="33" t="n"/>
      <c r="F1318" s="33" t="n"/>
      <c r="G1318" s="40" t="n"/>
      <c r="H1318" s="35" t="n"/>
      <c r="I1318" s="35" t="n"/>
      <c r="J1318" s="30">
        <f>IF(B1318="","",DATE(YEAR(B1318),MONTH(B1318),1))</f>
        <v/>
      </c>
      <c r="K1318" s="41">
        <f>IF(OR(B1318="",D1318=""),"",D1318&amp;"|"&amp;TEXT(J1318,"yyyy-mm"))</f>
        <v/>
      </c>
      <c r="L1318" s="24">
        <f>IF(K1318="","",IFERROR(INDEX(Lotes!$N$5:$N$154,MATCH(K1318,Lotes!$P$5:$P$154,0)),"Sem lote cadastrado"))</f>
        <v/>
      </c>
      <c r="M1318" s="25">
        <f>IF(H1318="Sim",G1318,0)</f>
        <v>0</v>
      </c>
      <c r="N1318" s="42">
        <f>IF(AND(H1318="Sim",I1318&lt;&gt;"Aceito"),G1318+ROW()/100000,0)</f>
        <v>0</v>
      </c>
    </row>
    <row r="1319">
      <c r="A1319" s="35" t="n"/>
      <c r="B1319" s="39" t="n"/>
      <c r="C1319" s="33" t="n"/>
      <c r="D1319" s="35" t="n"/>
      <c r="E1319" s="33" t="n"/>
      <c r="F1319" s="33" t="n"/>
      <c r="G1319" s="40" t="n"/>
      <c r="H1319" s="35" t="n"/>
      <c r="I1319" s="35" t="n"/>
      <c r="J1319" s="30">
        <f>IF(B1319="","",DATE(YEAR(B1319),MONTH(B1319),1))</f>
        <v/>
      </c>
      <c r="K1319" s="41">
        <f>IF(OR(B1319="",D1319=""),"",D1319&amp;"|"&amp;TEXT(J1319,"yyyy-mm"))</f>
        <v/>
      </c>
      <c r="L1319" s="24">
        <f>IF(K1319="","",IFERROR(INDEX(Lotes!$N$5:$N$154,MATCH(K1319,Lotes!$P$5:$P$154,0)),"Sem lote cadastrado"))</f>
        <v/>
      </c>
      <c r="M1319" s="25">
        <f>IF(H1319="Sim",G1319,0)</f>
        <v>0</v>
      </c>
      <c r="N1319" s="42">
        <f>IF(AND(H1319="Sim",I1319&lt;&gt;"Aceito"),G1319+ROW()/100000,0)</f>
        <v>0</v>
      </c>
    </row>
    <row r="1320">
      <c r="A1320" s="35" t="n"/>
      <c r="B1320" s="39" t="n"/>
      <c r="C1320" s="33" t="n"/>
      <c r="D1320" s="35" t="n"/>
      <c r="E1320" s="33" t="n"/>
      <c r="F1320" s="33" t="n"/>
      <c r="G1320" s="40" t="n"/>
      <c r="H1320" s="35" t="n"/>
      <c r="I1320" s="35" t="n"/>
      <c r="J1320" s="30">
        <f>IF(B1320="","",DATE(YEAR(B1320),MONTH(B1320),1))</f>
        <v/>
      </c>
      <c r="K1320" s="41">
        <f>IF(OR(B1320="",D1320=""),"",D1320&amp;"|"&amp;TEXT(J1320,"yyyy-mm"))</f>
        <v/>
      </c>
      <c r="L1320" s="24">
        <f>IF(K1320="","",IFERROR(INDEX(Lotes!$N$5:$N$154,MATCH(K1320,Lotes!$P$5:$P$154,0)),"Sem lote cadastrado"))</f>
        <v/>
      </c>
      <c r="M1320" s="25">
        <f>IF(H1320="Sim",G1320,0)</f>
        <v>0</v>
      </c>
      <c r="N1320" s="42">
        <f>IF(AND(H1320="Sim",I1320&lt;&gt;"Aceito"),G1320+ROW()/100000,0)</f>
        <v>0</v>
      </c>
    </row>
    <row r="1321">
      <c r="A1321" s="35" t="n"/>
      <c r="B1321" s="39" t="n"/>
      <c r="C1321" s="33" t="n"/>
      <c r="D1321" s="35" t="n"/>
      <c r="E1321" s="33" t="n"/>
      <c r="F1321" s="33" t="n"/>
      <c r="G1321" s="40" t="n"/>
      <c r="H1321" s="35" t="n"/>
      <c r="I1321" s="35" t="n"/>
      <c r="J1321" s="30">
        <f>IF(B1321="","",DATE(YEAR(B1321),MONTH(B1321),1))</f>
        <v/>
      </c>
      <c r="K1321" s="41">
        <f>IF(OR(B1321="",D1321=""),"",D1321&amp;"|"&amp;TEXT(J1321,"yyyy-mm"))</f>
        <v/>
      </c>
      <c r="L1321" s="24">
        <f>IF(K1321="","",IFERROR(INDEX(Lotes!$N$5:$N$154,MATCH(K1321,Lotes!$P$5:$P$154,0)),"Sem lote cadastrado"))</f>
        <v/>
      </c>
      <c r="M1321" s="25">
        <f>IF(H1321="Sim",G1321,0)</f>
        <v>0</v>
      </c>
      <c r="N1321" s="42">
        <f>IF(AND(H1321="Sim",I1321&lt;&gt;"Aceito"),G1321+ROW()/100000,0)</f>
        <v>0</v>
      </c>
    </row>
    <row r="1322">
      <c r="A1322" s="35" t="n"/>
      <c r="B1322" s="39" t="n"/>
      <c r="C1322" s="33" t="n"/>
      <c r="D1322" s="35" t="n"/>
      <c r="E1322" s="33" t="n"/>
      <c r="F1322" s="33" t="n"/>
      <c r="G1322" s="40" t="n"/>
      <c r="H1322" s="35" t="n"/>
      <c r="I1322" s="35" t="n"/>
      <c r="J1322" s="30">
        <f>IF(B1322="","",DATE(YEAR(B1322),MONTH(B1322),1))</f>
        <v/>
      </c>
      <c r="K1322" s="41">
        <f>IF(OR(B1322="",D1322=""),"",D1322&amp;"|"&amp;TEXT(J1322,"yyyy-mm"))</f>
        <v/>
      </c>
      <c r="L1322" s="24">
        <f>IF(K1322="","",IFERROR(INDEX(Lotes!$N$5:$N$154,MATCH(K1322,Lotes!$P$5:$P$154,0)),"Sem lote cadastrado"))</f>
        <v/>
      </c>
      <c r="M1322" s="25">
        <f>IF(H1322="Sim",G1322,0)</f>
        <v>0</v>
      </c>
      <c r="N1322" s="42">
        <f>IF(AND(H1322="Sim",I1322&lt;&gt;"Aceito"),G1322+ROW()/100000,0)</f>
        <v>0</v>
      </c>
    </row>
    <row r="1323">
      <c r="A1323" s="35" t="n"/>
      <c r="B1323" s="39" t="n"/>
      <c r="C1323" s="33" t="n"/>
      <c r="D1323" s="35" t="n"/>
      <c r="E1323" s="33" t="n"/>
      <c r="F1323" s="33" t="n"/>
      <c r="G1323" s="40" t="n"/>
      <c r="H1323" s="35" t="n"/>
      <c r="I1323" s="35" t="n"/>
      <c r="J1323" s="30">
        <f>IF(B1323="","",DATE(YEAR(B1323),MONTH(B1323),1))</f>
        <v/>
      </c>
      <c r="K1323" s="41">
        <f>IF(OR(B1323="",D1323=""),"",D1323&amp;"|"&amp;TEXT(J1323,"yyyy-mm"))</f>
        <v/>
      </c>
      <c r="L1323" s="24">
        <f>IF(K1323="","",IFERROR(INDEX(Lotes!$N$5:$N$154,MATCH(K1323,Lotes!$P$5:$P$154,0)),"Sem lote cadastrado"))</f>
        <v/>
      </c>
      <c r="M1323" s="25">
        <f>IF(H1323="Sim",G1323,0)</f>
        <v>0</v>
      </c>
      <c r="N1323" s="42">
        <f>IF(AND(H1323="Sim",I1323&lt;&gt;"Aceito"),G1323+ROW()/100000,0)</f>
        <v>0</v>
      </c>
    </row>
    <row r="1324">
      <c r="A1324" s="35" t="n"/>
      <c r="B1324" s="39" t="n"/>
      <c r="C1324" s="33" t="n"/>
      <c r="D1324" s="35" t="n"/>
      <c r="E1324" s="33" t="n"/>
      <c r="F1324" s="33" t="n"/>
      <c r="G1324" s="40" t="n"/>
      <c r="H1324" s="35" t="n"/>
      <c r="I1324" s="35" t="n"/>
      <c r="J1324" s="30">
        <f>IF(B1324="","",DATE(YEAR(B1324),MONTH(B1324),1))</f>
        <v/>
      </c>
      <c r="K1324" s="41">
        <f>IF(OR(B1324="",D1324=""),"",D1324&amp;"|"&amp;TEXT(J1324,"yyyy-mm"))</f>
        <v/>
      </c>
      <c r="L1324" s="24">
        <f>IF(K1324="","",IFERROR(INDEX(Lotes!$N$5:$N$154,MATCH(K1324,Lotes!$P$5:$P$154,0)),"Sem lote cadastrado"))</f>
        <v/>
      </c>
      <c r="M1324" s="25">
        <f>IF(H1324="Sim",G1324,0)</f>
        <v>0</v>
      </c>
      <c r="N1324" s="42">
        <f>IF(AND(H1324="Sim",I1324&lt;&gt;"Aceito"),G1324+ROW()/100000,0)</f>
        <v>0</v>
      </c>
    </row>
    <row r="1325">
      <c r="A1325" s="35" t="n"/>
      <c r="B1325" s="39" t="n"/>
      <c r="C1325" s="33" t="n"/>
      <c r="D1325" s="35" t="n"/>
      <c r="E1325" s="33" t="n"/>
      <c r="F1325" s="33" t="n"/>
      <c r="G1325" s="40" t="n"/>
      <c r="H1325" s="35" t="n"/>
      <c r="I1325" s="35" t="n"/>
      <c r="J1325" s="30">
        <f>IF(B1325="","",DATE(YEAR(B1325),MONTH(B1325),1))</f>
        <v/>
      </c>
      <c r="K1325" s="41">
        <f>IF(OR(B1325="",D1325=""),"",D1325&amp;"|"&amp;TEXT(J1325,"yyyy-mm"))</f>
        <v/>
      </c>
      <c r="L1325" s="24">
        <f>IF(K1325="","",IFERROR(INDEX(Lotes!$N$5:$N$154,MATCH(K1325,Lotes!$P$5:$P$154,0)),"Sem lote cadastrado"))</f>
        <v/>
      </c>
      <c r="M1325" s="25">
        <f>IF(H1325="Sim",G1325,0)</f>
        <v>0</v>
      </c>
      <c r="N1325" s="42">
        <f>IF(AND(H1325="Sim",I1325&lt;&gt;"Aceito"),G1325+ROW()/100000,0)</f>
        <v>0</v>
      </c>
    </row>
    <row r="1326">
      <c r="A1326" s="35" t="n"/>
      <c r="B1326" s="39" t="n"/>
      <c r="C1326" s="33" t="n"/>
      <c r="D1326" s="35" t="n"/>
      <c r="E1326" s="33" t="n"/>
      <c r="F1326" s="33" t="n"/>
      <c r="G1326" s="40" t="n"/>
      <c r="H1326" s="35" t="n"/>
      <c r="I1326" s="35" t="n"/>
      <c r="J1326" s="30">
        <f>IF(B1326="","",DATE(YEAR(B1326),MONTH(B1326),1))</f>
        <v/>
      </c>
      <c r="K1326" s="41">
        <f>IF(OR(B1326="",D1326=""),"",D1326&amp;"|"&amp;TEXT(J1326,"yyyy-mm"))</f>
        <v/>
      </c>
      <c r="L1326" s="24">
        <f>IF(K1326="","",IFERROR(INDEX(Lotes!$N$5:$N$154,MATCH(K1326,Lotes!$P$5:$P$154,0)),"Sem lote cadastrado"))</f>
        <v/>
      </c>
      <c r="M1326" s="25">
        <f>IF(H1326="Sim",G1326,0)</f>
        <v>0</v>
      </c>
      <c r="N1326" s="42">
        <f>IF(AND(H1326="Sim",I1326&lt;&gt;"Aceito"),G1326+ROW()/100000,0)</f>
        <v>0</v>
      </c>
    </row>
    <row r="1327">
      <c r="A1327" s="35" t="n"/>
      <c r="B1327" s="39" t="n"/>
      <c r="C1327" s="33" t="n"/>
      <c r="D1327" s="35" t="n"/>
      <c r="E1327" s="33" t="n"/>
      <c r="F1327" s="33" t="n"/>
      <c r="G1327" s="40" t="n"/>
      <c r="H1327" s="35" t="n"/>
      <c r="I1327" s="35" t="n"/>
      <c r="J1327" s="30">
        <f>IF(B1327="","",DATE(YEAR(B1327),MONTH(B1327),1))</f>
        <v/>
      </c>
      <c r="K1327" s="41">
        <f>IF(OR(B1327="",D1327=""),"",D1327&amp;"|"&amp;TEXT(J1327,"yyyy-mm"))</f>
        <v/>
      </c>
      <c r="L1327" s="24">
        <f>IF(K1327="","",IFERROR(INDEX(Lotes!$N$5:$N$154,MATCH(K1327,Lotes!$P$5:$P$154,0)),"Sem lote cadastrado"))</f>
        <v/>
      </c>
      <c r="M1327" s="25">
        <f>IF(H1327="Sim",G1327,0)</f>
        <v>0</v>
      </c>
      <c r="N1327" s="42">
        <f>IF(AND(H1327="Sim",I1327&lt;&gt;"Aceito"),G1327+ROW()/100000,0)</f>
        <v>0</v>
      </c>
    </row>
    <row r="1328">
      <c r="A1328" s="35" t="n"/>
      <c r="B1328" s="39" t="n"/>
      <c r="C1328" s="33" t="n"/>
      <c r="D1328" s="35" t="n"/>
      <c r="E1328" s="33" t="n"/>
      <c r="F1328" s="33" t="n"/>
      <c r="G1328" s="40" t="n"/>
      <c r="H1328" s="35" t="n"/>
      <c r="I1328" s="35" t="n"/>
      <c r="J1328" s="30">
        <f>IF(B1328="","",DATE(YEAR(B1328),MONTH(B1328),1))</f>
        <v/>
      </c>
      <c r="K1328" s="41">
        <f>IF(OR(B1328="",D1328=""),"",D1328&amp;"|"&amp;TEXT(J1328,"yyyy-mm"))</f>
        <v/>
      </c>
      <c r="L1328" s="24">
        <f>IF(K1328="","",IFERROR(INDEX(Lotes!$N$5:$N$154,MATCH(K1328,Lotes!$P$5:$P$154,0)),"Sem lote cadastrado"))</f>
        <v/>
      </c>
      <c r="M1328" s="25">
        <f>IF(H1328="Sim",G1328,0)</f>
        <v>0</v>
      </c>
      <c r="N1328" s="42">
        <f>IF(AND(H1328="Sim",I1328&lt;&gt;"Aceito"),G1328+ROW()/100000,0)</f>
        <v>0</v>
      </c>
    </row>
    <row r="1329">
      <c r="A1329" s="35" t="n"/>
      <c r="B1329" s="39" t="n"/>
      <c r="C1329" s="33" t="n"/>
      <c r="D1329" s="35" t="n"/>
      <c r="E1329" s="33" t="n"/>
      <c r="F1329" s="33" t="n"/>
      <c r="G1329" s="40" t="n"/>
      <c r="H1329" s="35" t="n"/>
      <c r="I1329" s="35" t="n"/>
      <c r="J1329" s="30">
        <f>IF(B1329="","",DATE(YEAR(B1329),MONTH(B1329),1))</f>
        <v/>
      </c>
      <c r="K1329" s="41">
        <f>IF(OR(B1329="",D1329=""),"",D1329&amp;"|"&amp;TEXT(J1329,"yyyy-mm"))</f>
        <v/>
      </c>
      <c r="L1329" s="24">
        <f>IF(K1329="","",IFERROR(INDEX(Lotes!$N$5:$N$154,MATCH(K1329,Lotes!$P$5:$P$154,0)),"Sem lote cadastrado"))</f>
        <v/>
      </c>
      <c r="M1329" s="25">
        <f>IF(H1329="Sim",G1329,0)</f>
        <v>0</v>
      </c>
      <c r="N1329" s="42">
        <f>IF(AND(H1329="Sim",I1329&lt;&gt;"Aceito"),G1329+ROW()/100000,0)</f>
        <v>0</v>
      </c>
    </row>
    <row r="1330">
      <c r="A1330" s="35" t="n"/>
      <c r="B1330" s="39" t="n"/>
      <c r="C1330" s="33" t="n"/>
      <c r="D1330" s="35" t="n"/>
      <c r="E1330" s="33" t="n"/>
      <c r="F1330" s="33" t="n"/>
      <c r="G1330" s="40" t="n"/>
      <c r="H1330" s="35" t="n"/>
      <c r="I1330" s="35" t="n"/>
      <c r="J1330" s="30">
        <f>IF(B1330="","",DATE(YEAR(B1330),MONTH(B1330),1))</f>
        <v/>
      </c>
      <c r="K1330" s="41">
        <f>IF(OR(B1330="",D1330=""),"",D1330&amp;"|"&amp;TEXT(J1330,"yyyy-mm"))</f>
        <v/>
      </c>
      <c r="L1330" s="24">
        <f>IF(K1330="","",IFERROR(INDEX(Lotes!$N$5:$N$154,MATCH(K1330,Lotes!$P$5:$P$154,0)),"Sem lote cadastrado"))</f>
        <v/>
      </c>
      <c r="M1330" s="25">
        <f>IF(H1330="Sim",G1330,0)</f>
        <v>0</v>
      </c>
      <c r="N1330" s="42">
        <f>IF(AND(H1330="Sim",I1330&lt;&gt;"Aceito"),G1330+ROW()/100000,0)</f>
        <v>0</v>
      </c>
    </row>
    <row r="1331">
      <c r="A1331" s="35" t="n"/>
      <c r="B1331" s="39" t="n"/>
      <c r="C1331" s="33" t="n"/>
      <c r="D1331" s="35" t="n"/>
      <c r="E1331" s="33" t="n"/>
      <c r="F1331" s="33" t="n"/>
      <c r="G1331" s="40" t="n"/>
      <c r="H1331" s="35" t="n"/>
      <c r="I1331" s="35" t="n"/>
      <c r="J1331" s="30">
        <f>IF(B1331="","",DATE(YEAR(B1331),MONTH(B1331),1))</f>
        <v/>
      </c>
      <c r="K1331" s="41">
        <f>IF(OR(B1331="",D1331=""),"",D1331&amp;"|"&amp;TEXT(J1331,"yyyy-mm"))</f>
        <v/>
      </c>
      <c r="L1331" s="24">
        <f>IF(K1331="","",IFERROR(INDEX(Lotes!$N$5:$N$154,MATCH(K1331,Lotes!$P$5:$P$154,0)),"Sem lote cadastrado"))</f>
        <v/>
      </c>
      <c r="M1331" s="25">
        <f>IF(H1331="Sim",G1331,0)</f>
        <v>0</v>
      </c>
      <c r="N1331" s="42">
        <f>IF(AND(H1331="Sim",I1331&lt;&gt;"Aceito"),G1331+ROW()/100000,0)</f>
        <v>0</v>
      </c>
    </row>
    <row r="1332">
      <c r="A1332" s="35" t="n"/>
      <c r="B1332" s="39" t="n"/>
      <c r="C1332" s="33" t="n"/>
      <c r="D1332" s="35" t="n"/>
      <c r="E1332" s="33" t="n"/>
      <c r="F1332" s="33" t="n"/>
      <c r="G1332" s="40" t="n"/>
      <c r="H1332" s="35" t="n"/>
      <c r="I1332" s="35" t="n"/>
      <c r="J1332" s="30">
        <f>IF(B1332="","",DATE(YEAR(B1332),MONTH(B1332),1))</f>
        <v/>
      </c>
      <c r="K1332" s="41">
        <f>IF(OR(B1332="",D1332=""),"",D1332&amp;"|"&amp;TEXT(J1332,"yyyy-mm"))</f>
        <v/>
      </c>
      <c r="L1332" s="24">
        <f>IF(K1332="","",IFERROR(INDEX(Lotes!$N$5:$N$154,MATCH(K1332,Lotes!$P$5:$P$154,0)),"Sem lote cadastrado"))</f>
        <v/>
      </c>
      <c r="M1332" s="25">
        <f>IF(H1332="Sim",G1332,0)</f>
        <v>0</v>
      </c>
      <c r="N1332" s="42">
        <f>IF(AND(H1332="Sim",I1332&lt;&gt;"Aceito"),G1332+ROW()/100000,0)</f>
        <v>0</v>
      </c>
    </row>
    <row r="1333">
      <c r="A1333" s="35" t="n"/>
      <c r="B1333" s="39" t="n"/>
      <c r="C1333" s="33" t="n"/>
      <c r="D1333" s="35" t="n"/>
      <c r="E1333" s="33" t="n"/>
      <c r="F1333" s="33" t="n"/>
      <c r="G1333" s="40" t="n"/>
      <c r="H1333" s="35" t="n"/>
      <c r="I1333" s="35" t="n"/>
      <c r="J1333" s="30">
        <f>IF(B1333="","",DATE(YEAR(B1333),MONTH(B1333),1))</f>
        <v/>
      </c>
      <c r="K1333" s="41">
        <f>IF(OR(B1333="",D1333=""),"",D1333&amp;"|"&amp;TEXT(J1333,"yyyy-mm"))</f>
        <v/>
      </c>
      <c r="L1333" s="24">
        <f>IF(K1333="","",IFERROR(INDEX(Lotes!$N$5:$N$154,MATCH(K1333,Lotes!$P$5:$P$154,0)),"Sem lote cadastrado"))</f>
        <v/>
      </c>
      <c r="M1333" s="25">
        <f>IF(H1333="Sim",G1333,0)</f>
        <v>0</v>
      </c>
      <c r="N1333" s="42">
        <f>IF(AND(H1333="Sim",I1333&lt;&gt;"Aceito"),G1333+ROW()/100000,0)</f>
        <v>0</v>
      </c>
    </row>
    <row r="1334">
      <c r="A1334" s="35" t="n"/>
      <c r="B1334" s="39" t="n"/>
      <c r="C1334" s="33" t="n"/>
      <c r="D1334" s="35" t="n"/>
      <c r="E1334" s="33" t="n"/>
      <c r="F1334" s="33" t="n"/>
      <c r="G1334" s="40" t="n"/>
      <c r="H1334" s="35" t="n"/>
      <c r="I1334" s="35" t="n"/>
      <c r="J1334" s="30">
        <f>IF(B1334="","",DATE(YEAR(B1334),MONTH(B1334),1))</f>
        <v/>
      </c>
      <c r="K1334" s="41">
        <f>IF(OR(B1334="",D1334=""),"",D1334&amp;"|"&amp;TEXT(J1334,"yyyy-mm"))</f>
        <v/>
      </c>
      <c r="L1334" s="24">
        <f>IF(K1334="","",IFERROR(INDEX(Lotes!$N$5:$N$154,MATCH(K1334,Lotes!$P$5:$P$154,0)),"Sem lote cadastrado"))</f>
        <v/>
      </c>
      <c r="M1334" s="25">
        <f>IF(H1334="Sim",G1334,0)</f>
        <v>0</v>
      </c>
      <c r="N1334" s="42">
        <f>IF(AND(H1334="Sim",I1334&lt;&gt;"Aceito"),G1334+ROW()/100000,0)</f>
        <v>0</v>
      </c>
    </row>
    <row r="1335">
      <c r="A1335" s="35" t="n"/>
      <c r="B1335" s="39" t="n"/>
      <c r="C1335" s="33" t="n"/>
      <c r="D1335" s="35" t="n"/>
      <c r="E1335" s="33" t="n"/>
      <c r="F1335" s="33" t="n"/>
      <c r="G1335" s="40" t="n"/>
      <c r="H1335" s="35" t="n"/>
      <c r="I1335" s="35" t="n"/>
      <c r="J1335" s="30">
        <f>IF(B1335="","",DATE(YEAR(B1335),MONTH(B1335),1))</f>
        <v/>
      </c>
      <c r="K1335" s="41">
        <f>IF(OR(B1335="",D1335=""),"",D1335&amp;"|"&amp;TEXT(J1335,"yyyy-mm"))</f>
        <v/>
      </c>
      <c r="L1335" s="24">
        <f>IF(K1335="","",IFERROR(INDEX(Lotes!$N$5:$N$154,MATCH(K1335,Lotes!$P$5:$P$154,0)),"Sem lote cadastrado"))</f>
        <v/>
      </c>
      <c r="M1335" s="25">
        <f>IF(H1335="Sim",G1335,0)</f>
        <v>0</v>
      </c>
      <c r="N1335" s="42">
        <f>IF(AND(H1335="Sim",I1335&lt;&gt;"Aceito"),G1335+ROW()/100000,0)</f>
        <v>0</v>
      </c>
    </row>
    <row r="1336">
      <c r="A1336" s="35" t="n"/>
      <c r="B1336" s="39" t="n"/>
      <c r="C1336" s="33" t="n"/>
      <c r="D1336" s="35" t="n"/>
      <c r="E1336" s="33" t="n"/>
      <c r="F1336" s="33" t="n"/>
      <c r="G1336" s="40" t="n"/>
      <c r="H1336" s="35" t="n"/>
      <c r="I1336" s="35" t="n"/>
      <c r="J1336" s="30">
        <f>IF(B1336="","",DATE(YEAR(B1336),MONTH(B1336),1))</f>
        <v/>
      </c>
      <c r="K1336" s="41">
        <f>IF(OR(B1336="",D1336=""),"",D1336&amp;"|"&amp;TEXT(J1336,"yyyy-mm"))</f>
        <v/>
      </c>
      <c r="L1336" s="24">
        <f>IF(K1336="","",IFERROR(INDEX(Lotes!$N$5:$N$154,MATCH(K1336,Lotes!$P$5:$P$154,0)),"Sem lote cadastrado"))</f>
        <v/>
      </c>
      <c r="M1336" s="25">
        <f>IF(H1336="Sim",G1336,0)</f>
        <v>0</v>
      </c>
      <c r="N1336" s="42">
        <f>IF(AND(H1336="Sim",I1336&lt;&gt;"Aceito"),G1336+ROW()/100000,0)</f>
        <v>0</v>
      </c>
    </row>
    <row r="1337">
      <c r="A1337" s="35" t="n"/>
      <c r="B1337" s="39" t="n"/>
      <c r="C1337" s="33" t="n"/>
      <c r="D1337" s="35" t="n"/>
      <c r="E1337" s="33" t="n"/>
      <c r="F1337" s="33" t="n"/>
      <c r="G1337" s="40" t="n"/>
      <c r="H1337" s="35" t="n"/>
      <c r="I1337" s="35" t="n"/>
      <c r="J1337" s="30">
        <f>IF(B1337="","",DATE(YEAR(B1337),MONTH(B1337),1))</f>
        <v/>
      </c>
      <c r="K1337" s="41">
        <f>IF(OR(B1337="",D1337=""),"",D1337&amp;"|"&amp;TEXT(J1337,"yyyy-mm"))</f>
        <v/>
      </c>
      <c r="L1337" s="24">
        <f>IF(K1337="","",IFERROR(INDEX(Lotes!$N$5:$N$154,MATCH(K1337,Lotes!$P$5:$P$154,0)),"Sem lote cadastrado"))</f>
        <v/>
      </c>
      <c r="M1337" s="25">
        <f>IF(H1337="Sim",G1337,0)</f>
        <v>0</v>
      </c>
      <c r="N1337" s="42">
        <f>IF(AND(H1337="Sim",I1337&lt;&gt;"Aceito"),G1337+ROW()/100000,0)</f>
        <v>0</v>
      </c>
    </row>
    <row r="1338">
      <c r="A1338" s="35" t="n"/>
      <c r="B1338" s="39" t="n"/>
      <c r="C1338" s="33" t="n"/>
      <c r="D1338" s="35" t="n"/>
      <c r="E1338" s="33" t="n"/>
      <c r="F1338" s="33" t="n"/>
      <c r="G1338" s="40" t="n"/>
      <c r="H1338" s="35" t="n"/>
      <c r="I1338" s="35" t="n"/>
      <c r="J1338" s="30">
        <f>IF(B1338="","",DATE(YEAR(B1338),MONTH(B1338),1))</f>
        <v/>
      </c>
      <c r="K1338" s="41">
        <f>IF(OR(B1338="",D1338=""),"",D1338&amp;"|"&amp;TEXT(J1338,"yyyy-mm"))</f>
        <v/>
      </c>
      <c r="L1338" s="24">
        <f>IF(K1338="","",IFERROR(INDEX(Lotes!$N$5:$N$154,MATCH(K1338,Lotes!$P$5:$P$154,0)),"Sem lote cadastrado"))</f>
        <v/>
      </c>
      <c r="M1338" s="25">
        <f>IF(H1338="Sim",G1338,0)</f>
        <v>0</v>
      </c>
      <c r="N1338" s="42">
        <f>IF(AND(H1338="Sim",I1338&lt;&gt;"Aceito"),G1338+ROW()/100000,0)</f>
        <v>0</v>
      </c>
    </row>
    <row r="1339">
      <c r="A1339" s="35" t="n"/>
      <c r="B1339" s="39" t="n"/>
      <c r="C1339" s="33" t="n"/>
      <c r="D1339" s="35" t="n"/>
      <c r="E1339" s="33" t="n"/>
      <c r="F1339" s="33" t="n"/>
      <c r="G1339" s="40" t="n"/>
      <c r="H1339" s="35" t="n"/>
      <c r="I1339" s="35" t="n"/>
      <c r="J1339" s="30">
        <f>IF(B1339="","",DATE(YEAR(B1339),MONTH(B1339),1))</f>
        <v/>
      </c>
      <c r="K1339" s="41">
        <f>IF(OR(B1339="",D1339=""),"",D1339&amp;"|"&amp;TEXT(J1339,"yyyy-mm"))</f>
        <v/>
      </c>
      <c r="L1339" s="24">
        <f>IF(K1339="","",IFERROR(INDEX(Lotes!$N$5:$N$154,MATCH(K1339,Lotes!$P$5:$P$154,0)),"Sem lote cadastrado"))</f>
        <v/>
      </c>
      <c r="M1339" s="25">
        <f>IF(H1339="Sim",G1339,0)</f>
        <v>0</v>
      </c>
      <c r="N1339" s="42">
        <f>IF(AND(H1339="Sim",I1339&lt;&gt;"Aceito"),G1339+ROW()/100000,0)</f>
        <v>0</v>
      </c>
    </row>
    <row r="1340">
      <c r="A1340" s="35" t="n"/>
      <c r="B1340" s="39" t="n"/>
      <c r="C1340" s="33" t="n"/>
      <c r="D1340" s="35" t="n"/>
      <c r="E1340" s="33" t="n"/>
      <c r="F1340" s="33" t="n"/>
      <c r="G1340" s="40" t="n"/>
      <c r="H1340" s="35" t="n"/>
      <c r="I1340" s="35" t="n"/>
      <c r="J1340" s="30">
        <f>IF(B1340="","",DATE(YEAR(B1340),MONTH(B1340),1))</f>
        <v/>
      </c>
      <c r="K1340" s="41">
        <f>IF(OR(B1340="",D1340=""),"",D1340&amp;"|"&amp;TEXT(J1340,"yyyy-mm"))</f>
        <v/>
      </c>
      <c r="L1340" s="24">
        <f>IF(K1340="","",IFERROR(INDEX(Lotes!$N$5:$N$154,MATCH(K1340,Lotes!$P$5:$P$154,0)),"Sem lote cadastrado"))</f>
        <v/>
      </c>
      <c r="M1340" s="25">
        <f>IF(H1340="Sim",G1340,0)</f>
        <v>0</v>
      </c>
      <c r="N1340" s="42">
        <f>IF(AND(H1340="Sim",I1340&lt;&gt;"Aceito"),G1340+ROW()/100000,0)</f>
        <v>0</v>
      </c>
    </row>
    <row r="1341">
      <c r="A1341" s="35" t="n"/>
      <c r="B1341" s="39" t="n"/>
      <c r="C1341" s="33" t="n"/>
      <c r="D1341" s="35" t="n"/>
      <c r="E1341" s="33" t="n"/>
      <c r="F1341" s="33" t="n"/>
      <c r="G1341" s="40" t="n"/>
      <c r="H1341" s="35" t="n"/>
      <c r="I1341" s="35" t="n"/>
      <c r="J1341" s="30">
        <f>IF(B1341="","",DATE(YEAR(B1341),MONTH(B1341),1))</f>
        <v/>
      </c>
      <c r="K1341" s="41">
        <f>IF(OR(B1341="",D1341=""),"",D1341&amp;"|"&amp;TEXT(J1341,"yyyy-mm"))</f>
        <v/>
      </c>
      <c r="L1341" s="24">
        <f>IF(K1341="","",IFERROR(INDEX(Lotes!$N$5:$N$154,MATCH(K1341,Lotes!$P$5:$P$154,0)),"Sem lote cadastrado"))</f>
        <v/>
      </c>
      <c r="M1341" s="25">
        <f>IF(H1341="Sim",G1341,0)</f>
        <v>0</v>
      </c>
      <c r="N1341" s="42">
        <f>IF(AND(H1341="Sim",I1341&lt;&gt;"Aceito"),G1341+ROW()/100000,0)</f>
        <v>0</v>
      </c>
    </row>
    <row r="1342">
      <c r="A1342" s="35" t="n"/>
      <c r="B1342" s="39" t="n"/>
      <c r="C1342" s="33" t="n"/>
      <c r="D1342" s="35" t="n"/>
      <c r="E1342" s="33" t="n"/>
      <c r="F1342" s="33" t="n"/>
      <c r="G1342" s="40" t="n"/>
      <c r="H1342" s="35" t="n"/>
      <c r="I1342" s="35" t="n"/>
      <c r="J1342" s="30">
        <f>IF(B1342="","",DATE(YEAR(B1342),MONTH(B1342),1))</f>
        <v/>
      </c>
      <c r="K1342" s="41">
        <f>IF(OR(B1342="",D1342=""),"",D1342&amp;"|"&amp;TEXT(J1342,"yyyy-mm"))</f>
        <v/>
      </c>
      <c r="L1342" s="24">
        <f>IF(K1342="","",IFERROR(INDEX(Lotes!$N$5:$N$154,MATCH(K1342,Lotes!$P$5:$P$154,0)),"Sem lote cadastrado"))</f>
        <v/>
      </c>
      <c r="M1342" s="25">
        <f>IF(H1342="Sim",G1342,0)</f>
        <v>0</v>
      </c>
      <c r="N1342" s="42">
        <f>IF(AND(H1342="Sim",I1342&lt;&gt;"Aceito"),G1342+ROW()/100000,0)</f>
        <v>0</v>
      </c>
    </row>
    <row r="1343">
      <c r="A1343" s="35" t="n"/>
      <c r="B1343" s="39" t="n"/>
      <c r="C1343" s="33" t="n"/>
      <c r="D1343" s="35" t="n"/>
      <c r="E1343" s="33" t="n"/>
      <c r="F1343" s="33" t="n"/>
      <c r="G1343" s="40" t="n"/>
      <c r="H1343" s="35" t="n"/>
      <c r="I1343" s="35" t="n"/>
      <c r="J1343" s="30">
        <f>IF(B1343="","",DATE(YEAR(B1343),MONTH(B1343),1))</f>
        <v/>
      </c>
      <c r="K1343" s="41">
        <f>IF(OR(B1343="",D1343=""),"",D1343&amp;"|"&amp;TEXT(J1343,"yyyy-mm"))</f>
        <v/>
      </c>
      <c r="L1343" s="24">
        <f>IF(K1343="","",IFERROR(INDEX(Lotes!$N$5:$N$154,MATCH(K1343,Lotes!$P$5:$P$154,0)),"Sem lote cadastrado"))</f>
        <v/>
      </c>
      <c r="M1343" s="25">
        <f>IF(H1343="Sim",G1343,0)</f>
        <v>0</v>
      </c>
      <c r="N1343" s="42">
        <f>IF(AND(H1343="Sim",I1343&lt;&gt;"Aceito"),G1343+ROW()/100000,0)</f>
        <v>0</v>
      </c>
    </row>
    <row r="1344">
      <c r="A1344" s="35" t="n"/>
      <c r="B1344" s="39" t="n"/>
      <c r="C1344" s="33" t="n"/>
      <c r="D1344" s="35" t="n"/>
      <c r="E1344" s="33" t="n"/>
      <c r="F1344" s="33" t="n"/>
      <c r="G1344" s="40" t="n"/>
      <c r="H1344" s="35" t="n"/>
      <c r="I1344" s="35" t="n"/>
      <c r="J1344" s="30">
        <f>IF(B1344="","",DATE(YEAR(B1344),MONTH(B1344),1))</f>
        <v/>
      </c>
      <c r="K1344" s="41">
        <f>IF(OR(B1344="",D1344=""),"",D1344&amp;"|"&amp;TEXT(J1344,"yyyy-mm"))</f>
        <v/>
      </c>
      <c r="L1344" s="24">
        <f>IF(K1344="","",IFERROR(INDEX(Lotes!$N$5:$N$154,MATCH(K1344,Lotes!$P$5:$P$154,0)),"Sem lote cadastrado"))</f>
        <v/>
      </c>
      <c r="M1344" s="25">
        <f>IF(H1344="Sim",G1344,0)</f>
        <v>0</v>
      </c>
      <c r="N1344" s="42">
        <f>IF(AND(H1344="Sim",I1344&lt;&gt;"Aceito"),G1344+ROW()/100000,0)</f>
        <v>0</v>
      </c>
    </row>
    <row r="1345">
      <c r="A1345" s="35" t="n"/>
      <c r="B1345" s="39" t="n"/>
      <c r="C1345" s="33" t="n"/>
      <c r="D1345" s="35" t="n"/>
      <c r="E1345" s="33" t="n"/>
      <c r="F1345" s="33" t="n"/>
      <c r="G1345" s="40" t="n"/>
      <c r="H1345" s="35" t="n"/>
      <c r="I1345" s="35" t="n"/>
      <c r="J1345" s="30">
        <f>IF(B1345="","",DATE(YEAR(B1345),MONTH(B1345),1))</f>
        <v/>
      </c>
      <c r="K1345" s="41">
        <f>IF(OR(B1345="",D1345=""),"",D1345&amp;"|"&amp;TEXT(J1345,"yyyy-mm"))</f>
        <v/>
      </c>
      <c r="L1345" s="24">
        <f>IF(K1345="","",IFERROR(INDEX(Lotes!$N$5:$N$154,MATCH(K1345,Lotes!$P$5:$P$154,0)),"Sem lote cadastrado"))</f>
        <v/>
      </c>
      <c r="M1345" s="25">
        <f>IF(H1345="Sim",G1345,0)</f>
        <v>0</v>
      </c>
      <c r="N1345" s="42">
        <f>IF(AND(H1345="Sim",I1345&lt;&gt;"Aceito"),G1345+ROW()/100000,0)</f>
        <v>0</v>
      </c>
    </row>
    <row r="1346">
      <c r="A1346" s="35" t="n"/>
      <c r="B1346" s="39" t="n"/>
      <c r="C1346" s="33" t="n"/>
      <c r="D1346" s="35" t="n"/>
      <c r="E1346" s="33" t="n"/>
      <c r="F1346" s="33" t="n"/>
      <c r="G1346" s="40" t="n"/>
      <c r="H1346" s="35" t="n"/>
      <c r="I1346" s="35" t="n"/>
      <c r="J1346" s="30">
        <f>IF(B1346="","",DATE(YEAR(B1346),MONTH(B1346),1))</f>
        <v/>
      </c>
      <c r="K1346" s="41">
        <f>IF(OR(B1346="",D1346=""),"",D1346&amp;"|"&amp;TEXT(J1346,"yyyy-mm"))</f>
        <v/>
      </c>
      <c r="L1346" s="24">
        <f>IF(K1346="","",IFERROR(INDEX(Lotes!$N$5:$N$154,MATCH(K1346,Lotes!$P$5:$P$154,0)),"Sem lote cadastrado"))</f>
        <v/>
      </c>
      <c r="M1346" s="25">
        <f>IF(H1346="Sim",G1346,0)</f>
        <v>0</v>
      </c>
      <c r="N1346" s="42">
        <f>IF(AND(H1346="Sim",I1346&lt;&gt;"Aceito"),G1346+ROW()/100000,0)</f>
        <v>0</v>
      </c>
    </row>
    <row r="1347">
      <c r="A1347" s="35" t="n"/>
      <c r="B1347" s="39" t="n"/>
      <c r="C1347" s="33" t="n"/>
      <c r="D1347" s="35" t="n"/>
      <c r="E1347" s="33" t="n"/>
      <c r="F1347" s="33" t="n"/>
      <c r="G1347" s="40" t="n"/>
      <c r="H1347" s="35" t="n"/>
      <c r="I1347" s="35" t="n"/>
      <c r="J1347" s="30">
        <f>IF(B1347="","",DATE(YEAR(B1347),MONTH(B1347),1))</f>
        <v/>
      </c>
      <c r="K1347" s="41">
        <f>IF(OR(B1347="",D1347=""),"",D1347&amp;"|"&amp;TEXT(J1347,"yyyy-mm"))</f>
        <v/>
      </c>
      <c r="L1347" s="24">
        <f>IF(K1347="","",IFERROR(INDEX(Lotes!$N$5:$N$154,MATCH(K1347,Lotes!$P$5:$P$154,0)),"Sem lote cadastrado"))</f>
        <v/>
      </c>
      <c r="M1347" s="25">
        <f>IF(H1347="Sim",G1347,0)</f>
        <v>0</v>
      </c>
      <c r="N1347" s="42">
        <f>IF(AND(H1347="Sim",I1347&lt;&gt;"Aceito"),G1347+ROW()/100000,0)</f>
        <v>0</v>
      </c>
    </row>
    <row r="1348">
      <c r="A1348" s="35" t="n"/>
      <c r="B1348" s="39" t="n"/>
      <c r="C1348" s="33" t="n"/>
      <c r="D1348" s="35" t="n"/>
      <c r="E1348" s="33" t="n"/>
      <c r="F1348" s="33" t="n"/>
      <c r="G1348" s="40" t="n"/>
      <c r="H1348" s="35" t="n"/>
      <c r="I1348" s="35" t="n"/>
      <c r="J1348" s="30">
        <f>IF(B1348="","",DATE(YEAR(B1348),MONTH(B1348),1))</f>
        <v/>
      </c>
      <c r="K1348" s="41">
        <f>IF(OR(B1348="",D1348=""),"",D1348&amp;"|"&amp;TEXT(J1348,"yyyy-mm"))</f>
        <v/>
      </c>
      <c r="L1348" s="24">
        <f>IF(K1348="","",IFERROR(INDEX(Lotes!$N$5:$N$154,MATCH(K1348,Lotes!$P$5:$P$154,0)),"Sem lote cadastrado"))</f>
        <v/>
      </c>
      <c r="M1348" s="25">
        <f>IF(H1348="Sim",G1348,0)</f>
        <v>0</v>
      </c>
      <c r="N1348" s="42">
        <f>IF(AND(H1348="Sim",I1348&lt;&gt;"Aceito"),G1348+ROW()/100000,0)</f>
        <v>0</v>
      </c>
    </row>
    <row r="1349">
      <c r="A1349" s="35" t="n"/>
      <c r="B1349" s="39" t="n"/>
      <c r="C1349" s="33" t="n"/>
      <c r="D1349" s="35" t="n"/>
      <c r="E1349" s="33" t="n"/>
      <c r="F1349" s="33" t="n"/>
      <c r="G1349" s="40" t="n"/>
      <c r="H1349" s="35" t="n"/>
      <c r="I1349" s="35" t="n"/>
      <c r="J1349" s="30">
        <f>IF(B1349="","",DATE(YEAR(B1349),MONTH(B1349),1))</f>
        <v/>
      </c>
      <c r="K1349" s="41">
        <f>IF(OR(B1349="",D1349=""),"",D1349&amp;"|"&amp;TEXT(J1349,"yyyy-mm"))</f>
        <v/>
      </c>
      <c r="L1349" s="24">
        <f>IF(K1349="","",IFERROR(INDEX(Lotes!$N$5:$N$154,MATCH(K1349,Lotes!$P$5:$P$154,0)),"Sem lote cadastrado"))</f>
        <v/>
      </c>
      <c r="M1349" s="25">
        <f>IF(H1349="Sim",G1349,0)</f>
        <v>0</v>
      </c>
      <c r="N1349" s="42">
        <f>IF(AND(H1349="Sim",I1349&lt;&gt;"Aceito"),G1349+ROW()/100000,0)</f>
        <v>0</v>
      </c>
    </row>
    <row r="1350">
      <c r="A1350" s="35" t="n"/>
      <c r="B1350" s="39" t="n"/>
      <c r="C1350" s="33" t="n"/>
      <c r="D1350" s="35" t="n"/>
      <c r="E1350" s="33" t="n"/>
      <c r="F1350" s="33" t="n"/>
      <c r="G1350" s="40" t="n"/>
      <c r="H1350" s="35" t="n"/>
      <c r="I1350" s="35" t="n"/>
      <c r="J1350" s="30">
        <f>IF(B1350="","",DATE(YEAR(B1350),MONTH(B1350),1))</f>
        <v/>
      </c>
      <c r="K1350" s="41">
        <f>IF(OR(B1350="",D1350=""),"",D1350&amp;"|"&amp;TEXT(J1350,"yyyy-mm"))</f>
        <v/>
      </c>
      <c r="L1350" s="24">
        <f>IF(K1350="","",IFERROR(INDEX(Lotes!$N$5:$N$154,MATCH(K1350,Lotes!$P$5:$P$154,0)),"Sem lote cadastrado"))</f>
        <v/>
      </c>
      <c r="M1350" s="25">
        <f>IF(H1350="Sim",G1350,0)</f>
        <v>0</v>
      </c>
      <c r="N1350" s="42">
        <f>IF(AND(H1350="Sim",I1350&lt;&gt;"Aceito"),G1350+ROW()/100000,0)</f>
        <v>0</v>
      </c>
    </row>
    <row r="1351">
      <c r="A1351" s="35" t="n"/>
      <c r="B1351" s="39" t="n"/>
      <c r="C1351" s="33" t="n"/>
      <c r="D1351" s="35" t="n"/>
      <c r="E1351" s="33" t="n"/>
      <c r="F1351" s="33" t="n"/>
      <c r="G1351" s="40" t="n"/>
      <c r="H1351" s="35" t="n"/>
      <c r="I1351" s="35" t="n"/>
      <c r="J1351" s="30">
        <f>IF(B1351="","",DATE(YEAR(B1351),MONTH(B1351),1))</f>
        <v/>
      </c>
      <c r="K1351" s="41">
        <f>IF(OR(B1351="",D1351=""),"",D1351&amp;"|"&amp;TEXT(J1351,"yyyy-mm"))</f>
        <v/>
      </c>
      <c r="L1351" s="24">
        <f>IF(K1351="","",IFERROR(INDEX(Lotes!$N$5:$N$154,MATCH(K1351,Lotes!$P$5:$P$154,0)),"Sem lote cadastrado"))</f>
        <v/>
      </c>
      <c r="M1351" s="25">
        <f>IF(H1351="Sim",G1351,0)</f>
        <v>0</v>
      </c>
      <c r="N1351" s="42">
        <f>IF(AND(H1351="Sim",I1351&lt;&gt;"Aceito"),G1351+ROW()/100000,0)</f>
        <v>0</v>
      </c>
    </row>
    <row r="1352">
      <c r="A1352" s="35" t="n"/>
      <c r="B1352" s="39" t="n"/>
      <c r="C1352" s="33" t="n"/>
      <c r="D1352" s="35" t="n"/>
      <c r="E1352" s="33" t="n"/>
      <c r="F1352" s="33" t="n"/>
      <c r="G1352" s="40" t="n"/>
      <c r="H1352" s="35" t="n"/>
      <c r="I1352" s="35" t="n"/>
      <c r="J1352" s="30">
        <f>IF(B1352="","",DATE(YEAR(B1352),MONTH(B1352),1))</f>
        <v/>
      </c>
      <c r="K1352" s="41">
        <f>IF(OR(B1352="",D1352=""),"",D1352&amp;"|"&amp;TEXT(J1352,"yyyy-mm"))</f>
        <v/>
      </c>
      <c r="L1352" s="24">
        <f>IF(K1352="","",IFERROR(INDEX(Lotes!$N$5:$N$154,MATCH(K1352,Lotes!$P$5:$P$154,0)),"Sem lote cadastrado"))</f>
        <v/>
      </c>
      <c r="M1352" s="25">
        <f>IF(H1352="Sim",G1352,0)</f>
        <v>0</v>
      </c>
      <c r="N1352" s="42">
        <f>IF(AND(H1352="Sim",I1352&lt;&gt;"Aceito"),G1352+ROW()/100000,0)</f>
        <v>0</v>
      </c>
    </row>
    <row r="1353">
      <c r="A1353" s="35" t="n"/>
      <c r="B1353" s="39" t="n"/>
      <c r="C1353" s="33" t="n"/>
      <c r="D1353" s="35" t="n"/>
      <c r="E1353" s="33" t="n"/>
      <c r="F1353" s="33" t="n"/>
      <c r="G1353" s="40" t="n"/>
      <c r="H1353" s="35" t="n"/>
      <c r="I1353" s="35" t="n"/>
      <c r="J1353" s="30">
        <f>IF(B1353="","",DATE(YEAR(B1353),MONTH(B1353),1))</f>
        <v/>
      </c>
      <c r="K1353" s="41">
        <f>IF(OR(B1353="",D1353=""),"",D1353&amp;"|"&amp;TEXT(J1353,"yyyy-mm"))</f>
        <v/>
      </c>
      <c r="L1353" s="24">
        <f>IF(K1353="","",IFERROR(INDEX(Lotes!$N$5:$N$154,MATCH(K1353,Lotes!$P$5:$P$154,0)),"Sem lote cadastrado"))</f>
        <v/>
      </c>
      <c r="M1353" s="25">
        <f>IF(H1353="Sim",G1353,0)</f>
        <v>0</v>
      </c>
      <c r="N1353" s="42">
        <f>IF(AND(H1353="Sim",I1353&lt;&gt;"Aceito"),G1353+ROW()/100000,0)</f>
        <v>0</v>
      </c>
    </row>
    <row r="1354">
      <c r="A1354" s="35" t="n"/>
      <c r="B1354" s="39" t="n"/>
      <c r="C1354" s="33" t="n"/>
      <c r="D1354" s="35" t="n"/>
      <c r="E1354" s="33" t="n"/>
      <c r="F1354" s="33" t="n"/>
      <c r="G1354" s="40" t="n"/>
      <c r="H1354" s="35" t="n"/>
      <c r="I1354" s="35" t="n"/>
      <c r="J1354" s="30">
        <f>IF(B1354="","",DATE(YEAR(B1354),MONTH(B1354),1))</f>
        <v/>
      </c>
      <c r="K1354" s="41">
        <f>IF(OR(B1354="",D1354=""),"",D1354&amp;"|"&amp;TEXT(J1354,"yyyy-mm"))</f>
        <v/>
      </c>
      <c r="L1354" s="24">
        <f>IF(K1354="","",IFERROR(INDEX(Lotes!$N$5:$N$154,MATCH(K1354,Lotes!$P$5:$P$154,0)),"Sem lote cadastrado"))</f>
        <v/>
      </c>
      <c r="M1354" s="25">
        <f>IF(H1354="Sim",G1354,0)</f>
        <v>0</v>
      </c>
      <c r="N1354" s="42">
        <f>IF(AND(H1354="Sim",I1354&lt;&gt;"Aceito"),G1354+ROW()/100000,0)</f>
        <v>0</v>
      </c>
    </row>
    <row r="1355">
      <c r="A1355" s="35" t="n"/>
      <c r="B1355" s="39" t="n"/>
      <c r="C1355" s="33" t="n"/>
      <c r="D1355" s="35" t="n"/>
      <c r="E1355" s="33" t="n"/>
      <c r="F1355" s="33" t="n"/>
      <c r="G1355" s="40" t="n"/>
      <c r="H1355" s="35" t="n"/>
      <c r="I1355" s="35" t="n"/>
      <c r="J1355" s="30">
        <f>IF(B1355="","",DATE(YEAR(B1355),MONTH(B1355),1))</f>
        <v/>
      </c>
      <c r="K1355" s="41">
        <f>IF(OR(B1355="",D1355=""),"",D1355&amp;"|"&amp;TEXT(J1355,"yyyy-mm"))</f>
        <v/>
      </c>
      <c r="L1355" s="24">
        <f>IF(K1355="","",IFERROR(INDEX(Lotes!$N$5:$N$154,MATCH(K1355,Lotes!$P$5:$P$154,0)),"Sem lote cadastrado"))</f>
        <v/>
      </c>
      <c r="M1355" s="25">
        <f>IF(H1355="Sim",G1355,0)</f>
        <v>0</v>
      </c>
      <c r="N1355" s="42">
        <f>IF(AND(H1355="Sim",I1355&lt;&gt;"Aceito"),G1355+ROW()/100000,0)</f>
        <v>0</v>
      </c>
    </row>
    <row r="1356">
      <c r="A1356" s="35" t="n"/>
      <c r="B1356" s="39" t="n"/>
      <c r="C1356" s="33" t="n"/>
      <c r="D1356" s="35" t="n"/>
      <c r="E1356" s="33" t="n"/>
      <c r="F1356" s="33" t="n"/>
      <c r="G1356" s="40" t="n"/>
      <c r="H1356" s="35" t="n"/>
      <c r="I1356" s="35" t="n"/>
      <c r="J1356" s="30">
        <f>IF(B1356="","",DATE(YEAR(B1356),MONTH(B1356),1))</f>
        <v/>
      </c>
      <c r="K1356" s="41">
        <f>IF(OR(B1356="",D1356=""),"",D1356&amp;"|"&amp;TEXT(J1356,"yyyy-mm"))</f>
        <v/>
      </c>
      <c r="L1356" s="24">
        <f>IF(K1356="","",IFERROR(INDEX(Lotes!$N$5:$N$154,MATCH(K1356,Lotes!$P$5:$P$154,0)),"Sem lote cadastrado"))</f>
        <v/>
      </c>
      <c r="M1356" s="25">
        <f>IF(H1356="Sim",G1356,0)</f>
        <v>0</v>
      </c>
      <c r="N1356" s="42">
        <f>IF(AND(H1356="Sim",I1356&lt;&gt;"Aceito"),G1356+ROW()/100000,0)</f>
        <v>0</v>
      </c>
    </row>
    <row r="1357">
      <c r="A1357" s="35" t="n"/>
      <c r="B1357" s="39" t="n"/>
      <c r="C1357" s="33" t="n"/>
      <c r="D1357" s="35" t="n"/>
      <c r="E1357" s="33" t="n"/>
      <c r="F1357" s="33" t="n"/>
      <c r="G1357" s="40" t="n"/>
      <c r="H1357" s="35" t="n"/>
      <c r="I1357" s="35" t="n"/>
      <c r="J1357" s="30">
        <f>IF(B1357="","",DATE(YEAR(B1357),MONTH(B1357),1))</f>
        <v/>
      </c>
      <c r="K1357" s="41">
        <f>IF(OR(B1357="",D1357=""),"",D1357&amp;"|"&amp;TEXT(J1357,"yyyy-mm"))</f>
        <v/>
      </c>
      <c r="L1357" s="24">
        <f>IF(K1357="","",IFERROR(INDEX(Lotes!$N$5:$N$154,MATCH(K1357,Lotes!$P$5:$P$154,0)),"Sem lote cadastrado"))</f>
        <v/>
      </c>
      <c r="M1357" s="25">
        <f>IF(H1357="Sim",G1357,0)</f>
        <v>0</v>
      </c>
      <c r="N1357" s="42">
        <f>IF(AND(H1357="Sim",I1357&lt;&gt;"Aceito"),G1357+ROW()/100000,0)</f>
        <v>0</v>
      </c>
    </row>
    <row r="1358">
      <c r="A1358" s="35" t="n"/>
      <c r="B1358" s="39" t="n"/>
      <c r="C1358" s="33" t="n"/>
      <c r="D1358" s="35" t="n"/>
      <c r="E1358" s="33" t="n"/>
      <c r="F1358" s="33" t="n"/>
      <c r="G1358" s="40" t="n"/>
      <c r="H1358" s="35" t="n"/>
      <c r="I1358" s="35" t="n"/>
      <c r="J1358" s="30">
        <f>IF(B1358="","",DATE(YEAR(B1358),MONTH(B1358),1))</f>
        <v/>
      </c>
      <c r="K1358" s="41">
        <f>IF(OR(B1358="",D1358=""),"",D1358&amp;"|"&amp;TEXT(J1358,"yyyy-mm"))</f>
        <v/>
      </c>
      <c r="L1358" s="24">
        <f>IF(K1358="","",IFERROR(INDEX(Lotes!$N$5:$N$154,MATCH(K1358,Lotes!$P$5:$P$154,0)),"Sem lote cadastrado"))</f>
        <v/>
      </c>
      <c r="M1358" s="25">
        <f>IF(H1358="Sim",G1358,0)</f>
        <v>0</v>
      </c>
      <c r="N1358" s="42">
        <f>IF(AND(H1358="Sim",I1358&lt;&gt;"Aceito"),G1358+ROW()/100000,0)</f>
        <v>0</v>
      </c>
    </row>
    <row r="1359">
      <c r="A1359" s="35" t="n"/>
      <c r="B1359" s="39" t="n"/>
      <c r="C1359" s="33" t="n"/>
      <c r="D1359" s="35" t="n"/>
      <c r="E1359" s="33" t="n"/>
      <c r="F1359" s="33" t="n"/>
      <c r="G1359" s="40" t="n"/>
      <c r="H1359" s="35" t="n"/>
      <c r="I1359" s="35" t="n"/>
      <c r="J1359" s="30">
        <f>IF(B1359="","",DATE(YEAR(B1359),MONTH(B1359),1))</f>
        <v/>
      </c>
      <c r="K1359" s="41">
        <f>IF(OR(B1359="",D1359=""),"",D1359&amp;"|"&amp;TEXT(J1359,"yyyy-mm"))</f>
        <v/>
      </c>
      <c r="L1359" s="24">
        <f>IF(K1359="","",IFERROR(INDEX(Lotes!$N$5:$N$154,MATCH(K1359,Lotes!$P$5:$P$154,0)),"Sem lote cadastrado"))</f>
        <v/>
      </c>
      <c r="M1359" s="25">
        <f>IF(H1359="Sim",G1359,0)</f>
        <v>0</v>
      </c>
      <c r="N1359" s="42">
        <f>IF(AND(H1359="Sim",I1359&lt;&gt;"Aceito"),G1359+ROW()/100000,0)</f>
        <v>0</v>
      </c>
    </row>
    <row r="1360">
      <c r="A1360" s="35" t="n"/>
      <c r="B1360" s="39" t="n"/>
      <c r="C1360" s="33" t="n"/>
      <c r="D1360" s="35" t="n"/>
      <c r="E1360" s="33" t="n"/>
      <c r="F1360" s="33" t="n"/>
      <c r="G1360" s="40" t="n"/>
      <c r="H1360" s="35" t="n"/>
      <c r="I1360" s="35" t="n"/>
      <c r="J1360" s="30">
        <f>IF(B1360="","",DATE(YEAR(B1360),MONTH(B1360),1))</f>
        <v/>
      </c>
      <c r="K1360" s="41">
        <f>IF(OR(B1360="",D1360=""),"",D1360&amp;"|"&amp;TEXT(J1360,"yyyy-mm"))</f>
        <v/>
      </c>
      <c r="L1360" s="24">
        <f>IF(K1360="","",IFERROR(INDEX(Lotes!$N$5:$N$154,MATCH(K1360,Lotes!$P$5:$P$154,0)),"Sem lote cadastrado"))</f>
        <v/>
      </c>
      <c r="M1360" s="25">
        <f>IF(H1360="Sim",G1360,0)</f>
        <v>0</v>
      </c>
      <c r="N1360" s="42">
        <f>IF(AND(H1360="Sim",I1360&lt;&gt;"Aceito"),G1360+ROW()/100000,0)</f>
        <v>0</v>
      </c>
    </row>
    <row r="1361">
      <c r="A1361" s="35" t="n"/>
      <c r="B1361" s="39" t="n"/>
      <c r="C1361" s="33" t="n"/>
      <c r="D1361" s="35" t="n"/>
      <c r="E1361" s="33" t="n"/>
      <c r="F1361" s="33" t="n"/>
      <c r="G1361" s="40" t="n"/>
      <c r="H1361" s="35" t="n"/>
      <c r="I1361" s="35" t="n"/>
      <c r="J1361" s="30">
        <f>IF(B1361="","",DATE(YEAR(B1361),MONTH(B1361),1))</f>
        <v/>
      </c>
      <c r="K1361" s="41">
        <f>IF(OR(B1361="",D1361=""),"",D1361&amp;"|"&amp;TEXT(J1361,"yyyy-mm"))</f>
        <v/>
      </c>
      <c r="L1361" s="24">
        <f>IF(K1361="","",IFERROR(INDEX(Lotes!$N$5:$N$154,MATCH(K1361,Lotes!$P$5:$P$154,0)),"Sem lote cadastrado"))</f>
        <v/>
      </c>
      <c r="M1361" s="25">
        <f>IF(H1361="Sim",G1361,0)</f>
        <v>0</v>
      </c>
      <c r="N1361" s="42">
        <f>IF(AND(H1361="Sim",I1361&lt;&gt;"Aceito"),G1361+ROW()/100000,0)</f>
        <v>0</v>
      </c>
    </row>
    <row r="1362">
      <c r="A1362" s="35" t="n"/>
      <c r="B1362" s="39" t="n"/>
      <c r="C1362" s="33" t="n"/>
      <c r="D1362" s="35" t="n"/>
      <c r="E1362" s="33" t="n"/>
      <c r="F1362" s="33" t="n"/>
      <c r="G1362" s="40" t="n"/>
      <c r="H1362" s="35" t="n"/>
      <c r="I1362" s="35" t="n"/>
      <c r="J1362" s="30">
        <f>IF(B1362="","",DATE(YEAR(B1362),MONTH(B1362),1))</f>
        <v/>
      </c>
      <c r="K1362" s="41">
        <f>IF(OR(B1362="",D1362=""),"",D1362&amp;"|"&amp;TEXT(J1362,"yyyy-mm"))</f>
        <v/>
      </c>
      <c r="L1362" s="24">
        <f>IF(K1362="","",IFERROR(INDEX(Lotes!$N$5:$N$154,MATCH(K1362,Lotes!$P$5:$P$154,0)),"Sem lote cadastrado"))</f>
        <v/>
      </c>
      <c r="M1362" s="25">
        <f>IF(H1362="Sim",G1362,0)</f>
        <v>0</v>
      </c>
      <c r="N1362" s="42">
        <f>IF(AND(H1362="Sim",I1362&lt;&gt;"Aceito"),G1362+ROW()/100000,0)</f>
        <v>0</v>
      </c>
    </row>
    <row r="1363">
      <c r="A1363" s="35" t="n"/>
      <c r="B1363" s="39" t="n"/>
      <c r="C1363" s="33" t="n"/>
      <c r="D1363" s="35" t="n"/>
      <c r="E1363" s="33" t="n"/>
      <c r="F1363" s="33" t="n"/>
      <c r="G1363" s="40" t="n"/>
      <c r="H1363" s="35" t="n"/>
      <c r="I1363" s="35" t="n"/>
      <c r="J1363" s="30">
        <f>IF(B1363="","",DATE(YEAR(B1363),MONTH(B1363),1))</f>
        <v/>
      </c>
      <c r="K1363" s="41">
        <f>IF(OR(B1363="",D1363=""),"",D1363&amp;"|"&amp;TEXT(J1363,"yyyy-mm"))</f>
        <v/>
      </c>
      <c r="L1363" s="24">
        <f>IF(K1363="","",IFERROR(INDEX(Lotes!$N$5:$N$154,MATCH(K1363,Lotes!$P$5:$P$154,0)),"Sem lote cadastrado"))</f>
        <v/>
      </c>
      <c r="M1363" s="25">
        <f>IF(H1363="Sim",G1363,0)</f>
        <v>0</v>
      </c>
      <c r="N1363" s="42">
        <f>IF(AND(H1363="Sim",I1363&lt;&gt;"Aceito"),G1363+ROW()/100000,0)</f>
        <v>0</v>
      </c>
    </row>
    <row r="1364">
      <c r="A1364" s="35" t="n"/>
      <c r="B1364" s="39" t="n"/>
      <c r="C1364" s="33" t="n"/>
      <c r="D1364" s="35" t="n"/>
      <c r="E1364" s="33" t="n"/>
      <c r="F1364" s="33" t="n"/>
      <c r="G1364" s="40" t="n"/>
      <c r="H1364" s="35" t="n"/>
      <c r="I1364" s="35" t="n"/>
      <c r="J1364" s="30">
        <f>IF(B1364="","",DATE(YEAR(B1364),MONTH(B1364),1))</f>
        <v/>
      </c>
      <c r="K1364" s="41">
        <f>IF(OR(B1364="",D1364=""),"",D1364&amp;"|"&amp;TEXT(J1364,"yyyy-mm"))</f>
        <v/>
      </c>
      <c r="L1364" s="24">
        <f>IF(K1364="","",IFERROR(INDEX(Lotes!$N$5:$N$154,MATCH(K1364,Lotes!$P$5:$P$154,0)),"Sem lote cadastrado"))</f>
        <v/>
      </c>
      <c r="M1364" s="25">
        <f>IF(H1364="Sim",G1364,0)</f>
        <v>0</v>
      </c>
      <c r="N1364" s="42">
        <f>IF(AND(H1364="Sim",I1364&lt;&gt;"Aceito"),G1364+ROW()/100000,0)</f>
        <v>0</v>
      </c>
    </row>
    <row r="1365">
      <c r="A1365" s="35" t="n"/>
      <c r="B1365" s="39" t="n"/>
      <c r="C1365" s="33" t="n"/>
      <c r="D1365" s="35" t="n"/>
      <c r="E1365" s="33" t="n"/>
      <c r="F1365" s="33" t="n"/>
      <c r="G1365" s="40" t="n"/>
      <c r="H1365" s="35" t="n"/>
      <c r="I1365" s="35" t="n"/>
      <c r="J1365" s="30">
        <f>IF(B1365="","",DATE(YEAR(B1365),MONTH(B1365),1))</f>
        <v/>
      </c>
      <c r="K1365" s="41">
        <f>IF(OR(B1365="",D1365=""),"",D1365&amp;"|"&amp;TEXT(J1365,"yyyy-mm"))</f>
        <v/>
      </c>
      <c r="L1365" s="24">
        <f>IF(K1365="","",IFERROR(INDEX(Lotes!$N$5:$N$154,MATCH(K1365,Lotes!$P$5:$P$154,0)),"Sem lote cadastrado"))</f>
        <v/>
      </c>
      <c r="M1365" s="25">
        <f>IF(H1365="Sim",G1365,0)</f>
        <v>0</v>
      </c>
      <c r="N1365" s="42">
        <f>IF(AND(H1365="Sim",I1365&lt;&gt;"Aceito"),G1365+ROW()/100000,0)</f>
        <v>0</v>
      </c>
    </row>
    <row r="1366">
      <c r="A1366" s="35" t="n"/>
      <c r="B1366" s="39" t="n"/>
      <c r="C1366" s="33" t="n"/>
      <c r="D1366" s="35" t="n"/>
      <c r="E1366" s="33" t="n"/>
      <c r="F1366" s="33" t="n"/>
      <c r="G1366" s="40" t="n"/>
      <c r="H1366" s="35" t="n"/>
      <c r="I1366" s="35" t="n"/>
      <c r="J1366" s="30">
        <f>IF(B1366="","",DATE(YEAR(B1366),MONTH(B1366),1))</f>
        <v/>
      </c>
      <c r="K1366" s="41">
        <f>IF(OR(B1366="",D1366=""),"",D1366&amp;"|"&amp;TEXT(J1366,"yyyy-mm"))</f>
        <v/>
      </c>
      <c r="L1366" s="24">
        <f>IF(K1366="","",IFERROR(INDEX(Lotes!$N$5:$N$154,MATCH(K1366,Lotes!$P$5:$P$154,0)),"Sem lote cadastrado"))</f>
        <v/>
      </c>
      <c r="M1366" s="25">
        <f>IF(H1366="Sim",G1366,0)</f>
        <v>0</v>
      </c>
      <c r="N1366" s="42">
        <f>IF(AND(H1366="Sim",I1366&lt;&gt;"Aceito"),G1366+ROW()/100000,0)</f>
        <v>0</v>
      </c>
    </row>
    <row r="1367">
      <c r="A1367" s="35" t="n"/>
      <c r="B1367" s="39" t="n"/>
      <c r="C1367" s="33" t="n"/>
      <c r="D1367" s="35" t="n"/>
      <c r="E1367" s="33" t="n"/>
      <c r="F1367" s="33" t="n"/>
      <c r="G1367" s="40" t="n"/>
      <c r="H1367" s="35" t="n"/>
      <c r="I1367" s="35" t="n"/>
      <c r="J1367" s="30">
        <f>IF(B1367="","",DATE(YEAR(B1367),MONTH(B1367),1))</f>
        <v/>
      </c>
      <c r="K1367" s="41">
        <f>IF(OR(B1367="",D1367=""),"",D1367&amp;"|"&amp;TEXT(J1367,"yyyy-mm"))</f>
        <v/>
      </c>
      <c r="L1367" s="24">
        <f>IF(K1367="","",IFERROR(INDEX(Lotes!$N$5:$N$154,MATCH(K1367,Lotes!$P$5:$P$154,0)),"Sem lote cadastrado"))</f>
        <v/>
      </c>
      <c r="M1367" s="25">
        <f>IF(H1367="Sim",G1367,0)</f>
        <v>0</v>
      </c>
      <c r="N1367" s="42">
        <f>IF(AND(H1367="Sim",I1367&lt;&gt;"Aceito"),G1367+ROW()/100000,0)</f>
        <v>0</v>
      </c>
    </row>
    <row r="1368">
      <c r="A1368" s="35" t="n"/>
      <c r="B1368" s="39" t="n"/>
      <c r="C1368" s="33" t="n"/>
      <c r="D1368" s="35" t="n"/>
      <c r="E1368" s="33" t="n"/>
      <c r="F1368" s="33" t="n"/>
      <c r="G1368" s="40" t="n"/>
      <c r="H1368" s="35" t="n"/>
      <c r="I1368" s="35" t="n"/>
      <c r="J1368" s="30">
        <f>IF(B1368="","",DATE(YEAR(B1368),MONTH(B1368),1))</f>
        <v/>
      </c>
      <c r="K1368" s="41">
        <f>IF(OR(B1368="",D1368=""),"",D1368&amp;"|"&amp;TEXT(J1368,"yyyy-mm"))</f>
        <v/>
      </c>
      <c r="L1368" s="24">
        <f>IF(K1368="","",IFERROR(INDEX(Lotes!$N$5:$N$154,MATCH(K1368,Lotes!$P$5:$P$154,0)),"Sem lote cadastrado"))</f>
        <v/>
      </c>
      <c r="M1368" s="25">
        <f>IF(H1368="Sim",G1368,0)</f>
        <v>0</v>
      </c>
      <c r="N1368" s="42">
        <f>IF(AND(H1368="Sim",I1368&lt;&gt;"Aceito"),G1368+ROW()/100000,0)</f>
        <v>0</v>
      </c>
    </row>
    <row r="1369">
      <c r="A1369" s="35" t="n"/>
      <c r="B1369" s="39" t="n"/>
      <c r="C1369" s="33" t="n"/>
      <c r="D1369" s="35" t="n"/>
      <c r="E1369" s="33" t="n"/>
      <c r="F1369" s="33" t="n"/>
      <c r="G1369" s="40" t="n"/>
      <c r="H1369" s="35" t="n"/>
      <c r="I1369" s="35" t="n"/>
      <c r="J1369" s="30">
        <f>IF(B1369="","",DATE(YEAR(B1369),MONTH(B1369),1))</f>
        <v/>
      </c>
      <c r="K1369" s="41">
        <f>IF(OR(B1369="",D1369=""),"",D1369&amp;"|"&amp;TEXT(J1369,"yyyy-mm"))</f>
        <v/>
      </c>
      <c r="L1369" s="24">
        <f>IF(K1369="","",IFERROR(INDEX(Lotes!$N$5:$N$154,MATCH(K1369,Lotes!$P$5:$P$154,0)),"Sem lote cadastrado"))</f>
        <v/>
      </c>
      <c r="M1369" s="25">
        <f>IF(H1369="Sim",G1369,0)</f>
        <v>0</v>
      </c>
      <c r="N1369" s="42">
        <f>IF(AND(H1369="Sim",I1369&lt;&gt;"Aceito"),G1369+ROW()/100000,0)</f>
        <v>0</v>
      </c>
    </row>
    <row r="1370">
      <c r="A1370" s="35" t="n"/>
      <c r="B1370" s="39" t="n"/>
      <c r="C1370" s="33" t="n"/>
      <c r="D1370" s="35" t="n"/>
      <c r="E1370" s="33" t="n"/>
      <c r="F1370" s="33" t="n"/>
      <c r="G1370" s="40" t="n"/>
      <c r="H1370" s="35" t="n"/>
      <c r="I1370" s="35" t="n"/>
      <c r="J1370" s="30">
        <f>IF(B1370="","",DATE(YEAR(B1370),MONTH(B1370),1))</f>
        <v/>
      </c>
      <c r="K1370" s="41">
        <f>IF(OR(B1370="",D1370=""),"",D1370&amp;"|"&amp;TEXT(J1370,"yyyy-mm"))</f>
        <v/>
      </c>
      <c r="L1370" s="24">
        <f>IF(K1370="","",IFERROR(INDEX(Lotes!$N$5:$N$154,MATCH(K1370,Lotes!$P$5:$P$154,0)),"Sem lote cadastrado"))</f>
        <v/>
      </c>
      <c r="M1370" s="25">
        <f>IF(H1370="Sim",G1370,0)</f>
        <v>0</v>
      </c>
      <c r="N1370" s="42">
        <f>IF(AND(H1370="Sim",I1370&lt;&gt;"Aceito"),G1370+ROW()/100000,0)</f>
        <v>0</v>
      </c>
    </row>
    <row r="1371">
      <c r="A1371" s="35" t="n"/>
      <c r="B1371" s="39" t="n"/>
      <c r="C1371" s="33" t="n"/>
      <c r="D1371" s="35" t="n"/>
      <c r="E1371" s="33" t="n"/>
      <c r="F1371" s="33" t="n"/>
      <c r="G1371" s="40" t="n"/>
      <c r="H1371" s="35" t="n"/>
      <c r="I1371" s="35" t="n"/>
      <c r="J1371" s="30">
        <f>IF(B1371="","",DATE(YEAR(B1371),MONTH(B1371),1))</f>
        <v/>
      </c>
      <c r="K1371" s="41">
        <f>IF(OR(B1371="",D1371=""),"",D1371&amp;"|"&amp;TEXT(J1371,"yyyy-mm"))</f>
        <v/>
      </c>
      <c r="L1371" s="24">
        <f>IF(K1371="","",IFERROR(INDEX(Lotes!$N$5:$N$154,MATCH(K1371,Lotes!$P$5:$P$154,0)),"Sem lote cadastrado"))</f>
        <v/>
      </c>
      <c r="M1371" s="25">
        <f>IF(H1371="Sim",G1371,0)</f>
        <v>0</v>
      </c>
      <c r="N1371" s="42">
        <f>IF(AND(H1371="Sim",I1371&lt;&gt;"Aceito"),G1371+ROW()/100000,0)</f>
        <v>0</v>
      </c>
    </row>
    <row r="1372">
      <c r="A1372" s="35" t="n"/>
      <c r="B1372" s="39" t="n"/>
      <c r="C1372" s="33" t="n"/>
      <c r="D1372" s="35" t="n"/>
      <c r="E1372" s="33" t="n"/>
      <c r="F1372" s="33" t="n"/>
      <c r="G1372" s="40" t="n"/>
      <c r="H1372" s="35" t="n"/>
      <c r="I1372" s="35" t="n"/>
      <c r="J1372" s="30">
        <f>IF(B1372="","",DATE(YEAR(B1372),MONTH(B1372),1))</f>
        <v/>
      </c>
      <c r="K1372" s="41">
        <f>IF(OR(B1372="",D1372=""),"",D1372&amp;"|"&amp;TEXT(J1372,"yyyy-mm"))</f>
        <v/>
      </c>
      <c r="L1372" s="24">
        <f>IF(K1372="","",IFERROR(INDEX(Lotes!$N$5:$N$154,MATCH(K1372,Lotes!$P$5:$P$154,0)),"Sem lote cadastrado"))</f>
        <v/>
      </c>
      <c r="M1372" s="25">
        <f>IF(H1372="Sim",G1372,0)</f>
        <v>0</v>
      </c>
      <c r="N1372" s="42">
        <f>IF(AND(H1372="Sim",I1372&lt;&gt;"Aceito"),G1372+ROW()/100000,0)</f>
        <v>0</v>
      </c>
    </row>
    <row r="1373">
      <c r="A1373" s="35" t="n"/>
      <c r="B1373" s="39" t="n"/>
      <c r="C1373" s="33" t="n"/>
      <c r="D1373" s="35" t="n"/>
      <c r="E1373" s="33" t="n"/>
      <c r="F1373" s="33" t="n"/>
      <c r="G1373" s="40" t="n"/>
      <c r="H1373" s="35" t="n"/>
      <c r="I1373" s="35" t="n"/>
      <c r="J1373" s="30">
        <f>IF(B1373="","",DATE(YEAR(B1373),MONTH(B1373),1))</f>
        <v/>
      </c>
      <c r="K1373" s="41">
        <f>IF(OR(B1373="",D1373=""),"",D1373&amp;"|"&amp;TEXT(J1373,"yyyy-mm"))</f>
        <v/>
      </c>
      <c r="L1373" s="24">
        <f>IF(K1373="","",IFERROR(INDEX(Lotes!$N$5:$N$154,MATCH(K1373,Lotes!$P$5:$P$154,0)),"Sem lote cadastrado"))</f>
        <v/>
      </c>
      <c r="M1373" s="25">
        <f>IF(H1373="Sim",G1373,0)</f>
        <v>0</v>
      </c>
      <c r="N1373" s="42">
        <f>IF(AND(H1373="Sim",I1373&lt;&gt;"Aceito"),G1373+ROW()/100000,0)</f>
        <v>0</v>
      </c>
    </row>
    <row r="1374">
      <c r="A1374" s="35" t="n"/>
      <c r="B1374" s="39" t="n"/>
      <c r="C1374" s="33" t="n"/>
      <c r="D1374" s="35" t="n"/>
      <c r="E1374" s="33" t="n"/>
      <c r="F1374" s="33" t="n"/>
      <c r="G1374" s="40" t="n"/>
      <c r="H1374" s="35" t="n"/>
      <c r="I1374" s="35" t="n"/>
      <c r="J1374" s="30">
        <f>IF(B1374="","",DATE(YEAR(B1374),MONTH(B1374),1))</f>
        <v/>
      </c>
      <c r="K1374" s="41">
        <f>IF(OR(B1374="",D1374=""),"",D1374&amp;"|"&amp;TEXT(J1374,"yyyy-mm"))</f>
        <v/>
      </c>
      <c r="L1374" s="24">
        <f>IF(K1374="","",IFERROR(INDEX(Lotes!$N$5:$N$154,MATCH(K1374,Lotes!$P$5:$P$154,0)),"Sem lote cadastrado"))</f>
        <v/>
      </c>
      <c r="M1374" s="25">
        <f>IF(H1374="Sim",G1374,0)</f>
        <v>0</v>
      </c>
      <c r="N1374" s="42">
        <f>IF(AND(H1374="Sim",I1374&lt;&gt;"Aceito"),G1374+ROW()/100000,0)</f>
        <v>0</v>
      </c>
    </row>
    <row r="1375">
      <c r="A1375" s="35" t="n"/>
      <c r="B1375" s="39" t="n"/>
      <c r="C1375" s="33" t="n"/>
      <c r="D1375" s="35" t="n"/>
      <c r="E1375" s="33" t="n"/>
      <c r="F1375" s="33" t="n"/>
      <c r="G1375" s="40" t="n"/>
      <c r="H1375" s="35" t="n"/>
      <c r="I1375" s="35" t="n"/>
      <c r="J1375" s="30">
        <f>IF(B1375="","",DATE(YEAR(B1375),MONTH(B1375),1))</f>
        <v/>
      </c>
      <c r="K1375" s="41">
        <f>IF(OR(B1375="",D1375=""),"",D1375&amp;"|"&amp;TEXT(J1375,"yyyy-mm"))</f>
        <v/>
      </c>
      <c r="L1375" s="24">
        <f>IF(K1375="","",IFERROR(INDEX(Lotes!$N$5:$N$154,MATCH(K1375,Lotes!$P$5:$P$154,0)),"Sem lote cadastrado"))</f>
        <v/>
      </c>
      <c r="M1375" s="25">
        <f>IF(H1375="Sim",G1375,0)</f>
        <v>0</v>
      </c>
      <c r="N1375" s="42">
        <f>IF(AND(H1375="Sim",I1375&lt;&gt;"Aceito"),G1375+ROW()/100000,0)</f>
        <v>0</v>
      </c>
    </row>
    <row r="1376">
      <c r="A1376" s="35" t="n"/>
      <c r="B1376" s="39" t="n"/>
      <c r="C1376" s="33" t="n"/>
      <c r="D1376" s="35" t="n"/>
      <c r="E1376" s="33" t="n"/>
      <c r="F1376" s="33" t="n"/>
      <c r="G1376" s="40" t="n"/>
      <c r="H1376" s="35" t="n"/>
      <c r="I1376" s="35" t="n"/>
      <c r="J1376" s="30">
        <f>IF(B1376="","",DATE(YEAR(B1376),MONTH(B1376),1))</f>
        <v/>
      </c>
      <c r="K1376" s="41">
        <f>IF(OR(B1376="",D1376=""),"",D1376&amp;"|"&amp;TEXT(J1376,"yyyy-mm"))</f>
        <v/>
      </c>
      <c r="L1376" s="24">
        <f>IF(K1376="","",IFERROR(INDEX(Lotes!$N$5:$N$154,MATCH(K1376,Lotes!$P$5:$P$154,0)),"Sem lote cadastrado"))</f>
        <v/>
      </c>
      <c r="M1376" s="25">
        <f>IF(H1376="Sim",G1376,0)</f>
        <v>0</v>
      </c>
      <c r="N1376" s="42">
        <f>IF(AND(H1376="Sim",I1376&lt;&gt;"Aceito"),G1376+ROW()/100000,0)</f>
        <v>0</v>
      </c>
    </row>
    <row r="1377">
      <c r="A1377" s="35" t="n"/>
      <c r="B1377" s="39" t="n"/>
      <c r="C1377" s="33" t="n"/>
      <c r="D1377" s="35" t="n"/>
      <c r="E1377" s="33" t="n"/>
      <c r="F1377" s="33" t="n"/>
      <c r="G1377" s="40" t="n"/>
      <c r="H1377" s="35" t="n"/>
      <c r="I1377" s="35" t="n"/>
      <c r="J1377" s="30">
        <f>IF(B1377="","",DATE(YEAR(B1377),MONTH(B1377),1))</f>
        <v/>
      </c>
      <c r="K1377" s="41">
        <f>IF(OR(B1377="",D1377=""),"",D1377&amp;"|"&amp;TEXT(J1377,"yyyy-mm"))</f>
        <v/>
      </c>
      <c r="L1377" s="24">
        <f>IF(K1377="","",IFERROR(INDEX(Lotes!$N$5:$N$154,MATCH(K1377,Lotes!$P$5:$P$154,0)),"Sem lote cadastrado"))</f>
        <v/>
      </c>
      <c r="M1377" s="25">
        <f>IF(H1377="Sim",G1377,0)</f>
        <v>0</v>
      </c>
      <c r="N1377" s="42">
        <f>IF(AND(H1377="Sim",I1377&lt;&gt;"Aceito"),G1377+ROW()/100000,0)</f>
        <v>0</v>
      </c>
    </row>
    <row r="1378">
      <c r="A1378" s="35" t="n"/>
      <c r="B1378" s="39" t="n"/>
      <c r="C1378" s="33" t="n"/>
      <c r="D1378" s="35" t="n"/>
      <c r="E1378" s="33" t="n"/>
      <c r="F1378" s="33" t="n"/>
      <c r="G1378" s="40" t="n"/>
      <c r="H1378" s="35" t="n"/>
      <c r="I1378" s="35" t="n"/>
      <c r="J1378" s="30">
        <f>IF(B1378="","",DATE(YEAR(B1378),MONTH(B1378),1))</f>
        <v/>
      </c>
      <c r="K1378" s="41">
        <f>IF(OR(B1378="",D1378=""),"",D1378&amp;"|"&amp;TEXT(J1378,"yyyy-mm"))</f>
        <v/>
      </c>
      <c r="L1378" s="24">
        <f>IF(K1378="","",IFERROR(INDEX(Lotes!$N$5:$N$154,MATCH(K1378,Lotes!$P$5:$P$154,0)),"Sem lote cadastrado"))</f>
        <v/>
      </c>
      <c r="M1378" s="25">
        <f>IF(H1378="Sim",G1378,0)</f>
        <v>0</v>
      </c>
      <c r="N1378" s="42">
        <f>IF(AND(H1378="Sim",I1378&lt;&gt;"Aceito"),G1378+ROW()/100000,0)</f>
        <v>0</v>
      </c>
    </row>
    <row r="1379">
      <c r="A1379" s="35" t="n"/>
      <c r="B1379" s="39" t="n"/>
      <c r="C1379" s="33" t="n"/>
      <c r="D1379" s="35" t="n"/>
      <c r="E1379" s="33" t="n"/>
      <c r="F1379" s="33" t="n"/>
      <c r="G1379" s="40" t="n"/>
      <c r="H1379" s="35" t="n"/>
      <c r="I1379" s="35" t="n"/>
      <c r="J1379" s="30">
        <f>IF(B1379="","",DATE(YEAR(B1379),MONTH(B1379),1))</f>
        <v/>
      </c>
      <c r="K1379" s="41">
        <f>IF(OR(B1379="",D1379=""),"",D1379&amp;"|"&amp;TEXT(J1379,"yyyy-mm"))</f>
        <v/>
      </c>
      <c r="L1379" s="24">
        <f>IF(K1379="","",IFERROR(INDEX(Lotes!$N$5:$N$154,MATCH(K1379,Lotes!$P$5:$P$154,0)),"Sem lote cadastrado"))</f>
        <v/>
      </c>
      <c r="M1379" s="25">
        <f>IF(H1379="Sim",G1379,0)</f>
        <v>0</v>
      </c>
      <c r="N1379" s="42">
        <f>IF(AND(H1379="Sim",I1379&lt;&gt;"Aceito"),G1379+ROW()/100000,0)</f>
        <v>0</v>
      </c>
    </row>
    <row r="1380">
      <c r="A1380" s="35" t="n"/>
      <c r="B1380" s="39" t="n"/>
      <c r="C1380" s="33" t="n"/>
      <c r="D1380" s="35" t="n"/>
      <c r="E1380" s="33" t="n"/>
      <c r="F1380" s="33" t="n"/>
      <c r="G1380" s="40" t="n"/>
      <c r="H1380" s="35" t="n"/>
      <c r="I1380" s="35" t="n"/>
      <c r="J1380" s="30">
        <f>IF(B1380="","",DATE(YEAR(B1380),MONTH(B1380),1))</f>
        <v/>
      </c>
      <c r="K1380" s="41">
        <f>IF(OR(B1380="",D1380=""),"",D1380&amp;"|"&amp;TEXT(J1380,"yyyy-mm"))</f>
        <v/>
      </c>
      <c r="L1380" s="24">
        <f>IF(K1380="","",IFERROR(INDEX(Lotes!$N$5:$N$154,MATCH(K1380,Lotes!$P$5:$P$154,0)),"Sem lote cadastrado"))</f>
        <v/>
      </c>
      <c r="M1380" s="25">
        <f>IF(H1380="Sim",G1380,0)</f>
        <v>0</v>
      </c>
      <c r="N1380" s="42">
        <f>IF(AND(H1380="Sim",I1380&lt;&gt;"Aceito"),G1380+ROW()/100000,0)</f>
        <v>0</v>
      </c>
    </row>
    <row r="1381">
      <c r="A1381" s="35" t="n"/>
      <c r="B1381" s="39" t="n"/>
      <c r="C1381" s="33" t="n"/>
      <c r="D1381" s="35" t="n"/>
      <c r="E1381" s="33" t="n"/>
      <c r="F1381" s="33" t="n"/>
      <c r="G1381" s="40" t="n"/>
      <c r="H1381" s="35" t="n"/>
      <c r="I1381" s="35" t="n"/>
      <c r="J1381" s="30">
        <f>IF(B1381="","",DATE(YEAR(B1381),MONTH(B1381),1))</f>
        <v/>
      </c>
      <c r="K1381" s="41">
        <f>IF(OR(B1381="",D1381=""),"",D1381&amp;"|"&amp;TEXT(J1381,"yyyy-mm"))</f>
        <v/>
      </c>
      <c r="L1381" s="24">
        <f>IF(K1381="","",IFERROR(INDEX(Lotes!$N$5:$N$154,MATCH(K1381,Lotes!$P$5:$P$154,0)),"Sem lote cadastrado"))</f>
        <v/>
      </c>
      <c r="M1381" s="25">
        <f>IF(H1381="Sim",G1381,0)</f>
        <v>0</v>
      </c>
      <c r="N1381" s="42">
        <f>IF(AND(H1381="Sim",I1381&lt;&gt;"Aceito"),G1381+ROW()/100000,0)</f>
        <v>0</v>
      </c>
    </row>
    <row r="1382">
      <c r="A1382" s="35" t="n"/>
      <c r="B1382" s="39" t="n"/>
      <c r="C1382" s="33" t="n"/>
      <c r="D1382" s="35" t="n"/>
      <c r="E1382" s="33" t="n"/>
      <c r="F1382" s="33" t="n"/>
      <c r="G1382" s="40" t="n"/>
      <c r="H1382" s="35" t="n"/>
      <c r="I1382" s="35" t="n"/>
      <c r="J1382" s="30">
        <f>IF(B1382="","",DATE(YEAR(B1382),MONTH(B1382),1))</f>
        <v/>
      </c>
      <c r="K1382" s="41">
        <f>IF(OR(B1382="",D1382=""),"",D1382&amp;"|"&amp;TEXT(J1382,"yyyy-mm"))</f>
        <v/>
      </c>
      <c r="L1382" s="24">
        <f>IF(K1382="","",IFERROR(INDEX(Lotes!$N$5:$N$154,MATCH(K1382,Lotes!$P$5:$P$154,0)),"Sem lote cadastrado"))</f>
        <v/>
      </c>
      <c r="M1382" s="25">
        <f>IF(H1382="Sim",G1382,0)</f>
        <v>0</v>
      </c>
      <c r="N1382" s="42">
        <f>IF(AND(H1382="Sim",I1382&lt;&gt;"Aceito"),G1382+ROW()/100000,0)</f>
        <v>0</v>
      </c>
    </row>
    <row r="1383">
      <c r="A1383" s="35" t="n"/>
      <c r="B1383" s="39" t="n"/>
      <c r="C1383" s="33" t="n"/>
      <c r="D1383" s="35" t="n"/>
      <c r="E1383" s="33" t="n"/>
      <c r="F1383" s="33" t="n"/>
      <c r="G1383" s="40" t="n"/>
      <c r="H1383" s="35" t="n"/>
      <c r="I1383" s="35" t="n"/>
      <c r="J1383" s="30">
        <f>IF(B1383="","",DATE(YEAR(B1383),MONTH(B1383),1))</f>
        <v/>
      </c>
      <c r="K1383" s="41">
        <f>IF(OR(B1383="",D1383=""),"",D1383&amp;"|"&amp;TEXT(J1383,"yyyy-mm"))</f>
        <v/>
      </c>
      <c r="L1383" s="24">
        <f>IF(K1383="","",IFERROR(INDEX(Lotes!$N$5:$N$154,MATCH(K1383,Lotes!$P$5:$P$154,0)),"Sem lote cadastrado"))</f>
        <v/>
      </c>
      <c r="M1383" s="25">
        <f>IF(H1383="Sim",G1383,0)</f>
        <v>0</v>
      </c>
      <c r="N1383" s="42">
        <f>IF(AND(H1383="Sim",I1383&lt;&gt;"Aceito"),G1383+ROW()/100000,0)</f>
        <v>0</v>
      </c>
    </row>
    <row r="1384">
      <c r="A1384" s="35" t="n"/>
      <c r="B1384" s="39" t="n"/>
      <c r="C1384" s="33" t="n"/>
      <c r="D1384" s="35" t="n"/>
      <c r="E1384" s="33" t="n"/>
      <c r="F1384" s="33" t="n"/>
      <c r="G1384" s="40" t="n"/>
      <c r="H1384" s="35" t="n"/>
      <c r="I1384" s="35" t="n"/>
      <c r="J1384" s="30">
        <f>IF(B1384="","",DATE(YEAR(B1384),MONTH(B1384),1))</f>
        <v/>
      </c>
      <c r="K1384" s="41">
        <f>IF(OR(B1384="",D1384=""),"",D1384&amp;"|"&amp;TEXT(J1384,"yyyy-mm"))</f>
        <v/>
      </c>
      <c r="L1384" s="24">
        <f>IF(K1384="","",IFERROR(INDEX(Lotes!$N$5:$N$154,MATCH(K1384,Lotes!$P$5:$P$154,0)),"Sem lote cadastrado"))</f>
        <v/>
      </c>
      <c r="M1384" s="25">
        <f>IF(H1384="Sim",G1384,0)</f>
        <v>0</v>
      </c>
      <c r="N1384" s="42">
        <f>IF(AND(H1384="Sim",I1384&lt;&gt;"Aceito"),G1384+ROW()/100000,0)</f>
        <v>0</v>
      </c>
    </row>
    <row r="1385">
      <c r="A1385" s="35" t="n"/>
      <c r="B1385" s="39" t="n"/>
      <c r="C1385" s="33" t="n"/>
      <c r="D1385" s="35" t="n"/>
      <c r="E1385" s="33" t="n"/>
      <c r="F1385" s="33" t="n"/>
      <c r="G1385" s="40" t="n"/>
      <c r="H1385" s="35" t="n"/>
      <c r="I1385" s="35" t="n"/>
      <c r="J1385" s="30">
        <f>IF(B1385="","",DATE(YEAR(B1385),MONTH(B1385),1))</f>
        <v/>
      </c>
      <c r="K1385" s="41">
        <f>IF(OR(B1385="",D1385=""),"",D1385&amp;"|"&amp;TEXT(J1385,"yyyy-mm"))</f>
        <v/>
      </c>
      <c r="L1385" s="24">
        <f>IF(K1385="","",IFERROR(INDEX(Lotes!$N$5:$N$154,MATCH(K1385,Lotes!$P$5:$P$154,0)),"Sem lote cadastrado"))</f>
        <v/>
      </c>
      <c r="M1385" s="25">
        <f>IF(H1385="Sim",G1385,0)</f>
        <v>0</v>
      </c>
      <c r="N1385" s="42">
        <f>IF(AND(H1385="Sim",I1385&lt;&gt;"Aceito"),G1385+ROW()/100000,0)</f>
        <v>0</v>
      </c>
    </row>
    <row r="1386">
      <c r="A1386" s="35" t="n"/>
      <c r="B1386" s="39" t="n"/>
      <c r="C1386" s="33" t="n"/>
      <c r="D1386" s="35" t="n"/>
      <c r="E1386" s="33" t="n"/>
      <c r="F1386" s="33" t="n"/>
      <c r="G1386" s="40" t="n"/>
      <c r="H1386" s="35" t="n"/>
      <c r="I1386" s="35" t="n"/>
      <c r="J1386" s="30">
        <f>IF(B1386="","",DATE(YEAR(B1386),MONTH(B1386),1))</f>
        <v/>
      </c>
      <c r="K1386" s="41">
        <f>IF(OR(B1386="",D1386=""),"",D1386&amp;"|"&amp;TEXT(J1386,"yyyy-mm"))</f>
        <v/>
      </c>
      <c r="L1386" s="24">
        <f>IF(K1386="","",IFERROR(INDEX(Lotes!$N$5:$N$154,MATCH(K1386,Lotes!$P$5:$P$154,0)),"Sem lote cadastrado"))</f>
        <v/>
      </c>
      <c r="M1386" s="25">
        <f>IF(H1386="Sim",G1386,0)</f>
        <v>0</v>
      </c>
      <c r="N1386" s="42">
        <f>IF(AND(H1386="Sim",I1386&lt;&gt;"Aceito"),G1386+ROW()/100000,0)</f>
        <v>0</v>
      </c>
    </row>
    <row r="1387">
      <c r="A1387" s="35" t="n"/>
      <c r="B1387" s="39" t="n"/>
      <c r="C1387" s="33" t="n"/>
      <c r="D1387" s="35" t="n"/>
      <c r="E1387" s="33" t="n"/>
      <c r="F1387" s="33" t="n"/>
      <c r="G1387" s="40" t="n"/>
      <c r="H1387" s="35" t="n"/>
      <c r="I1387" s="35" t="n"/>
      <c r="J1387" s="30">
        <f>IF(B1387="","",DATE(YEAR(B1387),MONTH(B1387),1))</f>
        <v/>
      </c>
      <c r="K1387" s="41">
        <f>IF(OR(B1387="",D1387=""),"",D1387&amp;"|"&amp;TEXT(J1387,"yyyy-mm"))</f>
        <v/>
      </c>
      <c r="L1387" s="24">
        <f>IF(K1387="","",IFERROR(INDEX(Lotes!$N$5:$N$154,MATCH(K1387,Lotes!$P$5:$P$154,0)),"Sem lote cadastrado"))</f>
        <v/>
      </c>
      <c r="M1387" s="25">
        <f>IF(H1387="Sim",G1387,0)</f>
        <v>0</v>
      </c>
      <c r="N1387" s="42">
        <f>IF(AND(H1387="Sim",I1387&lt;&gt;"Aceito"),G1387+ROW()/100000,0)</f>
        <v>0</v>
      </c>
    </row>
    <row r="1388">
      <c r="A1388" s="35" t="n"/>
      <c r="B1388" s="39" t="n"/>
      <c r="C1388" s="33" t="n"/>
      <c r="D1388" s="35" t="n"/>
      <c r="E1388" s="33" t="n"/>
      <c r="F1388" s="33" t="n"/>
      <c r="G1388" s="40" t="n"/>
      <c r="H1388" s="35" t="n"/>
      <c r="I1388" s="35" t="n"/>
      <c r="J1388" s="30">
        <f>IF(B1388="","",DATE(YEAR(B1388),MONTH(B1388),1))</f>
        <v/>
      </c>
      <c r="K1388" s="41">
        <f>IF(OR(B1388="",D1388=""),"",D1388&amp;"|"&amp;TEXT(J1388,"yyyy-mm"))</f>
        <v/>
      </c>
      <c r="L1388" s="24">
        <f>IF(K1388="","",IFERROR(INDEX(Lotes!$N$5:$N$154,MATCH(K1388,Lotes!$P$5:$P$154,0)),"Sem lote cadastrado"))</f>
        <v/>
      </c>
      <c r="M1388" s="25">
        <f>IF(H1388="Sim",G1388,0)</f>
        <v>0</v>
      </c>
      <c r="N1388" s="42">
        <f>IF(AND(H1388="Sim",I1388&lt;&gt;"Aceito"),G1388+ROW()/100000,0)</f>
        <v>0</v>
      </c>
    </row>
    <row r="1389">
      <c r="A1389" s="35" t="n"/>
      <c r="B1389" s="39" t="n"/>
      <c r="C1389" s="33" t="n"/>
      <c r="D1389" s="35" t="n"/>
      <c r="E1389" s="33" t="n"/>
      <c r="F1389" s="33" t="n"/>
      <c r="G1389" s="40" t="n"/>
      <c r="H1389" s="35" t="n"/>
      <c r="I1389" s="35" t="n"/>
      <c r="J1389" s="30">
        <f>IF(B1389="","",DATE(YEAR(B1389),MONTH(B1389),1))</f>
        <v/>
      </c>
      <c r="K1389" s="41">
        <f>IF(OR(B1389="",D1389=""),"",D1389&amp;"|"&amp;TEXT(J1389,"yyyy-mm"))</f>
        <v/>
      </c>
      <c r="L1389" s="24">
        <f>IF(K1389="","",IFERROR(INDEX(Lotes!$N$5:$N$154,MATCH(K1389,Lotes!$P$5:$P$154,0)),"Sem lote cadastrado"))</f>
        <v/>
      </c>
      <c r="M1389" s="25">
        <f>IF(H1389="Sim",G1389,0)</f>
        <v>0</v>
      </c>
      <c r="N1389" s="42">
        <f>IF(AND(H1389="Sim",I1389&lt;&gt;"Aceito"),G1389+ROW()/100000,0)</f>
        <v>0</v>
      </c>
    </row>
    <row r="1390">
      <c r="A1390" s="35" t="n"/>
      <c r="B1390" s="39" t="n"/>
      <c r="C1390" s="33" t="n"/>
      <c r="D1390" s="35" t="n"/>
      <c r="E1390" s="33" t="n"/>
      <c r="F1390" s="33" t="n"/>
      <c r="G1390" s="40" t="n"/>
      <c r="H1390" s="35" t="n"/>
      <c r="I1390" s="35" t="n"/>
      <c r="J1390" s="30">
        <f>IF(B1390="","",DATE(YEAR(B1390),MONTH(B1390),1))</f>
        <v/>
      </c>
      <c r="K1390" s="41">
        <f>IF(OR(B1390="",D1390=""),"",D1390&amp;"|"&amp;TEXT(J1390,"yyyy-mm"))</f>
        <v/>
      </c>
      <c r="L1390" s="24">
        <f>IF(K1390="","",IFERROR(INDEX(Lotes!$N$5:$N$154,MATCH(K1390,Lotes!$P$5:$P$154,0)),"Sem lote cadastrado"))</f>
        <v/>
      </c>
      <c r="M1390" s="25">
        <f>IF(H1390="Sim",G1390,0)</f>
        <v>0</v>
      </c>
      <c r="N1390" s="42">
        <f>IF(AND(H1390="Sim",I1390&lt;&gt;"Aceito"),G1390+ROW()/100000,0)</f>
        <v>0</v>
      </c>
    </row>
    <row r="1391">
      <c r="A1391" s="35" t="n"/>
      <c r="B1391" s="39" t="n"/>
      <c r="C1391" s="33" t="n"/>
      <c r="D1391" s="35" t="n"/>
      <c r="E1391" s="33" t="n"/>
      <c r="F1391" s="33" t="n"/>
      <c r="G1391" s="40" t="n"/>
      <c r="H1391" s="35" t="n"/>
      <c r="I1391" s="35" t="n"/>
      <c r="J1391" s="30">
        <f>IF(B1391="","",DATE(YEAR(B1391),MONTH(B1391),1))</f>
        <v/>
      </c>
      <c r="K1391" s="41">
        <f>IF(OR(B1391="",D1391=""),"",D1391&amp;"|"&amp;TEXT(J1391,"yyyy-mm"))</f>
        <v/>
      </c>
      <c r="L1391" s="24">
        <f>IF(K1391="","",IFERROR(INDEX(Lotes!$N$5:$N$154,MATCH(K1391,Lotes!$P$5:$P$154,0)),"Sem lote cadastrado"))</f>
        <v/>
      </c>
      <c r="M1391" s="25">
        <f>IF(H1391="Sim",G1391,0)</f>
        <v>0</v>
      </c>
      <c r="N1391" s="42">
        <f>IF(AND(H1391="Sim",I1391&lt;&gt;"Aceito"),G1391+ROW()/100000,0)</f>
        <v>0</v>
      </c>
    </row>
    <row r="1392">
      <c r="A1392" s="35" t="n"/>
      <c r="B1392" s="39" t="n"/>
      <c r="C1392" s="33" t="n"/>
      <c r="D1392" s="35" t="n"/>
      <c r="E1392" s="33" t="n"/>
      <c r="F1392" s="33" t="n"/>
      <c r="G1392" s="40" t="n"/>
      <c r="H1392" s="35" t="n"/>
      <c r="I1392" s="35" t="n"/>
      <c r="J1392" s="30">
        <f>IF(B1392="","",DATE(YEAR(B1392),MONTH(B1392),1))</f>
        <v/>
      </c>
      <c r="K1392" s="41">
        <f>IF(OR(B1392="",D1392=""),"",D1392&amp;"|"&amp;TEXT(J1392,"yyyy-mm"))</f>
        <v/>
      </c>
      <c r="L1392" s="24">
        <f>IF(K1392="","",IFERROR(INDEX(Lotes!$N$5:$N$154,MATCH(K1392,Lotes!$P$5:$P$154,0)),"Sem lote cadastrado"))</f>
        <v/>
      </c>
      <c r="M1392" s="25">
        <f>IF(H1392="Sim",G1392,0)</f>
        <v>0</v>
      </c>
      <c r="N1392" s="42">
        <f>IF(AND(H1392="Sim",I1392&lt;&gt;"Aceito"),G1392+ROW()/100000,0)</f>
        <v>0</v>
      </c>
    </row>
    <row r="1393">
      <c r="A1393" s="35" t="n"/>
      <c r="B1393" s="39" t="n"/>
      <c r="C1393" s="33" t="n"/>
      <c r="D1393" s="35" t="n"/>
      <c r="E1393" s="33" t="n"/>
      <c r="F1393" s="33" t="n"/>
      <c r="G1393" s="40" t="n"/>
      <c r="H1393" s="35" t="n"/>
      <c r="I1393" s="35" t="n"/>
      <c r="J1393" s="30">
        <f>IF(B1393="","",DATE(YEAR(B1393),MONTH(B1393),1))</f>
        <v/>
      </c>
      <c r="K1393" s="41">
        <f>IF(OR(B1393="",D1393=""),"",D1393&amp;"|"&amp;TEXT(J1393,"yyyy-mm"))</f>
        <v/>
      </c>
      <c r="L1393" s="24">
        <f>IF(K1393="","",IFERROR(INDEX(Lotes!$N$5:$N$154,MATCH(K1393,Lotes!$P$5:$P$154,0)),"Sem lote cadastrado"))</f>
        <v/>
      </c>
      <c r="M1393" s="25">
        <f>IF(H1393="Sim",G1393,0)</f>
        <v>0</v>
      </c>
      <c r="N1393" s="42">
        <f>IF(AND(H1393="Sim",I1393&lt;&gt;"Aceito"),G1393+ROW()/100000,0)</f>
        <v>0</v>
      </c>
    </row>
    <row r="1394">
      <c r="A1394" s="35" t="n"/>
      <c r="B1394" s="39" t="n"/>
      <c r="C1394" s="33" t="n"/>
      <c r="D1394" s="35" t="n"/>
      <c r="E1394" s="33" t="n"/>
      <c r="F1394" s="33" t="n"/>
      <c r="G1394" s="40" t="n"/>
      <c r="H1394" s="35" t="n"/>
      <c r="I1394" s="35" t="n"/>
      <c r="J1394" s="30">
        <f>IF(B1394="","",DATE(YEAR(B1394),MONTH(B1394),1))</f>
        <v/>
      </c>
      <c r="K1394" s="41">
        <f>IF(OR(B1394="",D1394=""),"",D1394&amp;"|"&amp;TEXT(J1394,"yyyy-mm"))</f>
        <v/>
      </c>
      <c r="L1394" s="24">
        <f>IF(K1394="","",IFERROR(INDEX(Lotes!$N$5:$N$154,MATCH(K1394,Lotes!$P$5:$P$154,0)),"Sem lote cadastrado"))</f>
        <v/>
      </c>
      <c r="M1394" s="25">
        <f>IF(H1394="Sim",G1394,0)</f>
        <v>0</v>
      </c>
      <c r="N1394" s="42">
        <f>IF(AND(H1394="Sim",I1394&lt;&gt;"Aceito"),G1394+ROW()/100000,0)</f>
        <v>0</v>
      </c>
    </row>
    <row r="1395">
      <c r="A1395" s="35" t="n"/>
      <c r="B1395" s="39" t="n"/>
      <c r="C1395" s="33" t="n"/>
      <c r="D1395" s="35" t="n"/>
      <c r="E1395" s="33" t="n"/>
      <c r="F1395" s="33" t="n"/>
      <c r="G1395" s="40" t="n"/>
      <c r="H1395" s="35" t="n"/>
      <c r="I1395" s="35" t="n"/>
      <c r="J1395" s="30">
        <f>IF(B1395="","",DATE(YEAR(B1395),MONTH(B1395),1))</f>
        <v/>
      </c>
      <c r="K1395" s="41">
        <f>IF(OR(B1395="",D1395=""),"",D1395&amp;"|"&amp;TEXT(J1395,"yyyy-mm"))</f>
        <v/>
      </c>
      <c r="L1395" s="24">
        <f>IF(K1395="","",IFERROR(INDEX(Lotes!$N$5:$N$154,MATCH(K1395,Lotes!$P$5:$P$154,0)),"Sem lote cadastrado"))</f>
        <v/>
      </c>
      <c r="M1395" s="25">
        <f>IF(H1395="Sim",G1395,0)</f>
        <v>0</v>
      </c>
      <c r="N1395" s="42">
        <f>IF(AND(H1395="Sim",I1395&lt;&gt;"Aceito"),G1395+ROW()/100000,0)</f>
        <v>0</v>
      </c>
    </row>
    <row r="1396">
      <c r="A1396" s="35" t="n"/>
      <c r="B1396" s="39" t="n"/>
      <c r="C1396" s="33" t="n"/>
      <c r="D1396" s="35" t="n"/>
      <c r="E1396" s="33" t="n"/>
      <c r="F1396" s="33" t="n"/>
      <c r="G1396" s="40" t="n"/>
      <c r="H1396" s="35" t="n"/>
      <c r="I1396" s="35" t="n"/>
      <c r="J1396" s="30">
        <f>IF(B1396="","",DATE(YEAR(B1396),MONTH(B1396),1))</f>
        <v/>
      </c>
      <c r="K1396" s="41">
        <f>IF(OR(B1396="",D1396=""),"",D1396&amp;"|"&amp;TEXT(J1396,"yyyy-mm"))</f>
        <v/>
      </c>
      <c r="L1396" s="24">
        <f>IF(K1396="","",IFERROR(INDEX(Lotes!$N$5:$N$154,MATCH(K1396,Lotes!$P$5:$P$154,0)),"Sem lote cadastrado"))</f>
        <v/>
      </c>
      <c r="M1396" s="25">
        <f>IF(H1396="Sim",G1396,0)</f>
        <v>0</v>
      </c>
      <c r="N1396" s="42">
        <f>IF(AND(H1396="Sim",I1396&lt;&gt;"Aceito"),G1396+ROW()/100000,0)</f>
        <v>0</v>
      </c>
    </row>
    <row r="1397">
      <c r="A1397" s="35" t="n"/>
      <c r="B1397" s="39" t="n"/>
      <c r="C1397" s="33" t="n"/>
      <c r="D1397" s="35" t="n"/>
      <c r="E1397" s="33" t="n"/>
      <c r="F1397" s="33" t="n"/>
      <c r="G1397" s="40" t="n"/>
      <c r="H1397" s="35" t="n"/>
      <c r="I1397" s="35" t="n"/>
      <c r="J1397" s="30">
        <f>IF(B1397="","",DATE(YEAR(B1397),MONTH(B1397),1))</f>
        <v/>
      </c>
      <c r="K1397" s="41">
        <f>IF(OR(B1397="",D1397=""),"",D1397&amp;"|"&amp;TEXT(J1397,"yyyy-mm"))</f>
        <v/>
      </c>
      <c r="L1397" s="24">
        <f>IF(K1397="","",IFERROR(INDEX(Lotes!$N$5:$N$154,MATCH(K1397,Lotes!$P$5:$P$154,0)),"Sem lote cadastrado"))</f>
        <v/>
      </c>
      <c r="M1397" s="25">
        <f>IF(H1397="Sim",G1397,0)</f>
        <v>0</v>
      </c>
      <c r="N1397" s="42">
        <f>IF(AND(H1397="Sim",I1397&lt;&gt;"Aceito"),G1397+ROW()/100000,0)</f>
        <v>0</v>
      </c>
    </row>
    <row r="1398">
      <c r="A1398" s="35" t="n"/>
      <c r="B1398" s="39" t="n"/>
      <c r="C1398" s="33" t="n"/>
      <c r="D1398" s="35" t="n"/>
      <c r="E1398" s="33" t="n"/>
      <c r="F1398" s="33" t="n"/>
      <c r="G1398" s="40" t="n"/>
      <c r="H1398" s="35" t="n"/>
      <c r="I1398" s="35" t="n"/>
      <c r="J1398" s="30">
        <f>IF(B1398="","",DATE(YEAR(B1398),MONTH(B1398),1))</f>
        <v/>
      </c>
      <c r="K1398" s="41">
        <f>IF(OR(B1398="",D1398=""),"",D1398&amp;"|"&amp;TEXT(J1398,"yyyy-mm"))</f>
        <v/>
      </c>
      <c r="L1398" s="24">
        <f>IF(K1398="","",IFERROR(INDEX(Lotes!$N$5:$N$154,MATCH(K1398,Lotes!$P$5:$P$154,0)),"Sem lote cadastrado"))</f>
        <v/>
      </c>
      <c r="M1398" s="25">
        <f>IF(H1398="Sim",G1398,0)</f>
        <v>0</v>
      </c>
      <c r="N1398" s="42">
        <f>IF(AND(H1398="Sim",I1398&lt;&gt;"Aceito"),G1398+ROW()/100000,0)</f>
        <v>0</v>
      </c>
    </row>
    <row r="1399">
      <c r="A1399" s="35" t="n"/>
      <c r="B1399" s="39" t="n"/>
      <c r="C1399" s="33" t="n"/>
      <c r="D1399" s="35" t="n"/>
      <c r="E1399" s="33" t="n"/>
      <c r="F1399" s="33" t="n"/>
      <c r="G1399" s="40" t="n"/>
      <c r="H1399" s="35" t="n"/>
      <c r="I1399" s="35" t="n"/>
      <c r="J1399" s="30">
        <f>IF(B1399="","",DATE(YEAR(B1399),MONTH(B1399),1))</f>
        <v/>
      </c>
      <c r="K1399" s="41">
        <f>IF(OR(B1399="",D1399=""),"",D1399&amp;"|"&amp;TEXT(J1399,"yyyy-mm"))</f>
        <v/>
      </c>
      <c r="L1399" s="24">
        <f>IF(K1399="","",IFERROR(INDEX(Lotes!$N$5:$N$154,MATCH(K1399,Lotes!$P$5:$P$154,0)),"Sem lote cadastrado"))</f>
        <v/>
      </c>
      <c r="M1399" s="25">
        <f>IF(H1399="Sim",G1399,0)</f>
        <v>0</v>
      </c>
      <c r="N1399" s="42">
        <f>IF(AND(H1399="Sim",I1399&lt;&gt;"Aceito"),G1399+ROW()/100000,0)</f>
        <v>0</v>
      </c>
    </row>
    <row r="1400">
      <c r="A1400" s="35" t="n"/>
      <c r="B1400" s="39" t="n"/>
      <c r="C1400" s="33" t="n"/>
      <c r="D1400" s="35" t="n"/>
      <c r="E1400" s="33" t="n"/>
      <c r="F1400" s="33" t="n"/>
      <c r="G1400" s="40" t="n"/>
      <c r="H1400" s="35" t="n"/>
      <c r="I1400" s="35" t="n"/>
      <c r="J1400" s="30">
        <f>IF(B1400="","",DATE(YEAR(B1400),MONTH(B1400),1))</f>
        <v/>
      </c>
      <c r="K1400" s="41">
        <f>IF(OR(B1400="",D1400=""),"",D1400&amp;"|"&amp;TEXT(J1400,"yyyy-mm"))</f>
        <v/>
      </c>
      <c r="L1400" s="24">
        <f>IF(K1400="","",IFERROR(INDEX(Lotes!$N$5:$N$154,MATCH(K1400,Lotes!$P$5:$P$154,0)),"Sem lote cadastrado"))</f>
        <v/>
      </c>
      <c r="M1400" s="25">
        <f>IF(H1400="Sim",G1400,0)</f>
        <v>0</v>
      </c>
      <c r="N1400" s="42">
        <f>IF(AND(H1400="Sim",I1400&lt;&gt;"Aceito"),G1400+ROW()/100000,0)</f>
        <v>0</v>
      </c>
    </row>
    <row r="1401">
      <c r="A1401" s="35" t="n"/>
      <c r="B1401" s="39" t="n"/>
      <c r="C1401" s="33" t="n"/>
      <c r="D1401" s="35" t="n"/>
      <c r="E1401" s="33" t="n"/>
      <c r="F1401" s="33" t="n"/>
      <c r="G1401" s="40" t="n"/>
      <c r="H1401" s="35" t="n"/>
      <c r="I1401" s="35" t="n"/>
      <c r="J1401" s="30">
        <f>IF(B1401="","",DATE(YEAR(B1401),MONTH(B1401),1))</f>
        <v/>
      </c>
      <c r="K1401" s="41">
        <f>IF(OR(B1401="",D1401=""),"",D1401&amp;"|"&amp;TEXT(J1401,"yyyy-mm"))</f>
        <v/>
      </c>
      <c r="L1401" s="24">
        <f>IF(K1401="","",IFERROR(INDEX(Lotes!$N$5:$N$154,MATCH(K1401,Lotes!$P$5:$P$154,0)),"Sem lote cadastrado"))</f>
        <v/>
      </c>
      <c r="M1401" s="25">
        <f>IF(H1401="Sim",G1401,0)</f>
        <v>0</v>
      </c>
      <c r="N1401" s="42">
        <f>IF(AND(H1401="Sim",I1401&lt;&gt;"Aceito"),G1401+ROW()/100000,0)</f>
        <v>0</v>
      </c>
    </row>
    <row r="1402">
      <c r="A1402" s="35" t="n"/>
      <c r="B1402" s="39" t="n"/>
      <c r="C1402" s="33" t="n"/>
      <c r="D1402" s="35" t="n"/>
      <c r="E1402" s="33" t="n"/>
      <c r="F1402" s="33" t="n"/>
      <c r="G1402" s="40" t="n"/>
      <c r="H1402" s="35" t="n"/>
      <c r="I1402" s="35" t="n"/>
      <c r="J1402" s="30">
        <f>IF(B1402="","",DATE(YEAR(B1402),MONTH(B1402),1))</f>
        <v/>
      </c>
      <c r="K1402" s="41">
        <f>IF(OR(B1402="",D1402=""),"",D1402&amp;"|"&amp;TEXT(J1402,"yyyy-mm"))</f>
        <v/>
      </c>
      <c r="L1402" s="24">
        <f>IF(K1402="","",IFERROR(INDEX(Lotes!$N$5:$N$154,MATCH(K1402,Lotes!$P$5:$P$154,0)),"Sem lote cadastrado"))</f>
        <v/>
      </c>
      <c r="M1402" s="25">
        <f>IF(H1402="Sim",G1402,0)</f>
        <v>0</v>
      </c>
      <c r="N1402" s="42">
        <f>IF(AND(H1402="Sim",I1402&lt;&gt;"Aceito"),G1402+ROW()/100000,0)</f>
        <v>0</v>
      </c>
    </row>
    <row r="1403">
      <c r="A1403" s="35" t="n"/>
      <c r="B1403" s="39" t="n"/>
      <c r="C1403" s="33" t="n"/>
      <c r="D1403" s="35" t="n"/>
      <c r="E1403" s="33" t="n"/>
      <c r="F1403" s="33" t="n"/>
      <c r="G1403" s="40" t="n"/>
      <c r="H1403" s="35" t="n"/>
      <c r="I1403" s="35" t="n"/>
      <c r="J1403" s="30">
        <f>IF(B1403="","",DATE(YEAR(B1403),MONTH(B1403),1))</f>
        <v/>
      </c>
      <c r="K1403" s="41">
        <f>IF(OR(B1403="",D1403=""),"",D1403&amp;"|"&amp;TEXT(J1403,"yyyy-mm"))</f>
        <v/>
      </c>
      <c r="L1403" s="24">
        <f>IF(K1403="","",IFERROR(INDEX(Lotes!$N$5:$N$154,MATCH(K1403,Lotes!$P$5:$P$154,0)),"Sem lote cadastrado"))</f>
        <v/>
      </c>
      <c r="M1403" s="25">
        <f>IF(H1403="Sim",G1403,0)</f>
        <v>0</v>
      </c>
      <c r="N1403" s="42">
        <f>IF(AND(H1403="Sim",I1403&lt;&gt;"Aceito"),G1403+ROW()/100000,0)</f>
        <v>0</v>
      </c>
    </row>
    <row r="1404">
      <c r="A1404" s="35" t="n"/>
      <c r="B1404" s="39" t="n"/>
      <c r="C1404" s="33" t="n"/>
      <c r="D1404" s="35" t="n"/>
      <c r="E1404" s="33" t="n"/>
      <c r="F1404" s="33" t="n"/>
      <c r="G1404" s="40" t="n"/>
      <c r="H1404" s="35" t="n"/>
      <c r="I1404" s="35" t="n"/>
      <c r="J1404" s="30">
        <f>IF(B1404="","",DATE(YEAR(B1404),MONTH(B1404),1))</f>
        <v/>
      </c>
      <c r="K1404" s="41">
        <f>IF(OR(B1404="",D1404=""),"",D1404&amp;"|"&amp;TEXT(J1404,"yyyy-mm"))</f>
        <v/>
      </c>
      <c r="L1404" s="24">
        <f>IF(K1404="","",IFERROR(INDEX(Lotes!$N$5:$N$154,MATCH(K1404,Lotes!$P$5:$P$154,0)),"Sem lote cadastrado"))</f>
        <v/>
      </c>
      <c r="M1404" s="25">
        <f>IF(H1404="Sim",G1404,0)</f>
        <v>0</v>
      </c>
      <c r="N1404" s="42">
        <f>IF(AND(H1404="Sim",I1404&lt;&gt;"Aceito"),G1404+ROW()/100000,0)</f>
        <v>0</v>
      </c>
    </row>
    <row r="1405">
      <c r="A1405" s="35" t="n"/>
      <c r="B1405" s="39" t="n"/>
      <c r="C1405" s="33" t="n"/>
      <c r="D1405" s="35" t="n"/>
      <c r="E1405" s="33" t="n"/>
      <c r="F1405" s="33" t="n"/>
      <c r="G1405" s="40" t="n"/>
      <c r="H1405" s="35" t="n"/>
      <c r="I1405" s="35" t="n"/>
      <c r="J1405" s="30">
        <f>IF(B1405="","",DATE(YEAR(B1405),MONTH(B1405),1))</f>
        <v/>
      </c>
      <c r="K1405" s="41">
        <f>IF(OR(B1405="",D1405=""),"",D1405&amp;"|"&amp;TEXT(J1405,"yyyy-mm"))</f>
        <v/>
      </c>
      <c r="L1405" s="24">
        <f>IF(K1405="","",IFERROR(INDEX(Lotes!$N$5:$N$154,MATCH(K1405,Lotes!$P$5:$P$154,0)),"Sem lote cadastrado"))</f>
        <v/>
      </c>
      <c r="M1405" s="25">
        <f>IF(H1405="Sim",G1405,0)</f>
        <v>0</v>
      </c>
      <c r="N1405" s="42">
        <f>IF(AND(H1405="Sim",I1405&lt;&gt;"Aceito"),G1405+ROW()/100000,0)</f>
        <v>0</v>
      </c>
    </row>
    <row r="1406">
      <c r="A1406" s="35" t="n"/>
      <c r="B1406" s="39" t="n"/>
      <c r="C1406" s="33" t="n"/>
      <c r="D1406" s="35" t="n"/>
      <c r="E1406" s="33" t="n"/>
      <c r="F1406" s="33" t="n"/>
      <c r="G1406" s="40" t="n"/>
      <c r="H1406" s="35" t="n"/>
      <c r="I1406" s="35" t="n"/>
      <c r="J1406" s="30">
        <f>IF(B1406="","",DATE(YEAR(B1406),MONTH(B1406),1))</f>
        <v/>
      </c>
      <c r="K1406" s="41">
        <f>IF(OR(B1406="",D1406=""),"",D1406&amp;"|"&amp;TEXT(J1406,"yyyy-mm"))</f>
        <v/>
      </c>
      <c r="L1406" s="24">
        <f>IF(K1406="","",IFERROR(INDEX(Lotes!$N$5:$N$154,MATCH(K1406,Lotes!$P$5:$P$154,0)),"Sem lote cadastrado"))</f>
        <v/>
      </c>
      <c r="M1406" s="25">
        <f>IF(H1406="Sim",G1406,0)</f>
        <v>0</v>
      </c>
      <c r="N1406" s="42">
        <f>IF(AND(H1406="Sim",I1406&lt;&gt;"Aceito"),G1406+ROW()/100000,0)</f>
        <v>0</v>
      </c>
    </row>
    <row r="1407">
      <c r="A1407" s="35" t="n"/>
      <c r="B1407" s="39" t="n"/>
      <c r="C1407" s="33" t="n"/>
      <c r="D1407" s="35" t="n"/>
      <c r="E1407" s="33" t="n"/>
      <c r="F1407" s="33" t="n"/>
      <c r="G1407" s="40" t="n"/>
      <c r="H1407" s="35" t="n"/>
      <c r="I1407" s="35" t="n"/>
      <c r="J1407" s="30">
        <f>IF(B1407="","",DATE(YEAR(B1407),MONTH(B1407),1))</f>
        <v/>
      </c>
      <c r="K1407" s="41">
        <f>IF(OR(B1407="",D1407=""),"",D1407&amp;"|"&amp;TEXT(J1407,"yyyy-mm"))</f>
        <v/>
      </c>
      <c r="L1407" s="24">
        <f>IF(K1407="","",IFERROR(INDEX(Lotes!$N$5:$N$154,MATCH(K1407,Lotes!$P$5:$P$154,0)),"Sem lote cadastrado"))</f>
        <v/>
      </c>
      <c r="M1407" s="25">
        <f>IF(H1407="Sim",G1407,0)</f>
        <v>0</v>
      </c>
      <c r="N1407" s="42">
        <f>IF(AND(H1407="Sim",I1407&lt;&gt;"Aceito"),G1407+ROW()/100000,0)</f>
        <v>0</v>
      </c>
    </row>
    <row r="1408">
      <c r="A1408" s="35" t="n"/>
      <c r="B1408" s="39" t="n"/>
      <c r="C1408" s="33" t="n"/>
      <c r="D1408" s="35" t="n"/>
      <c r="E1408" s="33" t="n"/>
      <c r="F1408" s="33" t="n"/>
      <c r="G1408" s="40" t="n"/>
      <c r="H1408" s="35" t="n"/>
      <c r="I1408" s="35" t="n"/>
      <c r="J1408" s="30">
        <f>IF(B1408="","",DATE(YEAR(B1408),MONTH(B1408),1))</f>
        <v/>
      </c>
      <c r="K1408" s="41">
        <f>IF(OR(B1408="",D1408=""),"",D1408&amp;"|"&amp;TEXT(J1408,"yyyy-mm"))</f>
        <v/>
      </c>
      <c r="L1408" s="24">
        <f>IF(K1408="","",IFERROR(INDEX(Lotes!$N$5:$N$154,MATCH(K1408,Lotes!$P$5:$P$154,0)),"Sem lote cadastrado"))</f>
        <v/>
      </c>
      <c r="M1408" s="25">
        <f>IF(H1408="Sim",G1408,0)</f>
        <v>0</v>
      </c>
      <c r="N1408" s="42">
        <f>IF(AND(H1408="Sim",I1408&lt;&gt;"Aceito"),G1408+ROW()/100000,0)</f>
        <v>0</v>
      </c>
    </row>
    <row r="1409">
      <c r="A1409" s="35" t="n"/>
      <c r="B1409" s="39" t="n"/>
      <c r="C1409" s="33" t="n"/>
      <c r="D1409" s="35" t="n"/>
      <c r="E1409" s="33" t="n"/>
      <c r="F1409" s="33" t="n"/>
      <c r="G1409" s="40" t="n"/>
      <c r="H1409" s="35" t="n"/>
      <c r="I1409" s="35" t="n"/>
      <c r="J1409" s="30">
        <f>IF(B1409="","",DATE(YEAR(B1409),MONTH(B1409),1))</f>
        <v/>
      </c>
      <c r="K1409" s="41">
        <f>IF(OR(B1409="",D1409=""),"",D1409&amp;"|"&amp;TEXT(J1409,"yyyy-mm"))</f>
        <v/>
      </c>
      <c r="L1409" s="24">
        <f>IF(K1409="","",IFERROR(INDEX(Lotes!$N$5:$N$154,MATCH(K1409,Lotes!$P$5:$P$154,0)),"Sem lote cadastrado"))</f>
        <v/>
      </c>
      <c r="M1409" s="25">
        <f>IF(H1409="Sim",G1409,0)</f>
        <v>0</v>
      </c>
      <c r="N1409" s="42">
        <f>IF(AND(H1409="Sim",I1409&lt;&gt;"Aceito"),G1409+ROW()/100000,0)</f>
        <v>0</v>
      </c>
    </row>
    <row r="1410">
      <c r="A1410" s="35" t="n"/>
      <c r="B1410" s="39" t="n"/>
      <c r="C1410" s="33" t="n"/>
      <c r="D1410" s="35" t="n"/>
      <c r="E1410" s="33" t="n"/>
      <c r="F1410" s="33" t="n"/>
      <c r="G1410" s="40" t="n"/>
      <c r="H1410" s="35" t="n"/>
      <c r="I1410" s="35" t="n"/>
      <c r="J1410" s="30">
        <f>IF(B1410="","",DATE(YEAR(B1410),MONTH(B1410),1))</f>
        <v/>
      </c>
      <c r="K1410" s="41">
        <f>IF(OR(B1410="",D1410=""),"",D1410&amp;"|"&amp;TEXT(J1410,"yyyy-mm"))</f>
        <v/>
      </c>
      <c r="L1410" s="24">
        <f>IF(K1410="","",IFERROR(INDEX(Lotes!$N$5:$N$154,MATCH(K1410,Lotes!$P$5:$P$154,0)),"Sem lote cadastrado"))</f>
        <v/>
      </c>
      <c r="M1410" s="25">
        <f>IF(H1410="Sim",G1410,0)</f>
        <v>0</v>
      </c>
      <c r="N1410" s="42">
        <f>IF(AND(H1410="Sim",I1410&lt;&gt;"Aceito"),G1410+ROW()/100000,0)</f>
        <v>0</v>
      </c>
    </row>
    <row r="1411">
      <c r="A1411" s="35" t="n"/>
      <c r="B1411" s="39" t="n"/>
      <c r="C1411" s="33" t="n"/>
      <c r="D1411" s="35" t="n"/>
      <c r="E1411" s="33" t="n"/>
      <c r="F1411" s="33" t="n"/>
      <c r="G1411" s="40" t="n"/>
      <c r="H1411" s="35" t="n"/>
      <c r="I1411" s="35" t="n"/>
      <c r="J1411" s="30">
        <f>IF(B1411="","",DATE(YEAR(B1411),MONTH(B1411),1))</f>
        <v/>
      </c>
      <c r="K1411" s="41">
        <f>IF(OR(B1411="",D1411=""),"",D1411&amp;"|"&amp;TEXT(J1411,"yyyy-mm"))</f>
        <v/>
      </c>
      <c r="L1411" s="24">
        <f>IF(K1411="","",IFERROR(INDEX(Lotes!$N$5:$N$154,MATCH(K1411,Lotes!$P$5:$P$154,0)),"Sem lote cadastrado"))</f>
        <v/>
      </c>
      <c r="M1411" s="25">
        <f>IF(H1411="Sim",G1411,0)</f>
        <v>0</v>
      </c>
      <c r="N1411" s="42">
        <f>IF(AND(H1411="Sim",I1411&lt;&gt;"Aceito"),G1411+ROW()/100000,0)</f>
        <v>0</v>
      </c>
    </row>
    <row r="1412">
      <c r="A1412" s="35" t="n"/>
      <c r="B1412" s="39" t="n"/>
      <c r="C1412" s="33" t="n"/>
      <c r="D1412" s="35" t="n"/>
      <c r="E1412" s="33" t="n"/>
      <c r="F1412" s="33" t="n"/>
      <c r="G1412" s="40" t="n"/>
      <c r="H1412" s="35" t="n"/>
      <c r="I1412" s="35" t="n"/>
      <c r="J1412" s="30">
        <f>IF(B1412="","",DATE(YEAR(B1412),MONTH(B1412),1))</f>
        <v/>
      </c>
      <c r="K1412" s="41">
        <f>IF(OR(B1412="",D1412=""),"",D1412&amp;"|"&amp;TEXT(J1412,"yyyy-mm"))</f>
        <v/>
      </c>
      <c r="L1412" s="24">
        <f>IF(K1412="","",IFERROR(INDEX(Lotes!$N$5:$N$154,MATCH(K1412,Lotes!$P$5:$P$154,0)),"Sem lote cadastrado"))</f>
        <v/>
      </c>
      <c r="M1412" s="25">
        <f>IF(H1412="Sim",G1412,0)</f>
        <v>0</v>
      </c>
      <c r="N1412" s="42">
        <f>IF(AND(H1412="Sim",I1412&lt;&gt;"Aceito"),G1412+ROW()/100000,0)</f>
        <v>0</v>
      </c>
    </row>
    <row r="1413">
      <c r="A1413" s="35" t="n"/>
      <c r="B1413" s="39" t="n"/>
      <c r="C1413" s="33" t="n"/>
      <c r="D1413" s="35" t="n"/>
      <c r="E1413" s="33" t="n"/>
      <c r="F1413" s="33" t="n"/>
      <c r="G1413" s="40" t="n"/>
      <c r="H1413" s="35" t="n"/>
      <c r="I1413" s="35" t="n"/>
      <c r="J1413" s="30">
        <f>IF(B1413="","",DATE(YEAR(B1413),MONTH(B1413),1))</f>
        <v/>
      </c>
      <c r="K1413" s="41">
        <f>IF(OR(B1413="",D1413=""),"",D1413&amp;"|"&amp;TEXT(J1413,"yyyy-mm"))</f>
        <v/>
      </c>
      <c r="L1413" s="24">
        <f>IF(K1413="","",IFERROR(INDEX(Lotes!$N$5:$N$154,MATCH(K1413,Lotes!$P$5:$P$154,0)),"Sem lote cadastrado"))</f>
        <v/>
      </c>
      <c r="M1413" s="25">
        <f>IF(H1413="Sim",G1413,0)</f>
        <v>0</v>
      </c>
      <c r="N1413" s="42">
        <f>IF(AND(H1413="Sim",I1413&lt;&gt;"Aceito"),G1413+ROW()/100000,0)</f>
        <v>0</v>
      </c>
    </row>
    <row r="1414">
      <c r="A1414" s="35" t="n"/>
      <c r="B1414" s="39" t="n"/>
      <c r="C1414" s="33" t="n"/>
      <c r="D1414" s="35" t="n"/>
      <c r="E1414" s="33" t="n"/>
      <c r="F1414" s="33" t="n"/>
      <c r="G1414" s="40" t="n"/>
      <c r="H1414" s="35" t="n"/>
      <c r="I1414" s="35" t="n"/>
      <c r="J1414" s="30">
        <f>IF(B1414="","",DATE(YEAR(B1414),MONTH(B1414),1))</f>
        <v/>
      </c>
      <c r="K1414" s="41">
        <f>IF(OR(B1414="",D1414=""),"",D1414&amp;"|"&amp;TEXT(J1414,"yyyy-mm"))</f>
        <v/>
      </c>
      <c r="L1414" s="24">
        <f>IF(K1414="","",IFERROR(INDEX(Lotes!$N$5:$N$154,MATCH(K1414,Lotes!$P$5:$P$154,0)),"Sem lote cadastrado"))</f>
        <v/>
      </c>
      <c r="M1414" s="25">
        <f>IF(H1414="Sim",G1414,0)</f>
        <v>0</v>
      </c>
      <c r="N1414" s="42">
        <f>IF(AND(H1414="Sim",I1414&lt;&gt;"Aceito"),G1414+ROW()/100000,0)</f>
        <v>0</v>
      </c>
    </row>
    <row r="1415">
      <c r="A1415" s="35" t="n"/>
      <c r="B1415" s="39" t="n"/>
      <c r="C1415" s="33" t="n"/>
      <c r="D1415" s="35" t="n"/>
      <c r="E1415" s="33" t="n"/>
      <c r="F1415" s="33" t="n"/>
      <c r="G1415" s="40" t="n"/>
      <c r="H1415" s="35" t="n"/>
      <c r="I1415" s="35" t="n"/>
      <c r="J1415" s="30">
        <f>IF(B1415="","",DATE(YEAR(B1415),MONTH(B1415),1))</f>
        <v/>
      </c>
      <c r="K1415" s="41">
        <f>IF(OR(B1415="",D1415=""),"",D1415&amp;"|"&amp;TEXT(J1415,"yyyy-mm"))</f>
        <v/>
      </c>
      <c r="L1415" s="24">
        <f>IF(K1415="","",IFERROR(INDEX(Lotes!$N$5:$N$154,MATCH(K1415,Lotes!$P$5:$P$154,0)),"Sem lote cadastrado"))</f>
        <v/>
      </c>
      <c r="M1415" s="25">
        <f>IF(H1415="Sim",G1415,0)</f>
        <v>0</v>
      </c>
      <c r="N1415" s="42">
        <f>IF(AND(H1415="Sim",I1415&lt;&gt;"Aceito"),G1415+ROW()/100000,0)</f>
        <v>0</v>
      </c>
    </row>
    <row r="1416">
      <c r="A1416" s="35" t="n"/>
      <c r="B1416" s="39" t="n"/>
      <c r="C1416" s="33" t="n"/>
      <c r="D1416" s="35" t="n"/>
      <c r="E1416" s="33" t="n"/>
      <c r="F1416" s="33" t="n"/>
      <c r="G1416" s="40" t="n"/>
      <c r="H1416" s="35" t="n"/>
      <c r="I1416" s="35" t="n"/>
      <c r="J1416" s="30">
        <f>IF(B1416="","",DATE(YEAR(B1416),MONTH(B1416),1))</f>
        <v/>
      </c>
      <c r="K1416" s="41">
        <f>IF(OR(B1416="",D1416=""),"",D1416&amp;"|"&amp;TEXT(J1416,"yyyy-mm"))</f>
        <v/>
      </c>
      <c r="L1416" s="24">
        <f>IF(K1416="","",IFERROR(INDEX(Lotes!$N$5:$N$154,MATCH(K1416,Lotes!$P$5:$P$154,0)),"Sem lote cadastrado"))</f>
        <v/>
      </c>
      <c r="M1416" s="25">
        <f>IF(H1416="Sim",G1416,0)</f>
        <v>0</v>
      </c>
      <c r="N1416" s="42">
        <f>IF(AND(H1416="Sim",I1416&lt;&gt;"Aceito"),G1416+ROW()/100000,0)</f>
        <v>0</v>
      </c>
    </row>
    <row r="1417">
      <c r="A1417" s="35" t="n"/>
      <c r="B1417" s="39" t="n"/>
      <c r="C1417" s="33" t="n"/>
      <c r="D1417" s="35" t="n"/>
      <c r="E1417" s="33" t="n"/>
      <c r="F1417" s="33" t="n"/>
      <c r="G1417" s="40" t="n"/>
      <c r="H1417" s="35" t="n"/>
      <c r="I1417" s="35" t="n"/>
      <c r="J1417" s="30">
        <f>IF(B1417="","",DATE(YEAR(B1417),MONTH(B1417),1))</f>
        <v/>
      </c>
      <c r="K1417" s="41">
        <f>IF(OR(B1417="",D1417=""),"",D1417&amp;"|"&amp;TEXT(J1417,"yyyy-mm"))</f>
        <v/>
      </c>
      <c r="L1417" s="24">
        <f>IF(K1417="","",IFERROR(INDEX(Lotes!$N$5:$N$154,MATCH(K1417,Lotes!$P$5:$P$154,0)),"Sem lote cadastrado"))</f>
        <v/>
      </c>
      <c r="M1417" s="25">
        <f>IF(H1417="Sim",G1417,0)</f>
        <v>0</v>
      </c>
      <c r="N1417" s="42">
        <f>IF(AND(H1417="Sim",I1417&lt;&gt;"Aceito"),G1417+ROW()/100000,0)</f>
        <v>0</v>
      </c>
    </row>
    <row r="1418">
      <c r="A1418" s="35" t="n"/>
      <c r="B1418" s="39" t="n"/>
      <c r="C1418" s="33" t="n"/>
      <c r="D1418" s="35" t="n"/>
      <c r="E1418" s="33" t="n"/>
      <c r="F1418" s="33" t="n"/>
      <c r="G1418" s="40" t="n"/>
      <c r="H1418" s="35" t="n"/>
      <c r="I1418" s="35" t="n"/>
      <c r="J1418" s="30">
        <f>IF(B1418="","",DATE(YEAR(B1418),MONTH(B1418),1))</f>
        <v/>
      </c>
      <c r="K1418" s="41">
        <f>IF(OR(B1418="",D1418=""),"",D1418&amp;"|"&amp;TEXT(J1418,"yyyy-mm"))</f>
        <v/>
      </c>
      <c r="L1418" s="24">
        <f>IF(K1418="","",IFERROR(INDEX(Lotes!$N$5:$N$154,MATCH(K1418,Lotes!$P$5:$P$154,0)),"Sem lote cadastrado"))</f>
        <v/>
      </c>
      <c r="M1418" s="25">
        <f>IF(H1418="Sim",G1418,0)</f>
        <v>0</v>
      </c>
      <c r="N1418" s="42">
        <f>IF(AND(H1418="Sim",I1418&lt;&gt;"Aceito"),G1418+ROW()/100000,0)</f>
        <v>0</v>
      </c>
    </row>
    <row r="1419">
      <c r="A1419" s="35" t="n"/>
      <c r="B1419" s="39" t="n"/>
      <c r="C1419" s="33" t="n"/>
      <c r="D1419" s="35" t="n"/>
      <c r="E1419" s="33" t="n"/>
      <c r="F1419" s="33" t="n"/>
      <c r="G1419" s="40" t="n"/>
      <c r="H1419" s="35" t="n"/>
      <c r="I1419" s="35" t="n"/>
      <c r="J1419" s="30">
        <f>IF(B1419="","",DATE(YEAR(B1419),MONTH(B1419),1))</f>
        <v/>
      </c>
      <c r="K1419" s="41">
        <f>IF(OR(B1419="",D1419=""),"",D1419&amp;"|"&amp;TEXT(J1419,"yyyy-mm"))</f>
        <v/>
      </c>
      <c r="L1419" s="24">
        <f>IF(K1419="","",IFERROR(INDEX(Lotes!$N$5:$N$154,MATCH(K1419,Lotes!$P$5:$P$154,0)),"Sem lote cadastrado"))</f>
        <v/>
      </c>
      <c r="M1419" s="25">
        <f>IF(H1419="Sim",G1419,0)</f>
        <v>0</v>
      </c>
      <c r="N1419" s="42">
        <f>IF(AND(H1419="Sim",I1419&lt;&gt;"Aceito"),G1419+ROW()/100000,0)</f>
        <v>0</v>
      </c>
    </row>
    <row r="1420">
      <c r="A1420" s="35" t="n"/>
      <c r="B1420" s="39" t="n"/>
      <c r="C1420" s="33" t="n"/>
      <c r="D1420" s="35" t="n"/>
      <c r="E1420" s="33" t="n"/>
      <c r="F1420" s="33" t="n"/>
      <c r="G1420" s="40" t="n"/>
      <c r="H1420" s="35" t="n"/>
      <c r="I1420" s="35" t="n"/>
      <c r="J1420" s="30">
        <f>IF(B1420="","",DATE(YEAR(B1420),MONTH(B1420),1))</f>
        <v/>
      </c>
      <c r="K1420" s="41">
        <f>IF(OR(B1420="",D1420=""),"",D1420&amp;"|"&amp;TEXT(J1420,"yyyy-mm"))</f>
        <v/>
      </c>
      <c r="L1420" s="24">
        <f>IF(K1420="","",IFERROR(INDEX(Lotes!$N$5:$N$154,MATCH(K1420,Lotes!$P$5:$P$154,0)),"Sem lote cadastrado"))</f>
        <v/>
      </c>
      <c r="M1420" s="25">
        <f>IF(H1420="Sim",G1420,0)</f>
        <v>0</v>
      </c>
      <c r="N1420" s="42">
        <f>IF(AND(H1420="Sim",I1420&lt;&gt;"Aceito"),G1420+ROW()/100000,0)</f>
        <v>0</v>
      </c>
    </row>
    <row r="1421">
      <c r="A1421" s="35" t="n"/>
      <c r="B1421" s="39" t="n"/>
      <c r="C1421" s="33" t="n"/>
      <c r="D1421" s="35" t="n"/>
      <c r="E1421" s="33" t="n"/>
      <c r="F1421" s="33" t="n"/>
      <c r="G1421" s="40" t="n"/>
      <c r="H1421" s="35" t="n"/>
      <c r="I1421" s="35" t="n"/>
      <c r="J1421" s="30">
        <f>IF(B1421="","",DATE(YEAR(B1421),MONTH(B1421),1))</f>
        <v/>
      </c>
      <c r="K1421" s="41">
        <f>IF(OR(B1421="",D1421=""),"",D1421&amp;"|"&amp;TEXT(J1421,"yyyy-mm"))</f>
        <v/>
      </c>
      <c r="L1421" s="24">
        <f>IF(K1421="","",IFERROR(INDEX(Lotes!$N$5:$N$154,MATCH(K1421,Lotes!$P$5:$P$154,0)),"Sem lote cadastrado"))</f>
        <v/>
      </c>
      <c r="M1421" s="25">
        <f>IF(H1421="Sim",G1421,0)</f>
        <v>0</v>
      </c>
      <c r="N1421" s="42">
        <f>IF(AND(H1421="Sim",I1421&lt;&gt;"Aceito"),G1421+ROW()/100000,0)</f>
        <v>0</v>
      </c>
    </row>
    <row r="1422">
      <c r="A1422" s="35" t="n"/>
      <c r="B1422" s="39" t="n"/>
      <c r="C1422" s="33" t="n"/>
      <c r="D1422" s="35" t="n"/>
      <c r="E1422" s="33" t="n"/>
      <c r="F1422" s="33" t="n"/>
      <c r="G1422" s="40" t="n"/>
      <c r="H1422" s="35" t="n"/>
      <c r="I1422" s="35" t="n"/>
      <c r="J1422" s="30">
        <f>IF(B1422="","",DATE(YEAR(B1422),MONTH(B1422),1))</f>
        <v/>
      </c>
      <c r="K1422" s="41">
        <f>IF(OR(B1422="",D1422=""),"",D1422&amp;"|"&amp;TEXT(J1422,"yyyy-mm"))</f>
        <v/>
      </c>
      <c r="L1422" s="24">
        <f>IF(K1422="","",IFERROR(INDEX(Lotes!$N$5:$N$154,MATCH(K1422,Lotes!$P$5:$P$154,0)),"Sem lote cadastrado"))</f>
        <v/>
      </c>
      <c r="M1422" s="25">
        <f>IF(H1422="Sim",G1422,0)</f>
        <v>0</v>
      </c>
      <c r="N1422" s="42">
        <f>IF(AND(H1422="Sim",I1422&lt;&gt;"Aceito"),G1422+ROW()/100000,0)</f>
        <v>0</v>
      </c>
    </row>
    <row r="1423">
      <c r="A1423" s="35" t="n"/>
      <c r="B1423" s="39" t="n"/>
      <c r="C1423" s="33" t="n"/>
      <c r="D1423" s="35" t="n"/>
      <c r="E1423" s="33" t="n"/>
      <c r="F1423" s="33" t="n"/>
      <c r="G1423" s="40" t="n"/>
      <c r="H1423" s="35" t="n"/>
      <c r="I1423" s="35" t="n"/>
      <c r="J1423" s="30">
        <f>IF(B1423="","",DATE(YEAR(B1423),MONTH(B1423),1))</f>
        <v/>
      </c>
      <c r="K1423" s="41">
        <f>IF(OR(B1423="",D1423=""),"",D1423&amp;"|"&amp;TEXT(J1423,"yyyy-mm"))</f>
        <v/>
      </c>
      <c r="L1423" s="24">
        <f>IF(K1423="","",IFERROR(INDEX(Lotes!$N$5:$N$154,MATCH(K1423,Lotes!$P$5:$P$154,0)),"Sem lote cadastrado"))</f>
        <v/>
      </c>
      <c r="M1423" s="25">
        <f>IF(H1423="Sim",G1423,0)</f>
        <v>0</v>
      </c>
      <c r="N1423" s="42">
        <f>IF(AND(H1423="Sim",I1423&lt;&gt;"Aceito"),G1423+ROW()/100000,0)</f>
        <v>0</v>
      </c>
    </row>
    <row r="1424">
      <c r="A1424" s="35" t="n"/>
      <c r="B1424" s="39" t="n"/>
      <c r="C1424" s="33" t="n"/>
      <c r="D1424" s="35" t="n"/>
      <c r="E1424" s="33" t="n"/>
      <c r="F1424" s="33" t="n"/>
      <c r="G1424" s="40" t="n"/>
      <c r="H1424" s="35" t="n"/>
      <c r="I1424" s="35" t="n"/>
      <c r="J1424" s="30">
        <f>IF(B1424="","",DATE(YEAR(B1424),MONTH(B1424),1))</f>
        <v/>
      </c>
      <c r="K1424" s="41">
        <f>IF(OR(B1424="",D1424=""),"",D1424&amp;"|"&amp;TEXT(J1424,"yyyy-mm"))</f>
        <v/>
      </c>
      <c r="L1424" s="24">
        <f>IF(K1424="","",IFERROR(INDEX(Lotes!$N$5:$N$154,MATCH(K1424,Lotes!$P$5:$P$154,0)),"Sem lote cadastrado"))</f>
        <v/>
      </c>
      <c r="M1424" s="25">
        <f>IF(H1424="Sim",G1424,0)</f>
        <v>0</v>
      </c>
      <c r="N1424" s="42">
        <f>IF(AND(H1424="Sim",I1424&lt;&gt;"Aceito"),G1424+ROW()/100000,0)</f>
        <v>0</v>
      </c>
    </row>
    <row r="1425">
      <c r="A1425" s="35" t="n"/>
      <c r="B1425" s="39" t="n"/>
      <c r="C1425" s="33" t="n"/>
      <c r="D1425" s="35" t="n"/>
      <c r="E1425" s="33" t="n"/>
      <c r="F1425" s="33" t="n"/>
      <c r="G1425" s="40" t="n"/>
      <c r="H1425" s="35" t="n"/>
      <c r="I1425" s="35" t="n"/>
      <c r="J1425" s="30">
        <f>IF(B1425="","",DATE(YEAR(B1425),MONTH(B1425),1))</f>
        <v/>
      </c>
      <c r="K1425" s="41">
        <f>IF(OR(B1425="",D1425=""),"",D1425&amp;"|"&amp;TEXT(J1425,"yyyy-mm"))</f>
        <v/>
      </c>
      <c r="L1425" s="24">
        <f>IF(K1425="","",IFERROR(INDEX(Lotes!$N$5:$N$154,MATCH(K1425,Lotes!$P$5:$P$154,0)),"Sem lote cadastrado"))</f>
        <v/>
      </c>
      <c r="M1425" s="25">
        <f>IF(H1425="Sim",G1425,0)</f>
        <v>0</v>
      </c>
      <c r="N1425" s="42">
        <f>IF(AND(H1425="Sim",I1425&lt;&gt;"Aceito"),G1425+ROW()/100000,0)</f>
        <v>0</v>
      </c>
    </row>
    <row r="1426">
      <c r="A1426" s="35" t="n"/>
      <c r="B1426" s="39" t="n"/>
      <c r="C1426" s="33" t="n"/>
      <c r="D1426" s="35" t="n"/>
      <c r="E1426" s="33" t="n"/>
      <c r="F1426" s="33" t="n"/>
      <c r="G1426" s="40" t="n"/>
      <c r="H1426" s="35" t="n"/>
      <c r="I1426" s="35" t="n"/>
      <c r="J1426" s="30">
        <f>IF(B1426="","",DATE(YEAR(B1426),MONTH(B1426),1))</f>
        <v/>
      </c>
      <c r="K1426" s="41">
        <f>IF(OR(B1426="",D1426=""),"",D1426&amp;"|"&amp;TEXT(J1426,"yyyy-mm"))</f>
        <v/>
      </c>
      <c r="L1426" s="24">
        <f>IF(K1426="","",IFERROR(INDEX(Lotes!$N$5:$N$154,MATCH(K1426,Lotes!$P$5:$P$154,0)),"Sem lote cadastrado"))</f>
        <v/>
      </c>
      <c r="M1426" s="25">
        <f>IF(H1426="Sim",G1426,0)</f>
        <v>0</v>
      </c>
      <c r="N1426" s="42">
        <f>IF(AND(H1426="Sim",I1426&lt;&gt;"Aceito"),G1426+ROW()/100000,0)</f>
        <v>0</v>
      </c>
    </row>
    <row r="1427">
      <c r="A1427" s="35" t="n"/>
      <c r="B1427" s="39" t="n"/>
      <c r="C1427" s="33" t="n"/>
      <c r="D1427" s="35" t="n"/>
      <c r="E1427" s="33" t="n"/>
      <c r="F1427" s="33" t="n"/>
      <c r="G1427" s="40" t="n"/>
      <c r="H1427" s="35" t="n"/>
      <c r="I1427" s="35" t="n"/>
      <c r="J1427" s="30">
        <f>IF(B1427="","",DATE(YEAR(B1427),MONTH(B1427),1))</f>
        <v/>
      </c>
      <c r="K1427" s="41">
        <f>IF(OR(B1427="",D1427=""),"",D1427&amp;"|"&amp;TEXT(J1427,"yyyy-mm"))</f>
        <v/>
      </c>
      <c r="L1427" s="24">
        <f>IF(K1427="","",IFERROR(INDEX(Lotes!$N$5:$N$154,MATCH(K1427,Lotes!$P$5:$P$154,0)),"Sem lote cadastrado"))</f>
        <v/>
      </c>
      <c r="M1427" s="25">
        <f>IF(H1427="Sim",G1427,0)</f>
        <v>0</v>
      </c>
      <c r="N1427" s="42">
        <f>IF(AND(H1427="Sim",I1427&lt;&gt;"Aceito"),G1427+ROW()/100000,0)</f>
        <v>0</v>
      </c>
    </row>
    <row r="1428">
      <c r="A1428" s="35" t="n"/>
      <c r="B1428" s="39" t="n"/>
      <c r="C1428" s="33" t="n"/>
      <c r="D1428" s="35" t="n"/>
      <c r="E1428" s="33" t="n"/>
      <c r="F1428" s="33" t="n"/>
      <c r="G1428" s="40" t="n"/>
      <c r="H1428" s="35" t="n"/>
      <c r="I1428" s="35" t="n"/>
      <c r="J1428" s="30">
        <f>IF(B1428="","",DATE(YEAR(B1428),MONTH(B1428),1))</f>
        <v/>
      </c>
      <c r="K1428" s="41">
        <f>IF(OR(B1428="",D1428=""),"",D1428&amp;"|"&amp;TEXT(J1428,"yyyy-mm"))</f>
        <v/>
      </c>
      <c r="L1428" s="24">
        <f>IF(K1428="","",IFERROR(INDEX(Lotes!$N$5:$N$154,MATCH(K1428,Lotes!$P$5:$P$154,0)),"Sem lote cadastrado"))</f>
        <v/>
      </c>
      <c r="M1428" s="25">
        <f>IF(H1428="Sim",G1428,0)</f>
        <v>0</v>
      </c>
      <c r="N1428" s="42">
        <f>IF(AND(H1428="Sim",I1428&lt;&gt;"Aceito"),G1428+ROW()/100000,0)</f>
        <v>0</v>
      </c>
    </row>
    <row r="1429">
      <c r="A1429" s="35" t="n"/>
      <c r="B1429" s="39" t="n"/>
      <c r="C1429" s="33" t="n"/>
      <c r="D1429" s="35" t="n"/>
      <c r="E1429" s="33" t="n"/>
      <c r="F1429" s="33" t="n"/>
      <c r="G1429" s="40" t="n"/>
      <c r="H1429" s="35" t="n"/>
      <c r="I1429" s="35" t="n"/>
      <c r="J1429" s="30">
        <f>IF(B1429="","",DATE(YEAR(B1429),MONTH(B1429),1))</f>
        <v/>
      </c>
      <c r="K1429" s="41">
        <f>IF(OR(B1429="",D1429=""),"",D1429&amp;"|"&amp;TEXT(J1429,"yyyy-mm"))</f>
        <v/>
      </c>
      <c r="L1429" s="24">
        <f>IF(K1429="","",IFERROR(INDEX(Lotes!$N$5:$N$154,MATCH(K1429,Lotes!$P$5:$P$154,0)),"Sem lote cadastrado"))</f>
        <v/>
      </c>
      <c r="M1429" s="25">
        <f>IF(H1429="Sim",G1429,0)</f>
        <v>0</v>
      </c>
      <c r="N1429" s="42">
        <f>IF(AND(H1429="Sim",I1429&lt;&gt;"Aceito"),G1429+ROW()/100000,0)</f>
        <v>0</v>
      </c>
    </row>
    <row r="1430">
      <c r="A1430" s="35" t="n"/>
      <c r="B1430" s="39" t="n"/>
      <c r="C1430" s="33" t="n"/>
      <c r="D1430" s="35" t="n"/>
      <c r="E1430" s="33" t="n"/>
      <c r="F1430" s="33" t="n"/>
      <c r="G1430" s="40" t="n"/>
      <c r="H1430" s="35" t="n"/>
      <c r="I1430" s="35" t="n"/>
      <c r="J1430" s="30">
        <f>IF(B1430="","",DATE(YEAR(B1430),MONTH(B1430),1))</f>
        <v/>
      </c>
      <c r="K1430" s="41">
        <f>IF(OR(B1430="",D1430=""),"",D1430&amp;"|"&amp;TEXT(J1430,"yyyy-mm"))</f>
        <v/>
      </c>
      <c r="L1430" s="24">
        <f>IF(K1430="","",IFERROR(INDEX(Lotes!$N$5:$N$154,MATCH(K1430,Lotes!$P$5:$P$154,0)),"Sem lote cadastrado"))</f>
        <v/>
      </c>
      <c r="M1430" s="25">
        <f>IF(H1430="Sim",G1430,0)</f>
        <v>0</v>
      </c>
      <c r="N1430" s="42">
        <f>IF(AND(H1430="Sim",I1430&lt;&gt;"Aceito"),G1430+ROW()/100000,0)</f>
        <v>0</v>
      </c>
    </row>
    <row r="1431">
      <c r="A1431" s="35" t="n"/>
      <c r="B1431" s="39" t="n"/>
      <c r="C1431" s="33" t="n"/>
      <c r="D1431" s="35" t="n"/>
      <c r="E1431" s="33" t="n"/>
      <c r="F1431" s="33" t="n"/>
      <c r="G1431" s="40" t="n"/>
      <c r="H1431" s="35" t="n"/>
      <c r="I1431" s="35" t="n"/>
      <c r="J1431" s="30">
        <f>IF(B1431="","",DATE(YEAR(B1431),MONTH(B1431),1))</f>
        <v/>
      </c>
      <c r="K1431" s="41">
        <f>IF(OR(B1431="",D1431=""),"",D1431&amp;"|"&amp;TEXT(J1431,"yyyy-mm"))</f>
        <v/>
      </c>
      <c r="L1431" s="24">
        <f>IF(K1431="","",IFERROR(INDEX(Lotes!$N$5:$N$154,MATCH(K1431,Lotes!$P$5:$P$154,0)),"Sem lote cadastrado"))</f>
        <v/>
      </c>
      <c r="M1431" s="25">
        <f>IF(H1431="Sim",G1431,0)</f>
        <v>0</v>
      </c>
      <c r="N1431" s="42">
        <f>IF(AND(H1431="Sim",I1431&lt;&gt;"Aceito"),G1431+ROW()/100000,0)</f>
        <v>0</v>
      </c>
    </row>
    <row r="1432">
      <c r="A1432" s="35" t="n"/>
      <c r="B1432" s="39" t="n"/>
      <c r="C1432" s="33" t="n"/>
      <c r="D1432" s="35" t="n"/>
      <c r="E1432" s="33" t="n"/>
      <c r="F1432" s="33" t="n"/>
      <c r="G1432" s="40" t="n"/>
      <c r="H1432" s="35" t="n"/>
      <c r="I1432" s="35" t="n"/>
      <c r="J1432" s="30">
        <f>IF(B1432="","",DATE(YEAR(B1432),MONTH(B1432),1))</f>
        <v/>
      </c>
      <c r="K1432" s="41">
        <f>IF(OR(B1432="",D1432=""),"",D1432&amp;"|"&amp;TEXT(J1432,"yyyy-mm"))</f>
        <v/>
      </c>
      <c r="L1432" s="24">
        <f>IF(K1432="","",IFERROR(INDEX(Lotes!$N$5:$N$154,MATCH(K1432,Lotes!$P$5:$P$154,0)),"Sem lote cadastrado"))</f>
        <v/>
      </c>
      <c r="M1432" s="25">
        <f>IF(H1432="Sim",G1432,0)</f>
        <v>0</v>
      </c>
      <c r="N1432" s="42">
        <f>IF(AND(H1432="Sim",I1432&lt;&gt;"Aceito"),G1432+ROW()/100000,0)</f>
        <v>0</v>
      </c>
    </row>
    <row r="1433">
      <c r="A1433" s="35" t="n"/>
      <c r="B1433" s="39" t="n"/>
      <c r="C1433" s="33" t="n"/>
      <c r="D1433" s="35" t="n"/>
      <c r="E1433" s="33" t="n"/>
      <c r="F1433" s="33" t="n"/>
      <c r="G1433" s="40" t="n"/>
      <c r="H1433" s="35" t="n"/>
      <c r="I1433" s="35" t="n"/>
      <c r="J1433" s="30">
        <f>IF(B1433="","",DATE(YEAR(B1433),MONTH(B1433),1))</f>
        <v/>
      </c>
      <c r="K1433" s="41">
        <f>IF(OR(B1433="",D1433=""),"",D1433&amp;"|"&amp;TEXT(J1433,"yyyy-mm"))</f>
        <v/>
      </c>
      <c r="L1433" s="24">
        <f>IF(K1433="","",IFERROR(INDEX(Lotes!$N$5:$N$154,MATCH(K1433,Lotes!$P$5:$P$154,0)),"Sem lote cadastrado"))</f>
        <v/>
      </c>
      <c r="M1433" s="25">
        <f>IF(H1433="Sim",G1433,0)</f>
        <v>0</v>
      </c>
      <c r="N1433" s="42">
        <f>IF(AND(H1433="Sim",I1433&lt;&gt;"Aceito"),G1433+ROW()/100000,0)</f>
        <v>0</v>
      </c>
    </row>
    <row r="1434">
      <c r="A1434" s="35" t="n"/>
      <c r="B1434" s="39" t="n"/>
      <c r="C1434" s="33" t="n"/>
      <c r="D1434" s="35" t="n"/>
      <c r="E1434" s="33" t="n"/>
      <c r="F1434" s="33" t="n"/>
      <c r="G1434" s="40" t="n"/>
      <c r="H1434" s="35" t="n"/>
      <c r="I1434" s="35" t="n"/>
      <c r="J1434" s="30">
        <f>IF(B1434="","",DATE(YEAR(B1434),MONTH(B1434),1))</f>
        <v/>
      </c>
      <c r="K1434" s="41">
        <f>IF(OR(B1434="",D1434=""),"",D1434&amp;"|"&amp;TEXT(J1434,"yyyy-mm"))</f>
        <v/>
      </c>
      <c r="L1434" s="24">
        <f>IF(K1434="","",IFERROR(INDEX(Lotes!$N$5:$N$154,MATCH(K1434,Lotes!$P$5:$P$154,0)),"Sem lote cadastrado"))</f>
        <v/>
      </c>
      <c r="M1434" s="25">
        <f>IF(H1434="Sim",G1434,0)</f>
        <v>0</v>
      </c>
      <c r="N1434" s="42">
        <f>IF(AND(H1434="Sim",I1434&lt;&gt;"Aceito"),G1434+ROW()/100000,0)</f>
        <v>0</v>
      </c>
    </row>
    <row r="1435">
      <c r="A1435" s="35" t="n"/>
      <c r="B1435" s="39" t="n"/>
      <c r="C1435" s="33" t="n"/>
      <c r="D1435" s="35" t="n"/>
      <c r="E1435" s="33" t="n"/>
      <c r="F1435" s="33" t="n"/>
      <c r="G1435" s="40" t="n"/>
      <c r="H1435" s="35" t="n"/>
      <c r="I1435" s="35" t="n"/>
      <c r="J1435" s="30">
        <f>IF(B1435="","",DATE(YEAR(B1435),MONTH(B1435),1))</f>
        <v/>
      </c>
      <c r="K1435" s="41">
        <f>IF(OR(B1435="",D1435=""),"",D1435&amp;"|"&amp;TEXT(J1435,"yyyy-mm"))</f>
        <v/>
      </c>
      <c r="L1435" s="24">
        <f>IF(K1435="","",IFERROR(INDEX(Lotes!$N$5:$N$154,MATCH(K1435,Lotes!$P$5:$P$154,0)),"Sem lote cadastrado"))</f>
        <v/>
      </c>
      <c r="M1435" s="25">
        <f>IF(H1435="Sim",G1435,0)</f>
        <v>0</v>
      </c>
      <c r="N1435" s="42">
        <f>IF(AND(H1435="Sim",I1435&lt;&gt;"Aceito"),G1435+ROW()/100000,0)</f>
        <v>0</v>
      </c>
    </row>
    <row r="1436">
      <c r="A1436" s="35" t="n"/>
      <c r="B1436" s="39" t="n"/>
      <c r="C1436" s="33" t="n"/>
      <c r="D1436" s="35" t="n"/>
      <c r="E1436" s="33" t="n"/>
      <c r="F1436" s="33" t="n"/>
      <c r="G1436" s="40" t="n"/>
      <c r="H1436" s="35" t="n"/>
      <c r="I1436" s="35" t="n"/>
      <c r="J1436" s="30">
        <f>IF(B1436="","",DATE(YEAR(B1436),MONTH(B1436),1))</f>
        <v/>
      </c>
      <c r="K1436" s="41">
        <f>IF(OR(B1436="",D1436=""),"",D1436&amp;"|"&amp;TEXT(J1436,"yyyy-mm"))</f>
        <v/>
      </c>
      <c r="L1436" s="24">
        <f>IF(K1436="","",IFERROR(INDEX(Lotes!$N$5:$N$154,MATCH(K1436,Lotes!$P$5:$P$154,0)),"Sem lote cadastrado"))</f>
        <v/>
      </c>
      <c r="M1436" s="25">
        <f>IF(H1436="Sim",G1436,0)</f>
        <v>0</v>
      </c>
      <c r="N1436" s="42">
        <f>IF(AND(H1436="Sim",I1436&lt;&gt;"Aceito"),G1436+ROW()/100000,0)</f>
        <v>0</v>
      </c>
    </row>
    <row r="1437">
      <c r="A1437" s="35" t="n"/>
      <c r="B1437" s="39" t="n"/>
      <c r="C1437" s="33" t="n"/>
      <c r="D1437" s="35" t="n"/>
      <c r="E1437" s="33" t="n"/>
      <c r="F1437" s="33" t="n"/>
      <c r="G1437" s="40" t="n"/>
      <c r="H1437" s="35" t="n"/>
      <c r="I1437" s="35" t="n"/>
      <c r="J1437" s="30">
        <f>IF(B1437="","",DATE(YEAR(B1437),MONTH(B1437),1))</f>
        <v/>
      </c>
      <c r="K1437" s="41">
        <f>IF(OR(B1437="",D1437=""),"",D1437&amp;"|"&amp;TEXT(J1437,"yyyy-mm"))</f>
        <v/>
      </c>
      <c r="L1437" s="24">
        <f>IF(K1437="","",IFERROR(INDEX(Lotes!$N$5:$N$154,MATCH(K1437,Lotes!$P$5:$P$154,0)),"Sem lote cadastrado"))</f>
        <v/>
      </c>
      <c r="M1437" s="25">
        <f>IF(H1437="Sim",G1437,0)</f>
        <v>0</v>
      </c>
      <c r="N1437" s="42">
        <f>IF(AND(H1437="Sim",I1437&lt;&gt;"Aceito"),G1437+ROW()/100000,0)</f>
        <v>0</v>
      </c>
    </row>
    <row r="1438">
      <c r="A1438" s="35" t="n"/>
      <c r="B1438" s="39" t="n"/>
      <c r="C1438" s="33" t="n"/>
      <c r="D1438" s="35" t="n"/>
      <c r="E1438" s="33" t="n"/>
      <c r="F1438" s="33" t="n"/>
      <c r="G1438" s="40" t="n"/>
      <c r="H1438" s="35" t="n"/>
      <c r="I1438" s="35" t="n"/>
      <c r="J1438" s="30">
        <f>IF(B1438="","",DATE(YEAR(B1438),MONTH(B1438),1))</f>
        <v/>
      </c>
      <c r="K1438" s="41">
        <f>IF(OR(B1438="",D1438=""),"",D1438&amp;"|"&amp;TEXT(J1438,"yyyy-mm"))</f>
        <v/>
      </c>
      <c r="L1438" s="24">
        <f>IF(K1438="","",IFERROR(INDEX(Lotes!$N$5:$N$154,MATCH(K1438,Lotes!$P$5:$P$154,0)),"Sem lote cadastrado"))</f>
        <v/>
      </c>
      <c r="M1438" s="25">
        <f>IF(H1438="Sim",G1438,0)</f>
        <v>0</v>
      </c>
      <c r="N1438" s="42">
        <f>IF(AND(H1438="Sim",I1438&lt;&gt;"Aceito"),G1438+ROW()/100000,0)</f>
        <v>0</v>
      </c>
    </row>
    <row r="1439">
      <c r="A1439" s="35" t="n"/>
      <c r="B1439" s="39" t="n"/>
      <c r="C1439" s="33" t="n"/>
      <c r="D1439" s="35" t="n"/>
      <c r="E1439" s="33" t="n"/>
      <c r="F1439" s="33" t="n"/>
      <c r="G1439" s="40" t="n"/>
      <c r="H1439" s="35" t="n"/>
      <c r="I1439" s="35" t="n"/>
      <c r="J1439" s="30">
        <f>IF(B1439="","",DATE(YEAR(B1439),MONTH(B1439),1))</f>
        <v/>
      </c>
      <c r="K1439" s="41">
        <f>IF(OR(B1439="",D1439=""),"",D1439&amp;"|"&amp;TEXT(J1439,"yyyy-mm"))</f>
        <v/>
      </c>
      <c r="L1439" s="24">
        <f>IF(K1439="","",IFERROR(INDEX(Lotes!$N$5:$N$154,MATCH(K1439,Lotes!$P$5:$P$154,0)),"Sem lote cadastrado"))</f>
        <v/>
      </c>
      <c r="M1439" s="25">
        <f>IF(H1439="Sim",G1439,0)</f>
        <v>0</v>
      </c>
      <c r="N1439" s="42">
        <f>IF(AND(H1439="Sim",I1439&lt;&gt;"Aceito"),G1439+ROW()/100000,0)</f>
        <v>0</v>
      </c>
    </row>
    <row r="1440">
      <c r="A1440" s="35" t="n"/>
      <c r="B1440" s="39" t="n"/>
      <c r="C1440" s="33" t="n"/>
      <c r="D1440" s="35" t="n"/>
      <c r="E1440" s="33" t="n"/>
      <c r="F1440" s="33" t="n"/>
      <c r="G1440" s="40" t="n"/>
      <c r="H1440" s="35" t="n"/>
      <c r="I1440" s="35" t="n"/>
      <c r="J1440" s="30">
        <f>IF(B1440="","",DATE(YEAR(B1440),MONTH(B1440),1))</f>
        <v/>
      </c>
      <c r="K1440" s="41">
        <f>IF(OR(B1440="",D1440=""),"",D1440&amp;"|"&amp;TEXT(J1440,"yyyy-mm"))</f>
        <v/>
      </c>
      <c r="L1440" s="24">
        <f>IF(K1440="","",IFERROR(INDEX(Lotes!$N$5:$N$154,MATCH(K1440,Lotes!$P$5:$P$154,0)),"Sem lote cadastrado"))</f>
        <v/>
      </c>
      <c r="M1440" s="25">
        <f>IF(H1440="Sim",G1440,0)</f>
        <v>0</v>
      </c>
      <c r="N1440" s="42">
        <f>IF(AND(H1440="Sim",I1440&lt;&gt;"Aceito"),G1440+ROW()/100000,0)</f>
        <v>0</v>
      </c>
    </row>
    <row r="1441">
      <c r="A1441" s="35" t="n"/>
      <c r="B1441" s="39" t="n"/>
      <c r="C1441" s="33" t="n"/>
      <c r="D1441" s="35" t="n"/>
      <c r="E1441" s="33" t="n"/>
      <c r="F1441" s="33" t="n"/>
      <c r="G1441" s="40" t="n"/>
      <c r="H1441" s="35" t="n"/>
      <c r="I1441" s="35" t="n"/>
      <c r="J1441" s="30">
        <f>IF(B1441="","",DATE(YEAR(B1441),MONTH(B1441),1))</f>
        <v/>
      </c>
      <c r="K1441" s="41">
        <f>IF(OR(B1441="",D1441=""),"",D1441&amp;"|"&amp;TEXT(J1441,"yyyy-mm"))</f>
        <v/>
      </c>
      <c r="L1441" s="24">
        <f>IF(K1441="","",IFERROR(INDEX(Lotes!$N$5:$N$154,MATCH(K1441,Lotes!$P$5:$P$154,0)),"Sem lote cadastrado"))</f>
        <v/>
      </c>
      <c r="M1441" s="25">
        <f>IF(H1441="Sim",G1441,0)</f>
        <v>0</v>
      </c>
      <c r="N1441" s="42">
        <f>IF(AND(H1441="Sim",I1441&lt;&gt;"Aceito"),G1441+ROW()/100000,0)</f>
        <v>0</v>
      </c>
    </row>
    <row r="1442">
      <c r="A1442" s="35" t="n"/>
      <c r="B1442" s="39" t="n"/>
      <c r="C1442" s="33" t="n"/>
      <c r="D1442" s="35" t="n"/>
      <c r="E1442" s="33" t="n"/>
      <c r="F1442" s="33" t="n"/>
      <c r="G1442" s="40" t="n"/>
      <c r="H1442" s="35" t="n"/>
      <c r="I1442" s="35" t="n"/>
      <c r="J1442" s="30">
        <f>IF(B1442="","",DATE(YEAR(B1442),MONTH(B1442),1))</f>
        <v/>
      </c>
      <c r="K1442" s="41">
        <f>IF(OR(B1442="",D1442=""),"",D1442&amp;"|"&amp;TEXT(J1442,"yyyy-mm"))</f>
        <v/>
      </c>
      <c r="L1442" s="24">
        <f>IF(K1442="","",IFERROR(INDEX(Lotes!$N$5:$N$154,MATCH(K1442,Lotes!$P$5:$P$154,0)),"Sem lote cadastrado"))</f>
        <v/>
      </c>
      <c r="M1442" s="25">
        <f>IF(H1442="Sim",G1442,0)</f>
        <v>0</v>
      </c>
      <c r="N1442" s="42">
        <f>IF(AND(H1442="Sim",I1442&lt;&gt;"Aceito"),G1442+ROW()/100000,0)</f>
        <v>0</v>
      </c>
    </row>
    <row r="1443">
      <c r="A1443" s="35" t="n"/>
      <c r="B1443" s="39" t="n"/>
      <c r="C1443" s="33" t="n"/>
      <c r="D1443" s="35" t="n"/>
      <c r="E1443" s="33" t="n"/>
      <c r="F1443" s="33" t="n"/>
      <c r="G1443" s="40" t="n"/>
      <c r="H1443" s="35" t="n"/>
      <c r="I1443" s="35" t="n"/>
      <c r="J1443" s="30">
        <f>IF(B1443="","",DATE(YEAR(B1443),MONTH(B1443),1))</f>
        <v/>
      </c>
      <c r="K1443" s="41">
        <f>IF(OR(B1443="",D1443=""),"",D1443&amp;"|"&amp;TEXT(J1443,"yyyy-mm"))</f>
        <v/>
      </c>
      <c r="L1443" s="24">
        <f>IF(K1443="","",IFERROR(INDEX(Lotes!$N$5:$N$154,MATCH(K1443,Lotes!$P$5:$P$154,0)),"Sem lote cadastrado"))</f>
        <v/>
      </c>
      <c r="M1443" s="25">
        <f>IF(H1443="Sim",G1443,0)</f>
        <v>0</v>
      </c>
      <c r="N1443" s="42">
        <f>IF(AND(H1443="Sim",I1443&lt;&gt;"Aceito"),G1443+ROW()/100000,0)</f>
        <v>0</v>
      </c>
    </row>
    <row r="1444">
      <c r="A1444" s="35" t="n"/>
      <c r="B1444" s="39" t="n"/>
      <c r="C1444" s="33" t="n"/>
      <c r="D1444" s="35" t="n"/>
      <c r="E1444" s="33" t="n"/>
      <c r="F1444" s="33" t="n"/>
      <c r="G1444" s="40" t="n"/>
      <c r="H1444" s="35" t="n"/>
      <c r="I1444" s="35" t="n"/>
      <c r="J1444" s="30">
        <f>IF(B1444="","",DATE(YEAR(B1444),MONTH(B1444),1))</f>
        <v/>
      </c>
      <c r="K1444" s="41">
        <f>IF(OR(B1444="",D1444=""),"",D1444&amp;"|"&amp;TEXT(J1444,"yyyy-mm"))</f>
        <v/>
      </c>
      <c r="L1444" s="24">
        <f>IF(K1444="","",IFERROR(INDEX(Lotes!$N$5:$N$154,MATCH(K1444,Lotes!$P$5:$P$154,0)),"Sem lote cadastrado"))</f>
        <v/>
      </c>
      <c r="M1444" s="25">
        <f>IF(H1444="Sim",G1444,0)</f>
        <v>0</v>
      </c>
      <c r="N1444" s="42">
        <f>IF(AND(H1444="Sim",I1444&lt;&gt;"Aceito"),G1444+ROW()/100000,0)</f>
        <v>0</v>
      </c>
    </row>
    <row r="1445">
      <c r="A1445" s="35" t="n"/>
      <c r="B1445" s="39" t="n"/>
      <c r="C1445" s="33" t="n"/>
      <c r="D1445" s="35" t="n"/>
      <c r="E1445" s="33" t="n"/>
      <c r="F1445" s="33" t="n"/>
      <c r="G1445" s="40" t="n"/>
      <c r="H1445" s="35" t="n"/>
      <c r="I1445" s="35" t="n"/>
      <c r="J1445" s="30">
        <f>IF(B1445="","",DATE(YEAR(B1445),MONTH(B1445),1))</f>
        <v/>
      </c>
      <c r="K1445" s="41">
        <f>IF(OR(B1445="",D1445=""),"",D1445&amp;"|"&amp;TEXT(J1445,"yyyy-mm"))</f>
        <v/>
      </c>
      <c r="L1445" s="24">
        <f>IF(K1445="","",IFERROR(INDEX(Lotes!$N$5:$N$154,MATCH(K1445,Lotes!$P$5:$P$154,0)),"Sem lote cadastrado"))</f>
        <v/>
      </c>
      <c r="M1445" s="25">
        <f>IF(H1445="Sim",G1445,0)</f>
        <v>0</v>
      </c>
      <c r="N1445" s="42">
        <f>IF(AND(H1445="Sim",I1445&lt;&gt;"Aceito"),G1445+ROW()/100000,0)</f>
        <v>0</v>
      </c>
    </row>
    <row r="1446">
      <c r="A1446" s="35" t="n"/>
      <c r="B1446" s="39" t="n"/>
      <c r="C1446" s="33" t="n"/>
      <c r="D1446" s="35" t="n"/>
      <c r="E1446" s="33" t="n"/>
      <c r="F1446" s="33" t="n"/>
      <c r="G1446" s="40" t="n"/>
      <c r="H1446" s="35" t="n"/>
      <c r="I1446" s="35" t="n"/>
      <c r="J1446" s="30">
        <f>IF(B1446="","",DATE(YEAR(B1446),MONTH(B1446),1))</f>
        <v/>
      </c>
      <c r="K1446" s="41">
        <f>IF(OR(B1446="",D1446=""),"",D1446&amp;"|"&amp;TEXT(J1446,"yyyy-mm"))</f>
        <v/>
      </c>
      <c r="L1446" s="24">
        <f>IF(K1446="","",IFERROR(INDEX(Lotes!$N$5:$N$154,MATCH(K1446,Lotes!$P$5:$P$154,0)),"Sem lote cadastrado"))</f>
        <v/>
      </c>
      <c r="M1446" s="25">
        <f>IF(H1446="Sim",G1446,0)</f>
        <v>0</v>
      </c>
      <c r="N1446" s="42">
        <f>IF(AND(H1446="Sim",I1446&lt;&gt;"Aceito"),G1446+ROW()/100000,0)</f>
        <v>0</v>
      </c>
    </row>
    <row r="1447">
      <c r="A1447" s="35" t="n"/>
      <c r="B1447" s="39" t="n"/>
      <c r="C1447" s="33" t="n"/>
      <c r="D1447" s="35" t="n"/>
      <c r="E1447" s="33" t="n"/>
      <c r="F1447" s="33" t="n"/>
      <c r="G1447" s="40" t="n"/>
      <c r="H1447" s="35" t="n"/>
      <c r="I1447" s="35" t="n"/>
      <c r="J1447" s="30">
        <f>IF(B1447="","",DATE(YEAR(B1447),MONTH(B1447),1))</f>
        <v/>
      </c>
      <c r="K1447" s="41">
        <f>IF(OR(B1447="",D1447=""),"",D1447&amp;"|"&amp;TEXT(J1447,"yyyy-mm"))</f>
        <v/>
      </c>
      <c r="L1447" s="24">
        <f>IF(K1447="","",IFERROR(INDEX(Lotes!$N$5:$N$154,MATCH(K1447,Lotes!$P$5:$P$154,0)),"Sem lote cadastrado"))</f>
        <v/>
      </c>
      <c r="M1447" s="25">
        <f>IF(H1447="Sim",G1447,0)</f>
        <v>0</v>
      </c>
      <c r="N1447" s="42">
        <f>IF(AND(H1447="Sim",I1447&lt;&gt;"Aceito"),G1447+ROW()/100000,0)</f>
        <v>0</v>
      </c>
    </row>
    <row r="1448">
      <c r="A1448" s="35" t="n"/>
      <c r="B1448" s="39" t="n"/>
      <c r="C1448" s="33" t="n"/>
      <c r="D1448" s="35" t="n"/>
      <c r="E1448" s="33" t="n"/>
      <c r="F1448" s="33" t="n"/>
      <c r="G1448" s="40" t="n"/>
      <c r="H1448" s="35" t="n"/>
      <c r="I1448" s="35" t="n"/>
      <c r="J1448" s="30">
        <f>IF(B1448="","",DATE(YEAR(B1448),MONTH(B1448),1))</f>
        <v/>
      </c>
      <c r="K1448" s="41">
        <f>IF(OR(B1448="",D1448=""),"",D1448&amp;"|"&amp;TEXT(J1448,"yyyy-mm"))</f>
        <v/>
      </c>
      <c r="L1448" s="24">
        <f>IF(K1448="","",IFERROR(INDEX(Lotes!$N$5:$N$154,MATCH(K1448,Lotes!$P$5:$P$154,0)),"Sem lote cadastrado"))</f>
        <v/>
      </c>
      <c r="M1448" s="25">
        <f>IF(H1448="Sim",G1448,0)</f>
        <v>0</v>
      </c>
      <c r="N1448" s="42">
        <f>IF(AND(H1448="Sim",I1448&lt;&gt;"Aceito"),G1448+ROW()/100000,0)</f>
        <v>0</v>
      </c>
    </row>
    <row r="1449">
      <c r="A1449" s="35" t="n"/>
      <c r="B1449" s="39" t="n"/>
      <c r="C1449" s="33" t="n"/>
      <c r="D1449" s="35" t="n"/>
      <c r="E1449" s="33" t="n"/>
      <c r="F1449" s="33" t="n"/>
      <c r="G1449" s="40" t="n"/>
      <c r="H1449" s="35" t="n"/>
      <c r="I1449" s="35" t="n"/>
      <c r="J1449" s="30">
        <f>IF(B1449="","",DATE(YEAR(B1449),MONTH(B1449),1))</f>
        <v/>
      </c>
      <c r="K1449" s="41">
        <f>IF(OR(B1449="",D1449=""),"",D1449&amp;"|"&amp;TEXT(J1449,"yyyy-mm"))</f>
        <v/>
      </c>
      <c r="L1449" s="24">
        <f>IF(K1449="","",IFERROR(INDEX(Lotes!$N$5:$N$154,MATCH(K1449,Lotes!$P$5:$P$154,0)),"Sem lote cadastrado"))</f>
        <v/>
      </c>
      <c r="M1449" s="25">
        <f>IF(H1449="Sim",G1449,0)</f>
        <v>0</v>
      </c>
      <c r="N1449" s="42">
        <f>IF(AND(H1449="Sim",I1449&lt;&gt;"Aceito"),G1449+ROW()/100000,0)</f>
        <v>0</v>
      </c>
    </row>
    <row r="1450">
      <c r="A1450" s="35" t="n"/>
      <c r="B1450" s="39" t="n"/>
      <c r="C1450" s="33" t="n"/>
      <c r="D1450" s="35" t="n"/>
      <c r="E1450" s="33" t="n"/>
      <c r="F1450" s="33" t="n"/>
      <c r="G1450" s="40" t="n"/>
      <c r="H1450" s="35" t="n"/>
      <c r="I1450" s="35" t="n"/>
      <c r="J1450" s="30">
        <f>IF(B1450="","",DATE(YEAR(B1450),MONTH(B1450),1))</f>
        <v/>
      </c>
      <c r="K1450" s="41">
        <f>IF(OR(B1450="",D1450=""),"",D1450&amp;"|"&amp;TEXT(J1450,"yyyy-mm"))</f>
        <v/>
      </c>
      <c r="L1450" s="24">
        <f>IF(K1450="","",IFERROR(INDEX(Lotes!$N$5:$N$154,MATCH(K1450,Lotes!$P$5:$P$154,0)),"Sem lote cadastrado"))</f>
        <v/>
      </c>
      <c r="M1450" s="25">
        <f>IF(H1450="Sim",G1450,0)</f>
        <v>0</v>
      </c>
      <c r="N1450" s="42">
        <f>IF(AND(H1450="Sim",I1450&lt;&gt;"Aceito"),G1450+ROW()/100000,0)</f>
        <v>0</v>
      </c>
    </row>
    <row r="1451">
      <c r="A1451" s="35" t="n"/>
      <c r="B1451" s="39" t="n"/>
      <c r="C1451" s="33" t="n"/>
      <c r="D1451" s="35" t="n"/>
      <c r="E1451" s="33" t="n"/>
      <c r="F1451" s="33" t="n"/>
      <c r="G1451" s="40" t="n"/>
      <c r="H1451" s="35" t="n"/>
      <c r="I1451" s="35" t="n"/>
      <c r="J1451" s="30">
        <f>IF(B1451="","",DATE(YEAR(B1451),MONTH(B1451),1))</f>
        <v/>
      </c>
      <c r="K1451" s="41">
        <f>IF(OR(B1451="",D1451=""),"",D1451&amp;"|"&amp;TEXT(J1451,"yyyy-mm"))</f>
        <v/>
      </c>
      <c r="L1451" s="24">
        <f>IF(K1451="","",IFERROR(INDEX(Lotes!$N$5:$N$154,MATCH(K1451,Lotes!$P$5:$P$154,0)),"Sem lote cadastrado"))</f>
        <v/>
      </c>
      <c r="M1451" s="25">
        <f>IF(H1451="Sim",G1451,0)</f>
        <v>0</v>
      </c>
      <c r="N1451" s="42">
        <f>IF(AND(H1451="Sim",I1451&lt;&gt;"Aceito"),G1451+ROW()/100000,0)</f>
        <v>0</v>
      </c>
    </row>
    <row r="1452">
      <c r="A1452" s="35" t="n"/>
      <c r="B1452" s="39" t="n"/>
      <c r="C1452" s="33" t="n"/>
      <c r="D1452" s="35" t="n"/>
      <c r="E1452" s="33" t="n"/>
      <c r="F1452" s="33" t="n"/>
      <c r="G1452" s="40" t="n"/>
      <c r="H1452" s="35" t="n"/>
      <c r="I1452" s="35" t="n"/>
      <c r="J1452" s="30">
        <f>IF(B1452="","",DATE(YEAR(B1452),MONTH(B1452),1))</f>
        <v/>
      </c>
      <c r="K1452" s="41">
        <f>IF(OR(B1452="",D1452=""),"",D1452&amp;"|"&amp;TEXT(J1452,"yyyy-mm"))</f>
        <v/>
      </c>
      <c r="L1452" s="24">
        <f>IF(K1452="","",IFERROR(INDEX(Lotes!$N$5:$N$154,MATCH(K1452,Lotes!$P$5:$P$154,0)),"Sem lote cadastrado"))</f>
        <v/>
      </c>
      <c r="M1452" s="25">
        <f>IF(H1452="Sim",G1452,0)</f>
        <v>0</v>
      </c>
      <c r="N1452" s="42">
        <f>IF(AND(H1452="Sim",I1452&lt;&gt;"Aceito"),G1452+ROW()/100000,0)</f>
        <v>0</v>
      </c>
    </row>
    <row r="1453">
      <c r="A1453" s="35" t="n"/>
      <c r="B1453" s="39" t="n"/>
      <c r="C1453" s="33" t="n"/>
      <c r="D1453" s="35" t="n"/>
      <c r="E1453" s="33" t="n"/>
      <c r="F1453" s="33" t="n"/>
      <c r="G1453" s="40" t="n"/>
      <c r="H1453" s="35" t="n"/>
      <c r="I1453" s="35" t="n"/>
      <c r="J1453" s="30">
        <f>IF(B1453="","",DATE(YEAR(B1453),MONTH(B1453),1))</f>
        <v/>
      </c>
      <c r="K1453" s="41">
        <f>IF(OR(B1453="",D1453=""),"",D1453&amp;"|"&amp;TEXT(J1453,"yyyy-mm"))</f>
        <v/>
      </c>
      <c r="L1453" s="24">
        <f>IF(K1453="","",IFERROR(INDEX(Lotes!$N$5:$N$154,MATCH(K1453,Lotes!$P$5:$P$154,0)),"Sem lote cadastrado"))</f>
        <v/>
      </c>
      <c r="M1453" s="25">
        <f>IF(H1453="Sim",G1453,0)</f>
        <v>0</v>
      </c>
      <c r="N1453" s="42">
        <f>IF(AND(H1453="Sim",I1453&lt;&gt;"Aceito"),G1453+ROW()/100000,0)</f>
        <v>0</v>
      </c>
    </row>
    <row r="1454">
      <c r="A1454" s="35" t="n"/>
      <c r="B1454" s="39" t="n"/>
      <c r="C1454" s="33" t="n"/>
      <c r="D1454" s="35" t="n"/>
      <c r="E1454" s="33" t="n"/>
      <c r="F1454" s="33" t="n"/>
      <c r="G1454" s="40" t="n"/>
      <c r="H1454" s="35" t="n"/>
      <c r="I1454" s="35" t="n"/>
      <c r="J1454" s="30">
        <f>IF(B1454="","",DATE(YEAR(B1454),MONTH(B1454),1))</f>
        <v/>
      </c>
      <c r="K1454" s="41">
        <f>IF(OR(B1454="",D1454=""),"",D1454&amp;"|"&amp;TEXT(J1454,"yyyy-mm"))</f>
        <v/>
      </c>
      <c r="L1454" s="24">
        <f>IF(K1454="","",IFERROR(INDEX(Lotes!$N$5:$N$154,MATCH(K1454,Lotes!$P$5:$P$154,0)),"Sem lote cadastrado"))</f>
        <v/>
      </c>
      <c r="M1454" s="25">
        <f>IF(H1454="Sim",G1454,0)</f>
        <v>0</v>
      </c>
      <c r="N1454" s="42">
        <f>IF(AND(H1454="Sim",I1454&lt;&gt;"Aceito"),G1454+ROW()/100000,0)</f>
        <v>0</v>
      </c>
    </row>
    <row r="1455">
      <c r="A1455" s="35" t="n"/>
      <c r="B1455" s="39" t="n"/>
      <c r="C1455" s="33" t="n"/>
      <c r="D1455" s="35" t="n"/>
      <c r="E1455" s="33" t="n"/>
      <c r="F1455" s="33" t="n"/>
      <c r="G1455" s="40" t="n"/>
      <c r="H1455" s="35" t="n"/>
      <c r="I1455" s="35" t="n"/>
      <c r="J1455" s="30">
        <f>IF(B1455="","",DATE(YEAR(B1455),MONTH(B1455),1))</f>
        <v/>
      </c>
      <c r="K1455" s="41">
        <f>IF(OR(B1455="",D1455=""),"",D1455&amp;"|"&amp;TEXT(J1455,"yyyy-mm"))</f>
        <v/>
      </c>
      <c r="L1455" s="24">
        <f>IF(K1455="","",IFERROR(INDEX(Lotes!$N$5:$N$154,MATCH(K1455,Lotes!$P$5:$P$154,0)),"Sem lote cadastrado"))</f>
        <v/>
      </c>
      <c r="M1455" s="25">
        <f>IF(H1455="Sim",G1455,0)</f>
        <v>0</v>
      </c>
      <c r="N1455" s="42">
        <f>IF(AND(H1455="Sim",I1455&lt;&gt;"Aceito"),G1455+ROW()/100000,0)</f>
        <v>0</v>
      </c>
    </row>
    <row r="1456">
      <c r="A1456" s="35" t="n"/>
      <c r="B1456" s="39" t="n"/>
      <c r="C1456" s="33" t="n"/>
      <c r="D1456" s="35" t="n"/>
      <c r="E1456" s="33" t="n"/>
      <c r="F1456" s="33" t="n"/>
      <c r="G1456" s="40" t="n"/>
      <c r="H1456" s="35" t="n"/>
      <c r="I1456" s="35" t="n"/>
      <c r="J1456" s="30">
        <f>IF(B1456="","",DATE(YEAR(B1456),MONTH(B1456),1))</f>
        <v/>
      </c>
      <c r="K1456" s="41">
        <f>IF(OR(B1456="",D1456=""),"",D1456&amp;"|"&amp;TEXT(J1456,"yyyy-mm"))</f>
        <v/>
      </c>
      <c r="L1456" s="24">
        <f>IF(K1456="","",IFERROR(INDEX(Lotes!$N$5:$N$154,MATCH(K1456,Lotes!$P$5:$P$154,0)),"Sem lote cadastrado"))</f>
        <v/>
      </c>
      <c r="M1456" s="25">
        <f>IF(H1456="Sim",G1456,0)</f>
        <v>0</v>
      </c>
      <c r="N1456" s="42">
        <f>IF(AND(H1456="Sim",I1456&lt;&gt;"Aceito"),G1456+ROW()/100000,0)</f>
        <v>0</v>
      </c>
    </row>
    <row r="1457">
      <c r="A1457" s="35" t="n"/>
      <c r="B1457" s="39" t="n"/>
      <c r="C1457" s="33" t="n"/>
      <c r="D1457" s="35" t="n"/>
      <c r="E1457" s="33" t="n"/>
      <c r="F1457" s="33" t="n"/>
      <c r="G1457" s="40" t="n"/>
      <c r="H1457" s="35" t="n"/>
      <c r="I1457" s="35" t="n"/>
      <c r="J1457" s="30">
        <f>IF(B1457="","",DATE(YEAR(B1457),MONTH(B1457),1))</f>
        <v/>
      </c>
      <c r="K1457" s="41">
        <f>IF(OR(B1457="",D1457=""),"",D1457&amp;"|"&amp;TEXT(J1457,"yyyy-mm"))</f>
        <v/>
      </c>
      <c r="L1457" s="24">
        <f>IF(K1457="","",IFERROR(INDEX(Lotes!$N$5:$N$154,MATCH(K1457,Lotes!$P$5:$P$154,0)),"Sem lote cadastrado"))</f>
        <v/>
      </c>
      <c r="M1457" s="25">
        <f>IF(H1457="Sim",G1457,0)</f>
        <v>0</v>
      </c>
      <c r="N1457" s="42">
        <f>IF(AND(H1457="Sim",I1457&lt;&gt;"Aceito"),G1457+ROW()/100000,0)</f>
        <v>0</v>
      </c>
    </row>
    <row r="1458">
      <c r="A1458" s="35" t="n"/>
      <c r="B1458" s="39" t="n"/>
      <c r="C1458" s="33" t="n"/>
      <c r="D1458" s="35" t="n"/>
      <c r="E1458" s="33" t="n"/>
      <c r="F1458" s="33" t="n"/>
      <c r="G1458" s="40" t="n"/>
      <c r="H1458" s="35" t="n"/>
      <c r="I1458" s="35" t="n"/>
      <c r="J1458" s="30">
        <f>IF(B1458="","",DATE(YEAR(B1458),MONTH(B1458),1))</f>
        <v/>
      </c>
      <c r="K1458" s="41">
        <f>IF(OR(B1458="",D1458=""),"",D1458&amp;"|"&amp;TEXT(J1458,"yyyy-mm"))</f>
        <v/>
      </c>
      <c r="L1458" s="24">
        <f>IF(K1458="","",IFERROR(INDEX(Lotes!$N$5:$N$154,MATCH(K1458,Lotes!$P$5:$P$154,0)),"Sem lote cadastrado"))</f>
        <v/>
      </c>
      <c r="M1458" s="25">
        <f>IF(H1458="Sim",G1458,0)</f>
        <v>0</v>
      </c>
      <c r="N1458" s="42">
        <f>IF(AND(H1458="Sim",I1458&lt;&gt;"Aceito"),G1458+ROW()/100000,0)</f>
        <v>0</v>
      </c>
    </row>
    <row r="1459">
      <c r="A1459" s="35" t="n"/>
      <c r="B1459" s="39" t="n"/>
      <c r="C1459" s="33" t="n"/>
      <c r="D1459" s="35" t="n"/>
      <c r="E1459" s="33" t="n"/>
      <c r="F1459" s="33" t="n"/>
      <c r="G1459" s="40" t="n"/>
      <c r="H1459" s="35" t="n"/>
      <c r="I1459" s="35" t="n"/>
      <c r="J1459" s="30">
        <f>IF(B1459="","",DATE(YEAR(B1459),MONTH(B1459),1))</f>
        <v/>
      </c>
      <c r="K1459" s="41">
        <f>IF(OR(B1459="",D1459=""),"",D1459&amp;"|"&amp;TEXT(J1459,"yyyy-mm"))</f>
        <v/>
      </c>
      <c r="L1459" s="24">
        <f>IF(K1459="","",IFERROR(INDEX(Lotes!$N$5:$N$154,MATCH(K1459,Lotes!$P$5:$P$154,0)),"Sem lote cadastrado"))</f>
        <v/>
      </c>
      <c r="M1459" s="25">
        <f>IF(H1459="Sim",G1459,0)</f>
        <v>0</v>
      </c>
      <c r="N1459" s="42">
        <f>IF(AND(H1459="Sim",I1459&lt;&gt;"Aceito"),G1459+ROW()/100000,0)</f>
        <v>0</v>
      </c>
    </row>
    <row r="1460">
      <c r="A1460" s="35" t="n"/>
      <c r="B1460" s="39" t="n"/>
      <c r="C1460" s="33" t="n"/>
      <c r="D1460" s="35" t="n"/>
      <c r="E1460" s="33" t="n"/>
      <c r="F1460" s="33" t="n"/>
      <c r="G1460" s="40" t="n"/>
      <c r="H1460" s="35" t="n"/>
      <c r="I1460" s="35" t="n"/>
      <c r="J1460" s="30">
        <f>IF(B1460="","",DATE(YEAR(B1460),MONTH(B1460),1))</f>
        <v/>
      </c>
      <c r="K1460" s="41">
        <f>IF(OR(B1460="",D1460=""),"",D1460&amp;"|"&amp;TEXT(J1460,"yyyy-mm"))</f>
        <v/>
      </c>
      <c r="L1460" s="24">
        <f>IF(K1460="","",IFERROR(INDEX(Lotes!$N$5:$N$154,MATCH(K1460,Lotes!$P$5:$P$154,0)),"Sem lote cadastrado"))</f>
        <v/>
      </c>
      <c r="M1460" s="25">
        <f>IF(H1460="Sim",G1460,0)</f>
        <v>0</v>
      </c>
      <c r="N1460" s="42">
        <f>IF(AND(H1460="Sim",I1460&lt;&gt;"Aceito"),G1460+ROW()/100000,0)</f>
        <v>0</v>
      </c>
    </row>
    <row r="1461">
      <c r="A1461" s="35" t="n"/>
      <c r="B1461" s="39" t="n"/>
      <c r="C1461" s="33" t="n"/>
      <c r="D1461" s="35" t="n"/>
      <c r="E1461" s="33" t="n"/>
      <c r="F1461" s="33" t="n"/>
      <c r="G1461" s="40" t="n"/>
      <c r="H1461" s="35" t="n"/>
      <c r="I1461" s="35" t="n"/>
      <c r="J1461" s="30">
        <f>IF(B1461="","",DATE(YEAR(B1461),MONTH(B1461),1))</f>
        <v/>
      </c>
      <c r="K1461" s="41">
        <f>IF(OR(B1461="",D1461=""),"",D1461&amp;"|"&amp;TEXT(J1461,"yyyy-mm"))</f>
        <v/>
      </c>
      <c r="L1461" s="24">
        <f>IF(K1461="","",IFERROR(INDEX(Lotes!$N$5:$N$154,MATCH(K1461,Lotes!$P$5:$P$154,0)),"Sem lote cadastrado"))</f>
        <v/>
      </c>
      <c r="M1461" s="25">
        <f>IF(H1461="Sim",G1461,0)</f>
        <v>0</v>
      </c>
      <c r="N1461" s="42">
        <f>IF(AND(H1461="Sim",I1461&lt;&gt;"Aceito"),G1461+ROW()/100000,0)</f>
        <v>0</v>
      </c>
    </row>
    <row r="1462">
      <c r="A1462" s="35" t="n"/>
      <c r="B1462" s="39" t="n"/>
      <c r="C1462" s="33" t="n"/>
      <c r="D1462" s="35" t="n"/>
      <c r="E1462" s="33" t="n"/>
      <c r="F1462" s="33" t="n"/>
      <c r="G1462" s="40" t="n"/>
      <c r="H1462" s="35" t="n"/>
      <c r="I1462" s="35" t="n"/>
      <c r="J1462" s="30">
        <f>IF(B1462="","",DATE(YEAR(B1462),MONTH(B1462),1))</f>
        <v/>
      </c>
      <c r="K1462" s="41">
        <f>IF(OR(B1462="",D1462=""),"",D1462&amp;"|"&amp;TEXT(J1462,"yyyy-mm"))</f>
        <v/>
      </c>
      <c r="L1462" s="24">
        <f>IF(K1462="","",IFERROR(INDEX(Lotes!$N$5:$N$154,MATCH(K1462,Lotes!$P$5:$P$154,0)),"Sem lote cadastrado"))</f>
        <v/>
      </c>
      <c r="M1462" s="25">
        <f>IF(H1462="Sim",G1462,0)</f>
        <v>0</v>
      </c>
      <c r="N1462" s="42">
        <f>IF(AND(H1462="Sim",I1462&lt;&gt;"Aceito"),G1462+ROW()/100000,0)</f>
        <v>0</v>
      </c>
    </row>
    <row r="1463">
      <c r="A1463" s="35" t="n"/>
      <c r="B1463" s="39" t="n"/>
      <c r="C1463" s="33" t="n"/>
      <c r="D1463" s="35" t="n"/>
      <c r="E1463" s="33" t="n"/>
      <c r="F1463" s="33" t="n"/>
      <c r="G1463" s="40" t="n"/>
      <c r="H1463" s="35" t="n"/>
      <c r="I1463" s="35" t="n"/>
      <c r="J1463" s="30">
        <f>IF(B1463="","",DATE(YEAR(B1463),MONTH(B1463),1))</f>
        <v/>
      </c>
      <c r="K1463" s="41">
        <f>IF(OR(B1463="",D1463=""),"",D1463&amp;"|"&amp;TEXT(J1463,"yyyy-mm"))</f>
        <v/>
      </c>
      <c r="L1463" s="24">
        <f>IF(K1463="","",IFERROR(INDEX(Lotes!$N$5:$N$154,MATCH(K1463,Lotes!$P$5:$P$154,0)),"Sem lote cadastrado"))</f>
        <v/>
      </c>
      <c r="M1463" s="25">
        <f>IF(H1463="Sim",G1463,0)</f>
        <v>0</v>
      </c>
      <c r="N1463" s="42">
        <f>IF(AND(H1463="Sim",I1463&lt;&gt;"Aceito"),G1463+ROW()/100000,0)</f>
        <v>0</v>
      </c>
    </row>
    <row r="1464">
      <c r="A1464" s="35" t="n"/>
      <c r="B1464" s="39" t="n"/>
      <c r="C1464" s="33" t="n"/>
      <c r="D1464" s="35" t="n"/>
      <c r="E1464" s="33" t="n"/>
      <c r="F1464" s="33" t="n"/>
      <c r="G1464" s="40" t="n"/>
      <c r="H1464" s="35" t="n"/>
      <c r="I1464" s="35" t="n"/>
      <c r="J1464" s="30">
        <f>IF(B1464="","",DATE(YEAR(B1464),MONTH(B1464),1))</f>
        <v/>
      </c>
      <c r="K1464" s="41">
        <f>IF(OR(B1464="",D1464=""),"",D1464&amp;"|"&amp;TEXT(J1464,"yyyy-mm"))</f>
        <v/>
      </c>
      <c r="L1464" s="24">
        <f>IF(K1464="","",IFERROR(INDEX(Lotes!$N$5:$N$154,MATCH(K1464,Lotes!$P$5:$P$154,0)),"Sem lote cadastrado"))</f>
        <v/>
      </c>
      <c r="M1464" s="25">
        <f>IF(H1464="Sim",G1464,0)</f>
        <v>0</v>
      </c>
      <c r="N1464" s="42">
        <f>IF(AND(H1464="Sim",I1464&lt;&gt;"Aceito"),G1464+ROW()/100000,0)</f>
        <v>0</v>
      </c>
    </row>
    <row r="1465">
      <c r="A1465" s="35" t="n"/>
      <c r="B1465" s="39" t="n"/>
      <c r="C1465" s="33" t="n"/>
      <c r="D1465" s="35" t="n"/>
      <c r="E1465" s="33" t="n"/>
      <c r="F1465" s="33" t="n"/>
      <c r="G1465" s="40" t="n"/>
      <c r="H1465" s="35" t="n"/>
      <c r="I1465" s="35" t="n"/>
      <c r="J1465" s="30">
        <f>IF(B1465="","",DATE(YEAR(B1465),MONTH(B1465),1))</f>
        <v/>
      </c>
      <c r="K1465" s="41">
        <f>IF(OR(B1465="",D1465=""),"",D1465&amp;"|"&amp;TEXT(J1465,"yyyy-mm"))</f>
        <v/>
      </c>
      <c r="L1465" s="24">
        <f>IF(K1465="","",IFERROR(INDEX(Lotes!$N$5:$N$154,MATCH(K1465,Lotes!$P$5:$P$154,0)),"Sem lote cadastrado"))</f>
        <v/>
      </c>
      <c r="M1465" s="25">
        <f>IF(H1465="Sim",G1465,0)</f>
        <v>0</v>
      </c>
      <c r="N1465" s="42">
        <f>IF(AND(H1465="Sim",I1465&lt;&gt;"Aceito"),G1465+ROW()/100000,0)</f>
        <v>0</v>
      </c>
    </row>
    <row r="1466">
      <c r="A1466" s="35" t="n"/>
      <c r="B1466" s="39" t="n"/>
      <c r="C1466" s="33" t="n"/>
      <c r="D1466" s="35" t="n"/>
      <c r="E1466" s="33" t="n"/>
      <c r="F1466" s="33" t="n"/>
      <c r="G1466" s="40" t="n"/>
      <c r="H1466" s="35" t="n"/>
      <c r="I1466" s="35" t="n"/>
      <c r="J1466" s="30">
        <f>IF(B1466="","",DATE(YEAR(B1466),MONTH(B1466),1))</f>
        <v/>
      </c>
      <c r="K1466" s="41">
        <f>IF(OR(B1466="",D1466=""),"",D1466&amp;"|"&amp;TEXT(J1466,"yyyy-mm"))</f>
        <v/>
      </c>
      <c r="L1466" s="24">
        <f>IF(K1466="","",IFERROR(INDEX(Lotes!$N$5:$N$154,MATCH(K1466,Lotes!$P$5:$P$154,0)),"Sem lote cadastrado"))</f>
        <v/>
      </c>
      <c r="M1466" s="25">
        <f>IF(H1466="Sim",G1466,0)</f>
        <v>0</v>
      </c>
      <c r="N1466" s="42">
        <f>IF(AND(H1466="Sim",I1466&lt;&gt;"Aceito"),G1466+ROW()/100000,0)</f>
        <v>0</v>
      </c>
    </row>
    <row r="1467">
      <c r="A1467" s="35" t="n"/>
      <c r="B1467" s="39" t="n"/>
      <c r="C1467" s="33" t="n"/>
      <c r="D1467" s="35" t="n"/>
      <c r="E1467" s="33" t="n"/>
      <c r="F1467" s="33" t="n"/>
      <c r="G1467" s="40" t="n"/>
      <c r="H1467" s="35" t="n"/>
      <c r="I1467" s="35" t="n"/>
      <c r="J1467" s="30">
        <f>IF(B1467="","",DATE(YEAR(B1467),MONTH(B1467),1))</f>
        <v/>
      </c>
      <c r="K1467" s="41">
        <f>IF(OR(B1467="",D1467=""),"",D1467&amp;"|"&amp;TEXT(J1467,"yyyy-mm"))</f>
        <v/>
      </c>
      <c r="L1467" s="24">
        <f>IF(K1467="","",IFERROR(INDEX(Lotes!$N$5:$N$154,MATCH(K1467,Lotes!$P$5:$P$154,0)),"Sem lote cadastrado"))</f>
        <v/>
      </c>
      <c r="M1467" s="25">
        <f>IF(H1467="Sim",G1467,0)</f>
        <v>0</v>
      </c>
      <c r="N1467" s="42">
        <f>IF(AND(H1467="Sim",I1467&lt;&gt;"Aceito"),G1467+ROW()/100000,0)</f>
        <v>0</v>
      </c>
    </row>
    <row r="1468">
      <c r="A1468" s="35" t="n"/>
      <c r="B1468" s="39" t="n"/>
      <c r="C1468" s="33" t="n"/>
      <c r="D1468" s="35" t="n"/>
      <c r="E1468" s="33" t="n"/>
      <c r="F1468" s="33" t="n"/>
      <c r="G1468" s="40" t="n"/>
      <c r="H1468" s="35" t="n"/>
      <c r="I1468" s="35" t="n"/>
      <c r="J1468" s="30">
        <f>IF(B1468="","",DATE(YEAR(B1468),MONTH(B1468),1))</f>
        <v/>
      </c>
      <c r="K1468" s="41">
        <f>IF(OR(B1468="",D1468=""),"",D1468&amp;"|"&amp;TEXT(J1468,"yyyy-mm"))</f>
        <v/>
      </c>
      <c r="L1468" s="24">
        <f>IF(K1468="","",IFERROR(INDEX(Lotes!$N$5:$N$154,MATCH(K1468,Lotes!$P$5:$P$154,0)),"Sem lote cadastrado"))</f>
        <v/>
      </c>
      <c r="M1468" s="25">
        <f>IF(H1468="Sim",G1468,0)</f>
        <v>0</v>
      </c>
      <c r="N1468" s="42">
        <f>IF(AND(H1468="Sim",I1468&lt;&gt;"Aceito"),G1468+ROW()/100000,0)</f>
        <v>0</v>
      </c>
    </row>
    <row r="1469">
      <c r="A1469" s="35" t="n"/>
      <c r="B1469" s="39" t="n"/>
      <c r="C1469" s="33" t="n"/>
      <c r="D1469" s="35" t="n"/>
      <c r="E1469" s="33" t="n"/>
      <c r="F1469" s="33" t="n"/>
      <c r="G1469" s="40" t="n"/>
      <c r="H1469" s="35" t="n"/>
      <c r="I1469" s="35" t="n"/>
      <c r="J1469" s="30">
        <f>IF(B1469="","",DATE(YEAR(B1469),MONTH(B1469),1))</f>
        <v/>
      </c>
      <c r="K1469" s="41">
        <f>IF(OR(B1469="",D1469=""),"",D1469&amp;"|"&amp;TEXT(J1469,"yyyy-mm"))</f>
        <v/>
      </c>
      <c r="L1469" s="24">
        <f>IF(K1469="","",IFERROR(INDEX(Lotes!$N$5:$N$154,MATCH(K1469,Lotes!$P$5:$P$154,0)),"Sem lote cadastrado"))</f>
        <v/>
      </c>
      <c r="M1469" s="25">
        <f>IF(H1469="Sim",G1469,0)</f>
        <v>0</v>
      </c>
      <c r="N1469" s="42">
        <f>IF(AND(H1469="Sim",I1469&lt;&gt;"Aceito"),G1469+ROW()/100000,0)</f>
        <v>0</v>
      </c>
    </row>
    <row r="1470">
      <c r="A1470" s="35" t="n"/>
      <c r="B1470" s="39" t="n"/>
      <c r="C1470" s="33" t="n"/>
      <c r="D1470" s="35" t="n"/>
      <c r="E1470" s="33" t="n"/>
      <c r="F1470" s="33" t="n"/>
      <c r="G1470" s="40" t="n"/>
      <c r="H1470" s="35" t="n"/>
      <c r="I1470" s="35" t="n"/>
      <c r="J1470" s="30">
        <f>IF(B1470="","",DATE(YEAR(B1470),MONTH(B1470),1))</f>
        <v/>
      </c>
      <c r="K1470" s="41">
        <f>IF(OR(B1470="",D1470=""),"",D1470&amp;"|"&amp;TEXT(J1470,"yyyy-mm"))</f>
        <v/>
      </c>
      <c r="L1470" s="24">
        <f>IF(K1470="","",IFERROR(INDEX(Lotes!$N$5:$N$154,MATCH(K1470,Lotes!$P$5:$P$154,0)),"Sem lote cadastrado"))</f>
        <v/>
      </c>
      <c r="M1470" s="25">
        <f>IF(H1470="Sim",G1470,0)</f>
        <v>0</v>
      </c>
      <c r="N1470" s="42">
        <f>IF(AND(H1470="Sim",I1470&lt;&gt;"Aceito"),G1470+ROW()/100000,0)</f>
        <v>0</v>
      </c>
    </row>
    <row r="1471">
      <c r="A1471" s="35" t="n"/>
      <c r="B1471" s="39" t="n"/>
      <c r="C1471" s="33" t="n"/>
      <c r="D1471" s="35" t="n"/>
      <c r="E1471" s="33" t="n"/>
      <c r="F1471" s="33" t="n"/>
      <c r="G1471" s="40" t="n"/>
      <c r="H1471" s="35" t="n"/>
      <c r="I1471" s="35" t="n"/>
      <c r="J1471" s="30">
        <f>IF(B1471="","",DATE(YEAR(B1471),MONTH(B1471),1))</f>
        <v/>
      </c>
      <c r="K1471" s="41">
        <f>IF(OR(B1471="",D1471=""),"",D1471&amp;"|"&amp;TEXT(J1471,"yyyy-mm"))</f>
        <v/>
      </c>
      <c r="L1471" s="24">
        <f>IF(K1471="","",IFERROR(INDEX(Lotes!$N$5:$N$154,MATCH(K1471,Lotes!$P$5:$P$154,0)),"Sem lote cadastrado"))</f>
        <v/>
      </c>
      <c r="M1471" s="25">
        <f>IF(H1471="Sim",G1471,0)</f>
        <v>0</v>
      </c>
      <c r="N1471" s="42">
        <f>IF(AND(H1471="Sim",I1471&lt;&gt;"Aceito"),G1471+ROW()/100000,0)</f>
        <v>0</v>
      </c>
    </row>
    <row r="1472">
      <c r="A1472" s="35" t="n"/>
      <c r="B1472" s="39" t="n"/>
      <c r="C1472" s="33" t="n"/>
      <c r="D1472" s="35" t="n"/>
      <c r="E1472" s="33" t="n"/>
      <c r="F1472" s="33" t="n"/>
      <c r="G1472" s="40" t="n"/>
      <c r="H1472" s="35" t="n"/>
      <c r="I1472" s="35" t="n"/>
      <c r="J1472" s="30">
        <f>IF(B1472="","",DATE(YEAR(B1472),MONTH(B1472),1))</f>
        <v/>
      </c>
      <c r="K1472" s="41">
        <f>IF(OR(B1472="",D1472=""),"",D1472&amp;"|"&amp;TEXT(J1472,"yyyy-mm"))</f>
        <v/>
      </c>
      <c r="L1472" s="24">
        <f>IF(K1472="","",IFERROR(INDEX(Lotes!$N$5:$N$154,MATCH(K1472,Lotes!$P$5:$P$154,0)),"Sem lote cadastrado"))</f>
        <v/>
      </c>
      <c r="M1472" s="25">
        <f>IF(H1472="Sim",G1472,0)</f>
        <v>0</v>
      </c>
      <c r="N1472" s="42">
        <f>IF(AND(H1472="Sim",I1472&lt;&gt;"Aceito"),G1472+ROW()/100000,0)</f>
        <v>0</v>
      </c>
    </row>
    <row r="1473">
      <c r="A1473" s="35" t="n"/>
      <c r="B1473" s="39" t="n"/>
      <c r="C1473" s="33" t="n"/>
      <c r="D1473" s="35" t="n"/>
      <c r="E1473" s="33" t="n"/>
      <c r="F1473" s="33" t="n"/>
      <c r="G1473" s="40" t="n"/>
      <c r="H1473" s="35" t="n"/>
      <c r="I1473" s="35" t="n"/>
      <c r="J1473" s="30">
        <f>IF(B1473="","",DATE(YEAR(B1473),MONTH(B1473),1))</f>
        <v/>
      </c>
      <c r="K1473" s="41">
        <f>IF(OR(B1473="",D1473=""),"",D1473&amp;"|"&amp;TEXT(J1473,"yyyy-mm"))</f>
        <v/>
      </c>
      <c r="L1473" s="24">
        <f>IF(K1473="","",IFERROR(INDEX(Lotes!$N$5:$N$154,MATCH(K1473,Lotes!$P$5:$P$154,0)),"Sem lote cadastrado"))</f>
        <v/>
      </c>
      <c r="M1473" s="25">
        <f>IF(H1473="Sim",G1473,0)</f>
        <v>0</v>
      </c>
      <c r="N1473" s="42">
        <f>IF(AND(H1473="Sim",I1473&lt;&gt;"Aceito"),G1473+ROW()/100000,0)</f>
        <v>0</v>
      </c>
    </row>
    <row r="1474">
      <c r="A1474" s="35" t="n"/>
      <c r="B1474" s="39" t="n"/>
      <c r="C1474" s="33" t="n"/>
      <c r="D1474" s="35" t="n"/>
      <c r="E1474" s="33" t="n"/>
      <c r="F1474" s="33" t="n"/>
      <c r="G1474" s="40" t="n"/>
      <c r="H1474" s="35" t="n"/>
      <c r="I1474" s="35" t="n"/>
      <c r="J1474" s="30">
        <f>IF(B1474="","",DATE(YEAR(B1474),MONTH(B1474),1))</f>
        <v/>
      </c>
      <c r="K1474" s="41">
        <f>IF(OR(B1474="",D1474=""),"",D1474&amp;"|"&amp;TEXT(J1474,"yyyy-mm"))</f>
        <v/>
      </c>
      <c r="L1474" s="24">
        <f>IF(K1474="","",IFERROR(INDEX(Lotes!$N$5:$N$154,MATCH(K1474,Lotes!$P$5:$P$154,0)),"Sem lote cadastrado"))</f>
        <v/>
      </c>
      <c r="M1474" s="25">
        <f>IF(H1474="Sim",G1474,0)</f>
        <v>0</v>
      </c>
      <c r="N1474" s="42">
        <f>IF(AND(H1474="Sim",I1474&lt;&gt;"Aceito"),G1474+ROW()/100000,0)</f>
        <v>0</v>
      </c>
    </row>
    <row r="1475">
      <c r="A1475" s="35" t="n"/>
      <c r="B1475" s="39" t="n"/>
      <c r="C1475" s="33" t="n"/>
      <c r="D1475" s="35" t="n"/>
      <c r="E1475" s="33" t="n"/>
      <c r="F1475" s="33" t="n"/>
      <c r="G1475" s="40" t="n"/>
      <c r="H1475" s="35" t="n"/>
      <c r="I1475" s="35" t="n"/>
      <c r="J1475" s="30">
        <f>IF(B1475="","",DATE(YEAR(B1475),MONTH(B1475),1))</f>
        <v/>
      </c>
      <c r="K1475" s="41">
        <f>IF(OR(B1475="",D1475=""),"",D1475&amp;"|"&amp;TEXT(J1475,"yyyy-mm"))</f>
        <v/>
      </c>
      <c r="L1475" s="24">
        <f>IF(K1475="","",IFERROR(INDEX(Lotes!$N$5:$N$154,MATCH(K1475,Lotes!$P$5:$P$154,0)),"Sem lote cadastrado"))</f>
        <v/>
      </c>
      <c r="M1475" s="25">
        <f>IF(H1475="Sim",G1475,0)</f>
        <v>0</v>
      </c>
      <c r="N1475" s="42">
        <f>IF(AND(H1475="Sim",I1475&lt;&gt;"Aceito"),G1475+ROW()/100000,0)</f>
        <v>0</v>
      </c>
    </row>
    <row r="1476">
      <c r="A1476" s="35" t="n"/>
      <c r="B1476" s="39" t="n"/>
      <c r="C1476" s="33" t="n"/>
      <c r="D1476" s="35" t="n"/>
      <c r="E1476" s="33" t="n"/>
      <c r="F1476" s="33" t="n"/>
      <c r="G1476" s="40" t="n"/>
      <c r="H1476" s="35" t="n"/>
      <c r="I1476" s="35" t="n"/>
      <c r="J1476" s="30">
        <f>IF(B1476="","",DATE(YEAR(B1476),MONTH(B1476),1))</f>
        <v/>
      </c>
      <c r="K1476" s="41">
        <f>IF(OR(B1476="",D1476=""),"",D1476&amp;"|"&amp;TEXT(J1476,"yyyy-mm"))</f>
        <v/>
      </c>
      <c r="L1476" s="24">
        <f>IF(K1476="","",IFERROR(INDEX(Lotes!$N$5:$N$154,MATCH(K1476,Lotes!$P$5:$P$154,0)),"Sem lote cadastrado"))</f>
        <v/>
      </c>
      <c r="M1476" s="25">
        <f>IF(H1476="Sim",G1476,0)</f>
        <v>0</v>
      </c>
      <c r="N1476" s="42">
        <f>IF(AND(H1476="Sim",I1476&lt;&gt;"Aceito"),G1476+ROW()/100000,0)</f>
        <v>0</v>
      </c>
    </row>
    <row r="1477">
      <c r="A1477" s="35" t="n"/>
      <c r="B1477" s="39" t="n"/>
      <c r="C1477" s="33" t="n"/>
      <c r="D1477" s="35" t="n"/>
      <c r="E1477" s="33" t="n"/>
      <c r="F1477" s="33" t="n"/>
      <c r="G1477" s="40" t="n"/>
      <c r="H1477" s="35" t="n"/>
      <c r="I1477" s="35" t="n"/>
      <c r="J1477" s="30">
        <f>IF(B1477="","",DATE(YEAR(B1477),MONTH(B1477),1))</f>
        <v/>
      </c>
      <c r="K1477" s="41">
        <f>IF(OR(B1477="",D1477=""),"",D1477&amp;"|"&amp;TEXT(J1477,"yyyy-mm"))</f>
        <v/>
      </c>
      <c r="L1477" s="24">
        <f>IF(K1477="","",IFERROR(INDEX(Lotes!$N$5:$N$154,MATCH(K1477,Lotes!$P$5:$P$154,0)),"Sem lote cadastrado"))</f>
        <v/>
      </c>
      <c r="M1477" s="25">
        <f>IF(H1477="Sim",G1477,0)</f>
        <v>0</v>
      </c>
      <c r="N1477" s="42">
        <f>IF(AND(H1477="Sim",I1477&lt;&gt;"Aceito"),G1477+ROW()/100000,0)</f>
        <v>0</v>
      </c>
    </row>
    <row r="1478">
      <c r="A1478" s="35" t="n"/>
      <c r="B1478" s="39" t="n"/>
      <c r="C1478" s="33" t="n"/>
      <c r="D1478" s="35" t="n"/>
      <c r="E1478" s="33" t="n"/>
      <c r="F1478" s="33" t="n"/>
      <c r="G1478" s="40" t="n"/>
      <c r="H1478" s="35" t="n"/>
      <c r="I1478" s="35" t="n"/>
      <c r="J1478" s="30">
        <f>IF(B1478="","",DATE(YEAR(B1478),MONTH(B1478),1))</f>
        <v/>
      </c>
      <c r="K1478" s="41">
        <f>IF(OR(B1478="",D1478=""),"",D1478&amp;"|"&amp;TEXT(J1478,"yyyy-mm"))</f>
        <v/>
      </c>
      <c r="L1478" s="24">
        <f>IF(K1478="","",IFERROR(INDEX(Lotes!$N$5:$N$154,MATCH(K1478,Lotes!$P$5:$P$154,0)),"Sem lote cadastrado"))</f>
        <v/>
      </c>
      <c r="M1478" s="25">
        <f>IF(H1478="Sim",G1478,0)</f>
        <v>0</v>
      </c>
      <c r="N1478" s="42">
        <f>IF(AND(H1478="Sim",I1478&lt;&gt;"Aceito"),G1478+ROW()/100000,0)</f>
        <v>0</v>
      </c>
    </row>
    <row r="1479">
      <c r="A1479" s="35" t="n"/>
      <c r="B1479" s="39" t="n"/>
      <c r="C1479" s="33" t="n"/>
      <c r="D1479" s="35" t="n"/>
      <c r="E1479" s="33" t="n"/>
      <c r="F1479" s="33" t="n"/>
      <c r="G1479" s="40" t="n"/>
      <c r="H1479" s="35" t="n"/>
      <c r="I1479" s="35" t="n"/>
      <c r="J1479" s="30">
        <f>IF(B1479="","",DATE(YEAR(B1479),MONTH(B1479),1))</f>
        <v/>
      </c>
      <c r="K1479" s="41">
        <f>IF(OR(B1479="",D1479=""),"",D1479&amp;"|"&amp;TEXT(J1479,"yyyy-mm"))</f>
        <v/>
      </c>
      <c r="L1479" s="24">
        <f>IF(K1479="","",IFERROR(INDEX(Lotes!$N$5:$N$154,MATCH(K1479,Lotes!$P$5:$P$154,0)),"Sem lote cadastrado"))</f>
        <v/>
      </c>
      <c r="M1479" s="25">
        <f>IF(H1479="Sim",G1479,0)</f>
        <v>0</v>
      </c>
      <c r="N1479" s="42">
        <f>IF(AND(H1479="Sim",I1479&lt;&gt;"Aceito"),G1479+ROW()/100000,0)</f>
        <v>0</v>
      </c>
    </row>
    <row r="1480">
      <c r="A1480" s="35" t="n"/>
      <c r="B1480" s="39" t="n"/>
      <c r="C1480" s="33" t="n"/>
      <c r="D1480" s="35" t="n"/>
      <c r="E1480" s="33" t="n"/>
      <c r="F1480" s="33" t="n"/>
      <c r="G1480" s="40" t="n"/>
      <c r="H1480" s="35" t="n"/>
      <c r="I1480" s="35" t="n"/>
      <c r="J1480" s="30">
        <f>IF(B1480="","",DATE(YEAR(B1480),MONTH(B1480),1))</f>
        <v/>
      </c>
      <c r="K1480" s="41">
        <f>IF(OR(B1480="",D1480=""),"",D1480&amp;"|"&amp;TEXT(J1480,"yyyy-mm"))</f>
        <v/>
      </c>
      <c r="L1480" s="24">
        <f>IF(K1480="","",IFERROR(INDEX(Lotes!$N$5:$N$154,MATCH(K1480,Lotes!$P$5:$P$154,0)),"Sem lote cadastrado"))</f>
        <v/>
      </c>
      <c r="M1480" s="25">
        <f>IF(H1480="Sim",G1480,0)</f>
        <v>0</v>
      </c>
      <c r="N1480" s="42">
        <f>IF(AND(H1480="Sim",I1480&lt;&gt;"Aceito"),G1480+ROW()/100000,0)</f>
        <v>0</v>
      </c>
    </row>
    <row r="1481">
      <c r="A1481" s="35" t="n"/>
      <c r="B1481" s="39" t="n"/>
      <c r="C1481" s="33" t="n"/>
      <c r="D1481" s="35" t="n"/>
      <c r="E1481" s="33" t="n"/>
      <c r="F1481" s="33" t="n"/>
      <c r="G1481" s="40" t="n"/>
      <c r="H1481" s="35" t="n"/>
      <c r="I1481" s="35" t="n"/>
      <c r="J1481" s="30">
        <f>IF(B1481="","",DATE(YEAR(B1481),MONTH(B1481),1))</f>
        <v/>
      </c>
      <c r="K1481" s="41">
        <f>IF(OR(B1481="",D1481=""),"",D1481&amp;"|"&amp;TEXT(J1481,"yyyy-mm"))</f>
        <v/>
      </c>
      <c r="L1481" s="24">
        <f>IF(K1481="","",IFERROR(INDEX(Lotes!$N$5:$N$154,MATCH(K1481,Lotes!$P$5:$P$154,0)),"Sem lote cadastrado"))</f>
        <v/>
      </c>
      <c r="M1481" s="25">
        <f>IF(H1481="Sim",G1481,0)</f>
        <v>0</v>
      </c>
      <c r="N1481" s="42">
        <f>IF(AND(H1481="Sim",I1481&lt;&gt;"Aceito"),G1481+ROW()/100000,0)</f>
        <v>0</v>
      </c>
    </row>
    <row r="1482">
      <c r="A1482" s="35" t="n"/>
      <c r="B1482" s="39" t="n"/>
      <c r="C1482" s="33" t="n"/>
      <c r="D1482" s="35" t="n"/>
      <c r="E1482" s="33" t="n"/>
      <c r="F1482" s="33" t="n"/>
      <c r="G1482" s="40" t="n"/>
      <c r="H1482" s="35" t="n"/>
      <c r="I1482" s="35" t="n"/>
      <c r="J1482" s="30">
        <f>IF(B1482="","",DATE(YEAR(B1482),MONTH(B1482),1))</f>
        <v/>
      </c>
      <c r="K1482" s="41">
        <f>IF(OR(B1482="",D1482=""),"",D1482&amp;"|"&amp;TEXT(J1482,"yyyy-mm"))</f>
        <v/>
      </c>
      <c r="L1482" s="24">
        <f>IF(K1482="","",IFERROR(INDEX(Lotes!$N$5:$N$154,MATCH(K1482,Lotes!$P$5:$P$154,0)),"Sem lote cadastrado"))</f>
        <v/>
      </c>
      <c r="M1482" s="25">
        <f>IF(H1482="Sim",G1482,0)</f>
        <v>0</v>
      </c>
      <c r="N1482" s="42">
        <f>IF(AND(H1482="Sim",I1482&lt;&gt;"Aceito"),G1482+ROW()/100000,0)</f>
        <v>0</v>
      </c>
    </row>
    <row r="1483">
      <c r="A1483" s="35" t="n"/>
      <c r="B1483" s="39" t="n"/>
      <c r="C1483" s="33" t="n"/>
      <c r="D1483" s="35" t="n"/>
      <c r="E1483" s="33" t="n"/>
      <c r="F1483" s="33" t="n"/>
      <c r="G1483" s="40" t="n"/>
      <c r="H1483" s="35" t="n"/>
      <c r="I1483" s="35" t="n"/>
      <c r="J1483" s="30">
        <f>IF(B1483="","",DATE(YEAR(B1483),MONTH(B1483),1))</f>
        <v/>
      </c>
      <c r="K1483" s="41">
        <f>IF(OR(B1483="",D1483=""),"",D1483&amp;"|"&amp;TEXT(J1483,"yyyy-mm"))</f>
        <v/>
      </c>
      <c r="L1483" s="24">
        <f>IF(K1483="","",IFERROR(INDEX(Lotes!$N$5:$N$154,MATCH(K1483,Lotes!$P$5:$P$154,0)),"Sem lote cadastrado"))</f>
        <v/>
      </c>
      <c r="M1483" s="25">
        <f>IF(H1483="Sim",G1483,0)</f>
        <v>0</v>
      </c>
      <c r="N1483" s="42">
        <f>IF(AND(H1483="Sim",I1483&lt;&gt;"Aceito"),G1483+ROW()/100000,0)</f>
        <v>0</v>
      </c>
    </row>
    <row r="1484">
      <c r="A1484" s="35" t="n"/>
      <c r="B1484" s="39" t="n"/>
      <c r="C1484" s="33" t="n"/>
      <c r="D1484" s="35" t="n"/>
      <c r="E1484" s="33" t="n"/>
      <c r="F1484" s="33" t="n"/>
      <c r="G1484" s="40" t="n"/>
      <c r="H1484" s="35" t="n"/>
      <c r="I1484" s="35" t="n"/>
      <c r="J1484" s="30">
        <f>IF(B1484="","",DATE(YEAR(B1484),MONTH(B1484),1))</f>
        <v/>
      </c>
      <c r="K1484" s="41">
        <f>IF(OR(B1484="",D1484=""),"",D1484&amp;"|"&amp;TEXT(J1484,"yyyy-mm"))</f>
        <v/>
      </c>
      <c r="L1484" s="24">
        <f>IF(K1484="","",IFERROR(INDEX(Lotes!$N$5:$N$154,MATCH(K1484,Lotes!$P$5:$P$154,0)),"Sem lote cadastrado"))</f>
        <v/>
      </c>
      <c r="M1484" s="25">
        <f>IF(H1484="Sim",G1484,0)</f>
        <v>0</v>
      </c>
      <c r="N1484" s="42">
        <f>IF(AND(H1484="Sim",I1484&lt;&gt;"Aceito"),G1484+ROW()/100000,0)</f>
        <v>0</v>
      </c>
    </row>
    <row r="1485">
      <c r="A1485" s="35" t="n"/>
      <c r="B1485" s="39" t="n"/>
      <c r="C1485" s="33" t="n"/>
      <c r="D1485" s="35" t="n"/>
      <c r="E1485" s="33" t="n"/>
      <c r="F1485" s="33" t="n"/>
      <c r="G1485" s="40" t="n"/>
      <c r="H1485" s="35" t="n"/>
      <c r="I1485" s="35" t="n"/>
      <c r="J1485" s="30">
        <f>IF(B1485="","",DATE(YEAR(B1485),MONTH(B1485),1))</f>
        <v/>
      </c>
      <c r="K1485" s="41">
        <f>IF(OR(B1485="",D1485=""),"",D1485&amp;"|"&amp;TEXT(J1485,"yyyy-mm"))</f>
        <v/>
      </c>
      <c r="L1485" s="24">
        <f>IF(K1485="","",IFERROR(INDEX(Lotes!$N$5:$N$154,MATCH(K1485,Lotes!$P$5:$P$154,0)),"Sem lote cadastrado"))</f>
        <v/>
      </c>
      <c r="M1485" s="25">
        <f>IF(H1485="Sim",G1485,0)</f>
        <v>0</v>
      </c>
      <c r="N1485" s="42">
        <f>IF(AND(H1485="Sim",I1485&lt;&gt;"Aceito"),G1485+ROW()/100000,0)</f>
        <v>0</v>
      </c>
    </row>
    <row r="1486">
      <c r="A1486" s="35" t="n"/>
      <c r="B1486" s="39" t="n"/>
      <c r="C1486" s="33" t="n"/>
      <c r="D1486" s="35" t="n"/>
      <c r="E1486" s="33" t="n"/>
      <c r="F1486" s="33" t="n"/>
      <c r="G1486" s="40" t="n"/>
      <c r="H1486" s="35" t="n"/>
      <c r="I1486" s="35" t="n"/>
      <c r="J1486" s="30">
        <f>IF(B1486="","",DATE(YEAR(B1486),MONTH(B1486),1))</f>
        <v/>
      </c>
      <c r="K1486" s="41">
        <f>IF(OR(B1486="",D1486=""),"",D1486&amp;"|"&amp;TEXT(J1486,"yyyy-mm"))</f>
        <v/>
      </c>
      <c r="L1486" s="24">
        <f>IF(K1486="","",IFERROR(INDEX(Lotes!$N$5:$N$154,MATCH(K1486,Lotes!$P$5:$P$154,0)),"Sem lote cadastrado"))</f>
        <v/>
      </c>
      <c r="M1486" s="25">
        <f>IF(H1486="Sim",G1486,0)</f>
        <v>0</v>
      </c>
      <c r="N1486" s="42">
        <f>IF(AND(H1486="Sim",I1486&lt;&gt;"Aceito"),G1486+ROW()/100000,0)</f>
        <v>0</v>
      </c>
    </row>
    <row r="1487">
      <c r="A1487" s="35" t="n"/>
      <c r="B1487" s="39" t="n"/>
      <c r="C1487" s="33" t="n"/>
      <c r="D1487" s="35" t="n"/>
      <c r="E1487" s="33" t="n"/>
      <c r="F1487" s="33" t="n"/>
      <c r="G1487" s="40" t="n"/>
      <c r="H1487" s="35" t="n"/>
      <c r="I1487" s="35" t="n"/>
      <c r="J1487" s="30">
        <f>IF(B1487="","",DATE(YEAR(B1487),MONTH(B1487),1))</f>
        <v/>
      </c>
      <c r="K1487" s="41">
        <f>IF(OR(B1487="",D1487=""),"",D1487&amp;"|"&amp;TEXT(J1487,"yyyy-mm"))</f>
        <v/>
      </c>
      <c r="L1487" s="24">
        <f>IF(K1487="","",IFERROR(INDEX(Lotes!$N$5:$N$154,MATCH(K1487,Lotes!$P$5:$P$154,0)),"Sem lote cadastrado"))</f>
        <v/>
      </c>
      <c r="M1487" s="25">
        <f>IF(H1487="Sim",G1487,0)</f>
        <v>0</v>
      </c>
      <c r="N1487" s="42">
        <f>IF(AND(H1487="Sim",I1487&lt;&gt;"Aceito"),G1487+ROW()/100000,0)</f>
        <v>0</v>
      </c>
    </row>
    <row r="1488">
      <c r="A1488" s="35" t="n"/>
      <c r="B1488" s="39" t="n"/>
      <c r="C1488" s="33" t="n"/>
      <c r="D1488" s="35" t="n"/>
      <c r="E1488" s="33" t="n"/>
      <c r="F1488" s="33" t="n"/>
      <c r="G1488" s="40" t="n"/>
      <c r="H1488" s="35" t="n"/>
      <c r="I1488" s="35" t="n"/>
      <c r="J1488" s="30">
        <f>IF(B1488="","",DATE(YEAR(B1488),MONTH(B1488),1))</f>
        <v/>
      </c>
      <c r="K1488" s="41">
        <f>IF(OR(B1488="",D1488=""),"",D1488&amp;"|"&amp;TEXT(J1488,"yyyy-mm"))</f>
        <v/>
      </c>
      <c r="L1488" s="24">
        <f>IF(K1488="","",IFERROR(INDEX(Lotes!$N$5:$N$154,MATCH(K1488,Lotes!$P$5:$P$154,0)),"Sem lote cadastrado"))</f>
        <v/>
      </c>
      <c r="M1488" s="25">
        <f>IF(H1488="Sim",G1488,0)</f>
        <v>0</v>
      </c>
      <c r="N1488" s="42">
        <f>IF(AND(H1488="Sim",I1488&lt;&gt;"Aceito"),G1488+ROW()/100000,0)</f>
        <v>0</v>
      </c>
    </row>
    <row r="1489">
      <c r="A1489" s="35" t="n"/>
      <c r="B1489" s="39" t="n"/>
      <c r="C1489" s="33" t="n"/>
      <c r="D1489" s="35" t="n"/>
      <c r="E1489" s="33" t="n"/>
      <c r="F1489" s="33" t="n"/>
      <c r="G1489" s="40" t="n"/>
      <c r="H1489" s="35" t="n"/>
      <c r="I1489" s="35" t="n"/>
      <c r="J1489" s="30">
        <f>IF(B1489="","",DATE(YEAR(B1489),MONTH(B1489),1))</f>
        <v/>
      </c>
      <c r="K1489" s="41">
        <f>IF(OR(B1489="",D1489=""),"",D1489&amp;"|"&amp;TEXT(J1489,"yyyy-mm"))</f>
        <v/>
      </c>
      <c r="L1489" s="24">
        <f>IF(K1489="","",IFERROR(INDEX(Lotes!$N$5:$N$154,MATCH(K1489,Lotes!$P$5:$P$154,0)),"Sem lote cadastrado"))</f>
        <v/>
      </c>
      <c r="M1489" s="25">
        <f>IF(H1489="Sim",G1489,0)</f>
        <v>0</v>
      </c>
      <c r="N1489" s="42">
        <f>IF(AND(H1489="Sim",I1489&lt;&gt;"Aceito"),G1489+ROW()/100000,0)</f>
        <v>0</v>
      </c>
    </row>
    <row r="1490">
      <c r="A1490" s="35" t="n"/>
      <c r="B1490" s="39" t="n"/>
      <c r="C1490" s="33" t="n"/>
      <c r="D1490" s="35" t="n"/>
      <c r="E1490" s="33" t="n"/>
      <c r="F1490" s="33" t="n"/>
      <c r="G1490" s="40" t="n"/>
      <c r="H1490" s="35" t="n"/>
      <c r="I1490" s="35" t="n"/>
      <c r="J1490" s="30">
        <f>IF(B1490="","",DATE(YEAR(B1490),MONTH(B1490),1))</f>
        <v/>
      </c>
      <c r="K1490" s="41">
        <f>IF(OR(B1490="",D1490=""),"",D1490&amp;"|"&amp;TEXT(J1490,"yyyy-mm"))</f>
        <v/>
      </c>
      <c r="L1490" s="24">
        <f>IF(K1490="","",IFERROR(INDEX(Lotes!$N$5:$N$154,MATCH(K1490,Lotes!$P$5:$P$154,0)),"Sem lote cadastrado"))</f>
        <v/>
      </c>
      <c r="M1490" s="25">
        <f>IF(H1490="Sim",G1490,0)</f>
        <v>0</v>
      </c>
      <c r="N1490" s="42">
        <f>IF(AND(H1490="Sim",I1490&lt;&gt;"Aceito"),G1490+ROW()/100000,0)</f>
        <v>0</v>
      </c>
    </row>
    <row r="1491">
      <c r="A1491" s="35" t="n"/>
      <c r="B1491" s="39" t="n"/>
      <c r="C1491" s="33" t="n"/>
      <c r="D1491" s="35" t="n"/>
      <c r="E1491" s="33" t="n"/>
      <c r="F1491" s="33" t="n"/>
      <c r="G1491" s="40" t="n"/>
      <c r="H1491" s="35" t="n"/>
      <c r="I1491" s="35" t="n"/>
      <c r="J1491" s="30">
        <f>IF(B1491="","",DATE(YEAR(B1491),MONTH(B1491),1))</f>
        <v/>
      </c>
      <c r="K1491" s="41">
        <f>IF(OR(B1491="",D1491=""),"",D1491&amp;"|"&amp;TEXT(J1491,"yyyy-mm"))</f>
        <v/>
      </c>
      <c r="L1491" s="24">
        <f>IF(K1491="","",IFERROR(INDEX(Lotes!$N$5:$N$154,MATCH(K1491,Lotes!$P$5:$P$154,0)),"Sem lote cadastrado"))</f>
        <v/>
      </c>
      <c r="M1491" s="25">
        <f>IF(H1491="Sim",G1491,0)</f>
        <v>0</v>
      </c>
      <c r="N1491" s="42">
        <f>IF(AND(H1491="Sim",I1491&lt;&gt;"Aceito"),G1491+ROW()/100000,0)</f>
        <v>0</v>
      </c>
    </row>
    <row r="1492">
      <c r="A1492" s="35" t="n"/>
      <c r="B1492" s="39" t="n"/>
      <c r="C1492" s="33" t="n"/>
      <c r="D1492" s="35" t="n"/>
      <c r="E1492" s="33" t="n"/>
      <c r="F1492" s="33" t="n"/>
      <c r="G1492" s="40" t="n"/>
      <c r="H1492" s="35" t="n"/>
      <c r="I1492" s="35" t="n"/>
      <c r="J1492" s="30">
        <f>IF(B1492="","",DATE(YEAR(B1492),MONTH(B1492),1))</f>
        <v/>
      </c>
      <c r="K1492" s="41">
        <f>IF(OR(B1492="",D1492=""),"",D1492&amp;"|"&amp;TEXT(J1492,"yyyy-mm"))</f>
        <v/>
      </c>
      <c r="L1492" s="24">
        <f>IF(K1492="","",IFERROR(INDEX(Lotes!$N$5:$N$154,MATCH(K1492,Lotes!$P$5:$P$154,0)),"Sem lote cadastrado"))</f>
        <v/>
      </c>
      <c r="M1492" s="25">
        <f>IF(H1492="Sim",G1492,0)</f>
        <v>0</v>
      </c>
      <c r="N1492" s="42">
        <f>IF(AND(H1492="Sim",I1492&lt;&gt;"Aceito"),G1492+ROW()/100000,0)</f>
        <v>0</v>
      </c>
    </row>
    <row r="1493">
      <c r="A1493" s="35" t="n"/>
      <c r="B1493" s="39" t="n"/>
      <c r="C1493" s="33" t="n"/>
      <c r="D1493" s="35" t="n"/>
      <c r="E1493" s="33" t="n"/>
      <c r="F1493" s="33" t="n"/>
      <c r="G1493" s="40" t="n"/>
      <c r="H1493" s="35" t="n"/>
      <c r="I1493" s="35" t="n"/>
      <c r="J1493" s="30">
        <f>IF(B1493="","",DATE(YEAR(B1493),MONTH(B1493),1))</f>
        <v/>
      </c>
      <c r="K1493" s="41">
        <f>IF(OR(B1493="",D1493=""),"",D1493&amp;"|"&amp;TEXT(J1493,"yyyy-mm"))</f>
        <v/>
      </c>
      <c r="L1493" s="24">
        <f>IF(K1493="","",IFERROR(INDEX(Lotes!$N$5:$N$154,MATCH(K1493,Lotes!$P$5:$P$154,0)),"Sem lote cadastrado"))</f>
        <v/>
      </c>
      <c r="M1493" s="25">
        <f>IF(H1493="Sim",G1493,0)</f>
        <v>0</v>
      </c>
      <c r="N1493" s="42">
        <f>IF(AND(H1493="Sim",I1493&lt;&gt;"Aceito"),G1493+ROW()/100000,0)</f>
        <v>0</v>
      </c>
    </row>
    <row r="1494">
      <c r="A1494" s="35" t="n"/>
      <c r="B1494" s="39" t="n"/>
      <c r="C1494" s="33" t="n"/>
      <c r="D1494" s="35" t="n"/>
      <c r="E1494" s="33" t="n"/>
      <c r="F1494" s="33" t="n"/>
      <c r="G1494" s="40" t="n"/>
      <c r="H1494" s="35" t="n"/>
      <c r="I1494" s="35" t="n"/>
      <c r="J1494" s="30">
        <f>IF(B1494="","",DATE(YEAR(B1494),MONTH(B1494),1))</f>
        <v/>
      </c>
      <c r="K1494" s="41">
        <f>IF(OR(B1494="",D1494=""),"",D1494&amp;"|"&amp;TEXT(J1494,"yyyy-mm"))</f>
        <v/>
      </c>
      <c r="L1494" s="24">
        <f>IF(K1494="","",IFERROR(INDEX(Lotes!$N$5:$N$154,MATCH(K1494,Lotes!$P$5:$P$154,0)),"Sem lote cadastrado"))</f>
        <v/>
      </c>
      <c r="M1494" s="25">
        <f>IF(H1494="Sim",G1494,0)</f>
        <v>0</v>
      </c>
      <c r="N1494" s="42">
        <f>IF(AND(H1494="Sim",I1494&lt;&gt;"Aceito"),G1494+ROW()/100000,0)</f>
        <v>0</v>
      </c>
    </row>
    <row r="1495">
      <c r="A1495" s="35" t="n"/>
      <c r="B1495" s="39" t="n"/>
      <c r="C1495" s="33" t="n"/>
      <c r="D1495" s="35" t="n"/>
      <c r="E1495" s="33" t="n"/>
      <c r="F1495" s="33" t="n"/>
      <c r="G1495" s="40" t="n"/>
      <c r="H1495" s="35" t="n"/>
      <c r="I1495" s="35" t="n"/>
      <c r="J1495" s="30">
        <f>IF(B1495="","",DATE(YEAR(B1495),MONTH(B1495),1))</f>
        <v/>
      </c>
      <c r="K1495" s="41">
        <f>IF(OR(B1495="",D1495=""),"",D1495&amp;"|"&amp;TEXT(J1495,"yyyy-mm"))</f>
        <v/>
      </c>
      <c r="L1495" s="24">
        <f>IF(K1495="","",IFERROR(INDEX(Lotes!$N$5:$N$154,MATCH(K1495,Lotes!$P$5:$P$154,0)),"Sem lote cadastrado"))</f>
        <v/>
      </c>
      <c r="M1495" s="25">
        <f>IF(H1495="Sim",G1495,0)</f>
        <v>0</v>
      </c>
      <c r="N1495" s="42">
        <f>IF(AND(H1495="Sim",I1495&lt;&gt;"Aceito"),G1495+ROW()/100000,0)</f>
        <v>0</v>
      </c>
    </row>
    <row r="1496">
      <c r="A1496" s="35" t="n"/>
      <c r="B1496" s="39" t="n"/>
      <c r="C1496" s="33" t="n"/>
      <c r="D1496" s="35" t="n"/>
      <c r="E1496" s="33" t="n"/>
      <c r="F1496" s="33" t="n"/>
      <c r="G1496" s="40" t="n"/>
      <c r="H1496" s="35" t="n"/>
      <c r="I1496" s="35" t="n"/>
      <c r="J1496" s="30">
        <f>IF(B1496="","",DATE(YEAR(B1496),MONTH(B1496),1))</f>
        <v/>
      </c>
      <c r="K1496" s="41">
        <f>IF(OR(B1496="",D1496=""),"",D1496&amp;"|"&amp;TEXT(J1496,"yyyy-mm"))</f>
        <v/>
      </c>
      <c r="L1496" s="24">
        <f>IF(K1496="","",IFERROR(INDEX(Lotes!$N$5:$N$154,MATCH(K1496,Lotes!$P$5:$P$154,0)),"Sem lote cadastrado"))</f>
        <v/>
      </c>
      <c r="M1496" s="25">
        <f>IF(H1496="Sim",G1496,0)</f>
        <v>0</v>
      </c>
      <c r="N1496" s="42">
        <f>IF(AND(H1496="Sim",I1496&lt;&gt;"Aceito"),G1496+ROW()/100000,0)</f>
        <v>0</v>
      </c>
    </row>
    <row r="1497">
      <c r="A1497" s="35" t="n"/>
      <c r="B1497" s="39" t="n"/>
      <c r="C1497" s="33" t="n"/>
      <c r="D1497" s="35" t="n"/>
      <c r="E1497" s="33" t="n"/>
      <c r="F1497" s="33" t="n"/>
      <c r="G1497" s="40" t="n"/>
      <c r="H1497" s="35" t="n"/>
      <c r="I1497" s="35" t="n"/>
      <c r="J1497" s="30">
        <f>IF(B1497="","",DATE(YEAR(B1497),MONTH(B1497),1))</f>
        <v/>
      </c>
      <c r="K1497" s="41">
        <f>IF(OR(B1497="",D1497=""),"",D1497&amp;"|"&amp;TEXT(J1497,"yyyy-mm"))</f>
        <v/>
      </c>
      <c r="L1497" s="24">
        <f>IF(K1497="","",IFERROR(INDEX(Lotes!$N$5:$N$154,MATCH(K1497,Lotes!$P$5:$P$154,0)),"Sem lote cadastrado"))</f>
        <v/>
      </c>
      <c r="M1497" s="25">
        <f>IF(H1497="Sim",G1497,0)</f>
        <v>0</v>
      </c>
      <c r="N1497" s="42">
        <f>IF(AND(H1497="Sim",I1497&lt;&gt;"Aceito"),G1497+ROW()/100000,0)</f>
        <v>0</v>
      </c>
    </row>
    <row r="1498">
      <c r="A1498" s="35" t="n"/>
      <c r="B1498" s="39" t="n"/>
      <c r="C1498" s="33" t="n"/>
      <c r="D1498" s="35" t="n"/>
      <c r="E1498" s="33" t="n"/>
      <c r="F1498" s="33" t="n"/>
      <c r="G1498" s="40" t="n"/>
      <c r="H1498" s="35" t="n"/>
      <c r="I1498" s="35" t="n"/>
      <c r="J1498" s="30">
        <f>IF(B1498="","",DATE(YEAR(B1498),MONTH(B1498),1))</f>
        <v/>
      </c>
      <c r="K1498" s="41">
        <f>IF(OR(B1498="",D1498=""),"",D1498&amp;"|"&amp;TEXT(J1498,"yyyy-mm"))</f>
        <v/>
      </c>
      <c r="L1498" s="24">
        <f>IF(K1498="","",IFERROR(INDEX(Lotes!$N$5:$N$154,MATCH(K1498,Lotes!$P$5:$P$154,0)),"Sem lote cadastrado"))</f>
        <v/>
      </c>
      <c r="M1498" s="25">
        <f>IF(H1498="Sim",G1498,0)</f>
        <v>0</v>
      </c>
      <c r="N1498" s="42">
        <f>IF(AND(H1498="Sim",I1498&lt;&gt;"Aceito"),G1498+ROW()/100000,0)</f>
        <v>0</v>
      </c>
    </row>
    <row r="1499">
      <c r="A1499" s="35" t="n"/>
      <c r="B1499" s="39" t="n"/>
      <c r="C1499" s="33" t="n"/>
      <c r="D1499" s="35" t="n"/>
      <c r="E1499" s="33" t="n"/>
      <c r="F1499" s="33" t="n"/>
      <c r="G1499" s="40" t="n"/>
      <c r="H1499" s="35" t="n"/>
      <c r="I1499" s="35" t="n"/>
      <c r="J1499" s="30">
        <f>IF(B1499="","",DATE(YEAR(B1499),MONTH(B1499),1))</f>
        <v/>
      </c>
      <c r="K1499" s="41">
        <f>IF(OR(B1499="",D1499=""),"",D1499&amp;"|"&amp;TEXT(J1499,"yyyy-mm"))</f>
        <v/>
      </c>
      <c r="L1499" s="24">
        <f>IF(K1499="","",IFERROR(INDEX(Lotes!$N$5:$N$154,MATCH(K1499,Lotes!$P$5:$P$154,0)),"Sem lote cadastrado"))</f>
        <v/>
      </c>
      <c r="M1499" s="25">
        <f>IF(H1499="Sim",G1499,0)</f>
        <v>0</v>
      </c>
      <c r="N1499" s="42">
        <f>IF(AND(H1499="Sim",I1499&lt;&gt;"Aceito"),G1499+ROW()/100000,0)</f>
        <v>0</v>
      </c>
    </row>
    <row r="1500">
      <c r="A1500" s="35" t="n"/>
      <c r="B1500" s="39" t="n"/>
      <c r="C1500" s="33" t="n"/>
      <c r="D1500" s="35" t="n"/>
      <c r="E1500" s="33" t="n"/>
      <c r="F1500" s="33" t="n"/>
      <c r="G1500" s="40" t="n"/>
      <c r="H1500" s="35" t="n"/>
      <c r="I1500" s="35" t="n"/>
      <c r="J1500" s="30">
        <f>IF(B1500="","",DATE(YEAR(B1500),MONTH(B1500),1))</f>
        <v/>
      </c>
      <c r="K1500" s="41">
        <f>IF(OR(B1500="",D1500=""),"",D1500&amp;"|"&amp;TEXT(J1500,"yyyy-mm"))</f>
        <v/>
      </c>
      <c r="L1500" s="24">
        <f>IF(K1500="","",IFERROR(INDEX(Lotes!$N$5:$N$154,MATCH(K1500,Lotes!$P$5:$P$154,0)),"Sem lote cadastrado"))</f>
        <v/>
      </c>
      <c r="M1500" s="25">
        <f>IF(H1500="Sim",G1500,0)</f>
        <v>0</v>
      </c>
      <c r="N1500" s="42">
        <f>IF(AND(H1500="Sim",I1500&lt;&gt;"Aceito"),G1500+ROW()/100000,0)</f>
        <v>0</v>
      </c>
    </row>
    <row r="1501">
      <c r="A1501" s="35" t="n"/>
      <c r="B1501" s="39" t="n"/>
      <c r="C1501" s="33" t="n"/>
      <c r="D1501" s="35" t="n"/>
      <c r="E1501" s="33" t="n"/>
      <c r="F1501" s="33" t="n"/>
      <c r="G1501" s="40" t="n"/>
      <c r="H1501" s="35" t="n"/>
      <c r="I1501" s="35" t="n"/>
      <c r="J1501" s="30">
        <f>IF(B1501="","",DATE(YEAR(B1501),MONTH(B1501),1))</f>
        <v/>
      </c>
      <c r="K1501" s="41">
        <f>IF(OR(B1501="",D1501=""),"",D1501&amp;"|"&amp;TEXT(J1501,"yyyy-mm"))</f>
        <v/>
      </c>
      <c r="L1501" s="24">
        <f>IF(K1501="","",IFERROR(INDEX(Lotes!$N$5:$N$154,MATCH(K1501,Lotes!$P$5:$P$154,0)),"Sem lote cadastrado"))</f>
        <v/>
      </c>
      <c r="M1501" s="25">
        <f>IF(H1501="Sim",G1501,0)</f>
        <v>0</v>
      </c>
      <c r="N1501" s="42">
        <f>IF(AND(H1501="Sim",I1501&lt;&gt;"Aceito"),G1501+ROW()/100000,0)</f>
        <v>0</v>
      </c>
    </row>
    <row r="1502">
      <c r="A1502" s="35" t="n"/>
      <c r="B1502" s="39" t="n"/>
      <c r="C1502" s="33" t="n"/>
      <c r="D1502" s="35" t="n"/>
      <c r="E1502" s="33" t="n"/>
      <c r="F1502" s="33" t="n"/>
      <c r="G1502" s="40" t="n"/>
      <c r="H1502" s="35" t="n"/>
      <c r="I1502" s="35" t="n"/>
      <c r="J1502" s="30">
        <f>IF(B1502="","",DATE(YEAR(B1502),MONTH(B1502),1))</f>
        <v/>
      </c>
      <c r="K1502" s="41">
        <f>IF(OR(B1502="",D1502=""),"",D1502&amp;"|"&amp;TEXT(J1502,"yyyy-mm"))</f>
        <v/>
      </c>
      <c r="L1502" s="24">
        <f>IF(K1502="","",IFERROR(INDEX(Lotes!$N$5:$N$154,MATCH(K1502,Lotes!$P$5:$P$154,0)),"Sem lote cadastrado"))</f>
        <v/>
      </c>
      <c r="M1502" s="25">
        <f>IF(H1502="Sim",G1502,0)</f>
        <v>0</v>
      </c>
      <c r="N1502" s="42">
        <f>IF(AND(H1502="Sim",I1502&lt;&gt;"Aceito"),G1502+ROW()/100000,0)</f>
        <v>0</v>
      </c>
    </row>
    <row r="1503">
      <c r="A1503" s="35" t="n"/>
      <c r="B1503" s="39" t="n"/>
      <c r="C1503" s="33" t="n"/>
      <c r="D1503" s="35" t="n"/>
      <c r="E1503" s="33" t="n"/>
      <c r="F1503" s="33" t="n"/>
      <c r="G1503" s="40" t="n"/>
      <c r="H1503" s="35" t="n"/>
      <c r="I1503" s="35" t="n"/>
      <c r="J1503" s="30">
        <f>IF(B1503="","",DATE(YEAR(B1503),MONTH(B1503),1))</f>
        <v/>
      </c>
      <c r="K1503" s="41">
        <f>IF(OR(B1503="",D1503=""),"",D1503&amp;"|"&amp;TEXT(J1503,"yyyy-mm"))</f>
        <v/>
      </c>
      <c r="L1503" s="24">
        <f>IF(K1503="","",IFERROR(INDEX(Lotes!$N$5:$N$154,MATCH(K1503,Lotes!$P$5:$P$154,0)),"Sem lote cadastrado"))</f>
        <v/>
      </c>
      <c r="M1503" s="25">
        <f>IF(H1503="Sim",G1503,0)</f>
        <v>0</v>
      </c>
      <c r="N1503" s="42">
        <f>IF(AND(H1503="Sim",I1503&lt;&gt;"Aceito"),G1503+ROW()/100000,0)</f>
        <v>0</v>
      </c>
    </row>
    <row r="1504">
      <c r="A1504" s="35" t="n"/>
      <c r="B1504" s="39" t="n"/>
      <c r="C1504" s="33" t="n"/>
      <c r="D1504" s="35" t="n"/>
      <c r="E1504" s="33" t="n"/>
      <c r="F1504" s="33" t="n"/>
      <c r="G1504" s="40" t="n"/>
      <c r="H1504" s="35" t="n"/>
      <c r="I1504" s="35" t="n"/>
      <c r="J1504" s="30">
        <f>IF(B1504="","",DATE(YEAR(B1504),MONTH(B1504),1))</f>
        <v/>
      </c>
      <c r="K1504" s="41">
        <f>IF(OR(B1504="",D1504=""),"",D1504&amp;"|"&amp;TEXT(J1504,"yyyy-mm"))</f>
        <v/>
      </c>
      <c r="L1504" s="24">
        <f>IF(K1504="","",IFERROR(INDEX(Lotes!$N$5:$N$154,MATCH(K1504,Lotes!$P$5:$P$154,0)),"Sem lote cadastrado"))</f>
        <v/>
      </c>
      <c r="M1504" s="25">
        <f>IF(H1504="Sim",G1504,0)</f>
        <v>0</v>
      </c>
      <c r="N1504" s="42">
        <f>IF(AND(H1504="Sim",I1504&lt;&gt;"Aceito"),G1504+ROW()/100000,0)</f>
        <v>0</v>
      </c>
    </row>
    <row r="1506">
      <c r="A1506" s="38" t="inlineStr">
        <is>
          <t>Vermelho: guia glosada. Verde: glosa recuperada por recurso aceito. "Sem lote cadastrado": a competência dessa guia ainda não tem linha na aba Lotes. Só dados administrativos: nada de diagnóstico ou código clínico aqui.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1504"/>
  <mergeCells count="2">
    <mergeCell ref="A2:M2"/>
    <mergeCell ref="A1:M1"/>
  </mergeCells>
  <conditionalFormatting sqref="A5:M1504">
    <cfRule type="expression" priority="1" dxfId="2">
      <formula>$H5="Sim"</formula>
    </cfRule>
    <cfRule type="expression" priority="2" dxfId="4">
      <formula>AND($H5="Sim",$I5="Aceito")</formula>
    </cfRule>
  </conditionalFormatting>
  <conditionalFormatting sqref="L5:L1504">
    <cfRule type="expression" priority="3" dxfId="0">
      <formula>L5="Sem lote cadastrado"</formula>
    </cfRule>
  </conditionalFormatting>
  <dataValidations count="5">
    <dataValidation sqref="D5:D1504" showDropDown="0" showInputMessage="0" showErrorMessage="1" allowBlank="1" type="list">
      <formula1>=OFFSET(Config!$A$10,0,0,MAX(1,COUNTA(Config!$A$10:$A$15)),1)</formula1>
    </dataValidation>
    <dataValidation sqref="H5:H1504" showDropDown="0" showInputMessage="0" showErrorMessage="1" allowBlank="1" type="list">
      <formula1>"Sim"</formula1>
    </dataValidation>
    <dataValidation sqref="I5:I1504" showDropDown="0" showInputMessage="0" showErrorMessage="1" allowBlank="1" type="list">
      <formula1>"Em recurso,Aceito,Negado"</formula1>
    </dataValidation>
    <dataValidation sqref="B5:B1504" showDropDown="0" showInputMessage="0" showErrorMessage="1" allowBlank="1" type="date" operator="greaterThan">
      <formula1>1</formula1>
    </dataValidation>
    <dataValidation sqref="G5:G15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8" customWidth="1" min="11" max="11"/>
    <col width="13" customWidth="1" min="12" max="12"/>
    <col width="11" customWidth="1" min="13" max="13"/>
    <col width="14" customWidth="1" min="14" max="14"/>
    <col width="9" customWidth="1" min="15" max="15"/>
    <col width="16" customWidth="1" min="16" max="16"/>
    <col width="13" customWidth="1" min="17" max="17"/>
    <col width="12" customWidth="1" min="18" max="18"/>
    <col hidden="1" width="13" customWidth="1" min="19" max="19"/>
    <col hidden="1" width="13" customWidth="1" min="20" max="20"/>
  </cols>
  <sheetData>
    <row r="1" ht="28" customHeight="1">
      <c r="A1" s="5" t="inlineStr">
        <is>
          <t>Lotes de convênio</t>
        </is>
      </c>
    </row>
    <row r="2">
      <c r="A2" s="6" t="inlineStr">
        <is>
          <t>Uma linha por convênio e mês de competência. Amarelo: guias e valor enviados, data de envio, pagamento recebido, recurso de glosa e valor recuperado. Branco: previsão, glosa, situação e atraso.</t>
        </is>
      </c>
    </row>
    <row r="4" ht="40" customHeight="1">
      <c r="A4" s="22" t="inlineStr">
        <is>
          <t>Convênio</t>
        </is>
      </c>
      <c r="B4" s="22" t="inlineStr">
        <is>
          <t>Competência (mês)</t>
        </is>
      </c>
      <c r="C4" s="22" t="inlineStr">
        <is>
          <t>Nº de guias</t>
        </is>
      </c>
      <c r="D4" s="22" t="inlineStr">
        <is>
          <t>Valor enviado (R$)</t>
        </is>
      </c>
      <c r="E4" s="22" t="inlineStr">
        <is>
          <t>Data de envio</t>
        </is>
      </c>
      <c r="F4" s="22" t="inlineStr">
        <is>
          <t>Data do pagamento</t>
        </is>
      </c>
      <c r="G4" s="22" t="inlineStr">
        <is>
          <t>Valor pago (R$)</t>
        </is>
      </c>
      <c r="H4" s="22" t="inlineStr">
        <is>
          <t>Recurso de glosa</t>
        </is>
      </c>
      <c r="I4" s="22" t="inlineStr">
        <is>
          <t>Valor recuperado (R$)</t>
        </is>
      </c>
      <c r="J4" s="22" t="inlineStr">
        <is>
          <t>Data da recuperação</t>
        </is>
      </c>
      <c r="K4" s="22" t="inlineStr">
        <is>
          <t>Prazo (dias)</t>
        </is>
      </c>
      <c r="L4" s="22" t="inlineStr">
        <is>
          <t>Previsão de pagamento</t>
        </is>
      </c>
      <c r="M4" s="22" t="inlineStr">
        <is>
          <t>Glosa (R$)</t>
        </is>
      </c>
      <c r="N4" s="22" t="inlineStr">
        <is>
          <t>Situação</t>
        </is>
      </c>
      <c r="O4" s="22" t="inlineStr">
        <is>
          <t>Dias de atraso</t>
        </is>
      </c>
      <c r="P4" s="22" t="inlineStr">
        <is>
          <t>Chave</t>
        </is>
      </c>
      <c r="Q4" s="22" t="inlineStr">
        <is>
          <t>Guias na aba Guias (R$)</t>
        </is>
      </c>
      <c r="R4" s="22" t="inlineStr">
        <is>
          <t>Diferença (R$)</t>
        </is>
      </c>
    </row>
    <row r="5">
      <c r="A5" s="33" t="inlineStr">
        <is>
          <t>Saúde Total</t>
        </is>
      </c>
      <c r="B5" s="43" t="n">
        <v>45931</v>
      </c>
      <c r="C5" s="35" t="n">
        <v>46</v>
      </c>
      <c r="D5" s="40" t="n">
        <v>4290</v>
      </c>
      <c r="E5" s="39" t="n">
        <v>45966</v>
      </c>
      <c r="F5" s="39" t="n">
        <v>45999</v>
      </c>
      <c r="G5" s="40" t="n">
        <v>4180</v>
      </c>
      <c r="H5" s="35" t="n"/>
      <c r="I5" s="40" t="n"/>
      <c r="J5" s="39" t="n"/>
      <c r="K5" s="27">
        <f>IF(A5="","",IFERROR(INDEX(Config!$B$10:$B$15,MATCH(A5,Config!$A$10:$A$15,0)),""))</f>
        <v>30</v>
      </c>
      <c r="L5" s="31">
        <f>IF(OR(A5="",E5="",K5=""),"",E5+K5)</f>
        <v>45996.0</v>
      </c>
      <c r="M5" s="25">
        <f>IF(OR(A5="",F5=""),0,MAX(0,D5-G5))</f>
        <v>110</v>
      </c>
      <c r="N5" s="24" t="str">
        <f>IF(A5="","",IF(E5="","Em separação",IF(F5&lt;&gt;"",IF(H5="Em recurso","Em recurso",IF(M5&gt;0,"Paga com glosa","Paga")),IF(L5+Config!$B$7&lt;Config!$B$5,"Atrasada","Aguardando"))))</f>
        <v>Paga com glosa</v>
      </c>
      <c r="O5" s="27">
        <f>IF(N5="Atrasada",Config!$B$5-L5,"")</f>
        <v/>
      </c>
      <c r="P5" s="41" t="str">
        <f>IF(OR(A5="",B5=""),"",A5&amp;"|"&amp;TEXT(B5,"yyyy-mm"))</f>
        <v>Saúde Total|2025-10</v>
      </c>
      <c r="Q5" s="25">
        <f>IF(P5="","",IF(COUNTIF(Guias!$K$5:$K$1504,P5)=0,"",SUMIFS(Guias!$G$5:$G$1504,Guias!$K$5:$K$1504,P5)))</f>
        <v/>
      </c>
      <c r="R5" s="25">
        <f>IF(Q5="","",D5-Q5)</f>
        <v/>
      </c>
      <c r="S5" s="42">
        <f>IF(OR(N5="Atrasada",N5="Aguardando"),IF(N5="Atrasada",100000+O5,0)+D5/1000000+ROW()/100000000,0)</f>
        <v>0</v>
      </c>
      <c r="T5" s="42">
        <f>IF(AND(F5&lt;&gt;"",E5&lt;&gt;""),F5-E5,"")</f>
        <v>33</v>
      </c>
    </row>
    <row r="6">
      <c r="A6" s="33" t="inlineStr">
        <is>
          <t>MediPlan</t>
        </is>
      </c>
      <c r="B6" s="43" t="n">
        <v>45931</v>
      </c>
      <c r="C6" s="35" t="n">
        <v>31</v>
      </c>
      <c r="D6" s="40" t="n">
        <v>2580</v>
      </c>
      <c r="E6" s="39" t="n">
        <v>45966</v>
      </c>
      <c r="F6" s="39" t="n">
        <v>46013</v>
      </c>
      <c r="G6" s="40" t="n">
        <v>2440</v>
      </c>
      <c r="H6" s="35" t="n"/>
      <c r="I6" s="40" t="n"/>
      <c r="J6" s="39" t="n"/>
      <c r="K6" s="27">
        <f>IF(A6="","",IFERROR(INDEX(Config!$B$10:$B$15,MATCH(A6,Config!$A$10:$A$15,0)),""))</f>
        <v>45</v>
      </c>
      <c r="L6" s="31">
        <f>IF(OR(A6="",E6="",K6=""),"",E6+K6)</f>
        <v>46011.0</v>
      </c>
      <c r="M6" s="25">
        <f>IF(OR(A6="",F6=""),0,MAX(0,D6-G6))</f>
        <v>140</v>
      </c>
      <c r="N6" s="24" t="str">
        <f>IF(A6="","",IF(E6="","Em separação",IF(F6&lt;&gt;"",IF(H6="Em recurso","Em recurso",IF(M6&gt;0,"Paga com glosa","Paga")),IF(L6+Config!$B$7&lt;Config!$B$5,"Atrasada","Aguardando"))))</f>
        <v>Paga com glosa</v>
      </c>
      <c r="O6" s="27">
        <f>IF(N6="Atrasada",Config!$B$5-L6,"")</f>
        <v/>
      </c>
      <c r="P6" s="41" t="str">
        <f>IF(OR(A6="",B6=""),"",A6&amp;"|"&amp;TEXT(B6,"yyyy-mm"))</f>
        <v>MediPlan|2025-10</v>
      </c>
      <c r="Q6" s="25">
        <f>IF(P6="","",IF(COUNTIF(Guias!$K$5:$K$1504,P6)=0,"",SUMIFS(Guias!$G$5:$G$1504,Guias!$K$5:$K$1504,P6)))</f>
        <v/>
      </c>
      <c r="R6" s="25">
        <f>IF(Q6="","",D6-Q6)</f>
        <v/>
      </c>
      <c r="S6" s="42">
        <f>IF(OR(N6="Atrasada",N6="Aguardando"),IF(N6="Atrasada",100000+O6,0)+D6/1000000+ROW()/100000000,0)</f>
        <v>0</v>
      </c>
      <c r="T6" s="42">
        <f>IF(AND(F6&lt;&gt;"",E6&lt;&gt;""),F6-E6,"")</f>
        <v>47</v>
      </c>
    </row>
    <row r="7">
      <c r="A7" s="33" t="inlineStr">
        <is>
          <t>Vida Care</t>
        </is>
      </c>
      <c r="B7" s="43" t="n">
        <v>45931</v>
      </c>
      <c r="C7" s="35" t="n">
        <v>22</v>
      </c>
      <c r="D7" s="40" t="n">
        <v>1730</v>
      </c>
      <c r="E7" s="39" t="n">
        <v>45966</v>
      </c>
      <c r="F7" s="39" t="n">
        <v>46027</v>
      </c>
      <c r="G7" s="40" t="n">
        <v>1500</v>
      </c>
      <c r="H7" s="35" t="inlineStr">
        <is>
          <t>Aceito</t>
        </is>
      </c>
      <c r="I7" s="40" t="n">
        <v>140</v>
      </c>
      <c r="J7" s="39" t="n">
        <v>46059</v>
      </c>
      <c r="K7" s="27">
        <f>IF(A7="","",IFERROR(INDEX(Config!$B$10:$B$15,MATCH(A7,Config!$A$10:$A$15,0)),""))</f>
        <v>60</v>
      </c>
      <c r="L7" s="31">
        <f>IF(OR(A7="",E7="",K7=""),"",E7+K7)</f>
        <v>46026.0</v>
      </c>
      <c r="M7" s="25">
        <f>IF(OR(A7="",F7=""),0,MAX(0,D7-G7))</f>
        <v>230</v>
      </c>
      <c r="N7" s="24" t="str">
        <f>IF(A7="","",IF(E7="","Em separação",IF(F7&lt;&gt;"",IF(H7="Em recurso","Em recurso",IF(M7&gt;0,"Paga com glosa","Paga")),IF(L7+Config!$B$7&lt;Config!$B$5,"Atrasada","Aguardando"))))</f>
        <v>Paga com glosa</v>
      </c>
      <c r="O7" s="27">
        <f>IF(N7="Atrasada",Config!$B$5-L7,"")</f>
        <v/>
      </c>
      <c r="P7" s="41" t="str">
        <f>IF(OR(A7="",B7=""),"",A7&amp;"|"&amp;TEXT(B7,"yyyy-mm"))</f>
        <v>Vida Care|2025-10</v>
      </c>
      <c r="Q7" s="25">
        <f>IF(P7="","",IF(COUNTIF(Guias!$K$5:$K$1504,P7)=0,"",SUMIFS(Guias!$G$5:$G$1504,Guias!$K$5:$K$1504,P7)))</f>
        <v/>
      </c>
      <c r="R7" s="25">
        <f>IF(Q7="","",D7-Q7)</f>
        <v/>
      </c>
      <c r="S7" s="42">
        <f>IF(OR(N7="Atrasada",N7="Aguardando"),IF(N7="Atrasada",100000+O7,0)+D7/1000000+ROW()/100000000,0)</f>
        <v>0</v>
      </c>
      <c r="T7" s="42">
        <f>IF(AND(F7&lt;&gt;"",E7&lt;&gt;""),F7-E7,"")</f>
        <v>61</v>
      </c>
    </row>
    <row r="8">
      <c r="A8" s="33" t="inlineStr">
        <is>
          <t>Saúde Total</t>
        </is>
      </c>
      <c r="B8" s="43" t="n">
        <v>45962</v>
      </c>
      <c r="C8" s="35" t="n">
        <v>44</v>
      </c>
      <c r="D8" s="40" t="n">
        <v>4110</v>
      </c>
      <c r="E8" s="39" t="n">
        <v>45996</v>
      </c>
      <c r="F8" s="39" t="n">
        <v>46029</v>
      </c>
      <c r="G8" s="40" t="n">
        <v>3930</v>
      </c>
      <c r="H8" s="35" t="n"/>
      <c r="I8" s="40" t="n"/>
      <c r="J8" s="39" t="n"/>
      <c r="K8" s="27">
        <f>IF(A8="","",IFERROR(INDEX(Config!$B$10:$B$15,MATCH(A8,Config!$A$10:$A$15,0)),""))</f>
        <v>30</v>
      </c>
      <c r="L8" s="31">
        <f>IF(OR(A8="",E8="",K8=""),"",E8+K8)</f>
        <v>46026.0</v>
      </c>
      <c r="M8" s="25">
        <f>IF(OR(A8="",F8=""),0,MAX(0,D8-G8))</f>
        <v>180</v>
      </c>
      <c r="N8" s="24" t="str">
        <f>IF(A8="","",IF(E8="","Em separação",IF(F8&lt;&gt;"",IF(H8="Em recurso","Em recurso",IF(M8&gt;0,"Paga com glosa","Paga")),IF(L8+Config!$B$7&lt;Config!$B$5,"Atrasada","Aguardando"))))</f>
        <v>Paga com glosa</v>
      </c>
      <c r="O8" s="27">
        <f>IF(N8="Atrasada",Config!$B$5-L8,"")</f>
        <v/>
      </c>
      <c r="P8" s="41" t="str">
        <f>IF(OR(A8="",B8=""),"",A8&amp;"|"&amp;TEXT(B8,"yyyy-mm"))</f>
        <v>Saúde Total|2025-11</v>
      </c>
      <c r="Q8" s="25">
        <f>IF(P8="","",IF(COUNTIF(Guias!$K$5:$K$1504,P8)=0,"",SUMIFS(Guias!$G$5:$G$1504,Guias!$K$5:$K$1504,P8)))</f>
        <v/>
      </c>
      <c r="R8" s="25">
        <f>IF(Q8="","",D8-Q8)</f>
        <v/>
      </c>
      <c r="S8" s="42">
        <f>IF(OR(N8="Atrasada",N8="Aguardando"),IF(N8="Atrasada",100000+O8,0)+D8/1000000+ROW()/100000000,0)</f>
        <v>0</v>
      </c>
      <c r="T8" s="42">
        <f>IF(AND(F8&lt;&gt;"",E8&lt;&gt;""),F8-E8,"")</f>
        <v>33</v>
      </c>
    </row>
    <row r="9">
      <c r="A9" s="33" t="inlineStr">
        <is>
          <t>MediPlan</t>
        </is>
      </c>
      <c r="B9" s="43" t="n">
        <v>45962</v>
      </c>
      <c r="C9" s="35" t="n">
        <v>33</v>
      </c>
      <c r="D9" s="40" t="n">
        <v>2740</v>
      </c>
      <c r="E9" s="39" t="n">
        <v>45996</v>
      </c>
      <c r="F9" s="39" t="n">
        <v>46043</v>
      </c>
      <c r="G9" s="40" t="n">
        <v>2660</v>
      </c>
      <c r="H9" s="35" t="n"/>
      <c r="I9" s="40" t="n"/>
      <c r="J9" s="39" t="n"/>
      <c r="K9" s="27">
        <f>IF(A9="","",IFERROR(INDEX(Config!$B$10:$B$15,MATCH(A9,Config!$A$10:$A$15,0)),""))</f>
        <v>45</v>
      </c>
      <c r="L9" s="31">
        <f>IF(OR(A9="",E9="",K9=""),"",E9+K9)</f>
        <v>46041.0</v>
      </c>
      <c r="M9" s="25">
        <f>IF(OR(A9="",F9=""),0,MAX(0,D9-G9))</f>
        <v>80</v>
      </c>
      <c r="N9" s="24" t="str">
        <f>IF(A9="","",IF(E9="","Em separação",IF(F9&lt;&gt;"",IF(H9="Em recurso","Em recurso",IF(M9&gt;0,"Paga com glosa","Paga")),IF(L9+Config!$B$7&lt;Config!$B$5,"Atrasada","Aguardando"))))</f>
        <v>Paga com glosa</v>
      </c>
      <c r="O9" s="27">
        <f>IF(N9="Atrasada",Config!$B$5-L9,"")</f>
        <v/>
      </c>
      <c r="P9" s="41" t="str">
        <f>IF(OR(A9="",B9=""),"",A9&amp;"|"&amp;TEXT(B9,"yyyy-mm"))</f>
        <v>MediPlan|2025-11</v>
      </c>
      <c r="Q9" s="25">
        <f>IF(P9="","",IF(COUNTIF(Guias!$K$5:$K$1504,P9)=0,"",SUMIFS(Guias!$G$5:$G$1504,Guias!$K$5:$K$1504,P9)))</f>
        <v/>
      </c>
      <c r="R9" s="25">
        <f>IF(Q9="","",D9-Q9)</f>
        <v/>
      </c>
      <c r="S9" s="42">
        <f>IF(OR(N9="Atrasada",N9="Aguardando"),IF(N9="Atrasada",100000+O9,0)+D9/1000000+ROW()/100000000,0)</f>
        <v>0</v>
      </c>
      <c r="T9" s="42">
        <f>IF(AND(F9&lt;&gt;"",E9&lt;&gt;""),F9-E9,"")</f>
        <v>47</v>
      </c>
    </row>
    <row r="10">
      <c r="A10" s="33" t="inlineStr">
        <is>
          <t>Vida Care</t>
        </is>
      </c>
      <c r="B10" s="43" t="n">
        <v>45962</v>
      </c>
      <c r="C10" s="35" t="n">
        <v>20</v>
      </c>
      <c r="D10" s="40" t="n">
        <v>1580</v>
      </c>
      <c r="E10" s="39" t="n">
        <v>45996</v>
      </c>
      <c r="F10" s="39" t="n">
        <v>46056</v>
      </c>
      <c r="G10" s="40" t="n">
        <v>1500</v>
      </c>
      <c r="H10" s="35" t="n"/>
      <c r="I10" s="40" t="n"/>
      <c r="J10" s="39" t="n"/>
      <c r="K10" s="27">
        <f>IF(A10="","",IFERROR(INDEX(Config!$B$10:$B$15,MATCH(A10,Config!$A$10:$A$15,0)),""))</f>
        <v>60</v>
      </c>
      <c r="L10" s="31">
        <f>IF(OR(A10="",E10="",K10=""),"",E10+K10)</f>
        <v>46056.0</v>
      </c>
      <c r="M10" s="25">
        <f>IF(OR(A10="",F10=""),0,MAX(0,D10-G10))</f>
        <v>80</v>
      </c>
      <c r="N10" s="24" t="str">
        <f>IF(A10="","",IF(E10="","Em separação",IF(F10&lt;&gt;"",IF(H10="Em recurso","Em recurso",IF(M10&gt;0,"Paga com glosa","Paga")),IF(L10+Config!$B$7&lt;Config!$B$5,"Atrasada","Aguardando"))))</f>
        <v>Paga com glosa</v>
      </c>
      <c r="O10" s="27">
        <f>IF(N10="Atrasada",Config!$B$5-L10,"")</f>
        <v/>
      </c>
      <c r="P10" s="41" t="str">
        <f>IF(OR(A10="",B10=""),"",A10&amp;"|"&amp;TEXT(B10,"yyyy-mm"))</f>
        <v>Vida Care|2025-11</v>
      </c>
      <c r="Q10" s="25">
        <f>IF(P10="","",IF(COUNTIF(Guias!$K$5:$K$1504,P10)=0,"",SUMIFS(Guias!$G$5:$G$1504,Guias!$K$5:$K$1504,P10)))</f>
        <v/>
      </c>
      <c r="R10" s="25">
        <f>IF(Q10="","",D10-Q10)</f>
        <v/>
      </c>
      <c r="S10" s="42">
        <f>IF(OR(N10="Atrasada",N10="Aguardando"),IF(N10="Atrasada",100000+O10,0)+D10/1000000+ROW()/100000000,0)</f>
        <v>0</v>
      </c>
      <c r="T10" s="42">
        <f>IF(AND(F10&lt;&gt;"",E10&lt;&gt;""),F10-E10,"")</f>
        <v>60</v>
      </c>
    </row>
    <row r="11">
      <c r="A11" s="33" t="inlineStr">
        <is>
          <t>Saúde Total</t>
        </is>
      </c>
      <c r="B11" s="43" t="n">
        <v>45992</v>
      </c>
      <c r="C11" s="35" t="n">
        <v>38</v>
      </c>
      <c r="D11" s="40" t="n">
        <v>3560</v>
      </c>
      <c r="E11" s="39" t="n">
        <v>46027</v>
      </c>
      <c r="F11" s="39" t="n">
        <v>46057</v>
      </c>
      <c r="G11" s="40" t="n">
        <v>3420</v>
      </c>
      <c r="H11" s="35" t="n"/>
      <c r="I11" s="40" t="n"/>
      <c r="J11" s="39" t="n"/>
      <c r="K11" s="27">
        <f>IF(A11="","",IFERROR(INDEX(Config!$B$10:$B$15,MATCH(A11,Config!$A$10:$A$15,0)),""))</f>
        <v>30</v>
      </c>
      <c r="L11" s="31">
        <f>IF(OR(A11="",E11="",K11=""),"",E11+K11)</f>
        <v>46057.0</v>
      </c>
      <c r="M11" s="25">
        <f>IF(OR(A11="",F11=""),0,MAX(0,D11-G11))</f>
        <v>140</v>
      </c>
      <c r="N11" s="24" t="str">
        <f>IF(A11="","",IF(E11="","Em separação",IF(F11&lt;&gt;"",IF(H11="Em recurso","Em recurso",IF(M11&gt;0,"Paga com glosa","Paga")),IF(L11+Config!$B$7&lt;Config!$B$5,"Atrasada","Aguardando"))))</f>
        <v>Paga com glosa</v>
      </c>
      <c r="O11" s="27">
        <f>IF(N11="Atrasada",Config!$B$5-L11,"")</f>
        <v/>
      </c>
      <c r="P11" s="41" t="str">
        <f>IF(OR(A11="",B11=""),"",A11&amp;"|"&amp;TEXT(B11,"yyyy-mm"))</f>
        <v>Saúde Total|2025-12</v>
      </c>
      <c r="Q11" s="25">
        <f>IF(P11="","",IF(COUNTIF(Guias!$K$5:$K$1504,P11)=0,"",SUMIFS(Guias!$G$5:$G$1504,Guias!$K$5:$K$1504,P11)))</f>
        <v/>
      </c>
      <c r="R11" s="25">
        <f>IF(Q11="","",D11-Q11)</f>
        <v/>
      </c>
      <c r="S11" s="42">
        <f>IF(OR(N11="Atrasada",N11="Aguardando"),IF(N11="Atrasada",100000+O11,0)+D11/1000000+ROW()/100000000,0)</f>
        <v>0</v>
      </c>
      <c r="T11" s="42">
        <f>IF(AND(F11&lt;&gt;"",E11&lt;&gt;""),F11-E11,"")</f>
        <v>30</v>
      </c>
    </row>
    <row r="12">
      <c r="A12" s="33" t="inlineStr">
        <is>
          <t>MediPlan</t>
        </is>
      </c>
      <c r="B12" s="43" t="n">
        <v>45992</v>
      </c>
      <c r="C12" s="35" t="n">
        <v>27</v>
      </c>
      <c r="D12" s="40" t="n">
        <v>2250</v>
      </c>
      <c r="E12" s="39" t="n">
        <v>46027</v>
      </c>
      <c r="F12" s="39" t="n">
        <v>46073</v>
      </c>
      <c r="G12" s="40" t="n">
        <v>2040</v>
      </c>
      <c r="H12" s="35" t="inlineStr">
        <is>
          <t>Negado</t>
        </is>
      </c>
      <c r="I12" s="40" t="n"/>
      <c r="J12" s="39" t="n"/>
      <c r="K12" s="27">
        <f>IF(A12="","",IFERROR(INDEX(Config!$B$10:$B$15,MATCH(A12,Config!$A$10:$A$15,0)),""))</f>
        <v>45</v>
      </c>
      <c r="L12" s="31">
        <f>IF(OR(A12="",E12="",K12=""),"",E12+K12)</f>
        <v>46072.0</v>
      </c>
      <c r="M12" s="25">
        <f>IF(OR(A12="",F12=""),0,MAX(0,D12-G12))</f>
        <v>210</v>
      </c>
      <c r="N12" s="24" t="str">
        <f>IF(A12="","",IF(E12="","Em separação",IF(F12&lt;&gt;"",IF(H12="Em recurso","Em recurso",IF(M12&gt;0,"Paga com glosa","Paga")),IF(L12+Config!$B$7&lt;Config!$B$5,"Atrasada","Aguardando"))))</f>
        <v>Paga com glosa</v>
      </c>
      <c r="O12" s="27">
        <f>IF(N12="Atrasada",Config!$B$5-L12,"")</f>
        <v/>
      </c>
      <c r="P12" s="41" t="str">
        <f>IF(OR(A12="",B12=""),"",A12&amp;"|"&amp;TEXT(B12,"yyyy-mm"))</f>
        <v>MediPlan|2025-12</v>
      </c>
      <c r="Q12" s="25">
        <f>IF(P12="","",IF(COUNTIF(Guias!$K$5:$K$1504,P12)=0,"",SUMIFS(Guias!$G$5:$G$1504,Guias!$K$5:$K$1504,P12)))</f>
        <v/>
      </c>
      <c r="R12" s="25">
        <f>IF(Q12="","",D12-Q12)</f>
        <v/>
      </c>
      <c r="S12" s="42">
        <f>IF(OR(N12="Atrasada",N12="Aguardando"),IF(N12="Atrasada",100000+O12,0)+D12/1000000+ROW()/100000000,0)</f>
        <v>0</v>
      </c>
      <c r="T12" s="42">
        <f>IF(AND(F12&lt;&gt;"",E12&lt;&gt;""),F12-E12,"")</f>
        <v>46</v>
      </c>
    </row>
    <row r="13">
      <c r="A13" s="33" t="inlineStr">
        <is>
          <t>Vida Care</t>
        </is>
      </c>
      <c r="B13" s="43" t="n">
        <v>45992</v>
      </c>
      <c r="C13" s="35" t="n">
        <v>17</v>
      </c>
      <c r="D13" s="40" t="n">
        <v>1350</v>
      </c>
      <c r="E13" s="39" t="n">
        <v>46027</v>
      </c>
      <c r="F13" s="39" t="n">
        <v>46090</v>
      </c>
      <c r="G13" s="40" t="n">
        <v>1270</v>
      </c>
      <c r="H13" s="35" t="n"/>
      <c r="I13" s="40" t="n"/>
      <c r="J13" s="39" t="n"/>
      <c r="K13" s="27">
        <f>IF(A13="","",IFERROR(INDEX(Config!$B$10:$B$15,MATCH(A13,Config!$A$10:$A$15,0)),""))</f>
        <v>60</v>
      </c>
      <c r="L13" s="31">
        <f>IF(OR(A13="",E13="",K13=""),"",E13+K13)</f>
        <v>46087.0</v>
      </c>
      <c r="M13" s="25">
        <f>IF(OR(A13="",F13=""),0,MAX(0,D13-G13))</f>
        <v>80</v>
      </c>
      <c r="N13" s="24" t="str">
        <f>IF(A13="","",IF(E13="","Em separação",IF(F13&lt;&gt;"",IF(H13="Em recurso","Em recurso",IF(M13&gt;0,"Paga com glosa","Paga")),IF(L13+Config!$B$7&lt;Config!$B$5,"Atrasada","Aguardando"))))</f>
        <v>Paga com glosa</v>
      </c>
      <c r="O13" s="27">
        <f>IF(N13="Atrasada",Config!$B$5-L13,"")</f>
        <v/>
      </c>
      <c r="P13" s="41" t="str">
        <f>IF(OR(A13="",B13=""),"",A13&amp;"|"&amp;TEXT(B13,"yyyy-mm"))</f>
        <v>Vida Care|2025-12</v>
      </c>
      <c r="Q13" s="25">
        <f>IF(P13="","",IF(COUNTIF(Guias!$K$5:$K$1504,P13)=0,"",SUMIFS(Guias!$G$5:$G$1504,Guias!$K$5:$K$1504,P13)))</f>
        <v/>
      </c>
      <c r="R13" s="25">
        <f>IF(Q13="","",D13-Q13)</f>
        <v/>
      </c>
      <c r="S13" s="42">
        <f>IF(OR(N13="Atrasada",N13="Aguardando"),IF(N13="Atrasada",100000+O13,0)+D13/1000000+ROW()/100000000,0)</f>
        <v>0</v>
      </c>
      <c r="T13" s="42">
        <f>IF(AND(F13&lt;&gt;"",E13&lt;&gt;""),F13-E13,"")</f>
        <v>63</v>
      </c>
    </row>
    <row r="14">
      <c r="A14" s="33" t="inlineStr">
        <is>
          <t>Saúde Total</t>
        </is>
      </c>
      <c r="B14" s="43" t="n">
        <v>46023</v>
      </c>
      <c r="C14" s="35" t="n">
        <v>34</v>
      </c>
      <c r="D14" s="40" t="n">
        <v>3830</v>
      </c>
      <c r="E14" s="39" t="n">
        <v>46058</v>
      </c>
      <c r="F14" s="39" t="n">
        <v>46091</v>
      </c>
      <c r="G14" s="40" t="n">
        <v>3750</v>
      </c>
      <c r="H14" s="35" t="n"/>
      <c r="I14" s="40" t="n"/>
      <c r="J14" s="39" t="n"/>
      <c r="K14" s="27">
        <f>IF(A14="","",IFERROR(INDEX(Config!$B$10:$B$15,MATCH(A14,Config!$A$10:$A$15,0)),""))</f>
        <v>30</v>
      </c>
      <c r="L14" s="31">
        <f>IF(OR(A14="",E14="",K14=""),"",E14+K14)</f>
        <v>46088.0</v>
      </c>
      <c r="M14" s="25">
        <f>IF(OR(A14="",F14=""),0,MAX(0,D14-G14))</f>
        <v>80</v>
      </c>
      <c r="N14" s="24" t="str">
        <f>IF(A14="","",IF(E14="","Em separação",IF(F14&lt;&gt;"",IF(H14="Em recurso","Em recurso",IF(M14&gt;0,"Paga com glosa","Paga")),IF(L14+Config!$B$7&lt;Config!$B$5,"Atrasada","Aguardando"))))</f>
        <v>Paga com glosa</v>
      </c>
      <c r="O14" s="27">
        <f>IF(N14="Atrasada",Config!$B$5-L14,"")</f>
        <v/>
      </c>
      <c r="P14" s="41" t="str">
        <f>IF(OR(A14="",B14=""),"",A14&amp;"|"&amp;TEXT(B14,"yyyy-mm"))</f>
        <v>Saúde Total|2026-01</v>
      </c>
      <c r="Q14" s="25">
        <f>IF(P14="","",IF(COUNTIF(Guias!$K$5:$K$1504,P14)=0,"",SUMIFS(Guias!$G$5:$G$1504,Guias!$K$5:$K$1504,P14)))</f>
        <v/>
      </c>
      <c r="R14" s="25">
        <f>IF(Q14="","",D14-Q14)</f>
        <v/>
      </c>
      <c r="S14" s="42">
        <f>IF(OR(N14="Atrasada",N14="Aguardando"),IF(N14="Atrasada",100000+O14,0)+D14/1000000+ROW()/100000000,0)</f>
        <v>0</v>
      </c>
      <c r="T14" s="42">
        <f>IF(AND(F14&lt;&gt;"",E14&lt;&gt;""),F14-E14,"")</f>
        <v>33</v>
      </c>
    </row>
    <row r="15">
      <c r="A15" s="33" t="inlineStr">
        <is>
          <t>MediPlan</t>
        </is>
      </c>
      <c r="B15" s="43" t="n">
        <v>46023</v>
      </c>
      <c r="C15" s="35" t="n">
        <v>18</v>
      </c>
      <c r="D15" s="40" t="n">
        <v>1600</v>
      </c>
      <c r="E15" s="39" t="n">
        <v>46058</v>
      </c>
      <c r="F15" s="39" t="n">
        <v>46106</v>
      </c>
      <c r="G15" s="40" t="n">
        <v>1530</v>
      </c>
      <c r="H15" s="35" t="n"/>
      <c r="I15" s="40" t="n"/>
      <c r="J15" s="39" t="n"/>
      <c r="K15" s="27">
        <f>IF(A15="","",IFERROR(INDEX(Config!$B$10:$B$15,MATCH(A15,Config!$A$10:$A$15,0)),""))</f>
        <v>45</v>
      </c>
      <c r="L15" s="31">
        <f>IF(OR(A15="",E15="",K15=""),"",E15+K15)</f>
        <v>46103.0</v>
      </c>
      <c r="M15" s="25">
        <f>IF(OR(A15="",F15=""),0,MAX(0,D15-G15))</f>
        <v>70</v>
      </c>
      <c r="N15" s="24" t="str">
        <f>IF(A15="","",IF(E15="","Em separação",IF(F15&lt;&gt;"",IF(H15="Em recurso","Em recurso",IF(M15&gt;0,"Paga com glosa","Paga")),IF(L15+Config!$B$7&lt;Config!$B$5,"Atrasada","Aguardando"))))</f>
        <v>Paga com glosa</v>
      </c>
      <c r="O15" s="27">
        <f>IF(N15="Atrasada",Config!$B$5-L15,"")</f>
        <v/>
      </c>
      <c r="P15" s="41" t="str">
        <f>IF(OR(A15="",B15=""),"",A15&amp;"|"&amp;TEXT(B15,"yyyy-mm"))</f>
        <v>MediPlan|2026-01</v>
      </c>
      <c r="Q15" s="25">
        <f>IF(P15="","",IF(COUNTIF(Guias!$K$5:$K$1504,P15)=0,"",SUMIFS(Guias!$G$5:$G$1504,Guias!$K$5:$K$1504,P15)))</f>
        <v/>
      </c>
      <c r="R15" s="25">
        <f>IF(Q15="","",D15-Q15)</f>
        <v/>
      </c>
      <c r="S15" s="42">
        <f>IF(OR(N15="Atrasada",N15="Aguardando"),IF(N15="Atrasada",100000+O15,0)+D15/1000000+ROW()/100000000,0)</f>
        <v>0</v>
      </c>
      <c r="T15" s="42">
        <f>IF(AND(F15&lt;&gt;"",E15&lt;&gt;""),F15-E15,"")</f>
        <v>48</v>
      </c>
    </row>
    <row r="16">
      <c r="A16" s="33" t="inlineStr">
        <is>
          <t>Vida Care</t>
        </is>
      </c>
      <c r="B16" s="43" t="n">
        <v>46023</v>
      </c>
      <c r="C16" s="35" t="n">
        <v>17</v>
      </c>
      <c r="D16" s="40" t="n">
        <v>1570</v>
      </c>
      <c r="E16" s="39" t="n">
        <v>46058</v>
      </c>
      <c r="F16" s="39" t="n">
        <v>46118</v>
      </c>
      <c r="G16" s="40" t="n">
        <v>1315</v>
      </c>
      <c r="H16" s="35" t="inlineStr">
        <is>
          <t>Aceito</t>
        </is>
      </c>
      <c r="I16" s="40" t="n">
        <v>190</v>
      </c>
      <c r="J16" s="39" t="n">
        <v>46157</v>
      </c>
      <c r="K16" s="27">
        <f>IF(A16="","",IFERROR(INDEX(Config!$B$10:$B$15,MATCH(A16,Config!$A$10:$A$15,0)),""))</f>
        <v>60</v>
      </c>
      <c r="L16" s="31">
        <f>IF(OR(A16="",E16="",K16=""),"",E16+K16)</f>
        <v>46118.0</v>
      </c>
      <c r="M16" s="25">
        <f>IF(OR(A16="",F16=""),0,MAX(0,D16-G16))</f>
        <v>255</v>
      </c>
      <c r="N16" s="24" t="str">
        <f>IF(A16="","",IF(E16="","Em separação",IF(F16&lt;&gt;"",IF(H16="Em recurso","Em recurso",IF(M16&gt;0,"Paga com glosa","Paga")),IF(L16+Config!$B$7&lt;Config!$B$5,"Atrasada","Aguardando"))))</f>
        <v>Paga com glosa</v>
      </c>
      <c r="O16" s="27">
        <f>IF(N16="Atrasada",Config!$B$5-L16,"")</f>
        <v/>
      </c>
      <c r="P16" s="41" t="str">
        <f>IF(OR(A16="",B16=""),"",A16&amp;"|"&amp;TEXT(B16,"yyyy-mm"))</f>
        <v>Vida Care|2026-01</v>
      </c>
      <c r="Q16" s="25">
        <f>IF(P16="","",IF(COUNTIF(Guias!$K$5:$K$1504,P16)=0,"",SUMIFS(Guias!$G$5:$G$1504,Guias!$K$5:$K$1504,P16)))</f>
        <v/>
      </c>
      <c r="R16" s="25">
        <f>IF(Q16="","",D16-Q16)</f>
        <v/>
      </c>
      <c r="S16" s="42">
        <f>IF(OR(N16="Atrasada",N16="Aguardando"),IF(N16="Atrasada",100000+O16,0)+D16/1000000+ROW()/100000000,0)</f>
        <v>0</v>
      </c>
      <c r="T16" s="42">
        <f>IF(AND(F16&lt;&gt;"",E16&lt;&gt;""),F16-E16,"")</f>
        <v>60</v>
      </c>
    </row>
    <row r="17">
      <c r="A17" s="33" t="inlineStr">
        <is>
          <t>Saúde Total</t>
        </is>
      </c>
      <c r="B17" s="43" t="n">
        <v>46054</v>
      </c>
      <c r="C17" s="35" t="n">
        <v>30</v>
      </c>
      <c r="D17" s="40" t="n">
        <v>3455</v>
      </c>
      <c r="E17" s="39" t="n">
        <v>46086</v>
      </c>
      <c r="F17" s="39" t="n">
        <v>46118</v>
      </c>
      <c r="G17" s="40" t="n">
        <v>3295</v>
      </c>
      <c r="H17" s="35" t="n"/>
      <c r="I17" s="40" t="n"/>
      <c r="J17" s="39" t="n"/>
      <c r="K17" s="27">
        <f>IF(A17="","",IFERROR(INDEX(Config!$B$10:$B$15,MATCH(A17,Config!$A$10:$A$15,0)),""))</f>
        <v>30</v>
      </c>
      <c r="L17" s="31">
        <f>IF(OR(A17="",E17="",K17=""),"",E17+K17)</f>
        <v>46116.0</v>
      </c>
      <c r="M17" s="25">
        <f>IF(OR(A17="",F17=""),0,MAX(0,D17-G17))</f>
        <v>160</v>
      </c>
      <c r="N17" s="24" t="str">
        <f>IF(A17="","",IF(E17="","Em separação",IF(F17&lt;&gt;"",IF(H17="Em recurso","Em recurso",IF(M17&gt;0,"Paga com glosa","Paga")),IF(L17+Config!$B$7&lt;Config!$B$5,"Atrasada","Aguardando"))))</f>
        <v>Paga com glosa</v>
      </c>
      <c r="O17" s="27">
        <f>IF(N17="Atrasada",Config!$B$5-L17,"")</f>
        <v/>
      </c>
      <c r="P17" s="41" t="str">
        <f>IF(OR(A17="",B17=""),"",A17&amp;"|"&amp;TEXT(B17,"yyyy-mm"))</f>
        <v>Saúde Total|2026-02</v>
      </c>
      <c r="Q17" s="25">
        <f>IF(P17="","",IF(COUNTIF(Guias!$K$5:$K$1504,P17)=0,"",SUMIFS(Guias!$G$5:$G$1504,Guias!$K$5:$K$1504,P17)))</f>
        <v/>
      </c>
      <c r="R17" s="25">
        <f>IF(Q17="","",D17-Q17)</f>
        <v/>
      </c>
      <c r="S17" s="42">
        <f>IF(OR(N17="Atrasada",N17="Aguardando"),IF(N17="Atrasada",100000+O17,0)+D17/1000000+ROW()/100000000,0)</f>
        <v>0</v>
      </c>
      <c r="T17" s="42">
        <f>IF(AND(F17&lt;&gt;"",E17&lt;&gt;""),F17-E17,"")</f>
        <v>32</v>
      </c>
    </row>
    <row r="18">
      <c r="A18" s="33" t="inlineStr">
        <is>
          <t>MediPlan</t>
        </is>
      </c>
      <c r="B18" s="43" t="n">
        <v>46054</v>
      </c>
      <c r="C18" s="35" t="n">
        <v>17</v>
      </c>
      <c r="D18" s="40" t="n">
        <v>1655</v>
      </c>
      <c r="E18" s="39" t="n">
        <v>46086</v>
      </c>
      <c r="F18" s="39" t="n">
        <v>46134</v>
      </c>
      <c r="G18" s="40" t="n">
        <v>1555</v>
      </c>
      <c r="H18" s="35" t="n"/>
      <c r="I18" s="40" t="n"/>
      <c r="J18" s="39" t="n"/>
      <c r="K18" s="27">
        <f>IF(A18="","",IFERROR(INDEX(Config!$B$10:$B$15,MATCH(A18,Config!$A$10:$A$15,0)),""))</f>
        <v>45</v>
      </c>
      <c r="L18" s="31">
        <f>IF(OR(A18="",E18="",K18=""),"",E18+K18)</f>
        <v>46131.0</v>
      </c>
      <c r="M18" s="25">
        <f>IF(OR(A18="",F18=""),0,MAX(0,D18-G18))</f>
        <v>100</v>
      </c>
      <c r="N18" s="24" t="str">
        <f>IF(A18="","",IF(E18="","Em separação",IF(F18&lt;&gt;"",IF(H18="Em recurso","Em recurso",IF(M18&gt;0,"Paga com glosa","Paga")),IF(L18+Config!$B$7&lt;Config!$B$5,"Atrasada","Aguardando"))))</f>
        <v>Paga com glosa</v>
      </c>
      <c r="O18" s="27">
        <f>IF(N18="Atrasada",Config!$B$5-L18,"")</f>
        <v/>
      </c>
      <c r="P18" s="41" t="str">
        <f>IF(OR(A18="",B18=""),"",A18&amp;"|"&amp;TEXT(B18,"yyyy-mm"))</f>
        <v>MediPlan|2026-02</v>
      </c>
      <c r="Q18" s="25">
        <f>IF(P18="","",IF(COUNTIF(Guias!$K$5:$K$1504,P18)=0,"",SUMIFS(Guias!$G$5:$G$1504,Guias!$K$5:$K$1504,P18)))</f>
        <v/>
      </c>
      <c r="R18" s="25">
        <f>IF(Q18="","",D18-Q18)</f>
        <v/>
      </c>
      <c r="S18" s="42">
        <f>IF(OR(N18="Atrasada",N18="Aguardando"),IF(N18="Atrasada",100000+O18,0)+D18/1000000+ROW()/100000000,0)</f>
        <v>0</v>
      </c>
      <c r="T18" s="42">
        <f>IF(AND(F18&lt;&gt;"",E18&lt;&gt;""),F18-E18,"")</f>
        <v>48</v>
      </c>
    </row>
    <row r="19">
      <c r="A19" s="33" t="inlineStr">
        <is>
          <t>Vida Care</t>
        </is>
      </c>
      <c r="B19" s="43" t="n">
        <v>46054</v>
      </c>
      <c r="C19" s="35" t="n">
        <v>15</v>
      </c>
      <c r="D19" s="40" t="n">
        <v>1156</v>
      </c>
      <c r="E19" s="39" t="n">
        <v>46086</v>
      </c>
      <c r="F19" s="39" t="n">
        <v>46146</v>
      </c>
      <c r="G19" s="40" t="n">
        <v>1060</v>
      </c>
      <c r="H19" s="35" t="n"/>
      <c r="I19" s="40" t="n"/>
      <c r="J19" s="39" t="n"/>
      <c r="K19" s="27">
        <f>IF(A19="","",IFERROR(INDEX(Config!$B$10:$B$15,MATCH(A19,Config!$A$10:$A$15,0)),""))</f>
        <v>60</v>
      </c>
      <c r="L19" s="31">
        <f>IF(OR(A19="",E19="",K19=""),"",E19+K19)</f>
        <v>46146.0</v>
      </c>
      <c r="M19" s="25">
        <f>IF(OR(A19="",F19=""),0,MAX(0,D19-G19))</f>
        <v>96</v>
      </c>
      <c r="N19" s="24" t="str">
        <f>IF(A19="","",IF(E19="","Em separação",IF(F19&lt;&gt;"",IF(H19="Em recurso","Em recurso",IF(M19&gt;0,"Paga com glosa","Paga")),IF(L19+Config!$B$7&lt;Config!$B$5,"Atrasada","Aguardando"))))</f>
        <v>Paga com glosa</v>
      </c>
      <c r="O19" s="27">
        <f>IF(N19="Atrasada",Config!$B$5-L19,"")</f>
        <v/>
      </c>
      <c r="P19" s="41" t="str">
        <f>IF(OR(A19="",B19=""),"",A19&amp;"|"&amp;TEXT(B19,"yyyy-mm"))</f>
        <v>Vida Care|2026-02</v>
      </c>
      <c r="Q19" s="25">
        <f>IF(P19="","",IF(COUNTIF(Guias!$K$5:$K$1504,P19)=0,"",SUMIFS(Guias!$G$5:$G$1504,Guias!$K$5:$K$1504,P19)))</f>
        <v/>
      </c>
      <c r="R19" s="25">
        <f>IF(Q19="","",D19-Q19)</f>
        <v/>
      </c>
      <c r="S19" s="42">
        <f>IF(OR(N19="Atrasada",N19="Aguardando"),IF(N19="Atrasada",100000+O19,0)+D19/1000000+ROW()/100000000,0)</f>
        <v>0</v>
      </c>
      <c r="T19" s="42">
        <f>IF(AND(F19&lt;&gt;"",E19&lt;&gt;""),F19-E19,"")</f>
        <v>60</v>
      </c>
    </row>
    <row r="20">
      <c r="A20" s="33" t="inlineStr">
        <is>
          <t>Saúde Total</t>
        </is>
      </c>
      <c r="B20" s="43" t="n">
        <v>46082</v>
      </c>
      <c r="C20" s="35" t="n">
        <v>65</v>
      </c>
      <c r="D20" s="40" t="n">
        <v>7455</v>
      </c>
      <c r="E20" s="39" t="n">
        <v>46118</v>
      </c>
      <c r="F20" s="39" t="n">
        <v>46150</v>
      </c>
      <c r="G20" s="40" t="n">
        <v>7220</v>
      </c>
      <c r="H20" s="35" t="inlineStr">
        <is>
          <t>Aceito</t>
        </is>
      </c>
      <c r="I20" s="40" t="n">
        <v>140</v>
      </c>
      <c r="J20" s="39" t="n">
        <v>46182</v>
      </c>
      <c r="K20" s="27">
        <f>IF(A20="","",IFERROR(INDEX(Config!$B$10:$B$15,MATCH(A20,Config!$A$10:$A$15,0)),""))</f>
        <v>30</v>
      </c>
      <c r="L20" s="31">
        <f>IF(OR(A20="",E20="",K20=""),"",E20+K20)</f>
        <v>46148.0</v>
      </c>
      <c r="M20" s="25">
        <f>IF(OR(A20="",F20=""),0,MAX(0,D20-G20))</f>
        <v>235</v>
      </c>
      <c r="N20" s="24" t="str">
        <f>IF(A20="","",IF(E20="","Em separação",IF(F20&lt;&gt;"",IF(H20="Em recurso","Em recurso",IF(M20&gt;0,"Paga com glosa","Paga")),IF(L20+Config!$B$7&lt;Config!$B$5,"Atrasada","Aguardando"))))</f>
        <v>Paga com glosa</v>
      </c>
      <c r="O20" s="27">
        <f>IF(N20="Atrasada",Config!$B$5-L20,"")</f>
        <v/>
      </c>
      <c r="P20" s="41" t="str">
        <f>IF(OR(A20="",B20=""),"",A20&amp;"|"&amp;TEXT(B20,"yyyy-mm"))</f>
        <v>Saúde Total|2026-03</v>
      </c>
      <c r="Q20" s="25">
        <f>IF(P20="","",IF(COUNTIF(Guias!$K$5:$K$1504,P20)=0,"",SUMIFS(Guias!$G$5:$G$1504,Guias!$K$5:$K$1504,P20)))</f>
        <v/>
      </c>
      <c r="R20" s="25">
        <f>IF(Q20="","",D20-Q20)</f>
        <v/>
      </c>
      <c r="S20" s="42">
        <f>IF(OR(N20="Atrasada",N20="Aguardando"),IF(N20="Atrasada",100000+O20,0)+D20/1000000+ROW()/100000000,0)</f>
        <v>0</v>
      </c>
      <c r="T20" s="42">
        <f>IF(AND(F20&lt;&gt;"",E20&lt;&gt;""),F20-E20,"")</f>
        <v>32</v>
      </c>
    </row>
    <row r="21">
      <c r="A21" s="33" t="inlineStr">
        <is>
          <t>MediPlan</t>
        </is>
      </c>
      <c r="B21" s="43" t="n">
        <v>46082</v>
      </c>
      <c r="C21" s="35" t="n">
        <v>31</v>
      </c>
      <c r="D21" s="40" t="n">
        <v>2845</v>
      </c>
      <c r="E21" s="39" t="n">
        <v>46118</v>
      </c>
      <c r="F21" s="39" t="n">
        <v>46164</v>
      </c>
      <c r="G21" s="40" t="n">
        <v>2610</v>
      </c>
      <c r="H21" s="35" t="inlineStr">
        <is>
          <t>Aceito</t>
        </is>
      </c>
      <c r="I21" s="40" t="n">
        <v>130</v>
      </c>
      <c r="J21" s="39" t="n">
        <v>46197</v>
      </c>
      <c r="K21" s="27">
        <f>IF(A21="","",IFERROR(INDEX(Config!$B$10:$B$15,MATCH(A21,Config!$A$10:$A$15,0)),""))</f>
        <v>45</v>
      </c>
      <c r="L21" s="31">
        <f>IF(OR(A21="",E21="",K21=""),"",E21+K21)</f>
        <v>46163.0</v>
      </c>
      <c r="M21" s="25">
        <f>IF(OR(A21="",F21=""),0,MAX(0,D21-G21))</f>
        <v>235</v>
      </c>
      <c r="N21" s="24" t="str">
        <f>IF(A21="","",IF(E21="","Em separação",IF(F21&lt;&gt;"",IF(H21="Em recurso","Em recurso",IF(M21&gt;0,"Paga com glosa","Paga")),IF(L21+Config!$B$7&lt;Config!$B$5,"Atrasada","Aguardando"))))</f>
        <v>Paga com glosa</v>
      </c>
      <c r="O21" s="27">
        <f>IF(N21="Atrasada",Config!$B$5-L21,"")</f>
        <v/>
      </c>
      <c r="P21" s="41" t="str">
        <f>IF(OR(A21="",B21=""),"",A21&amp;"|"&amp;TEXT(B21,"yyyy-mm"))</f>
        <v>MediPlan|2026-03</v>
      </c>
      <c r="Q21" s="25">
        <f>IF(P21="","",IF(COUNTIF(Guias!$K$5:$K$1504,P21)=0,"",SUMIFS(Guias!$G$5:$G$1504,Guias!$K$5:$K$1504,P21)))</f>
        <v/>
      </c>
      <c r="R21" s="25">
        <f>IF(Q21="","",D21-Q21)</f>
        <v/>
      </c>
      <c r="S21" s="42">
        <f>IF(OR(N21="Atrasada",N21="Aguardando"),IF(N21="Atrasada",100000+O21,0)+D21/1000000+ROW()/100000000,0)</f>
        <v>0</v>
      </c>
      <c r="T21" s="42">
        <f>IF(AND(F21&lt;&gt;"",E21&lt;&gt;""),F21-E21,"")</f>
        <v>46</v>
      </c>
    </row>
    <row r="22">
      <c r="A22" s="33" t="inlineStr">
        <is>
          <t>Vida Care</t>
        </is>
      </c>
      <c r="B22" s="43" t="n">
        <v>46082</v>
      </c>
      <c r="C22" s="35" t="n">
        <v>17</v>
      </c>
      <c r="D22" s="40" t="n">
        <v>1555</v>
      </c>
      <c r="E22" s="39" t="n">
        <v>46118</v>
      </c>
      <c r="F22" s="39" t="n">
        <v>46178</v>
      </c>
      <c r="G22" s="40" t="n">
        <v>1285</v>
      </c>
      <c r="H22" s="35" t="inlineStr">
        <is>
          <t>Negado</t>
        </is>
      </c>
      <c r="I22" s="40" t="n"/>
      <c r="J22" s="39" t="n"/>
      <c r="K22" s="27">
        <f>IF(A22="","",IFERROR(INDEX(Config!$B$10:$B$15,MATCH(A22,Config!$A$10:$A$15,0)),""))</f>
        <v>60</v>
      </c>
      <c r="L22" s="31">
        <f>IF(OR(A22="",E22="",K22=""),"",E22+K22)</f>
        <v>46178.0</v>
      </c>
      <c r="M22" s="25">
        <f>IF(OR(A22="",F22=""),0,MAX(0,D22-G22))</f>
        <v>270</v>
      </c>
      <c r="N22" s="24" t="str">
        <f>IF(A22="","",IF(E22="","Em separação",IF(F22&lt;&gt;"",IF(H22="Em recurso","Em recurso",IF(M22&gt;0,"Paga com glosa","Paga")),IF(L22+Config!$B$7&lt;Config!$B$5,"Atrasada","Aguardando"))))</f>
        <v>Paga com glosa</v>
      </c>
      <c r="O22" s="27">
        <f>IF(N22="Atrasada",Config!$B$5-L22,"")</f>
        <v/>
      </c>
      <c r="P22" s="41" t="str">
        <f>IF(OR(A22="",B22=""),"",A22&amp;"|"&amp;TEXT(B22,"yyyy-mm"))</f>
        <v>Vida Care|2026-03</v>
      </c>
      <c r="Q22" s="25">
        <f>IF(P22="","",IF(COUNTIF(Guias!$K$5:$K$1504,P22)=0,"",SUMIFS(Guias!$G$5:$G$1504,Guias!$K$5:$K$1504,P22)))</f>
        <v/>
      </c>
      <c r="R22" s="25">
        <f>IF(Q22="","",D22-Q22)</f>
        <v/>
      </c>
      <c r="S22" s="42">
        <f>IF(OR(N22="Atrasada",N22="Aguardando"),IF(N22="Atrasada",100000+O22,0)+D22/1000000+ROW()/100000000,0)</f>
        <v>0</v>
      </c>
      <c r="T22" s="42">
        <f>IF(AND(F22&lt;&gt;"",E22&lt;&gt;""),F22-E22,"")</f>
        <v>60</v>
      </c>
    </row>
    <row r="23">
      <c r="A23" s="33" t="inlineStr">
        <is>
          <t>Saúde Total</t>
        </is>
      </c>
      <c r="B23" s="43" t="n">
        <v>46113</v>
      </c>
      <c r="C23" s="35" t="n">
        <v>39</v>
      </c>
      <c r="D23" s="40" t="n">
        <v>4410</v>
      </c>
      <c r="E23" s="39" t="n">
        <v>46147</v>
      </c>
      <c r="F23" s="39" t="n">
        <v>46181</v>
      </c>
      <c r="G23" s="40" t="n">
        <v>4195</v>
      </c>
      <c r="H23" s="35" t="inlineStr">
        <is>
          <t>Negado</t>
        </is>
      </c>
      <c r="I23" s="40" t="n"/>
      <c r="J23" s="39" t="n"/>
      <c r="K23" s="27">
        <f>IF(A23="","",IFERROR(INDEX(Config!$B$10:$B$15,MATCH(A23,Config!$A$10:$A$15,0)),""))</f>
        <v>30</v>
      </c>
      <c r="L23" s="31">
        <f>IF(OR(A23="",E23="",K23=""),"",E23+K23)</f>
        <v>46177.0</v>
      </c>
      <c r="M23" s="25">
        <f>IF(OR(A23="",F23=""),0,MAX(0,D23-G23))</f>
        <v>215</v>
      </c>
      <c r="N23" s="24" t="str">
        <f>IF(A23="","",IF(E23="","Em separação",IF(F23&lt;&gt;"",IF(H23="Em recurso","Em recurso",IF(M23&gt;0,"Paga com glosa","Paga")),IF(L23+Config!$B$7&lt;Config!$B$5,"Atrasada","Aguardando"))))</f>
        <v>Paga com glosa</v>
      </c>
      <c r="O23" s="27">
        <f>IF(N23="Atrasada",Config!$B$5-L23,"")</f>
        <v/>
      </c>
      <c r="P23" s="41" t="str">
        <f>IF(OR(A23="",B23=""),"",A23&amp;"|"&amp;TEXT(B23,"yyyy-mm"))</f>
        <v>Saúde Total|2026-04</v>
      </c>
      <c r="Q23" s="25">
        <f>IF(P23="","",IF(COUNTIF(Guias!$K$5:$K$1504,P23)=0,"",SUMIFS(Guias!$G$5:$G$1504,Guias!$K$5:$K$1504,P23)))</f>
        <v/>
      </c>
      <c r="R23" s="25">
        <f>IF(Q23="","",D23-Q23)</f>
        <v/>
      </c>
      <c r="S23" s="42">
        <f>IF(OR(N23="Atrasada",N23="Aguardando"),IF(N23="Atrasada",100000+O23,0)+D23/1000000+ROW()/100000000,0)</f>
        <v>0</v>
      </c>
      <c r="T23" s="42">
        <f>IF(AND(F23&lt;&gt;"",E23&lt;&gt;""),F23-E23,"")</f>
        <v>34</v>
      </c>
    </row>
    <row r="24">
      <c r="A24" s="33" t="inlineStr">
        <is>
          <t>MediPlan</t>
        </is>
      </c>
      <c r="B24" s="43" t="n">
        <v>46113</v>
      </c>
      <c r="C24" s="35" t="n">
        <v>26</v>
      </c>
      <c r="D24" s="40" t="n">
        <v>2310</v>
      </c>
      <c r="E24" s="39" t="n">
        <v>46147</v>
      </c>
      <c r="F24" s="39" t="n">
        <v>46195</v>
      </c>
      <c r="G24" s="40" t="n">
        <v>2025</v>
      </c>
      <c r="H24" s="35" t="inlineStr">
        <is>
          <t>Negado</t>
        </is>
      </c>
      <c r="I24" s="40" t="n"/>
      <c r="J24" s="39" t="n"/>
      <c r="K24" s="27">
        <f>IF(A24="","",IFERROR(INDEX(Config!$B$10:$B$15,MATCH(A24,Config!$A$10:$A$15,0)),""))</f>
        <v>45</v>
      </c>
      <c r="L24" s="31">
        <f>IF(OR(A24="",E24="",K24=""),"",E24+K24)</f>
        <v>46192.0</v>
      </c>
      <c r="M24" s="25">
        <f>IF(OR(A24="",F24=""),0,MAX(0,D24-G24))</f>
        <v>285</v>
      </c>
      <c r="N24" s="24" t="str">
        <f>IF(A24="","",IF(E24="","Em separação",IF(F24&lt;&gt;"",IF(H24="Em recurso","Em recurso",IF(M24&gt;0,"Paga com glosa","Paga")),IF(L24+Config!$B$7&lt;Config!$B$5,"Atrasada","Aguardando"))))</f>
        <v>Paga com glosa</v>
      </c>
      <c r="O24" s="27">
        <f>IF(N24="Atrasada",Config!$B$5-L24,"")</f>
        <v/>
      </c>
      <c r="P24" s="41" t="str">
        <f>IF(OR(A24="",B24=""),"",A24&amp;"|"&amp;TEXT(B24,"yyyy-mm"))</f>
        <v>MediPlan|2026-04</v>
      </c>
      <c r="Q24" s="25">
        <f>IF(P24="","",IF(COUNTIF(Guias!$K$5:$K$1504,P24)=0,"",SUMIFS(Guias!$G$5:$G$1504,Guias!$K$5:$K$1504,P24)))</f>
        <v/>
      </c>
      <c r="R24" s="25">
        <f>IF(Q24="","",D24-Q24)</f>
        <v/>
      </c>
      <c r="S24" s="42">
        <f>IF(OR(N24="Atrasada",N24="Aguardando"),IF(N24="Atrasada",100000+O24,0)+D24/1000000+ROW()/100000000,0)</f>
        <v>0</v>
      </c>
      <c r="T24" s="42">
        <f>IF(AND(F24&lt;&gt;"",E24&lt;&gt;""),F24-E24,"")</f>
        <v>48</v>
      </c>
    </row>
    <row r="25">
      <c r="A25" s="33" t="inlineStr">
        <is>
          <t>Vida Care</t>
        </is>
      </c>
      <c r="B25" s="43" t="n">
        <v>46113</v>
      </c>
      <c r="C25" s="35" t="n">
        <v>21</v>
      </c>
      <c r="D25" s="40" t="n">
        <v>1698</v>
      </c>
      <c r="E25" s="39" t="n">
        <v>46147</v>
      </c>
      <c r="F25" s="39" t="n">
        <v>46209</v>
      </c>
      <c r="G25" s="40" t="n">
        <v>1576</v>
      </c>
      <c r="H25" s="35" t="n"/>
      <c r="I25" s="40" t="n"/>
      <c r="J25" s="39" t="n"/>
      <c r="K25" s="27">
        <f>IF(A25="","",IFERROR(INDEX(Config!$B$10:$B$15,MATCH(A25,Config!$A$10:$A$15,0)),""))</f>
        <v>60</v>
      </c>
      <c r="L25" s="31">
        <f>IF(OR(A25="",E25="",K25=""),"",E25+K25)</f>
        <v>46207.0</v>
      </c>
      <c r="M25" s="25">
        <f>IF(OR(A25="",F25=""),0,MAX(0,D25-G25))</f>
        <v>122</v>
      </c>
      <c r="N25" s="24" t="str">
        <f>IF(A25="","",IF(E25="","Em separação",IF(F25&lt;&gt;"",IF(H25="Em recurso","Em recurso",IF(M25&gt;0,"Paga com glosa","Paga")),IF(L25+Config!$B$7&lt;Config!$B$5,"Atrasada","Aguardando"))))</f>
        <v>Paga com glosa</v>
      </c>
      <c r="O25" s="27">
        <f>IF(N25="Atrasada",Config!$B$5-L25,"")</f>
        <v/>
      </c>
      <c r="P25" s="41" t="str">
        <f>IF(OR(A25="",B25=""),"",A25&amp;"|"&amp;TEXT(B25,"yyyy-mm"))</f>
        <v>Vida Care|2026-04</v>
      </c>
      <c r="Q25" s="25">
        <f>IF(P25="","",IF(COUNTIF(Guias!$K$5:$K$1504,P25)=0,"",SUMIFS(Guias!$G$5:$G$1504,Guias!$K$5:$K$1504,P25)))</f>
        <v/>
      </c>
      <c r="R25" s="25">
        <f>IF(Q25="","",D25-Q25)</f>
        <v/>
      </c>
      <c r="S25" s="42">
        <f>IF(OR(N25="Atrasada",N25="Aguardando"),IF(N25="Atrasada",100000+O25,0)+D25/1000000+ROW()/100000000,0)</f>
        <v>0</v>
      </c>
      <c r="T25" s="42">
        <f>IF(AND(F25&lt;&gt;"",E25&lt;&gt;""),F25-E25,"")</f>
        <v>62</v>
      </c>
    </row>
    <row r="26">
      <c r="A26" s="33" t="inlineStr">
        <is>
          <t>Saúde Total</t>
        </is>
      </c>
      <c r="B26" s="43" t="n">
        <v>46143</v>
      </c>
      <c r="C26" s="35" t="n">
        <v>57</v>
      </c>
      <c r="D26" s="40" t="n">
        <v>6785</v>
      </c>
      <c r="E26" s="39" t="n">
        <v>46178</v>
      </c>
      <c r="F26" s="39" t="n">
        <v>46209</v>
      </c>
      <c r="G26" s="40" t="n">
        <v>6655</v>
      </c>
      <c r="H26" s="35" t="n"/>
      <c r="I26" s="40" t="n"/>
      <c r="J26" s="39" t="n"/>
      <c r="K26" s="27">
        <f>IF(A26="","",IFERROR(INDEX(Config!$B$10:$B$15,MATCH(A26,Config!$A$10:$A$15,0)),""))</f>
        <v>30</v>
      </c>
      <c r="L26" s="31">
        <f>IF(OR(A26="",E26="",K26=""),"",E26+K26)</f>
        <v>46208.0</v>
      </c>
      <c r="M26" s="25">
        <f>IF(OR(A26="",F26=""),0,MAX(0,D26-G26))</f>
        <v>130</v>
      </c>
      <c r="N26" s="24" t="str">
        <f>IF(A26="","",IF(E26="","Em separação",IF(F26&lt;&gt;"",IF(H26="Em recurso","Em recurso",IF(M26&gt;0,"Paga com glosa","Paga")),IF(L26+Config!$B$7&lt;Config!$B$5,"Atrasada","Aguardando"))))</f>
        <v>Paga com glosa</v>
      </c>
      <c r="O26" s="27">
        <f>IF(N26="Atrasada",Config!$B$5-L26,"")</f>
        <v/>
      </c>
      <c r="P26" s="41" t="str">
        <f>IF(OR(A26="",B26=""),"",A26&amp;"|"&amp;TEXT(B26,"yyyy-mm"))</f>
        <v>Saúde Total|2026-05</v>
      </c>
      <c r="Q26" s="25">
        <f>IF(P26="","",IF(COUNTIF(Guias!$K$5:$K$1504,P26)=0,"",SUMIFS(Guias!$G$5:$G$1504,Guias!$K$5:$K$1504,P26)))</f>
        <v/>
      </c>
      <c r="R26" s="25">
        <f>IF(Q26="","",D26-Q26)</f>
        <v/>
      </c>
      <c r="S26" s="42">
        <f>IF(OR(N26="Atrasada",N26="Aguardando"),IF(N26="Atrasada",100000+O26,0)+D26/1000000+ROW()/100000000,0)</f>
        <v>0</v>
      </c>
      <c r="T26" s="42">
        <f>IF(AND(F26&lt;&gt;"",E26&lt;&gt;""),F26-E26,"")</f>
        <v>31</v>
      </c>
    </row>
    <row r="27">
      <c r="A27" s="33" t="inlineStr">
        <is>
          <t>MediPlan</t>
        </is>
      </c>
      <c r="B27" s="43" t="n">
        <v>46143</v>
      </c>
      <c r="C27" s="35" t="n">
        <v>19</v>
      </c>
      <c r="D27" s="40" t="n">
        <v>1755</v>
      </c>
      <c r="E27" s="39" t="n">
        <v>46178</v>
      </c>
      <c r="F27" s="39" t="n">
        <v>46223</v>
      </c>
      <c r="G27" s="40" t="n">
        <v>1570</v>
      </c>
      <c r="H27" s="35" t="n"/>
      <c r="I27" s="40" t="n"/>
      <c r="J27" s="39" t="n"/>
      <c r="K27" s="27">
        <f>IF(A27="","",IFERROR(INDEX(Config!$B$10:$B$15,MATCH(A27,Config!$A$10:$A$15,0)),""))</f>
        <v>45</v>
      </c>
      <c r="L27" s="31">
        <f>IF(OR(A27="",E27="",K27=""),"",E27+K27)</f>
        <v>46223.0</v>
      </c>
      <c r="M27" s="25">
        <f>IF(OR(A27="",F27=""),0,MAX(0,D27-G27))</f>
        <v>185</v>
      </c>
      <c r="N27" s="24" t="str">
        <f>IF(A27="","",IF(E27="","Em separação",IF(F27&lt;&gt;"",IF(H27="Em recurso","Em recurso",IF(M27&gt;0,"Paga com glosa","Paga")),IF(L27+Config!$B$7&lt;Config!$B$5,"Atrasada","Aguardando"))))</f>
        <v>Paga com glosa</v>
      </c>
      <c r="O27" s="27">
        <f>IF(N27="Atrasada",Config!$B$5-L27,"")</f>
        <v/>
      </c>
      <c r="P27" s="41" t="str">
        <f>IF(OR(A27="",B27=""),"",A27&amp;"|"&amp;TEXT(B27,"yyyy-mm"))</f>
        <v>MediPlan|2026-05</v>
      </c>
      <c r="Q27" s="25">
        <f>IF(P27="","",IF(COUNTIF(Guias!$K$5:$K$1504,P27)=0,"",SUMIFS(Guias!$G$5:$G$1504,Guias!$K$5:$K$1504,P27)))</f>
        <v/>
      </c>
      <c r="R27" s="25">
        <f>IF(Q27="","",D27-Q27)</f>
        <v/>
      </c>
      <c r="S27" s="42">
        <f>IF(OR(N27="Atrasada",N27="Aguardando"),IF(N27="Atrasada",100000+O27,0)+D27/1000000+ROW()/100000000,0)</f>
        <v>0</v>
      </c>
      <c r="T27" s="42">
        <f>IF(AND(F27&lt;&gt;"",E27&lt;&gt;""),F27-E27,"")</f>
        <v>45</v>
      </c>
    </row>
    <row r="28">
      <c r="A28" s="33" t="inlineStr">
        <is>
          <t>Vida Care</t>
        </is>
      </c>
      <c r="B28" s="43" t="n">
        <v>46143</v>
      </c>
      <c r="C28" s="35" t="n">
        <v>24</v>
      </c>
      <c r="D28" s="40" t="n">
        <v>2001</v>
      </c>
      <c r="E28" s="39" t="n">
        <v>46178</v>
      </c>
      <c r="F28" s="39" t="n">
        <v>46239</v>
      </c>
      <c r="G28" s="40" t="n">
        <v>1711</v>
      </c>
      <c r="H28" s="35" t="inlineStr">
        <is>
          <t>Aceito</t>
        </is>
      </c>
      <c r="I28" s="40" t="n">
        <v>200</v>
      </c>
      <c r="J28" s="39" t="n">
        <v>46273</v>
      </c>
      <c r="K28" s="27">
        <f>IF(A28="","",IFERROR(INDEX(Config!$B$10:$B$15,MATCH(A28,Config!$A$10:$A$15,0)),""))</f>
        <v>60</v>
      </c>
      <c r="L28" s="31">
        <f>IF(OR(A28="",E28="",K28=""),"",E28+K28)</f>
        <v>46238.0</v>
      </c>
      <c r="M28" s="25">
        <f>IF(OR(A28="",F28=""),0,MAX(0,D28-G28))</f>
        <v>290</v>
      </c>
      <c r="N28" s="24" t="str">
        <f>IF(A28="","",IF(E28="","Em separação",IF(F28&lt;&gt;"",IF(H28="Em recurso","Em recurso",IF(M28&gt;0,"Paga com glosa","Paga")),IF(L28+Config!$B$7&lt;Config!$B$5,"Atrasada","Aguardando"))))</f>
        <v>Paga com glosa</v>
      </c>
      <c r="O28" s="27">
        <f>IF(N28="Atrasada",Config!$B$5-L28,"")</f>
        <v/>
      </c>
      <c r="P28" s="41" t="str">
        <f>IF(OR(A28="",B28=""),"",A28&amp;"|"&amp;TEXT(B28,"yyyy-mm"))</f>
        <v>Vida Care|2026-05</v>
      </c>
      <c r="Q28" s="25">
        <f>IF(P28="","",IF(COUNTIF(Guias!$K$5:$K$1504,P28)=0,"",SUMIFS(Guias!$G$5:$G$1504,Guias!$K$5:$K$1504,P28)))</f>
        <v/>
      </c>
      <c r="R28" s="25">
        <f>IF(Q28="","",D28-Q28)</f>
        <v/>
      </c>
      <c r="S28" s="42">
        <f>IF(OR(N28="Atrasada",N28="Aguardando"),IF(N28="Atrasada",100000+O28,0)+D28/1000000+ROW()/100000000,0)</f>
        <v>0</v>
      </c>
      <c r="T28" s="42">
        <f>IF(AND(F28&lt;&gt;"",E28&lt;&gt;""),F28-E28,"")</f>
        <v>61</v>
      </c>
    </row>
    <row r="29">
      <c r="A29" s="33" t="inlineStr">
        <is>
          <t>Saúde Total</t>
        </is>
      </c>
      <c r="B29" s="43" t="n">
        <v>46174</v>
      </c>
      <c r="C29" s="35" t="n">
        <v>70</v>
      </c>
      <c r="D29" s="40" t="n">
        <v>7560</v>
      </c>
      <c r="E29" s="39" t="n">
        <v>46209</v>
      </c>
      <c r="F29" s="39" t="n">
        <v>46239</v>
      </c>
      <c r="G29" s="40" t="n">
        <v>7320</v>
      </c>
      <c r="H29" s="35" t="inlineStr">
        <is>
          <t>Em recurso</t>
        </is>
      </c>
      <c r="I29" s="40" t="n"/>
      <c r="J29" s="39" t="n"/>
      <c r="K29" s="27">
        <f>IF(A29="","",IFERROR(INDEX(Config!$B$10:$B$15,MATCH(A29,Config!$A$10:$A$15,0)),""))</f>
        <v>30</v>
      </c>
      <c r="L29" s="31">
        <f>IF(OR(A29="",E29="",K29=""),"",E29+K29)</f>
        <v>46239.0</v>
      </c>
      <c r="M29" s="25">
        <f>IF(OR(A29="",F29=""),0,MAX(0,D29-G29))</f>
        <v>240</v>
      </c>
      <c r="N29" s="24" t="str">
        <f>IF(A29="","",IF(E29="","Em separação",IF(F29&lt;&gt;"",IF(H29="Em recurso","Em recurso",IF(M29&gt;0,"Paga com glosa","Paga")),IF(L29+Config!$B$7&lt;Config!$B$5,"Atrasada","Aguardando"))))</f>
        <v>Em recurso</v>
      </c>
      <c r="O29" s="27">
        <f>IF(N29="Atrasada",Config!$B$5-L29,"")</f>
        <v/>
      </c>
      <c r="P29" s="41" t="str">
        <f>IF(OR(A29="",B29=""),"",A29&amp;"|"&amp;TEXT(B29,"yyyy-mm"))</f>
        <v>Saúde Total|2026-06</v>
      </c>
      <c r="Q29" s="25">
        <f>IF(P29="","",IF(COUNTIF(Guias!$K$5:$K$1504,P29)=0,"",SUMIFS(Guias!$G$5:$G$1504,Guias!$K$5:$K$1504,P29)))</f>
        <v>7560</v>
      </c>
      <c r="R29" s="25">
        <f>IF(Q29="","",D29-Q29)</f>
        <v>0</v>
      </c>
      <c r="S29" s="42">
        <f>IF(OR(N29="Atrasada",N29="Aguardando"),IF(N29="Atrasada",100000+O29,0)+D29/1000000+ROW()/100000000,0)</f>
        <v>0</v>
      </c>
      <c r="T29" s="42">
        <f>IF(AND(F29&lt;&gt;"",E29&lt;&gt;""),F29-E29,"")</f>
        <v>30</v>
      </c>
    </row>
    <row r="30">
      <c r="A30" s="33" t="inlineStr">
        <is>
          <t>MediPlan</t>
        </is>
      </c>
      <c r="B30" s="43" t="n">
        <v>46174</v>
      </c>
      <c r="C30" s="35" t="n">
        <v>25</v>
      </c>
      <c r="D30" s="40" t="n">
        <v>2265</v>
      </c>
      <c r="E30" s="39" t="n">
        <v>46209</v>
      </c>
      <c r="F30" s="39" t="n">
        <v>46254</v>
      </c>
      <c r="G30" s="40" t="n">
        <v>2130</v>
      </c>
      <c r="H30" s="35" t="n"/>
      <c r="I30" s="40" t="n"/>
      <c r="J30" s="39" t="n"/>
      <c r="K30" s="27">
        <f>IF(A30="","",IFERROR(INDEX(Config!$B$10:$B$15,MATCH(A30,Config!$A$10:$A$15,0)),""))</f>
        <v>45</v>
      </c>
      <c r="L30" s="31">
        <f>IF(OR(A30="",E30="",K30=""),"",E30+K30)</f>
        <v>46254.0</v>
      </c>
      <c r="M30" s="25">
        <f>IF(OR(A30="",F30=""),0,MAX(0,D30-G30))</f>
        <v>135</v>
      </c>
      <c r="N30" s="24" t="str">
        <f>IF(A30="","",IF(E30="","Em separação",IF(F30&lt;&gt;"",IF(H30="Em recurso","Em recurso",IF(M30&gt;0,"Paga com glosa","Paga")),IF(L30+Config!$B$7&lt;Config!$B$5,"Atrasada","Aguardando"))))</f>
        <v>Paga com glosa</v>
      </c>
      <c r="O30" s="27">
        <f>IF(N30="Atrasada",Config!$B$5-L30,"")</f>
        <v/>
      </c>
      <c r="P30" s="41" t="str">
        <f>IF(OR(A30="",B30=""),"",A30&amp;"|"&amp;TEXT(B30,"yyyy-mm"))</f>
        <v>MediPlan|2026-06</v>
      </c>
      <c r="Q30" s="25">
        <f>IF(P30="","",IF(COUNTIF(Guias!$K$5:$K$1504,P30)=0,"",SUMIFS(Guias!$G$5:$G$1504,Guias!$K$5:$K$1504,P30)))</f>
        <v>2265</v>
      </c>
      <c r="R30" s="25">
        <f>IF(Q30="","",D30-Q30)</f>
        <v>0</v>
      </c>
      <c r="S30" s="42">
        <f>IF(OR(N30="Atrasada",N30="Aguardando"),IF(N30="Atrasada",100000+O30,0)+D30/1000000+ROW()/100000000,0)</f>
        <v>0</v>
      </c>
      <c r="T30" s="42">
        <f>IF(AND(F30&lt;&gt;"",E30&lt;&gt;""),F30-E30,"")</f>
        <v>45</v>
      </c>
    </row>
    <row r="31">
      <c r="A31" s="33" t="inlineStr">
        <is>
          <t>Vida Care</t>
        </is>
      </c>
      <c r="B31" s="43" t="n">
        <v>46174</v>
      </c>
      <c r="C31" s="35" t="n">
        <v>19</v>
      </c>
      <c r="D31" s="40" t="n">
        <v>1727</v>
      </c>
      <c r="E31" s="39" t="n">
        <v>46209</v>
      </c>
      <c r="F31" s="39" t="n"/>
      <c r="G31" s="40" t="n"/>
      <c r="H31" s="35" t="n"/>
      <c r="I31" s="40" t="n"/>
      <c r="J31" s="39" t="n"/>
      <c r="K31" s="27">
        <f>IF(A31="","",IFERROR(INDEX(Config!$B$10:$B$15,MATCH(A31,Config!$A$10:$A$15,0)),""))</f>
        <v>60</v>
      </c>
      <c r="L31" s="31">
        <f>IF(OR(A31="",E31="",K31=""),"",E31+K31)</f>
        <v>46269.0</v>
      </c>
      <c r="M31" s="25">
        <f>IF(OR(A31="",F31=""),0,MAX(0,D31-G31))</f>
        <v>0</v>
      </c>
      <c r="N31" s="24" t="str">
        <f>IF(A31="","",IF(E31="","Em separação",IF(F31&lt;&gt;"",IF(H31="Em recurso","Em recurso",IF(M31&gt;0,"Paga com glosa","Paga")),IF(L31+Config!$B$7&lt;Config!$B$5,"Atrasada","Aguardando"))))</f>
        <v>Atrasada</v>
      </c>
      <c r="O31" s="27">
        <f>IF(N31="Atrasada",Config!$B$5-L31,"")</f>
        <v>10</v>
      </c>
      <c r="P31" s="41" t="str">
        <f>IF(OR(A31="",B31=""),"",A31&amp;"|"&amp;TEXT(B31,"yyyy-mm"))</f>
        <v>Vida Care|2026-06</v>
      </c>
      <c r="Q31" s="25">
        <f>IF(P31="","",IF(COUNTIF(Guias!$K$5:$K$1504,P31)=0,"",SUMIFS(Guias!$G$5:$G$1504,Guias!$K$5:$K$1504,P31)))</f>
        <v>1727</v>
      </c>
      <c r="R31" s="25">
        <f>IF(Q31="","",D31-Q31)</f>
        <v>0</v>
      </c>
      <c r="S31" s="42">
        <f>IF(OR(N31="Atrasada",N31="Aguardando"),IF(N31="Atrasada",100000+O31,0)+D31/1000000+ROW()/100000000,0)</f>
        <v>100010.00172731</v>
      </c>
      <c r="T31" s="42">
        <f>IF(AND(F31&lt;&gt;"",E31&lt;&gt;""),F31-E31,"")</f>
        <v/>
      </c>
    </row>
    <row r="32">
      <c r="A32" s="33" t="inlineStr">
        <is>
          <t>Saúde Total</t>
        </is>
      </c>
      <c r="B32" s="43" t="n">
        <v>46204</v>
      </c>
      <c r="C32" s="35" t="n">
        <v>49</v>
      </c>
      <c r="D32" s="40" t="n">
        <v>5950</v>
      </c>
      <c r="E32" s="39" t="n">
        <v>46239</v>
      </c>
      <c r="F32" s="39" t="n">
        <v>46273</v>
      </c>
      <c r="G32" s="40" t="n">
        <v>5780</v>
      </c>
      <c r="H32" s="35" t="n"/>
      <c r="I32" s="40" t="n"/>
      <c r="J32" s="39" t="n"/>
      <c r="K32" s="27">
        <f>IF(A32="","",IFERROR(INDEX(Config!$B$10:$B$15,MATCH(A32,Config!$A$10:$A$15,0)),""))</f>
        <v>30</v>
      </c>
      <c r="L32" s="31">
        <f>IF(OR(A32="",E32="",K32=""),"",E32+K32)</f>
        <v>46269.0</v>
      </c>
      <c r="M32" s="25">
        <f>IF(OR(A32="",F32=""),0,MAX(0,D32-G32))</f>
        <v>170</v>
      </c>
      <c r="N32" s="24" t="str">
        <f>IF(A32="","",IF(E32="","Em separação",IF(F32&lt;&gt;"",IF(H32="Em recurso","Em recurso",IF(M32&gt;0,"Paga com glosa","Paga")),IF(L32+Config!$B$7&lt;Config!$B$5,"Atrasada","Aguardando"))))</f>
        <v>Paga com glosa</v>
      </c>
      <c r="O32" s="27">
        <f>IF(N32="Atrasada",Config!$B$5-L32,"")</f>
        <v/>
      </c>
      <c r="P32" s="41" t="str">
        <f>IF(OR(A32="",B32=""),"",A32&amp;"|"&amp;TEXT(B32,"yyyy-mm"))</f>
        <v>Saúde Total|2026-07</v>
      </c>
      <c r="Q32" s="25">
        <f>IF(P32="","",IF(COUNTIF(Guias!$K$5:$K$1504,P32)=0,"",SUMIFS(Guias!$G$5:$G$1504,Guias!$K$5:$K$1504,P32)))</f>
        <v>5950</v>
      </c>
      <c r="R32" s="25">
        <f>IF(Q32="","",D32-Q32)</f>
        <v>0</v>
      </c>
      <c r="S32" s="42">
        <f>IF(OR(N32="Atrasada",N32="Aguardando"),IF(N32="Atrasada",100000+O32,0)+D32/1000000+ROW()/100000000,0)</f>
        <v>0</v>
      </c>
      <c r="T32" s="42">
        <f>IF(AND(F32&lt;&gt;"",E32&lt;&gt;""),F32-E32,"")</f>
        <v>34</v>
      </c>
    </row>
    <row r="33">
      <c r="A33" s="33" t="inlineStr">
        <is>
          <t>MediPlan</t>
        </is>
      </c>
      <c r="B33" s="43" t="n">
        <v>46204</v>
      </c>
      <c r="C33" s="35" t="n">
        <v>31</v>
      </c>
      <c r="D33" s="40" t="n">
        <v>2875</v>
      </c>
      <c r="E33" s="39" t="n">
        <v>46239</v>
      </c>
      <c r="F33" s="39" t="n"/>
      <c r="G33" s="40" t="n"/>
      <c r="H33" s="35" t="n"/>
      <c r="I33" s="40" t="n"/>
      <c r="J33" s="39" t="n"/>
      <c r="K33" s="27">
        <f>IF(A33="","",IFERROR(INDEX(Config!$B$10:$B$15,MATCH(A33,Config!$A$10:$A$15,0)),""))</f>
        <v>45</v>
      </c>
      <c r="L33" s="31">
        <f>IF(OR(A33="",E33="",K33=""),"",E33+K33)</f>
        <v>46284.0</v>
      </c>
      <c r="M33" s="25">
        <f>IF(OR(A33="",F33=""),0,MAX(0,D33-G33))</f>
        <v>0</v>
      </c>
      <c r="N33" s="24" t="str">
        <f>IF(A33="","",IF(E33="","Em separação",IF(F33&lt;&gt;"",IF(H33="Em recurso","Em recurso",IF(M33&gt;0,"Paga com glosa","Paga")),IF(L33+Config!$B$7&lt;Config!$B$5,"Atrasada","Aguardando"))))</f>
        <v>Aguardando</v>
      </c>
      <c r="O33" s="27">
        <f>IF(N33="Atrasada",Config!$B$5-L33,"")</f>
        <v/>
      </c>
      <c r="P33" s="41" t="str">
        <f>IF(OR(A33="",B33=""),"",A33&amp;"|"&amp;TEXT(B33,"yyyy-mm"))</f>
        <v>MediPlan|2026-07</v>
      </c>
      <c r="Q33" s="25">
        <f>IF(P33="","",IF(COUNTIF(Guias!$K$5:$K$1504,P33)=0,"",SUMIFS(Guias!$G$5:$G$1504,Guias!$K$5:$K$1504,P33)))</f>
        <v>2875</v>
      </c>
      <c r="R33" s="25">
        <f>IF(Q33="","",D33-Q33)</f>
        <v>0</v>
      </c>
      <c r="S33" s="42">
        <f>IF(OR(N33="Atrasada",N33="Aguardando"),IF(N33="Atrasada",100000+O33,0)+D33/1000000+ROW()/100000000,0)</f>
        <v>0.00287533</v>
      </c>
      <c r="T33" s="42">
        <f>IF(AND(F33&lt;&gt;"",E33&lt;&gt;""),F33-E33,"")</f>
        <v/>
      </c>
    </row>
    <row r="34">
      <c r="A34" s="33" t="inlineStr">
        <is>
          <t>Vida Care</t>
        </is>
      </c>
      <c r="B34" s="43" t="n">
        <v>46204</v>
      </c>
      <c r="C34" s="35" t="n">
        <v>20</v>
      </c>
      <c r="D34" s="40" t="n">
        <v>1525</v>
      </c>
      <c r="E34" s="39" t="n">
        <v>46239</v>
      </c>
      <c r="F34" s="39" t="n"/>
      <c r="G34" s="40" t="n"/>
      <c r="H34" s="35" t="n"/>
      <c r="I34" s="40" t="n"/>
      <c r="J34" s="39" t="n"/>
      <c r="K34" s="27">
        <f>IF(A34="","",IFERROR(INDEX(Config!$B$10:$B$15,MATCH(A34,Config!$A$10:$A$15,0)),""))</f>
        <v>60</v>
      </c>
      <c r="L34" s="31">
        <f>IF(OR(A34="",E34="",K34=""),"",E34+K34)</f>
        <v>46299.0</v>
      </c>
      <c r="M34" s="25">
        <f>IF(OR(A34="",F34=""),0,MAX(0,D34-G34))</f>
        <v>0</v>
      </c>
      <c r="N34" s="24" t="str">
        <f>IF(A34="","",IF(E34="","Em separação",IF(F34&lt;&gt;"",IF(H34="Em recurso","Em recurso",IF(M34&gt;0,"Paga com glosa","Paga")),IF(L34+Config!$B$7&lt;Config!$B$5,"Atrasada","Aguardando"))))</f>
        <v>Aguardando</v>
      </c>
      <c r="O34" s="27">
        <f>IF(N34="Atrasada",Config!$B$5-L34,"")</f>
        <v/>
      </c>
      <c r="P34" s="41" t="str">
        <f>IF(OR(A34="",B34=""),"",A34&amp;"|"&amp;TEXT(B34,"yyyy-mm"))</f>
        <v>Vida Care|2026-07</v>
      </c>
      <c r="Q34" s="25">
        <f>IF(P34="","",IF(COUNTIF(Guias!$K$5:$K$1504,P34)=0,"",SUMIFS(Guias!$G$5:$G$1504,Guias!$K$5:$K$1504,P34)))</f>
        <v>1525</v>
      </c>
      <c r="R34" s="25">
        <f>IF(Q34="","",D34-Q34)</f>
        <v>0</v>
      </c>
      <c r="S34" s="42">
        <f>IF(OR(N34="Atrasada",N34="Aguardando"),IF(N34="Atrasada",100000+O34,0)+D34/1000000+ROW()/100000000,0)</f>
        <v>0.00152534</v>
      </c>
      <c r="T34" s="42">
        <f>IF(AND(F34&lt;&gt;"",E34&lt;&gt;""),F34-E34,"")</f>
        <v/>
      </c>
    </row>
    <row r="35">
      <c r="A35" s="33" t="inlineStr">
        <is>
          <t>Saúde Total</t>
        </is>
      </c>
      <c r="B35" s="43" t="n">
        <v>46235</v>
      </c>
      <c r="C35" s="35" t="n">
        <v>43</v>
      </c>
      <c r="D35" s="40" t="n">
        <v>4555</v>
      </c>
      <c r="E35" s="39" t="n">
        <v>46273</v>
      </c>
      <c r="F35" s="39" t="n"/>
      <c r="G35" s="40" t="n"/>
      <c r="H35" s="35" t="n"/>
      <c r="I35" s="40" t="n"/>
      <c r="J35" s="39" t="n"/>
      <c r="K35" s="27">
        <f>IF(A35="","",IFERROR(INDEX(Config!$B$10:$B$15,MATCH(A35,Config!$A$10:$A$15,0)),""))</f>
        <v>30</v>
      </c>
      <c r="L35" s="31">
        <f>IF(OR(A35="",E35="",K35=""),"",E35+K35)</f>
        <v>46303.0</v>
      </c>
      <c r="M35" s="25">
        <f>IF(OR(A35="",F35=""),0,MAX(0,D35-G35))</f>
        <v>0</v>
      </c>
      <c r="N35" s="24" t="str">
        <f>IF(A35="","",IF(E35="","Em separação",IF(F35&lt;&gt;"",IF(H35="Em recurso","Em recurso",IF(M35&gt;0,"Paga com glosa","Paga")),IF(L35+Config!$B$7&lt;Config!$B$5,"Atrasada","Aguardando"))))</f>
        <v>Aguardando</v>
      </c>
      <c r="O35" s="27">
        <f>IF(N35="Atrasada",Config!$B$5-L35,"")</f>
        <v/>
      </c>
      <c r="P35" s="41" t="str">
        <f>IF(OR(A35="",B35=""),"",A35&amp;"|"&amp;TEXT(B35,"yyyy-mm"))</f>
        <v>Saúde Total|2026-08</v>
      </c>
      <c r="Q35" s="25">
        <f>IF(P35="","",IF(COUNTIF(Guias!$K$5:$K$1504,P35)=0,"",SUMIFS(Guias!$G$5:$G$1504,Guias!$K$5:$K$1504,P35)))</f>
        <v>4555</v>
      </c>
      <c r="R35" s="25">
        <f>IF(Q35="","",D35-Q35)</f>
        <v>0</v>
      </c>
      <c r="S35" s="42">
        <f>IF(OR(N35="Atrasada",N35="Aguardando"),IF(N35="Atrasada",100000+O35,0)+D35/1000000+ROW()/100000000,0)</f>
        <v>0.00455535</v>
      </c>
      <c r="T35" s="42">
        <f>IF(AND(F35&lt;&gt;"",E35&lt;&gt;""),F35-E35,"")</f>
        <v/>
      </c>
    </row>
    <row r="36">
      <c r="A36" s="33" t="inlineStr">
        <is>
          <t>MediPlan</t>
        </is>
      </c>
      <c r="B36" s="43" t="n">
        <v>46235</v>
      </c>
      <c r="C36" s="35" t="n">
        <v>34</v>
      </c>
      <c r="D36" s="40" t="n">
        <v>3430</v>
      </c>
      <c r="E36" s="39" t="n">
        <v>46273</v>
      </c>
      <c r="F36" s="39" t="n"/>
      <c r="G36" s="40" t="n"/>
      <c r="H36" s="35" t="n"/>
      <c r="I36" s="40" t="n"/>
      <c r="J36" s="39" t="n"/>
      <c r="K36" s="27">
        <f>IF(A36="","",IFERROR(INDEX(Config!$B$10:$B$15,MATCH(A36,Config!$A$10:$A$15,0)),""))</f>
        <v>45</v>
      </c>
      <c r="L36" s="31">
        <f>IF(OR(A36="",E36="",K36=""),"",E36+K36)</f>
        <v>46318.0</v>
      </c>
      <c r="M36" s="25">
        <f>IF(OR(A36="",F36=""),0,MAX(0,D36-G36))</f>
        <v>0</v>
      </c>
      <c r="N36" s="24" t="str">
        <f>IF(A36="","",IF(E36="","Em separação",IF(F36&lt;&gt;"",IF(H36="Em recurso","Em recurso",IF(M36&gt;0,"Paga com glosa","Paga")),IF(L36+Config!$B$7&lt;Config!$B$5,"Atrasada","Aguardando"))))</f>
        <v>Aguardando</v>
      </c>
      <c r="O36" s="27">
        <f>IF(N36="Atrasada",Config!$B$5-L36,"")</f>
        <v/>
      </c>
      <c r="P36" s="41" t="str">
        <f>IF(OR(A36="",B36=""),"",A36&amp;"|"&amp;TEXT(B36,"yyyy-mm"))</f>
        <v>MediPlan|2026-08</v>
      </c>
      <c r="Q36" s="25">
        <f>IF(P36="","",IF(COUNTIF(Guias!$K$5:$K$1504,P36)=0,"",SUMIFS(Guias!$G$5:$G$1504,Guias!$K$5:$K$1504,P36)))</f>
        <v>3430</v>
      </c>
      <c r="R36" s="25">
        <f>IF(Q36="","",D36-Q36)</f>
        <v>0</v>
      </c>
      <c r="S36" s="42">
        <f>IF(OR(N36="Atrasada",N36="Aguardando"),IF(N36="Atrasada",100000+O36,0)+D36/1000000+ROW()/100000000,0)</f>
        <v>0.00343036</v>
      </c>
      <c r="T36" s="42">
        <f>IF(AND(F36&lt;&gt;"",E36&lt;&gt;""),F36-E36,"")</f>
        <v/>
      </c>
    </row>
    <row r="37">
      <c r="A37" s="33" t="inlineStr">
        <is>
          <t>Vida Care</t>
        </is>
      </c>
      <c r="B37" s="43" t="n">
        <v>46235</v>
      </c>
      <c r="C37" s="35" t="n">
        <v>20</v>
      </c>
      <c r="D37" s="40" t="n">
        <v>1646</v>
      </c>
      <c r="E37" s="39" t="n">
        <v>46273</v>
      </c>
      <c r="F37" s="39" t="n"/>
      <c r="G37" s="40" t="n"/>
      <c r="H37" s="35" t="n"/>
      <c r="I37" s="40" t="n"/>
      <c r="J37" s="39" t="n"/>
      <c r="K37" s="27">
        <f>IF(A37="","",IFERROR(INDEX(Config!$B$10:$B$15,MATCH(A37,Config!$A$10:$A$15,0)),""))</f>
        <v>60</v>
      </c>
      <c r="L37" s="31">
        <f>IF(OR(A37="",E37="",K37=""),"",E37+K37)</f>
        <v>46333.0</v>
      </c>
      <c r="M37" s="25">
        <f>IF(OR(A37="",F37=""),0,MAX(0,D37-G37))</f>
        <v>0</v>
      </c>
      <c r="N37" s="24" t="str">
        <f>IF(A37="","",IF(E37="","Em separação",IF(F37&lt;&gt;"",IF(H37="Em recurso","Em recurso",IF(M37&gt;0,"Paga com glosa","Paga")),IF(L37+Config!$B$7&lt;Config!$B$5,"Atrasada","Aguardando"))))</f>
        <v>Aguardando</v>
      </c>
      <c r="O37" s="27">
        <f>IF(N37="Atrasada",Config!$B$5-L37,"")</f>
        <v/>
      </c>
      <c r="P37" s="41" t="str">
        <f>IF(OR(A37="",B37=""),"",A37&amp;"|"&amp;TEXT(B37,"yyyy-mm"))</f>
        <v>Vida Care|2026-08</v>
      </c>
      <c r="Q37" s="25">
        <f>IF(P37="","",IF(COUNTIF(Guias!$K$5:$K$1504,P37)=0,"",SUMIFS(Guias!$G$5:$G$1504,Guias!$K$5:$K$1504,P37)))</f>
        <v>1646</v>
      </c>
      <c r="R37" s="25">
        <f>IF(Q37="","",D37-Q37)</f>
        <v>0</v>
      </c>
      <c r="S37" s="42">
        <f>IF(OR(N37="Atrasada",N37="Aguardando"),IF(N37="Atrasada",100000+O37,0)+D37/1000000+ROW()/100000000,0)</f>
        <v>0.00164637</v>
      </c>
      <c r="T37" s="42">
        <f>IF(AND(F37&lt;&gt;"",E37&lt;&gt;""),F37-E37,"")</f>
        <v/>
      </c>
    </row>
    <row r="38">
      <c r="A38" s="33" t="inlineStr">
        <is>
          <t>Saúde Total</t>
        </is>
      </c>
      <c r="B38" s="43" t="n">
        <v>46266</v>
      </c>
      <c r="C38" s="35" t="n">
        <v>21</v>
      </c>
      <c r="D38" s="40" t="n">
        <v>2435</v>
      </c>
      <c r="E38" s="39" t="n"/>
      <c r="F38" s="39" t="n"/>
      <c r="G38" s="40" t="n"/>
      <c r="H38" s="35" t="n"/>
      <c r="I38" s="40" t="n"/>
      <c r="J38" s="39" t="n"/>
      <c r="K38" s="27">
        <f>IF(A38="","",IFERROR(INDEX(Config!$B$10:$B$15,MATCH(A38,Config!$A$10:$A$15,0)),""))</f>
        <v>30</v>
      </c>
      <c r="L38" s="31">
        <f>IF(OR(A38="",E38="",K38=""),"",E38+K38)</f>
        <v/>
      </c>
      <c r="M38" s="25">
        <f>IF(OR(A38="",F38=""),0,MAX(0,D38-G38))</f>
        <v>0</v>
      </c>
      <c r="N38" s="24" t="str">
        <f>IF(A38="","",IF(E38="","Em separação",IF(F38&lt;&gt;"",IF(H38="Em recurso","Em recurso",IF(M38&gt;0,"Paga com glosa","Paga")),IF(L38+Config!$B$7&lt;Config!$B$5,"Atrasada","Aguardando"))))</f>
        <v>Em separação</v>
      </c>
      <c r="O38" s="27">
        <f>IF(N38="Atrasada",Config!$B$5-L38,"")</f>
        <v/>
      </c>
      <c r="P38" s="41" t="str">
        <f>IF(OR(A38="",B38=""),"",A38&amp;"|"&amp;TEXT(B38,"yyyy-mm"))</f>
        <v>Saúde Total|2026-09</v>
      </c>
      <c r="Q38" s="25">
        <f>IF(P38="","",IF(COUNTIF(Guias!$K$5:$K$1504,P38)=0,"",SUMIFS(Guias!$G$5:$G$1504,Guias!$K$5:$K$1504,P38)))</f>
        <v>2435</v>
      </c>
      <c r="R38" s="25">
        <f>IF(Q38="","",D38-Q38)</f>
        <v>0</v>
      </c>
      <c r="S38" s="42">
        <f>IF(OR(N38="Atrasada",N38="Aguardando"),IF(N38="Atrasada",100000+O38,0)+D38/1000000+ROW()/100000000,0)</f>
        <v>0</v>
      </c>
      <c r="T38" s="42">
        <f>IF(AND(F38&lt;&gt;"",E38&lt;&gt;""),F38-E38,"")</f>
        <v/>
      </c>
    </row>
    <row r="39">
      <c r="A39" s="33" t="inlineStr">
        <is>
          <t>MediPlan</t>
        </is>
      </c>
      <c r="B39" s="43" t="n">
        <v>46266</v>
      </c>
      <c r="C39" s="35" t="n">
        <v>15</v>
      </c>
      <c r="D39" s="40" t="n">
        <v>1445</v>
      </c>
      <c r="E39" s="39" t="n"/>
      <c r="F39" s="39" t="n"/>
      <c r="G39" s="40" t="n"/>
      <c r="H39" s="35" t="n"/>
      <c r="I39" s="40" t="n"/>
      <c r="J39" s="39" t="n"/>
      <c r="K39" s="27">
        <f>IF(A39="","",IFERROR(INDEX(Config!$B$10:$B$15,MATCH(A39,Config!$A$10:$A$15,0)),""))</f>
        <v>45</v>
      </c>
      <c r="L39" s="31">
        <f>IF(OR(A39="",E39="",K39=""),"",E39+K39)</f>
        <v/>
      </c>
      <c r="M39" s="25">
        <f>IF(OR(A39="",F39=""),0,MAX(0,D39-G39))</f>
        <v>0</v>
      </c>
      <c r="N39" s="24" t="str">
        <f>IF(A39="","",IF(E39="","Em separação",IF(F39&lt;&gt;"",IF(H39="Em recurso","Em recurso",IF(M39&gt;0,"Paga com glosa","Paga")),IF(L39+Config!$B$7&lt;Config!$B$5,"Atrasada","Aguardando"))))</f>
        <v>Em separação</v>
      </c>
      <c r="O39" s="27">
        <f>IF(N39="Atrasada",Config!$B$5-L39,"")</f>
        <v/>
      </c>
      <c r="P39" s="41" t="str">
        <f>IF(OR(A39="",B39=""),"",A39&amp;"|"&amp;TEXT(B39,"yyyy-mm"))</f>
        <v>MediPlan|2026-09</v>
      </c>
      <c r="Q39" s="25">
        <f>IF(P39="","",IF(COUNTIF(Guias!$K$5:$K$1504,P39)=0,"",SUMIFS(Guias!$G$5:$G$1504,Guias!$K$5:$K$1504,P39)))</f>
        <v>1445</v>
      </c>
      <c r="R39" s="25">
        <f>IF(Q39="","",D39-Q39)</f>
        <v>0</v>
      </c>
      <c r="S39" s="42">
        <f>IF(OR(N39="Atrasada",N39="Aguardando"),IF(N39="Atrasada",100000+O39,0)+D39/1000000+ROW()/100000000,0)</f>
        <v>0</v>
      </c>
      <c r="T39" s="42">
        <f>IF(AND(F39&lt;&gt;"",E39&lt;&gt;""),F39-E39,"")</f>
        <v/>
      </c>
    </row>
    <row r="40">
      <c r="A40" s="33" t="inlineStr">
        <is>
          <t>Vida Care</t>
        </is>
      </c>
      <c r="B40" s="43" t="n">
        <v>46266</v>
      </c>
      <c r="C40" s="35" t="n">
        <v>6</v>
      </c>
      <c r="D40" s="40" t="n">
        <v>545</v>
      </c>
      <c r="E40" s="39" t="n"/>
      <c r="F40" s="39" t="n"/>
      <c r="G40" s="40" t="n"/>
      <c r="H40" s="35" t="n"/>
      <c r="I40" s="40" t="n"/>
      <c r="J40" s="39" t="n"/>
      <c r="K40" s="27">
        <f>IF(A40="","",IFERROR(INDEX(Config!$B$10:$B$15,MATCH(A40,Config!$A$10:$A$15,0)),""))</f>
        <v>60</v>
      </c>
      <c r="L40" s="31">
        <f>IF(OR(A40="",E40="",K40=""),"",E40+K40)</f>
        <v/>
      </c>
      <c r="M40" s="25">
        <f>IF(OR(A40="",F40=""),0,MAX(0,D40-G40))</f>
        <v>0</v>
      </c>
      <c r="N40" s="24" t="str">
        <f>IF(A40="","",IF(E40="","Em separação",IF(F40&lt;&gt;"",IF(H40="Em recurso","Em recurso",IF(M40&gt;0,"Paga com glosa","Paga")),IF(L40+Config!$B$7&lt;Config!$B$5,"Atrasada","Aguardando"))))</f>
        <v>Em separação</v>
      </c>
      <c r="O40" s="27">
        <f>IF(N40="Atrasada",Config!$B$5-L40,"")</f>
        <v/>
      </c>
      <c r="P40" s="41" t="str">
        <f>IF(OR(A40="",B40=""),"",A40&amp;"|"&amp;TEXT(B40,"yyyy-mm"))</f>
        <v>Vida Care|2026-09</v>
      </c>
      <c r="Q40" s="25">
        <f>IF(P40="","",IF(COUNTIF(Guias!$K$5:$K$1504,P40)=0,"",SUMIFS(Guias!$G$5:$G$1504,Guias!$K$5:$K$1504,P40)))</f>
        <v>545</v>
      </c>
      <c r="R40" s="25">
        <f>IF(Q40="","",D40-Q40)</f>
        <v>0</v>
      </c>
      <c r="S40" s="42">
        <f>IF(OR(N40="Atrasada",N40="Aguardando"),IF(N40="Atrasada",100000+O40,0)+D40/1000000+ROW()/100000000,0)</f>
        <v>0</v>
      </c>
      <c r="T40" s="42">
        <f>IF(AND(F40&lt;&gt;"",E40&lt;&gt;""),F40-E40,"")</f>
        <v/>
      </c>
    </row>
    <row r="41">
      <c r="A41" s="33" t="n"/>
      <c r="B41" s="43" t="n"/>
      <c r="C41" s="35" t="n"/>
      <c r="D41" s="40" t="n"/>
      <c r="E41" s="39" t="n"/>
      <c r="F41" s="39" t="n"/>
      <c r="G41" s="40" t="n"/>
      <c r="H41" s="35" t="n"/>
      <c r="I41" s="40" t="n"/>
      <c r="J41" s="39" t="n"/>
      <c r="K41" s="27">
        <f>IF(A41="","",IFERROR(INDEX(Config!$B$10:$B$15,MATCH(A41,Config!$A$10:$A$15,0)),""))</f>
        <v/>
      </c>
      <c r="L41" s="31">
        <f>IF(OR(A41="",E41="",K41=""),"",E41+K41)</f>
        <v/>
      </c>
      <c r="M41" s="25">
        <f>IF(OR(A41="",F41=""),0,MAX(0,D41-G41))</f>
        <v>0</v>
      </c>
      <c r="N41" s="24">
        <f>IF(A41="","",IF(E41="","Em separação",IF(F41&lt;&gt;"",IF(H41="Em recurso","Em recurso",IF(M41&gt;0,"Paga com glosa","Paga")),IF(L41+Config!$B$7&lt;Config!$B$5,"Atrasada","Aguardando"))))</f>
        <v/>
      </c>
      <c r="O41" s="27">
        <f>IF(N41="Atrasada",Config!$B$5-L41,"")</f>
        <v/>
      </c>
      <c r="P41" s="41">
        <f>IF(OR(A41="",B41=""),"",A41&amp;"|"&amp;TEXT(B41,"yyyy-mm"))</f>
        <v/>
      </c>
      <c r="Q41" s="25">
        <f>IF(P41="","",IF(COUNTIF(Guias!$K$5:$K$1504,P41)=0,"",SUMIFS(Guias!$G$5:$G$1504,Guias!$K$5:$K$1504,P41)))</f>
        <v/>
      </c>
      <c r="R41" s="25">
        <f>IF(Q41="","",D41-Q41)</f>
        <v/>
      </c>
      <c r="S41" s="42">
        <f>IF(OR(N41="Atrasada",N41="Aguardando"),IF(N41="Atrasada",100000+O41,0)+D41/1000000+ROW()/100000000,0)</f>
        <v>0</v>
      </c>
      <c r="T41" s="42">
        <f>IF(AND(F41&lt;&gt;"",E41&lt;&gt;""),F41-E41,"")</f>
        <v/>
      </c>
    </row>
    <row r="42">
      <c r="A42" s="33" t="n"/>
      <c r="B42" s="43" t="n"/>
      <c r="C42" s="35" t="n"/>
      <c r="D42" s="40" t="n"/>
      <c r="E42" s="39" t="n"/>
      <c r="F42" s="39" t="n"/>
      <c r="G42" s="40" t="n"/>
      <c r="H42" s="35" t="n"/>
      <c r="I42" s="40" t="n"/>
      <c r="J42" s="39" t="n"/>
      <c r="K42" s="27">
        <f>IF(A42="","",IFERROR(INDEX(Config!$B$10:$B$15,MATCH(A42,Config!$A$10:$A$15,0)),""))</f>
        <v/>
      </c>
      <c r="L42" s="31">
        <f>IF(OR(A42="",E42="",K42=""),"",E42+K42)</f>
        <v/>
      </c>
      <c r="M42" s="25">
        <f>IF(OR(A42="",F42=""),0,MAX(0,D42-G42))</f>
        <v>0</v>
      </c>
      <c r="N42" s="24">
        <f>IF(A42="","",IF(E42="","Em separação",IF(F42&lt;&gt;"",IF(H42="Em recurso","Em recurso",IF(M42&gt;0,"Paga com glosa","Paga")),IF(L42+Config!$B$7&lt;Config!$B$5,"Atrasada","Aguardando"))))</f>
        <v/>
      </c>
      <c r="O42" s="27">
        <f>IF(N42="Atrasada",Config!$B$5-L42,"")</f>
        <v/>
      </c>
      <c r="P42" s="41">
        <f>IF(OR(A42="",B42=""),"",A42&amp;"|"&amp;TEXT(B42,"yyyy-mm"))</f>
        <v/>
      </c>
      <c r="Q42" s="25">
        <f>IF(P42="","",IF(COUNTIF(Guias!$K$5:$K$1504,P42)=0,"",SUMIFS(Guias!$G$5:$G$1504,Guias!$K$5:$K$1504,P42)))</f>
        <v/>
      </c>
      <c r="R42" s="25">
        <f>IF(Q42="","",D42-Q42)</f>
        <v/>
      </c>
      <c r="S42" s="42">
        <f>IF(OR(N42="Atrasada",N42="Aguardando"),IF(N42="Atrasada",100000+O42,0)+D42/1000000+ROW()/100000000,0)</f>
        <v>0</v>
      </c>
      <c r="T42" s="42">
        <f>IF(AND(F42&lt;&gt;"",E42&lt;&gt;""),F42-E42,"")</f>
        <v/>
      </c>
    </row>
    <row r="43">
      <c r="A43" s="33" t="n"/>
      <c r="B43" s="43" t="n"/>
      <c r="C43" s="35" t="n"/>
      <c r="D43" s="40" t="n"/>
      <c r="E43" s="39" t="n"/>
      <c r="F43" s="39" t="n"/>
      <c r="G43" s="40" t="n"/>
      <c r="H43" s="35" t="n"/>
      <c r="I43" s="40" t="n"/>
      <c r="J43" s="39" t="n"/>
      <c r="K43" s="27">
        <f>IF(A43="","",IFERROR(INDEX(Config!$B$10:$B$15,MATCH(A43,Config!$A$10:$A$15,0)),""))</f>
        <v/>
      </c>
      <c r="L43" s="31">
        <f>IF(OR(A43="",E43="",K43=""),"",E43+K43)</f>
        <v/>
      </c>
      <c r="M43" s="25">
        <f>IF(OR(A43="",F43=""),0,MAX(0,D43-G43))</f>
        <v>0</v>
      </c>
      <c r="N43" s="24">
        <f>IF(A43="","",IF(E43="","Em separação",IF(F43&lt;&gt;"",IF(H43="Em recurso","Em recurso",IF(M43&gt;0,"Paga com glosa","Paga")),IF(L43+Config!$B$7&lt;Config!$B$5,"Atrasada","Aguardando"))))</f>
        <v/>
      </c>
      <c r="O43" s="27">
        <f>IF(N43="Atrasada",Config!$B$5-L43,"")</f>
        <v/>
      </c>
      <c r="P43" s="41">
        <f>IF(OR(A43="",B43=""),"",A43&amp;"|"&amp;TEXT(B43,"yyyy-mm"))</f>
        <v/>
      </c>
      <c r="Q43" s="25">
        <f>IF(P43="","",IF(COUNTIF(Guias!$K$5:$K$1504,P43)=0,"",SUMIFS(Guias!$G$5:$G$1504,Guias!$K$5:$K$1504,P43)))</f>
        <v/>
      </c>
      <c r="R43" s="25">
        <f>IF(Q43="","",D43-Q43)</f>
        <v/>
      </c>
      <c r="S43" s="42">
        <f>IF(OR(N43="Atrasada",N43="Aguardando"),IF(N43="Atrasada",100000+O43,0)+D43/1000000+ROW()/100000000,0)</f>
        <v>0</v>
      </c>
      <c r="T43" s="42">
        <f>IF(AND(F43&lt;&gt;"",E43&lt;&gt;""),F43-E43,"")</f>
        <v/>
      </c>
    </row>
    <row r="44">
      <c r="A44" s="33" t="n"/>
      <c r="B44" s="43" t="n"/>
      <c r="C44" s="35" t="n"/>
      <c r="D44" s="40" t="n"/>
      <c r="E44" s="39" t="n"/>
      <c r="F44" s="39" t="n"/>
      <c r="G44" s="40" t="n"/>
      <c r="H44" s="35" t="n"/>
      <c r="I44" s="40" t="n"/>
      <c r="J44" s="39" t="n"/>
      <c r="K44" s="27">
        <f>IF(A44="","",IFERROR(INDEX(Config!$B$10:$B$15,MATCH(A44,Config!$A$10:$A$15,0)),""))</f>
        <v/>
      </c>
      <c r="L44" s="31">
        <f>IF(OR(A44="",E44="",K44=""),"",E44+K44)</f>
        <v/>
      </c>
      <c r="M44" s="25">
        <f>IF(OR(A44="",F44=""),0,MAX(0,D44-G44))</f>
        <v>0</v>
      </c>
      <c r="N44" s="24">
        <f>IF(A44="","",IF(E44="","Em separação",IF(F44&lt;&gt;"",IF(H44="Em recurso","Em recurso",IF(M44&gt;0,"Paga com glosa","Paga")),IF(L44+Config!$B$7&lt;Config!$B$5,"Atrasada","Aguardando"))))</f>
        <v/>
      </c>
      <c r="O44" s="27">
        <f>IF(N44="Atrasada",Config!$B$5-L44,"")</f>
        <v/>
      </c>
      <c r="P44" s="41">
        <f>IF(OR(A44="",B44=""),"",A44&amp;"|"&amp;TEXT(B44,"yyyy-mm"))</f>
        <v/>
      </c>
      <c r="Q44" s="25">
        <f>IF(P44="","",IF(COUNTIF(Guias!$K$5:$K$1504,P44)=0,"",SUMIFS(Guias!$G$5:$G$1504,Guias!$K$5:$K$1504,P44)))</f>
        <v/>
      </c>
      <c r="R44" s="25">
        <f>IF(Q44="","",D44-Q44)</f>
        <v/>
      </c>
      <c r="S44" s="42">
        <f>IF(OR(N44="Atrasada",N44="Aguardando"),IF(N44="Atrasada",100000+O44,0)+D44/1000000+ROW()/100000000,0)</f>
        <v>0</v>
      </c>
      <c r="T44" s="42">
        <f>IF(AND(F44&lt;&gt;"",E44&lt;&gt;""),F44-E44,"")</f>
        <v/>
      </c>
    </row>
    <row r="45">
      <c r="A45" s="33" t="n"/>
      <c r="B45" s="43" t="n"/>
      <c r="C45" s="35" t="n"/>
      <c r="D45" s="40" t="n"/>
      <c r="E45" s="39" t="n"/>
      <c r="F45" s="39" t="n"/>
      <c r="G45" s="40" t="n"/>
      <c r="H45" s="35" t="n"/>
      <c r="I45" s="40" t="n"/>
      <c r="J45" s="39" t="n"/>
      <c r="K45" s="27">
        <f>IF(A45="","",IFERROR(INDEX(Config!$B$10:$B$15,MATCH(A45,Config!$A$10:$A$15,0)),""))</f>
        <v/>
      </c>
      <c r="L45" s="31">
        <f>IF(OR(A45="",E45="",K45=""),"",E45+K45)</f>
        <v/>
      </c>
      <c r="M45" s="25">
        <f>IF(OR(A45="",F45=""),0,MAX(0,D45-G45))</f>
        <v>0</v>
      </c>
      <c r="N45" s="24">
        <f>IF(A45="","",IF(E45="","Em separação",IF(F45&lt;&gt;"",IF(H45="Em recurso","Em recurso",IF(M45&gt;0,"Paga com glosa","Paga")),IF(L45+Config!$B$7&lt;Config!$B$5,"Atrasada","Aguardando"))))</f>
        <v/>
      </c>
      <c r="O45" s="27">
        <f>IF(N45="Atrasada",Config!$B$5-L45,"")</f>
        <v/>
      </c>
      <c r="P45" s="41">
        <f>IF(OR(A45="",B45=""),"",A45&amp;"|"&amp;TEXT(B45,"yyyy-mm"))</f>
        <v/>
      </c>
      <c r="Q45" s="25">
        <f>IF(P45="","",IF(COUNTIF(Guias!$K$5:$K$1504,P45)=0,"",SUMIFS(Guias!$G$5:$G$1504,Guias!$K$5:$K$1504,P45)))</f>
        <v/>
      </c>
      <c r="R45" s="25">
        <f>IF(Q45="","",D45-Q45)</f>
        <v/>
      </c>
      <c r="S45" s="42">
        <f>IF(OR(N45="Atrasada",N45="Aguardando"),IF(N45="Atrasada",100000+O45,0)+D45/1000000+ROW()/100000000,0)</f>
        <v>0</v>
      </c>
      <c r="T45" s="42">
        <f>IF(AND(F45&lt;&gt;"",E45&lt;&gt;""),F45-E45,"")</f>
        <v/>
      </c>
    </row>
    <row r="46">
      <c r="A46" s="33" t="n"/>
      <c r="B46" s="43" t="n"/>
      <c r="C46" s="35" t="n"/>
      <c r="D46" s="40" t="n"/>
      <c r="E46" s="39" t="n"/>
      <c r="F46" s="39" t="n"/>
      <c r="G46" s="40" t="n"/>
      <c r="H46" s="35" t="n"/>
      <c r="I46" s="40" t="n"/>
      <c r="J46" s="39" t="n"/>
      <c r="K46" s="27">
        <f>IF(A46="","",IFERROR(INDEX(Config!$B$10:$B$15,MATCH(A46,Config!$A$10:$A$15,0)),""))</f>
        <v/>
      </c>
      <c r="L46" s="31">
        <f>IF(OR(A46="",E46="",K46=""),"",E46+K46)</f>
        <v/>
      </c>
      <c r="M46" s="25">
        <f>IF(OR(A46="",F46=""),0,MAX(0,D46-G46))</f>
        <v>0</v>
      </c>
      <c r="N46" s="24">
        <f>IF(A46="","",IF(E46="","Em separação",IF(F46&lt;&gt;"",IF(H46="Em recurso","Em recurso",IF(M46&gt;0,"Paga com glosa","Paga")),IF(L46+Config!$B$7&lt;Config!$B$5,"Atrasada","Aguardando"))))</f>
        <v/>
      </c>
      <c r="O46" s="27">
        <f>IF(N46="Atrasada",Config!$B$5-L46,"")</f>
        <v/>
      </c>
      <c r="P46" s="41">
        <f>IF(OR(A46="",B46=""),"",A46&amp;"|"&amp;TEXT(B46,"yyyy-mm"))</f>
        <v/>
      </c>
      <c r="Q46" s="25">
        <f>IF(P46="","",IF(COUNTIF(Guias!$K$5:$K$1504,P46)=0,"",SUMIFS(Guias!$G$5:$G$1504,Guias!$K$5:$K$1504,P46)))</f>
        <v/>
      </c>
      <c r="R46" s="25">
        <f>IF(Q46="","",D46-Q46)</f>
        <v/>
      </c>
      <c r="S46" s="42">
        <f>IF(OR(N46="Atrasada",N46="Aguardando"),IF(N46="Atrasada",100000+O46,0)+D46/1000000+ROW()/100000000,0)</f>
        <v>0</v>
      </c>
      <c r="T46" s="42">
        <f>IF(AND(F46&lt;&gt;"",E46&lt;&gt;""),F46-E46,"")</f>
        <v/>
      </c>
    </row>
    <row r="47">
      <c r="A47" s="33" t="n"/>
      <c r="B47" s="43" t="n"/>
      <c r="C47" s="35" t="n"/>
      <c r="D47" s="40" t="n"/>
      <c r="E47" s="39" t="n"/>
      <c r="F47" s="39" t="n"/>
      <c r="G47" s="40" t="n"/>
      <c r="H47" s="35" t="n"/>
      <c r="I47" s="40" t="n"/>
      <c r="J47" s="39" t="n"/>
      <c r="K47" s="27">
        <f>IF(A47="","",IFERROR(INDEX(Config!$B$10:$B$15,MATCH(A47,Config!$A$10:$A$15,0)),""))</f>
        <v/>
      </c>
      <c r="L47" s="31">
        <f>IF(OR(A47="",E47="",K47=""),"",E47+K47)</f>
        <v/>
      </c>
      <c r="M47" s="25">
        <f>IF(OR(A47="",F47=""),0,MAX(0,D47-G47))</f>
        <v>0</v>
      </c>
      <c r="N47" s="24">
        <f>IF(A47="","",IF(E47="","Em separação",IF(F47&lt;&gt;"",IF(H47="Em recurso","Em recurso",IF(M47&gt;0,"Paga com glosa","Paga")),IF(L47+Config!$B$7&lt;Config!$B$5,"Atrasada","Aguardando"))))</f>
        <v/>
      </c>
      <c r="O47" s="27">
        <f>IF(N47="Atrasada",Config!$B$5-L47,"")</f>
        <v/>
      </c>
      <c r="P47" s="41">
        <f>IF(OR(A47="",B47=""),"",A47&amp;"|"&amp;TEXT(B47,"yyyy-mm"))</f>
        <v/>
      </c>
      <c r="Q47" s="25">
        <f>IF(P47="","",IF(COUNTIF(Guias!$K$5:$K$1504,P47)=0,"",SUMIFS(Guias!$G$5:$G$1504,Guias!$K$5:$K$1504,P47)))</f>
        <v/>
      </c>
      <c r="R47" s="25">
        <f>IF(Q47="","",D47-Q47)</f>
        <v/>
      </c>
      <c r="S47" s="42">
        <f>IF(OR(N47="Atrasada",N47="Aguardando"),IF(N47="Atrasada",100000+O47,0)+D47/1000000+ROW()/100000000,0)</f>
        <v>0</v>
      </c>
      <c r="T47" s="42">
        <f>IF(AND(F47&lt;&gt;"",E47&lt;&gt;""),F47-E47,"")</f>
        <v/>
      </c>
    </row>
    <row r="48">
      <c r="A48" s="33" t="n"/>
      <c r="B48" s="43" t="n"/>
      <c r="C48" s="35" t="n"/>
      <c r="D48" s="40" t="n"/>
      <c r="E48" s="39" t="n"/>
      <c r="F48" s="39" t="n"/>
      <c r="G48" s="40" t="n"/>
      <c r="H48" s="35" t="n"/>
      <c r="I48" s="40" t="n"/>
      <c r="J48" s="39" t="n"/>
      <c r="K48" s="27">
        <f>IF(A48="","",IFERROR(INDEX(Config!$B$10:$B$15,MATCH(A48,Config!$A$10:$A$15,0)),""))</f>
        <v/>
      </c>
      <c r="L48" s="31">
        <f>IF(OR(A48="",E48="",K48=""),"",E48+K48)</f>
        <v/>
      </c>
      <c r="M48" s="25">
        <f>IF(OR(A48="",F48=""),0,MAX(0,D48-G48))</f>
        <v>0</v>
      </c>
      <c r="N48" s="24">
        <f>IF(A48="","",IF(E48="","Em separação",IF(F48&lt;&gt;"",IF(H48="Em recurso","Em recurso",IF(M48&gt;0,"Paga com glosa","Paga")),IF(L48+Config!$B$7&lt;Config!$B$5,"Atrasada","Aguardando"))))</f>
        <v/>
      </c>
      <c r="O48" s="27">
        <f>IF(N48="Atrasada",Config!$B$5-L48,"")</f>
        <v/>
      </c>
      <c r="P48" s="41">
        <f>IF(OR(A48="",B48=""),"",A48&amp;"|"&amp;TEXT(B48,"yyyy-mm"))</f>
        <v/>
      </c>
      <c r="Q48" s="25">
        <f>IF(P48="","",IF(COUNTIF(Guias!$K$5:$K$1504,P48)=0,"",SUMIFS(Guias!$G$5:$G$1504,Guias!$K$5:$K$1504,P48)))</f>
        <v/>
      </c>
      <c r="R48" s="25">
        <f>IF(Q48="","",D48-Q48)</f>
        <v/>
      </c>
      <c r="S48" s="42">
        <f>IF(OR(N48="Atrasada",N48="Aguardando"),IF(N48="Atrasada",100000+O48,0)+D48/1000000+ROW()/100000000,0)</f>
        <v>0</v>
      </c>
      <c r="T48" s="42">
        <f>IF(AND(F48&lt;&gt;"",E48&lt;&gt;""),F48-E48,"")</f>
        <v/>
      </c>
    </row>
    <row r="49">
      <c r="A49" s="33" t="n"/>
      <c r="B49" s="43" t="n"/>
      <c r="C49" s="35" t="n"/>
      <c r="D49" s="40" t="n"/>
      <c r="E49" s="39" t="n"/>
      <c r="F49" s="39" t="n"/>
      <c r="G49" s="40" t="n"/>
      <c r="H49" s="35" t="n"/>
      <c r="I49" s="40" t="n"/>
      <c r="J49" s="39" t="n"/>
      <c r="K49" s="27">
        <f>IF(A49="","",IFERROR(INDEX(Config!$B$10:$B$15,MATCH(A49,Config!$A$10:$A$15,0)),""))</f>
        <v/>
      </c>
      <c r="L49" s="31">
        <f>IF(OR(A49="",E49="",K49=""),"",E49+K49)</f>
        <v/>
      </c>
      <c r="M49" s="25">
        <f>IF(OR(A49="",F49=""),0,MAX(0,D49-G49))</f>
        <v>0</v>
      </c>
      <c r="N49" s="24">
        <f>IF(A49="","",IF(E49="","Em separação",IF(F49&lt;&gt;"",IF(H49="Em recurso","Em recurso",IF(M49&gt;0,"Paga com glosa","Paga")),IF(L49+Config!$B$7&lt;Config!$B$5,"Atrasada","Aguardando"))))</f>
        <v/>
      </c>
      <c r="O49" s="27">
        <f>IF(N49="Atrasada",Config!$B$5-L49,"")</f>
        <v/>
      </c>
      <c r="P49" s="41">
        <f>IF(OR(A49="",B49=""),"",A49&amp;"|"&amp;TEXT(B49,"yyyy-mm"))</f>
        <v/>
      </c>
      <c r="Q49" s="25">
        <f>IF(P49="","",IF(COUNTIF(Guias!$K$5:$K$1504,P49)=0,"",SUMIFS(Guias!$G$5:$G$1504,Guias!$K$5:$K$1504,P49)))</f>
        <v/>
      </c>
      <c r="R49" s="25">
        <f>IF(Q49="","",D49-Q49)</f>
        <v/>
      </c>
      <c r="S49" s="42">
        <f>IF(OR(N49="Atrasada",N49="Aguardando"),IF(N49="Atrasada",100000+O49,0)+D49/1000000+ROW()/100000000,0)</f>
        <v>0</v>
      </c>
      <c r="T49" s="42">
        <f>IF(AND(F49&lt;&gt;"",E49&lt;&gt;""),F49-E49,"")</f>
        <v/>
      </c>
    </row>
    <row r="50">
      <c r="A50" s="33" t="n"/>
      <c r="B50" s="43" t="n"/>
      <c r="C50" s="35" t="n"/>
      <c r="D50" s="40" t="n"/>
      <c r="E50" s="39" t="n"/>
      <c r="F50" s="39" t="n"/>
      <c r="G50" s="40" t="n"/>
      <c r="H50" s="35" t="n"/>
      <c r="I50" s="40" t="n"/>
      <c r="J50" s="39" t="n"/>
      <c r="K50" s="27">
        <f>IF(A50="","",IFERROR(INDEX(Config!$B$10:$B$15,MATCH(A50,Config!$A$10:$A$15,0)),""))</f>
        <v/>
      </c>
      <c r="L50" s="31">
        <f>IF(OR(A50="",E50="",K50=""),"",E50+K50)</f>
        <v/>
      </c>
      <c r="M50" s="25">
        <f>IF(OR(A50="",F50=""),0,MAX(0,D50-G50))</f>
        <v>0</v>
      </c>
      <c r="N50" s="24">
        <f>IF(A50="","",IF(E50="","Em separação",IF(F50&lt;&gt;"",IF(H50="Em recurso","Em recurso",IF(M50&gt;0,"Paga com glosa","Paga")),IF(L50+Config!$B$7&lt;Config!$B$5,"Atrasada","Aguardando"))))</f>
        <v/>
      </c>
      <c r="O50" s="27">
        <f>IF(N50="Atrasada",Config!$B$5-L50,"")</f>
        <v/>
      </c>
      <c r="P50" s="41">
        <f>IF(OR(A50="",B50=""),"",A50&amp;"|"&amp;TEXT(B50,"yyyy-mm"))</f>
        <v/>
      </c>
      <c r="Q50" s="25">
        <f>IF(P50="","",IF(COUNTIF(Guias!$K$5:$K$1504,P50)=0,"",SUMIFS(Guias!$G$5:$G$1504,Guias!$K$5:$K$1504,P50)))</f>
        <v/>
      </c>
      <c r="R50" s="25">
        <f>IF(Q50="","",D50-Q50)</f>
        <v/>
      </c>
      <c r="S50" s="42">
        <f>IF(OR(N50="Atrasada",N50="Aguardando"),IF(N50="Atrasada",100000+O50,0)+D50/1000000+ROW()/100000000,0)</f>
        <v>0</v>
      </c>
      <c r="T50" s="42">
        <f>IF(AND(F50&lt;&gt;"",E50&lt;&gt;""),F50-E50,"")</f>
        <v/>
      </c>
    </row>
    <row r="51">
      <c r="A51" s="33" t="n"/>
      <c r="B51" s="43" t="n"/>
      <c r="C51" s="35" t="n"/>
      <c r="D51" s="40" t="n"/>
      <c r="E51" s="39" t="n"/>
      <c r="F51" s="39" t="n"/>
      <c r="G51" s="40" t="n"/>
      <c r="H51" s="35" t="n"/>
      <c r="I51" s="40" t="n"/>
      <c r="J51" s="39" t="n"/>
      <c r="K51" s="27">
        <f>IF(A51="","",IFERROR(INDEX(Config!$B$10:$B$15,MATCH(A51,Config!$A$10:$A$15,0)),""))</f>
        <v/>
      </c>
      <c r="L51" s="31">
        <f>IF(OR(A51="",E51="",K51=""),"",E51+K51)</f>
        <v/>
      </c>
      <c r="M51" s="25">
        <f>IF(OR(A51="",F51=""),0,MAX(0,D51-G51))</f>
        <v>0</v>
      </c>
      <c r="N51" s="24">
        <f>IF(A51="","",IF(E51="","Em separação",IF(F51&lt;&gt;"",IF(H51="Em recurso","Em recurso",IF(M51&gt;0,"Paga com glosa","Paga")),IF(L51+Config!$B$7&lt;Config!$B$5,"Atrasada","Aguardando"))))</f>
        <v/>
      </c>
      <c r="O51" s="27">
        <f>IF(N51="Atrasada",Config!$B$5-L51,"")</f>
        <v/>
      </c>
      <c r="P51" s="41">
        <f>IF(OR(A51="",B51=""),"",A51&amp;"|"&amp;TEXT(B51,"yyyy-mm"))</f>
        <v/>
      </c>
      <c r="Q51" s="25">
        <f>IF(P51="","",IF(COUNTIF(Guias!$K$5:$K$1504,P51)=0,"",SUMIFS(Guias!$G$5:$G$1504,Guias!$K$5:$K$1504,P51)))</f>
        <v/>
      </c>
      <c r="R51" s="25">
        <f>IF(Q51="","",D51-Q51)</f>
        <v/>
      </c>
      <c r="S51" s="42">
        <f>IF(OR(N51="Atrasada",N51="Aguardando"),IF(N51="Atrasada",100000+O51,0)+D51/1000000+ROW()/100000000,0)</f>
        <v>0</v>
      </c>
      <c r="T51" s="42">
        <f>IF(AND(F51&lt;&gt;"",E51&lt;&gt;""),F51-E51,"")</f>
        <v/>
      </c>
    </row>
    <row r="52">
      <c r="A52" s="33" t="n"/>
      <c r="B52" s="43" t="n"/>
      <c r="C52" s="35" t="n"/>
      <c r="D52" s="40" t="n"/>
      <c r="E52" s="39" t="n"/>
      <c r="F52" s="39" t="n"/>
      <c r="G52" s="40" t="n"/>
      <c r="H52" s="35" t="n"/>
      <c r="I52" s="40" t="n"/>
      <c r="J52" s="39" t="n"/>
      <c r="K52" s="27">
        <f>IF(A52="","",IFERROR(INDEX(Config!$B$10:$B$15,MATCH(A52,Config!$A$10:$A$15,0)),""))</f>
        <v/>
      </c>
      <c r="L52" s="31">
        <f>IF(OR(A52="",E52="",K52=""),"",E52+K52)</f>
        <v/>
      </c>
      <c r="M52" s="25">
        <f>IF(OR(A52="",F52=""),0,MAX(0,D52-G52))</f>
        <v>0</v>
      </c>
      <c r="N52" s="24">
        <f>IF(A52="","",IF(E52="","Em separação",IF(F52&lt;&gt;"",IF(H52="Em recurso","Em recurso",IF(M52&gt;0,"Paga com glosa","Paga")),IF(L52+Config!$B$7&lt;Config!$B$5,"Atrasada","Aguardando"))))</f>
        <v/>
      </c>
      <c r="O52" s="27">
        <f>IF(N52="Atrasada",Config!$B$5-L52,"")</f>
        <v/>
      </c>
      <c r="P52" s="41">
        <f>IF(OR(A52="",B52=""),"",A52&amp;"|"&amp;TEXT(B52,"yyyy-mm"))</f>
        <v/>
      </c>
      <c r="Q52" s="25">
        <f>IF(P52="","",IF(COUNTIF(Guias!$K$5:$K$1504,P52)=0,"",SUMIFS(Guias!$G$5:$G$1504,Guias!$K$5:$K$1504,P52)))</f>
        <v/>
      </c>
      <c r="R52" s="25">
        <f>IF(Q52="","",D52-Q52)</f>
        <v/>
      </c>
      <c r="S52" s="42">
        <f>IF(OR(N52="Atrasada",N52="Aguardando"),IF(N52="Atrasada",100000+O52,0)+D52/1000000+ROW()/100000000,0)</f>
        <v>0</v>
      </c>
      <c r="T52" s="42">
        <f>IF(AND(F52&lt;&gt;"",E52&lt;&gt;""),F52-E52,"")</f>
        <v/>
      </c>
    </row>
    <row r="53">
      <c r="A53" s="33" t="n"/>
      <c r="B53" s="43" t="n"/>
      <c r="C53" s="35" t="n"/>
      <c r="D53" s="40" t="n"/>
      <c r="E53" s="39" t="n"/>
      <c r="F53" s="39" t="n"/>
      <c r="G53" s="40" t="n"/>
      <c r="H53" s="35" t="n"/>
      <c r="I53" s="40" t="n"/>
      <c r="J53" s="39" t="n"/>
      <c r="K53" s="27">
        <f>IF(A53="","",IFERROR(INDEX(Config!$B$10:$B$15,MATCH(A53,Config!$A$10:$A$15,0)),""))</f>
        <v/>
      </c>
      <c r="L53" s="31">
        <f>IF(OR(A53="",E53="",K53=""),"",E53+K53)</f>
        <v/>
      </c>
      <c r="M53" s="25">
        <f>IF(OR(A53="",F53=""),0,MAX(0,D53-G53))</f>
        <v>0</v>
      </c>
      <c r="N53" s="24">
        <f>IF(A53="","",IF(E53="","Em separação",IF(F53&lt;&gt;"",IF(H53="Em recurso","Em recurso",IF(M53&gt;0,"Paga com glosa","Paga")),IF(L53+Config!$B$7&lt;Config!$B$5,"Atrasada","Aguardando"))))</f>
        <v/>
      </c>
      <c r="O53" s="27">
        <f>IF(N53="Atrasada",Config!$B$5-L53,"")</f>
        <v/>
      </c>
      <c r="P53" s="41">
        <f>IF(OR(A53="",B53=""),"",A53&amp;"|"&amp;TEXT(B53,"yyyy-mm"))</f>
        <v/>
      </c>
      <c r="Q53" s="25">
        <f>IF(P53="","",IF(COUNTIF(Guias!$K$5:$K$1504,P53)=0,"",SUMIFS(Guias!$G$5:$G$1504,Guias!$K$5:$K$1504,P53)))</f>
        <v/>
      </c>
      <c r="R53" s="25">
        <f>IF(Q53="","",D53-Q53)</f>
        <v/>
      </c>
      <c r="S53" s="42">
        <f>IF(OR(N53="Atrasada",N53="Aguardando"),IF(N53="Atrasada",100000+O53,0)+D53/1000000+ROW()/100000000,0)</f>
        <v>0</v>
      </c>
      <c r="T53" s="42">
        <f>IF(AND(F53&lt;&gt;"",E53&lt;&gt;""),F53-E53,"")</f>
        <v/>
      </c>
    </row>
    <row r="54">
      <c r="A54" s="33" t="n"/>
      <c r="B54" s="43" t="n"/>
      <c r="C54" s="35" t="n"/>
      <c r="D54" s="40" t="n"/>
      <c r="E54" s="39" t="n"/>
      <c r="F54" s="39" t="n"/>
      <c r="G54" s="40" t="n"/>
      <c r="H54" s="35" t="n"/>
      <c r="I54" s="40" t="n"/>
      <c r="J54" s="39" t="n"/>
      <c r="K54" s="27">
        <f>IF(A54="","",IFERROR(INDEX(Config!$B$10:$B$15,MATCH(A54,Config!$A$10:$A$15,0)),""))</f>
        <v/>
      </c>
      <c r="L54" s="31">
        <f>IF(OR(A54="",E54="",K54=""),"",E54+K54)</f>
        <v/>
      </c>
      <c r="M54" s="25">
        <f>IF(OR(A54="",F54=""),0,MAX(0,D54-G54))</f>
        <v>0</v>
      </c>
      <c r="N54" s="24">
        <f>IF(A54="","",IF(E54="","Em separação",IF(F54&lt;&gt;"",IF(H54="Em recurso","Em recurso",IF(M54&gt;0,"Paga com glosa","Paga")),IF(L54+Config!$B$7&lt;Config!$B$5,"Atrasada","Aguardando"))))</f>
        <v/>
      </c>
      <c r="O54" s="27">
        <f>IF(N54="Atrasada",Config!$B$5-L54,"")</f>
        <v/>
      </c>
      <c r="P54" s="41">
        <f>IF(OR(A54="",B54=""),"",A54&amp;"|"&amp;TEXT(B54,"yyyy-mm"))</f>
        <v/>
      </c>
      <c r="Q54" s="25">
        <f>IF(P54="","",IF(COUNTIF(Guias!$K$5:$K$1504,P54)=0,"",SUMIFS(Guias!$G$5:$G$1504,Guias!$K$5:$K$1504,P54)))</f>
        <v/>
      </c>
      <c r="R54" s="25">
        <f>IF(Q54="","",D54-Q54)</f>
        <v/>
      </c>
      <c r="S54" s="42">
        <f>IF(OR(N54="Atrasada",N54="Aguardando"),IF(N54="Atrasada",100000+O54,0)+D54/1000000+ROW()/100000000,0)</f>
        <v>0</v>
      </c>
      <c r="T54" s="42">
        <f>IF(AND(F54&lt;&gt;"",E54&lt;&gt;""),F54-E54,"")</f>
        <v/>
      </c>
    </row>
    <row r="55">
      <c r="A55" s="33" t="n"/>
      <c r="B55" s="43" t="n"/>
      <c r="C55" s="35" t="n"/>
      <c r="D55" s="40" t="n"/>
      <c r="E55" s="39" t="n"/>
      <c r="F55" s="39" t="n"/>
      <c r="G55" s="40" t="n"/>
      <c r="H55" s="35" t="n"/>
      <c r="I55" s="40" t="n"/>
      <c r="J55" s="39" t="n"/>
      <c r="K55" s="27">
        <f>IF(A55="","",IFERROR(INDEX(Config!$B$10:$B$15,MATCH(A55,Config!$A$10:$A$15,0)),""))</f>
        <v/>
      </c>
      <c r="L55" s="31">
        <f>IF(OR(A55="",E55="",K55=""),"",E55+K55)</f>
        <v/>
      </c>
      <c r="M55" s="25">
        <f>IF(OR(A55="",F55=""),0,MAX(0,D55-G55))</f>
        <v>0</v>
      </c>
      <c r="N55" s="24">
        <f>IF(A55="","",IF(E55="","Em separação",IF(F55&lt;&gt;"",IF(H55="Em recurso","Em recurso",IF(M55&gt;0,"Paga com glosa","Paga")),IF(L55+Config!$B$7&lt;Config!$B$5,"Atrasada","Aguardando"))))</f>
        <v/>
      </c>
      <c r="O55" s="27">
        <f>IF(N55="Atrasada",Config!$B$5-L55,"")</f>
        <v/>
      </c>
      <c r="P55" s="41">
        <f>IF(OR(A55="",B55=""),"",A55&amp;"|"&amp;TEXT(B55,"yyyy-mm"))</f>
        <v/>
      </c>
      <c r="Q55" s="25">
        <f>IF(P55="","",IF(COUNTIF(Guias!$K$5:$K$1504,P55)=0,"",SUMIFS(Guias!$G$5:$G$1504,Guias!$K$5:$K$1504,P55)))</f>
        <v/>
      </c>
      <c r="R55" s="25">
        <f>IF(Q55="","",D55-Q55)</f>
        <v/>
      </c>
      <c r="S55" s="42">
        <f>IF(OR(N55="Atrasada",N55="Aguardando"),IF(N55="Atrasada",100000+O55,0)+D55/1000000+ROW()/100000000,0)</f>
        <v>0</v>
      </c>
      <c r="T55" s="42">
        <f>IF(AND(F55&lt;&gt;"",E55&lt;&gt;""),F55-E55,"")</f>
        <v/>
      </c>
    </row>
    <row r="56">
      <c r="A56" s="33" t="n"/>
      <c r="B56" s="43" t="n"/>
      <c r="C56" s="35" t="n"/>
      <c r="D56" s="40" t="n"/>
      <c r="E56" s="39" t="n"/>
      <c r="F56" s="39" t="n"/>
      <c r="G56" s="40" t="n"/>
      <c r="H56" s="35" t="n"/>
      <c r="I56" s="40" t="n"/>
      <c r="J56" s="39" t="n"/>
      <c r="K56" s="27">
        <f>IF(A56="","",IFERROR(INDEX(Config!$B$10:$B$15,MATCH(A56,Config!$A$10:$A$15,0)),""))</f>
        <v/>
      </c>
      <c r="L56" s="31">
        <f>IF(OR(A56="",E56="",K56=""),"",E56+K56)</f>
        <v/>
      </c>
      <c r="M56" s="25">
        <f>IF(OR(A56="",F56=""),0,MAX(0,D56-G56))</f>
        <v>0</v>
      </c>
      <c r="N56" s="24">
        <f>IF(A56="","",IF(E56="","Em separação",IF(F56&lt;&gt;"",IF(H56="Em recurso","Em recurso",IF(M56&gt;0,"Paga com glosa","Paga")),IF(L56+Config!$B$7&lt;Config!$B$5,"Atrasada","Aguardando"))))</f>
        <v/>
      </c>
      <c r="O56" s="27">
        <f>IF(N56="Atrasada",Config!$B$5-L56,"")</f>
        <v/>
      </c>
      <c r="P56" s="41">
        <f>IF(OR(A56="",B56=""),"",A56&amp;"|"&amp;TEXT(B56,"yyyy-mm"))</f>
        <v/>
      </c>
      <c r="Q56" s="25">
        <f>IF(P56="","",IF(COUNTIF(Guias!$K$5:$K$1504,P56)=0,"",SUMIFS(Guias!$G$5:$G$1504,Guias!$K$5:$K$1504,P56)))</f>
        <v/>
      </c>
      <c r="R56" s="25">
        <f>IF(Q56="","",D56-Q56)</f>
        <v/>
      </c>
      <c r="S56" s="42">
        <f>IF(OR(N56="Atrasada",N56="Aguardando"),IF(N56="Atrasada",100000+O56,0)+D56/1000000+ROW()/100000000,0)</f>
        <v>0</v>
      </c>
      <c r="T56" s="42">
        <f>IF(AND(F56&lt;&gt;"",E56&lt;&gt;""),F56-E56,"")</f>
        <v/>
      </c>
    </row>
    <row r="57">
      <c r="A57" s="33" t="n"/>
      <c r="B57" s="43" t="n"/>
      <c r="C57" s="35" t="n"/>
      <c r="D57" s="40" t="n"/>
      <c r="E57" s="39" t="n"/>
      <c r="F57" s="39" t="n"/>
      <c r="G57" s="40" t="n"/>
      <c r="H57" s="35" t="n"/>
      <c r="I57" s="40" t="n"/>
      <c r="J57" s="39" t="n"/>
      <c r="K57" s="27">
        <f>IF(A57="","",IFERROR(INDEX(Config!$B$10:$B$15,MATCH(A57,Config!$A$10:$A$15,0)),""))</f>
        <v/>
      </c>
      <c r="L57" s="31">
        <f>IF(OR(A57="",E57="",K57=""),"",E57+K57)</f>
        <v/>
      </c>
      <c r="M57" s="25">
        <f>IF(OR(A57="",F57=""),0,MAX(0,D57-G57))</f>
        <v>0</v>
      </c>
      <c r="N57" s="24">
        <f>IF(A57="","",IF(E57="","Em separação",IF(F57&lt;&gt;"",IF(H57="Em recurso","Em recurso",IF(M57&gt;0,"Paga com glosa","Paga")),IF(L57+Config!$B$7&lt;Config!$B$5,"Atrasada","Aguardando"))))</f>
        <v/>
      </c>
      <c r="O57" s="27">
        <f>IF(N57="Atrasada",Config!$B$5-L57,"")</f>
        <v/>
      </c>
      <c r="P57" s="41">
        <f>IF(OR(A57="",B57=""),"",A57&amp;"|"&amp;TEXT(B57,"yyyy-mm"))</f>
        <v/>
      </c>
      <c r="Q57" s="25">
        <f>IF(P57="","",IF(COUNTIF(Guias!$K$5:$K$1504,P57)=0,"",SUMIFS(Guias!$G$5:$G$1504,Guias!$K$5:$K$1504,P57)))</f>
        <v/>
      </c>
      <c r="R57" s="25">
        <f>IF(Q57="","",D57-Q57)</f>
        <v/>
      </c>
      <c r="S57" s="42">
        <f>IF(OR(N57="Atrasada",N57="Aguardando"),IF(N57="Atrasada",100000+O57,0)+D57/1000000+ROW()/100000000,0)</f>
        <v>0</v>
      </c>
      <c r="T57" s="42">
        <f>IF(AND(F57&lt;&gt;"",E57&lt;&gt;""),F57-E57,"")</f>
        <v/>
      </c>
    </row>
    <row r="58">
      <c r="A58" s="33" t="n"/>
      <c r="B58" s="43" t="n"/>
      <c r="C58" s="35" t="n"/>
      <c r="D58" s="40" t="n"/>
      <c r="E58" s="39" t="n"/>
      <c r="F58" s="39" t="n"/>
      <c r="G58" s="40" t="n"/>
      <c r="H58" s="35" t="n"/>
      <c r="I58" s="40" t="n"/>
      <c r="J58" s="39" t="n"/>
      <c r="K58" s="27">
        <f>IF(A58="","",IFERROR(INDEX(Config!$B$10:$B$15,MATCH(A58,Config!$A$10:$A$15,0)),""))</f>
        <v/>
      </c>
      <c r="L58" s="31">
        <f>IF(OR(A58="",E58="",K58=""),"",E58+K58)</f>
        <v/>
      </c>
      <c r="M58" s="25">
        <f>IF(OR(A58="",F58=""),0,MAX(0,D58-G58))</f>
        <v>0</v>
      </c>
      <c r="N58" s="24">
        <f>IF(A58="","",IF(E58="","Em separação",IF(F58&lt;&gt;"",IF(H58="Em recurso","Em recurso",IF(M58&gt;0,"Paga com glosa","Paga")),IF(L58+Config!$B$7&lt;Config!$B$5,"Atrasada","Aguardando"))))</f>
        <v/>
      </c>
      <c r="O58" s="27">
        <f>IF(N58="Atrasada",Config!$B$5-L58,"")</f>
        <v/>
      </c>
      <c r="P58" s="41">
        <f>IF(OR(A58="",B58=""),"",A58&amp;"|"&amp;TEXT(B58,"yyyy-mm"))</f>
        <v/>
      </c>
      <c r="Q58" s="25">
        <f>IF(P58="","",IF(COUNTIF(Guias!$K$5:$K$1504,P58)=0,"",SUMIFS(Guias!$G$5:$G$1504,Guias!$K$5:$K$1504,P58)))</f>
        <v/>
      </c>
      <c r="R58" s="25">
        <f>IF(Q58="","",D58-Q58)</f>
        <v/>
      </c>
      <c r="S58" s="42">
        <f>IF(OR(N58="Atrasada",N58="Aguardando"),IF(N58="Atrasada",100000+O58,0)+D58/1000000+ROW()/100000000,0)</f>
        <v>0</v>
      </c>
      <c r="T58" s="42">
        <f>IF(AND(F58&lt;&gt;"",E58&lt;&gt;""),F58-E58,"")</f>
        <v/>
      </c>
    </row>
    <row r="59">
      <c r="A59" s="33" t="n"/>
      <c r="B59" s="43" t="n"/>
      <c r="C59" s="35" t="n"/>
      <c r="D59" s="40" t="n"/>
      <c r="E59" s="39" t="n"/>
      <c r="F59" s="39" t="n"/>
      <c r="G59" s="40" t="n"/>
      <c r="H59" s="35" t="n"/>
      <c r="I59" s="40" t="n"/>
      <c r="J59" s="39" t="n"/>
      <c r="K59" s="27">
        <f>IF(A59="","",IFERROR(INDEX(Config!$B$10:$B$15,MATCH(A59,Config!$A$10:$A$15,0)),""))</f>
        <v/>
      </c>
      <c r="L59" s="31">
        <f>IF(OR(A59="",E59="",K59=""),"",E59+K59)</f>
        <v/>
      </c>
      <c r="M59" s="25">
        <f>IF(OR(A59="",F59=""),0,MAX(0,D59-G59))</f>
        <v>0</v>
      </c>
      <c r="N59" s="24">
        <f>IF(A59="","",IF(E59="","Em separação",IF(F59&lt;&gt;"",IF(H59="Em recurso","Em recurso",IF(M59&gt;0,"Paga com glosa","Paga")),IF(L59+Config!$B$7&lt;Config!$B$5,"Atrasada","Aguardando"))))</f>
        <v/>
      </c>
      <c r="O59" s="27">
        <f>IF(N59="Atrasada",Config!$B$5-L59,"")</f>
        <v/>
      </c>
      <c r="P59" s="41">
        <f>IF(OR(A59="",B59=""),"",A59&amp;"|"&amp;TEXT(B59,"yyyy-mm"))</f>
        <v/>
      </c>
      <c r="Q59" s="25">
        <f>IF(P59="","",IF(COUNTIF(Guias!$K$5:$K$1504,P59)=0,"",SUMIFS(Guias!$G$5:$G$1504,Guias!$K$5:$K$1504,P59)))</f>
        <v/>
      </c>
      <c r="R59" s="25">
        <f>IF(Q59="","",D59-Q59)</f>
        <v/>
      </c>
      <c r="S59" s="42">
        <f>IF(OR(N59="Atrasada",N59="Aguardando"),IF(N59="Atrasada",100000+O59,0)+D59/1000000+ROW()/100000000,0)</f>
        <v>0</v>
      </c>
      <c r="T59" s="42">
        <f>IF(AND(F59&lt;&gt;"",E59&lt;&gt;""),F59-E59,"")</f>
        <v/>
      </c>
    </row>
    <row r="60">
      <c r="A60" s="33" t="n"/>
      <c r="B60" s="43" t="n"/>
      <c r="C60" s="35" t="n"/>
      <c r="D60" s="40" t="n"/>
      <c r="E60" s="39" t="n"/>
      <c r="F60" s="39" t="n"/>
      <c r="G60" s="40" t="n"/>
      <c r="H60" s="35" t="n"/>
      <c r="I60" s="40" t="n"/>
      <c r="J60" s="39" t="n"/>
      <c r="K60" s="27">
        <f>IF(A60="","",IFERROR(INDEX(Config!$B$10:$B$15,MATCH(A60,Config!$A$10:$A$15,0)),""))</f>
        <v/>
      </c>
      <c r="L60" s="31">
        <f>IF(OR(A60="",E60="",K60=""),"",E60+K60)</f>
        <v/>
      </c>
      <c r="M60" s="25">
        <f>IF(OR(A60="",F60=""),0,MAX(0,D60-G60))</f>
        <v>0</v>
      </c>
      <c r="N60" s="24">
        <f>IF(A60="","",IF(E60="","Em separação",IF(F60&lt;&gt;"",IF(H60="Em recurso","Em recurso",IF(M60&gt;0,"Paga com glosa","Paga")),IF(L60+Config!$B$7&lt;Config!$B$5,"Atrasada","Aguardando"))))</f>
        <v/>
      </c>
      <c r="O60" s="27">
        <f>IF(N60="Atrasada",Config!$B$5-L60,"")</f>
        <v/>
      </c>
      <c r="P60" s="41">
        <f>IF(OR(A60="",B60=""),"",A60&amp;"|"&amp;TEXT(B60,"yyyy-mm"))</f>
        <v/>
      </c>
      <c r="Q60" s="25">
        <f>IF(P60="","",IF(COUNTIF(Guias!$K$5:$K$1504,P60)=0,"",SUMIFS(Guias!$G$5:$G$1504,Guias!$K$5:$K$1504,P60)))</f>
        <v/>
      </c>
      <c r="R60" s="25">
        <f>IF(Q60="","",D60-Q60)</f>
        <v/>
      </c>
      <c r="S60" s="42">
        <f>IF(OR(N60="Atrasada",N60="Aguardando"),IF(N60="Atrasada",100000+O60,0)+D60/1000000+ROW()/100000000,0)</f>
        <v>0</v>
      </c>
      <c r="T60" s="42">
        <f>IF(AND(F60&lt;&gt;"",E60&lt;&gt;""),F60-E60,"")</f>
        <v/>
      </c>
    </row>
    <row r="61">
      <c r="A61" s="33" t="n"/>
      <c r="B61" s="43" t="n"/>
      <c r="C61" s="35" t="n"/>
      <c r="D61" s="40" t="n"/>
      <c r="E61" s="39" t="n"/>
      <c r="F61" s="39" t="n"/>
      <c r="G61" s="40" t="n"/>
      <c r="H61" s="35" t="n"/>
      <c r="I61" s="40" t="n"/>
      <c r="J61" s="39" t="n"/>
      <c r="K61" s="27">
        <f>IF(A61="","",IFERROR(INDEX(Config!$B$10:$B$15,MATCH(A61,Config!$A$10:$A$15,0)),""))</f>
        <v/>
      </c>
      <c r="L61" s="31">
        <f>IF(OR(A61="",E61="",K61=""),"",E61+K61)</f>
        <v/>
      </c>
      <c r="M61" s="25">
        <f>IF(OR(A61="",F61=""),0,MAX(0,D61-G61))</f>
        <v>0</v>
      </c>
      <c r="N61" s="24">
        <f>IF(A61="","",IF(E61="","Em separação",IF(F61&lt;&gt;"",IF(H61="Em recurso","Em recurso",IF(M61&gt;0,"Paga com glosa","Paga")),IF(L61+Config!$B$7&lt;Config!$B$5,"Atrasada","Aguardando"))))</f>
        <v/>
      </c>
      <c r="O61" s="27">
        <f>IF(N61="Atrasada",Config!$B$5-L61,"")</f>
        <v/>
      </c>
      <c r="P61" s="41">
        <f>IF(OR(A61="",B61=""),"",A61&amp;"|"&amp;TEXT(B61,"yyyy-mm"))</f>
        <v/>
      </c>
      <c r="Q61" s="25">
        <f>IF(P61="","",IF(COUNTIF(Guias!$K$5:$K$1504,P61)=0,"",SUMIFS(Guias!$G$5:$G$1504,Guias!$K$5:$K$1504,P61)))</f>
        <v/>
      </c>
      <c r="R61" s="25">
        <f>IF(Q61="","",D61-Q61)</f>
        <v/>
      </c>
      <c r="S61" s="42">
        <f>IF(OR(N61="Atrasada",N61="Aguardando"),IF(N61="Atrasada",100000+O61,0)+D61/1000000+ROW()/100000000,0)</f>
        <v>0</v>
      </c>
      <c r="T61" s="42">
        <f>IF(AND(F61&lt;&gt;"",E61&lt;&gt;""),F61-E61,"")</f>
        <v/>
      </c>
    </row>
    <row r="62">
      <c r="A62" s="33" t="n"/>
      <c r="B62" s="43" t="n"/>
      <c r="C62" s="35" t="n"/>
      <c r="D62" s="40" t="n"/>
      <c r="E62" s="39" t="n"/>
      <c r="F62" s="39" t="n"/>
      <c r="G62" s="40" t="n"/>
      <c r="H62" s="35" t="n"/>
      <c r="I62" s="40" t="n"/>
      <c r="J62" s="39" t="n"/>
      <c r="K62" s="27">
        <f>IF(A62="","",IFERROR(INDEX(Config!$B$10:$B$15,MATCH(A62,Config!$A$10:$A$15,0)),""))</f>
        <v/>
      </c>
      <c r="L62" s="31">
        <f>IF(OR(A62="",E62="",K62=""),"",E62+K62)</f>
        <v/>
      </c>
      <c r="M62" s="25">
        <f>IF(OR(A62="",F62=""),0,MAX(0,D62-G62))</f>
        <v>0</v>
      </c>
      <c r="N62" s="24">
        <f>IF(A62="","",IF(E62="","Em separação",IF(F62&lt;&gt;"",IF(H62="Em recurso","Em recurso",IF(M62&gt;0,"Paga com glosa","Paga")),IF(L62+Config!$B$7&lt;Config!$B$5,"Atrasada","Aguardando"))))</f>
        <v/>
      </c>
      <c r="O62" s="27">
        <f>IF(N62="Atrasada",Config!$B$5-L62,"")</f>
        <v/>
      </c>
      <c r="P62" s="41">
        <f>IF(OR(A62="",B62=""),"",A62&amp;"|"&amp;TEXT(B62,"yyyy-mm"))</f>
        <v/>
      </c>
      <c r="Q62" s="25">
        <f>IF(P62="","",IF(COUNTIF(Guias!$K$5:$K$1504,P62)=0,"",SUMIFS(Guias!$G$5:$G$1504,Guias!$K$5:$K$1504,P62)))</f>
        <v/>
      </c>
      <c r="R62" s="25">
        <f>IF(Q62="","",D62-Q62)</f>
        <v/>
      </c>
      <c r="S62" s="42">
        <f>IF(OR(N62="Atrasada",N62="Aguardando"),IF(N62="Atrasada",100000+O62,0)+D62/1000000+ROW()/100000000,0)</f>
        <v>0</v>
      </c>
      <c r="T62" s="42">
        <f>IF(AND(F62&lt;&gt;"",E62&lt;&gt;""),F62-E62,"")</f>
        <v/>
      </c>
    </row>
    <row r="63">
      <c r="A63" s="33" t="n"/>
      <c r="B63" s="43" t="n"/>
      <c r="C63" s="35" t="n"/>
      <c r="D63" s="40" t="n"/>
      <c r="E63" s="39" t="n"/>
      <c r="F63" s="39" t="n"/>
      <c r="G63" s="40" t="n"/>
      <c r="H63" s="35" t="n"/>
      <c r="I63" s="40" t="n"/>
      <c r="J63" s="39" t="n"/>
      <c r="K63" s="27">
        <f>IF(A63="","",IFERROR(INDEX(Config!$B$10:$B$15,MATCH(A63,Config!$A$10:$A$15,0)),""))</f>
        <v/>
      </c>
      <c r="L63" s="31">
        <f>IF(OR(A63="",E63="",K63=""),"",E63+K63)</f>
        <v/>
      </c>
      <c r="M63" s="25">
        <f>IF(OR(A63="",F63=""),0,MAX(0,D63-G63))</f>
        <v>0</v>
      </c>
      <c r="N63" s="24">
        <f>IF(A63="","",IF(E63="","Em separação",IF(F63&lt;&gt;"",IF(H63="Em recurso","Em recurso",IF(M63&gt;0,"Paga com glosa","Paga")),IF(L63+Config!$B$7&lt;Config!$B$5,"Atrasada","Aguardando"))))</f>
        <v/>
      </c>
      <c r="O63" s="27">
        <f>IF(N63="Atrasada",Config!$B$5-L63,"")</f>
        <v/>
      </c>
      <c r="P63" s="41">
        <f>IF(OR(A63="",B63=""),"",A63&amp;"|"&amp;TEXT(B63,"yyyy-mm"))</f>
        <v/>
      </c>
      <c r="Q63" s="25">
        <f>IF(P63="","",IF(COUNTIF(Guias!$K$5:$K$1504,P63)=0,"",SUMIFS(Guias!$G$5:$G$1504,Guias!$K$5:$K$1504,P63)))</f>
        <v/>
      </c>
      <c r="R63" s="25">
        <f>IF(Q63="","",D63-Q63)</f>
        <v/>
      </c>
      <c r="S63" s="42">
        <f>IF(OR(N63="Atrasada",N63="Aguardando"),IF(N63="Atrasada",100000+O63,0)+D63/1000000+ROW()/100000000,0)</f>
        <v>0</v>
      </c>
      <c r="T63" s="42">
        <f>IF(AND(F63&lt;&gt;"",E63&lt;&gt;""),F63-E63,"")</f>
        <v/>
      </c>
    </row>
    <row r="64">
      <c r="A64" s="33" t="n"/>
      <c r="B64" s="43" t="n"/>
      <c r="C64" s="35" t="n"/>
      <c r="D64" s="40" t="n"/>
      <c r="E64" s="39" t="n"/>
      <c r="F64" s="39" t="n"/>
      <c r="G64" s="40" t="n"/>
      <c r="H64" s="35" t="n"/>
      <c r="I64" s="40" t="n"/>
      <c r="J64" s="39" t="n"/>
      <c r="K64" s="27">
        <f>IF(A64="","",IFERROR(INDEX(Config!$B$10:$B$15,MATCH(A64,Config!$A$10:$A$15,0)),""))</f>
        <v/>
      </c>
      <c r="L64" s="31">
        <f>IF(OR(A64="",E64="",K64=""),"",E64+K64)</f>
        <v/>
      </c>
      <c r="M64" s="25">
        <f>IF(OR(A64="",F64=""),0,MAX(0,D64-G64))</f>
        <v>0</v>
      </c>
      <c r="N64" s="24">
        <f>IF(A64="","",IF(E64="","Em separação",IF(F64&lt;&gt;"",IF(H64="Em recurso","Em recurso",IF(M64&gt;0,"Paga com glosa","Paga")),IF(L64+Config!$B$7&lt;Config!$B$5,"Atrasada","Aguardando"))))</f>
        <v/>
      </c>
      <c r="O64" s="27">
        <f>IF(N64="Atrasada",Config!$B$5-L64,"")</f>
        <v/>
      </c>
      <c r="P64" s="41">
        <f>IF(OR(A64="",B64=""),"",A64&amp;"|"&amp;TEXT(B64,"yyyy-mm"))</f>
        <v/>
      </c>
      <c r="Q64" s="25">
        <f>IF(P64="","",IF(COUNTIF(Guias!$K$5:$K$1504,P64)=0,"",SUMIFS(Guias!$G$5:$G$1504,Guias!$K$5:$K$1504,P64)))</f>
        <v/>
      </c>
      <c r="R64" s="25">
        <f>IF(Q64="","",D64-Q64)</f>
        <v/>
      </c>
      <c r="S64" s="42">
        <f>IF(OR(N64="Atrasada",N64="Aguardando"),IF(N64="Atrasada",100000+O64,0)+D64/1000000+ROW()/100000000,0)</f>
        <v>0</v>
      </c>
      <c r="T64" s="42">
        <f>IF(AND(F64&lt;&gt;"",E64&lt;&gt;""),F64-E64,"")</f>
        <v/>
      </c>
    </row>
    <row r="65">
      <c r="A65" s="33" t="n"/>
      <c r="B65" s="43" t="n"/>
      <c r="C65" s="35" t="n"/>
      <c r="D65" s="40" t="n"/>
      <c r="E65" s="39" t="n"/>
      <c r="F65" s="39" t="n"/>
      <c r="G65" s="40" t="n"/>
      <c r="H65" s="35" t="n"/>
      <c r="I65" s="40" t="n"/>
      <c r="J65" s="39" t="n"/>
      <c r="K65" s="27">
        <f>IF(A65="","",IFERROR(INDEX(Config!$B$10:$B$15,MATCH(A65,Config!$A$10:$A$15,0)),""))</f>
        <v/>
      </c>
      <c r="L65" s="31">
        <f>IF(OR(A65="",E65="",K65=""),"",E65+K65)</f>
        <v/>
      </c>
      <c r="M65" s="25">
        <f>IF(OR(A65="",F65=""),0,MAX(0,D65-G65))</f>
        <v>0</v>
      </c>
      <c r="N65" s="24">
        <f>IF(A65="","",IF(E65="","Em separação",IF(F65&lt;&gt;"",IF(H65="Em recurso","Em recurso",IF(M65&gt;0,"Paga com glosa","Paga")),IF(L65+Config!$B$7&lt;Config!$B$5,"Atrasada","Aguardando"))))</f>
        <v/>
      </c>
      <c r="O65" s="27">
        <f>IF(N65="Atrasada",Config!$B$5-L65,"")</f>
        <v/>
      </c>
      <c r="P65" s="41">
        <f>IF(OR(A65="",B65=""),"",A65&amp;"|"&amp;TEXT(B65,"yyyy-mm"))</f>
        <v/>
      </c>
      <c r="Q65" s="25">
        <f>IF(P65="","",IF(COUNTIF(Guias!$K$5:$K$1504,P65)=0,"",SUMIFS(Guias!$G$5:$G$1504,Guias!$K$5:$K$1504,P65)))</f>
        <v/>
      </c>
      <c r="R65" s="25">
        <f>IF(Q65="","",D65-Q65)</f>
        <v/>
      </c>
      <c r="S65" s="42">
        <f>IF(OR(N65="Atrasada",N65="Aguardando"),IF(N65="Atrasada",100000+O65,0)+D65/1000000+ROW()/100000000,0)</f>
        <v>0</v>
      </c>
      <c r="T65" s="42">
        <f>IF(AND(F65&lt;&gt;"",E65&lt;&gt;""),F65-E65,"")</f>
        <v/>
      </c>
    </row>
    <row r="66">
      <c r="A66" s="33" t="n"/>
      <c r="B66" s="43" t="n"/>
      <c r="C66" s="35" t="n"/>
      <c r="D66" s="40" t="n"/>
      <c r="E66" s="39" t="n"/>
      <c r="F66" s="39" t="n"/>
      <c r="G66" s="40" t="n"/>
      <c r="H66" s="35" t="n"/>
      <c r="I66" s="40" t="n"/>
      <c r="J66" s="39" t="n"/>
      <c r="K66" s="27">
        <f>IF(A66="","",IFERROR(INDEX(Config!$B$10:$B$15,MATCH(A66,Config!$A$10:$A$15,0)),""))</f>
        <v/>
      </c>
      <c r="L66" s="31">
        <f>IF(OR(A66="",E66="",K66=""),"",E66+K66)</f>
        <v/>
      </c>
      <c r="M66" s="25">
        <f>IF(OR(A66="",F66=""),0,MAX(0,D66-G66))</f>
        <v>0</v>
      </c>
      <c r="N66" s="24">
        <f>IF(A66="","",IF(E66="","Em separação",IF(F66&lt;&gt;"",IF(H66="Em recurso","Em recurso",IF(M66&gt;0,"Paga com glosa","Paga")),IF(L66+Config!$B$7&lt;Config!$B$5,"Atrasada","Aguardando"))))</f>
        <v/>
      </c>
      <c r="O66" s="27">
        <f>IF(N66="Atrasada",Config!$B$5-L66,"")</f>
        <v/>
      </c>
      <c r="P66" s="41">
        <f>IF(OR(A66="",B66=""),"",A66&amp;"|"&amp;TEXT(B66,"yyyy-mm"))</f>
        <v/>
      </c>
      <c r="Q66" s="25">
        <f>IF(P66="","",IF(COUNTIF(Guias!$K$5:$K$1504,P66)=0,"",SUMIFS(Guias!$G$5:$G$1504,Guias!$K$5:$K$1504,P66)))</f>
        <v/>
      </c>
      <c r="R66" s="25">
        <f>IF(Q66="","",D66-Q66)</f>
        <v/>
      </c>
      <c r="S66" s="42">
        <f>IF(OR(N66="Atrasada",N66="Aguardando"),IF(N66="Atrasada",100000+O66,0)+D66/1000000+ROW()/100000000,0)</f>
        <v>0</v>
      </c>
      <c r="T66" s="42">
        <f>IF(AND(F66&lt;&gt;"",E66&lt;&gt;""),F66-E66,"")</f>
        <v/>
      </c>
    </row>
    <row r="67">
      <c r="A67" s="33" t="n"/>
      <c r="B67" s="43" t="n"/>
      <c r="C67" s="35" t="n"/>
      <c r="D67" s="40" t="n"/>
      <c r="E67" s="39" t="n"/>
      <c r="F67" s="39" t="n"/>
      <c r="G67" s="40" t="n"/>
      <c r="H67" s="35" t="n"/>
      <c r="I67" s="40" t="n"/>
      <c r="J67" s="39" t="n"/>
      <c r="K67" s="27">
        <f>IF(A67="","",IFERROR(INDEX(Config!$B$10:$B$15,MATCH(A67,Config!$A$10:$A$15,0)),""))</f>
        <v/>
      </c>
      <c r="L67" s="31">
        <f>IF(OR(A67="",E67="",K67=""),"",E67+K67)</f>
        <v/>
      </c>
      <c r="M67" s="25">
        <f>IF(OR(A67="",F67=""),0,MAX(0,D67-G67))</f>
        <v>0</v>
      </c>
      <c r="N67" s="24">
        <f>IF(A67="","",IF(E67="","Em separação",IF(F67&lt;&gt;"",IF(H67="Em recurso","Em recurso",IF(M67&gt;0,"Paga com glosa","Paga")),IF(L67+Config!$B$7&lt;Config!$B$5,"Atrasada","Aguardando"))))</f>
        <v/>
      </c>
      <c r="O67" s="27">
        <f>IF(N67="Atrasada",Config!$B$5-L67,"")</f>
        <v/>
      </c>
      <c r="P67" s="41">
        <f>IF(OR(A67="",B67=""),"",A67&amp;"|"&amp;TEXT(B67,"yyyy-mm"))</f>
        <v/>
      </c>
      <c r="Q67" s="25">
        <f>IF(P67="","",IF(COUNTIF(Guias!$K$5:$K$1504,P67)=0,"",SUMIFS(Guias!$G$5:$G$1504,Guias!$K$5:$K$1504,P67)))</f>
        <v/>
      </c>
      <c r="R67" s="25">
        <f>IF(Q67="","",D67-Q67)</f>
        <v/>
      </c>
      <c r="S67" s="42">
        <f>IF(OR(N67="Atrasada",N67="Aguardando"),IF(N67="Atrasada",100000+O67,0)+D67/1000000+ROW()/100000000,0)</f>
        <v>0</v>
      </c>
      <c r="T67" s="42">
        <f>IF(AND(F67&lt;&gt;"",E67&lt;&gt;""),F67-E67,"")</f>
        <v/>
      </c>
    </row>
    <row r="68">
      <c r="A68" s="33" t="n"/>
      <c r="B68" s="43" t="n"/>
      <c r="C68" s="35" t="n"/>
      <c r="D68" s="40" t="n"/>
      <c r="E68" s="39" t="n"/>
      <c r="F68" s="39" t="n"/>
      <c r="G68" s="40" t="n"/>
      <c r="H68" s="35" t="n"/>
      <c r="I68" s="40" t="n"/>
      <c r="J68" s="39" t="n"/>
      <c r="K68" s="27">
        <f>IF(A68="","",IFERROR(INDEX(Config!$B$10:$B$15,MATCH(A68,Config!$A$10:$A$15,0)),""))</f>
        <v/>
      </c>
      <c r="L68" s="31">
        <f>IF(OR(A68="",E68="",K68=""),"",E68+K68)</f>
        <v/>
      </c>
      <c r="M68" s="25">
        <f>IF(OR(A68="",F68=""),0,MAX(0,D68-G68))</f>
        <v>0</v>
      </c>
      <c r="N68" s="24">
        <f>IF(A68="","",IF(E68="","Em separação",IF(F68&lt;&gt;"",IF(H68="Em recurso","Em recurso",IF(M68&gt;0,"Paga com glosa","Paga")),IF(L68+Config!$B$7&lt;Config!$B$5,"Atrasada","Aguardando"))))</f>
        <v/>
      </c>
      <c r="O68" s="27">
        <f>IF(N68="Atrasada",Config!$B$5-L68,"")</f>
        <v/>
      </c>
      <c r="P68" s="41">
        <f>IF(OR(A68="",B68=""),"",A68&amp;"|"&amp;TEXT(B68,"yyyy-mm"))</f>
        <v/>
      </c>
      <c r="Q68" s="25">
        <f>IF(P68="","",IF(COUNTIF(Guias!$K$5:$K$1504,P68)=0,"",SUMIFS(Guias!$G$5:$G$1504,Guias!$K$5:$K$1504,P68)))</f>
        <v/>
      </c>
      <c r="R68" s="25">
        <f>IF(Q68="","",D68-Q68)</f>
        <v/>
      </c>
      <c r="S68" s="42">
        <f>IF(OR(N68="Atrasada",N68="Aguardando"),IF(N68="Atrasada",100000+O68,0)+D68/1000000+ROW()/100000000,0)</f>
        <v>0</v>
      </c>
      <c r="T68" s="42">
        <f>IF(AND(F68&lt;&gt;"",E68&lt;&gt;""),F68-E68,"")</f>
        <v/>
      </c>
    </row>
    <row r="69">
      <c r="A69" s="33" t="n"/>
      <c r="B69" s="43" t="n"/>
      <c r="C69" s="35" t="n"/>
      <c r="D69" s="40" t="n"/>
      <c r="E69" s="39" t="n"/>
      <c r="F69" s="39" t="n"/>
      <c r="G69" s="40" t="n"/>
      <c r="H69" s="35" t="n"/>
      <c r="I69" s="40" t="n"/>
      <c r="J69" s="39" t="n"/>
      <c r="K69" s="27">
        <f>IF(A69="","",IFERROR(INDEX(Config!$B$10:$B$15,MATCH(A69,Config!$A$10:$A$15,0)),""))</f>
        <v/>
      </c>
      <c r="L69" s="31">
        <f>IF(OR(A69="",E69="",K69=""),"",E69+K69)</f>
        <v/>
      </c>
      <c r="M69" s="25">
        <f>IF(OR(A69="",F69=""),0,MAX(0,D69-G69))</f>
        <v>0</v>
      </c>
      <c r="N69" s="24">
        <f>IF(A69="","",IF(E69="","Em separação",IF(F69&lt;&gt;"",IF(H69="Em recurso","Em recurso",IF(M69&gt;0,"Paga com glosa","Paga")),IF(L69+Config!$B$7&lt;Config!$B$5,"Atrasada","Aguardando"))))</f>
        <v/>
      </c>
      <c r="O69" s="27">
        <f>IF(N69="Atrasada",Config!$B$5-L69,"")</f>
        <v/>
      </c>
      <c r="P69" s="41">
        <f>IF(OR(A69="",B69=""),"",A69&amp;"|"&amp;TEXT(B69,"yyyy-mm"))</f>
        <v/>
      </c>
      <c r="Q69" s="25">
        <f>IF(P69="","",IF(COUNTIF(Guias!$K$5:$K$1504,P69)=0,"",SUMIFS(Guias!$G$5:$G$1504,Guias!$K$5:$K$1504,P69)))</f>
        <v/>
      </c>
      <c r="R69" s="25">
        <f>IF(Q69="","",D69-Q69)</f>
        <v/>
      </c>
      <c r="S69" s="42">
        <f>IF(OR(N69="Atrasada",N69="Aguardando"),IF(N69="Atrasada",100000+O69,0)+D69/1000000+ROW()/100000000,0)</f>
        <v>0</v>
      </c>
      <c r="T69" s="42">
        <f>IF(AND(F69&lt;&gt;"",E69&lt;&gt;""),F69-E69,"")</f>
        <v/>
      </c>
    </row>
    <row r="70">
      <c r="A70" s="33" t="n"/>
      <c r="B70" s="43" t="n"/>
      <c r="C70" s="35" t="n"/>
      <c r="D70" s="40" t="n"/>
      <c r="E70" s="39" t="n"/>
      <c r="F70" s="39" t="n"/>
      <c r="G70" s="40" t="n"/>
      <c r="H70" s="35" t="n"/>
      <c r="I70" s="40" t="n"/>
      <c r="J70" s="39" t="n"/>
      <c r="K70" s="27">
        <f>IF(A70="","",IFERROR(INDEX(Config!$B$10:$B$15,MATCH(A70,Config!$A$10:$A$15,0)),""))</f>
        <v/>
      </c>
      <c r="L70" s="31">
        <f>IF(OR(A70="",E70="",K70=""),"",E70+K70)</f>
        <v/>
      </c>
      <c r="M70" s="25">
        <f>IF(OR(A70="",F70=""),0,MAX(0,D70-G70))</f>
        <v>0</v>
      </c>
      <c r="N70" s="24">
        <f>IF(A70="","",IF(E70="","Em separação",IF(F70&lt;&gt;"",IF(H70="Em recurso","Em recurso",IF(M70&gt;0,"Paga com glosa","Paga")),IF(L70+Config!$B$7&lt;Config!$B$5,"Atrasada","Aguardando"))))</f>
        <v/>
      </c>
      <c r="O70" s="27">
        <f>IF(N70="Atrasada",Config!$B$5-L70,"")</f>
        <v/>
      </c>
      <c r="P70" s="41">
        <f>IF(OR(A70="",B70=""),"",A70&amp;"|"&amp;TEXT(B70,"yyyy-mm"))</f>
        <v/>
      </c>
      <c r="Q70" s="25">
        <f>IF(P70="","",IF(COUNTIF(Guias!$K$5:$K$1504,P70)=0,"",SUMIFS(Guias!$G$5:$G$1504,Guias!$K$5:$K$1504,P70)))</f>
        <v/>
      </c>
      <c r="R70" s="25">
        <f>IF(Q70="","",D70-Q70)</f>
        <v/>
      </c>
      <c r="S70" s="42">
        <f>IF(OR(N70="Atrasada",N70="Aguardando"),IF(N70="Atrasada",100000+O70,0)+D70/1000000+ROW()/100000000,0)</f>
        <v>0</v>
      </c>
      <c r="T70" s="42">
        <f>IF(AND(F70&lt;&gt;"",E70&lt;&gt;""),F70-E70,"")</f>
        <v/>
      </c>
    </row>
    <row r="71">
      <c r="A71" s="33" t="n"/>
      <c r="B71" s="43" t="n"/>
      <c r="C71" s="35" t="n"/>
      <c r="D71" s="40" t="n"/>
      <c r="E71" s="39" t="n"/>
      <c r="F71" s="39" t="n"/>
      <c r="G71" s="40" t="n"/>
      <c r="H71" s="35" t="n"/>
      <c r="I71" s="40" t="n"/>
      <c r="J71" s="39" t="n"/>
      <c r="K71" s="27">
        <f>IF(A71="","",IFERROR(INDEX(Config!$B$10:$B$15,MATCH(A71,Config!$A$10:$A$15,0)),""))</f>
        <v/>
      </c>
      <c r="L71" s="31">
        <f>IF(OR(A71="",E71="",K71=""),"",E71+K71)</f>
        <v/>
      </c>
      <c r="M71" s="25">
        <f>IF(OR(A71="",F71=""),0,MAX(0,D71-G71))</f>
        <v>0</v>
      </c>
      <c r="N71" s="24">
        <f>IF(A71="","",IF(E71="","Em separação",IF(F71&lt;&gt;"",IF(H71="Em recurso","Em recurso",IF(M71&gt;0,"Paga com glosa","Paga")),IF(L71+Config!$B$7&lt;Config!$B$5,"Atrasada","Aguardando"))))</f>
        <v/>
      </c>
      <c r="O71" s="27">
        <f>IF(N71="Atrasada",Config!$B$5-L71,"")</f>
        <v/>
      </c>
      <c r="P71" s="41">
        <f>IF(OR(A71="",B71=""),"",A71&amp;"|"&amp;TEXT(B71,"yyyy-mm"))</f>
        <v/>
      </c>
      <c r="Q71" s="25">
        <f>IF(P71="","",IF(COUNTIF(Guias!$K$5:$K$1504,P71)=0,"",SUMIFS(Guias!$G$5:$G$1504,Guias!$K$5:$K$1504,P71)))</f>
        <v/>
      </c>
      <c r="R71" s="25">
        <f>IF(Q71="","",D71-Q71)</f>
        <v/>
      </c>
      <c r="S71" s="42">
        <f>IF(OR(N71="Atrasada",N71="Aguardando"),IF(N71="Atrasada",100000+O71,0)+D71/1000000+ROW()/100000000,0)</f>
        <v>0</v>
      </c>
      <c r="T71" s="42">
        <f>IF(AND(F71&lt;&gt;"",E71&lt;&gt;""),F71-E71,"")</f>
        <v/>
      </c>
    </row>
    <row r="72">
      <c r="A72" s="33" t="n"/>
      <c r="B72" s="43" t="n"/>
      <c r="C72" s="35" t="n"/>
      <c r="D72" s="40" t="n"/>
      <c r="E72" s="39" t="n"/>
      <c r="F72" s="39" t="n"/>
      <c r="G72" s="40" t="n"/>
      <c r="H72" s="35" t="n"/>
      <c r="I72" s="40" t="n"/>
      <c r="J72" s="39" t="n"/>
      <c r="K72" s="27">
        <f>IF(A72="","",IFERROR(INDEX(Config!$B$10:$B$15,MATCH(A72,Config!$A$10:$A$15,0)),""))</f>
        <v/>
      </c>
      <c r="L72" s="31">
        <f>IF(OR(A72="",E72="",K72=""),"",E72+K72)</f>
        <v/>
      </c>
      <c r="M72" s="25">
        <f>IF(OR(A72="",F72=""),0,MAX(0,D72-G72))</f>
        <v>0</v>
      </c>
      <c r="N72" s="24">
        <f>IF(A72="","",IF(E72="","Em separação",IF(F72&lt;&gt;"",IF(H72="Em recurso","Em recurso",IF(M72&gt;0,"Paga com glosa","Paga")),IF(L72+Config!$B$7&lt;Config!$B$5,"Atrasada","Aguardando"))))</f>
        <v/>
      </c>
      <c r="O72" s="27">
        <f>IF(N72="Atrasada",Config!$B$5-L72,"")</f>
        <v/>
      </c>
      <c r="P72" s="41">
        <f>IF(OR(A72="",B72=""),"",A72&amp;"|"&amp;TEXT(B72,"yyyy-mm"))</f>
        <v/>
      </c>
      <c r="Q72" s="25">
        <f>IF(P72="","",IF(COUNTIF(Guias!$K$5:$K$1504,P72)=0,"",SUMIFS(Guias!$G$5:$G$1504,Guias!$K$5:$K$1504,P72)))</f>
        <v/>
      </c>
      <c r="R72" s="25">
        <f>IF(Q72="","",D72-Q72)</f>
        <v/>
      </c>
      <c r="S72" s="42">
        <f>IF(OR(N72="Atrasada",N72="Aguardando"),IF(N72="Atrasada",100000+O72,0)+D72/1000000+ROW()/100000000,0)</f>
        <v>0</v>
      </c>
      <c r="T72" s="42">
        <f>IF(AND(F72&lt;&gt;"",E72&lt;&gt;""),F72-E72,"")</f>
        <v/>
      </c>
    </row>
    <row r="73">
      <c r="A73" s="33" t="n"/>
      <c r="B73" s="43" t="n"/>
      <c r="C73" s="35" t="n"/>
      <c r="D73" s="40" t="n"/>
      <c r="E73" s="39" t="n"/>
      <c r="F73" s="39" t="n"/>
      <c r="G73" s="40" t="n"/>
      <c r="H73" s="35" t="n"/>
      <c r="I73" s="40" t="n"/>
      <c r="J73" s="39" t="n"/>
      <c r="K73" s="27">
        <f>IF(A73="","",IFERROR(INDEX(Config!$B$10:$B$15,MATCH(A73,Config!$A$10:$A$15,0)),""))</f>
        <v/>
      </c>
      <c r="L73" s="31">
        <f>IF(OR(A73="",E73="",K73=""),"",E73+K73)</f>
        <v/>
      </c>
      <c r="M73" s="25">
        <f>IF(OR(A73="",F73=""),0,MAX(0,D73-G73))</f>
        <v>0</v>
      </c>
      <c r="N73" s="24">
        <f>IF(A73="","",IF(E73="","Em separação",IF(F73&lt;&gt;"",IF(H73="Em recurso","Em recurso",IF(M73&gt;0,"Paga com glosa","Paga")),IF(L73+Config!$B$7&lt;Config!$B$5,"Atrasada","Aguardando"))))</f>
        <v/>
      </c>
      <c r="O73" s="27">
        <f>IF(N73="Atrasada",Config!$B$5-L73,"")</f>
        <v/>
      </c>
      <c r="P73" s="41">
        <f>IF(OR(A73="",B73=""),"",A73&amp;"|"&amp;TEXT(B73,"yyyy-mm"))</f>
        <v/>
      </c>
      <c r="Q73" s="25">
        <f>IF(P73="","",IF(COUNTIF(Guias!$K$5:$K$1504,P73)=0,"",SUMIFS(Guias!$G$5:$G$1504,Guias!$K$5:$K$1504,P73)))</f>
        <v/>
      </c>
      <c r="R73" s="25">
        <f>IF(Q73="","",D73-Q73)</f>
        <v/>
      </c>
      <c r="S73" s="42">
        <f>IF(OR(N73="Atrasada",N73="Aguardando"),IF(N73="Atrasada",100000+O73,0)+D73/1000000+ROW()/100000000,0)</f>
        <v>0</v>
      </c>
      <c r="T73" s="42">
        <f>IF(AND(F73&lt;&gt;"",E73&lt;&gt;""),F73-E73,"")</f>
        <v/>
      </c>
    </row>
    <row r="74">
      <c r="A74" s="33" t="n"/>
      <c r="B74" s="43" t="n"/>
      <c r="C74" s="35" t="n"/>
      <c r="D74" s="40" t="n"/>
      <c r="E74" s="39" t="n"/>
      <c r="F74" s="39" t="n"/>
      <c r="G74" s="40" t="n"/>
      <c r="H74" s="35" t="n"/>
      <c r="I74" s="40" t="n"/>
      <c r="J74" s="39" t="n"/>
      <c r="K74" s="27">
        <f>IF(A74="","",IFERROR(INDEX(Config!$B$10:$B$15,MATCH(A74,Config!$A$10:$A$15,0)),""))</f>
        <v/>
      </c>
      <c r="L74" s="31">
        <f>IF(OR(A74="",E74="",K74=""),"",E74+K74)</f>
        <v/>
      </c>
      <c r="M74" s="25">
        <f>IF(OR(A74="",F74=""),0,MAX(0,D74-G74))</f>
        <v>0</v>
      </c>
      <c r="N74" s="24">
        <f>IF(A74="","",IF(E74="","Em separação",IF(F74&lt;&gt;"",IF(H74="Em recurso","Em recurso",IF(M74&gt;0,"Paga com glosa","Paga")),IF(L74+Config!$B$7&lt;Config!$B$5,"Atrasada","Aguardando"))))</f>
        <v/>
      </c>
      <c r="O74" s="27">
        <f>IF(N74="Atrasada",Config!$B$5-L74,"")</f>
        <v/>
      </c>
      <c r="P74" s="41">
        <f>IF(OR(A74="",B74=""),"",A74&amp;"|"&amp;TEXT(B74,"yyyy-mm"))</f>
        <v/>
      </c>
      <c r="Q74" s="25">
        <f>IF(P74="","",IF(COUNTIF(Guias!$K$5:$K$1504,P74)=0,"",SUMIFS(Guias!$G$5:$G$1504,Guias!$K$5:$K$1504,P74)))</f>
        <v/>
      </c>
      <c r="R74" s="25">
        <f>IF(Q74="","",D74-Q74)</f>
        <v/>
      </c>
      <c r="S74" s="42">
        <f>IF(OR(N74="Atrasada",N74="Aguardando"),IF(N74="Atrasada",100000+O74,0)+D74/1000000+ROW()/100000000,0)</f>
        <v>0</v>
      </c>
      <c r="T74" s="42">
        <f>IF(AND(F74&lt;&gt;"",E74&lt;&gt;""),F74-E74,"")</f>
        <v/>
      </c>
    </row>
    <row r="75">
      <c r="A75" s="33" t="n"/>
      <c r="B75" s="43" t="n"/>
      <c r="C75" s="35" t="n"/>
      <c r="D75" s="40" t="n"/>
      <c r="E75" s="39" t="n"/>
      <c r="F75" s="39" t="n"/>
      <c r="G75" s="40" t="n"/>
      <c r="H75" s="35" t="n"/>
      <c r="I75" s="40" t="n"/>
      <c r="J75" s="39" t="n"/>
      <c r="K75" s="27">
        <f>IF(A75="","",IFERROR(INDEX(Config!$B$10:$B$15,MATCH(A75,Config!$A$10:$A$15,0)),""))</f>
        <v/>
      </c>
      <c r="L75" s="31">
        <f>IF(OR(A75="",E75="",K75=""),"",E75+K75)</f>
        <v/>
      </c>
      <c r="M75" s="25">
        <f>IF(OR(A75="",F75=""),0,MAX(0,D75-G75))</f>
        <v>0</v>
      </c>
      <c r="N75" s="24">
        <f>IF(A75="","",IF(E75="","Em separação",IF(F75&lt;&gt;"",IF(H75="Em recurso","Em recurso",IF(M75&gt;0,"Paga com glosa","Paga")),IF(L75+Config!$B$7&lt;Config!$B$5,"Atrasada","Aguardando"))))</f>
        <v/>
      </c>
      <c r="O75" s="27">
        <f>IF(N75="Atrasada",Config!$B$5-L75,"")</f>
        <v/>
      </c>
      <c r="P75" s="41">
        <f>IF(OR(A75="",B75=""),"",A75&amp;"|"&amp;TEXT(B75,"yyyy-mm"))</f>
        <v/>
      </c>
      <c r="Q75" s="25">
        <f>IF(P75="","",IF(COUNTIF(Guias!$K$5:$K$1504,P75)=0,"",SUMIFS(Guias!$G$5:$G$1504,Guias!$K$5:$K$1504,P75)))</f>
        <v/>
      </c>
      <c r="R75" s="25">
        <f>IF(Q75="","",D75-Q75)</f>
        <v/>
      </c>
      <c r="S75" s="42">
        <f>IF(OR(N75="Atrasada",N75="Aguardando"),IF(N75="Atrasada",100000+O75,0)+D75/1000000+ROW()/100000000,0)</f>
        <v>0</v>
      </c>
      <c r="T75" s="42">
        <f>IF(AND(F75&lt;&gt;"",E75&lt;&gt;""),F75-E75,"")</f>
        <v/>
      </c>
    </row>
    <row r="76">
      <c r="A76" s="33" t="n"/>
      <c r="B76" s="43" t="n"/>
      <c r="C76" s="35" t="n"/>
      <c r="D76" s="40" t="n"/>
      <c r="E76" s="39" t="n"/>
      <c r="F76" s="39" t="n"/>
      <c r="G76" s="40" t="n"/>
      <c r="H76" s="35" t="n"/>
      <c r="I76" s="40" t="n"/>
      <c r="J76" s="39" t="n"/>
      <c r="K76" s="27">
        <f>IF(A76="","",IFERROR(INDEX(Config!$B$10:$B$15,MATCH(A76,Config!$A$10:$A$15,0)),""))</f>
        <v/>
      </c>
      <c r="L76" s="31">
        <f>IF(OR(A76="",E76="",K76=""),"",E76+K76)</f>
        <v/>
      </c>
      <c r="M76" s="25">
        <f>IF(OR(A76="",F76=""),0,MAX(0,D76-G76))</f>
        <v>0</v>
      </c>
      <c r="N76" s="24">
        <f>IF(A76="","",IF(E76="","Em separação",IF(F76&lt;&gt;"",IF(H76="Em recurso","Em recurso",IF(M76&gt;0,"Paga com glosa","Paga")),IF(L76+Config!$B$7&lt;Config!$B$5,"Atrasada","Aguardando"))))</f>
        <v/>
      </c>
      <c r="O76" s="27">
        <f>IF(N76="Atrasada",Config!$B$5-L76,"")</f>
        <v/>
      </c>
      <c r="P76" s="41">
        <f>IF(OR(A76="",B76=""),"",A76&amp;"|"&amp;TEXT(B76,"yyyy-mm"))</f>
        <v/>
      </c>
      <c r="Q76" s="25">
        <f>IF(P76="","",IF(COUNTIF(Guias!$K$5:$K$1504,P76)=0,"",SUMIFS(Guias!$G$5:$G$1504,Guias!$K$5:$K$1504,P76)))</f>
        <v/>
      </c>
      <c r="R76" s="25">
        <f>IF(Q76="","",D76-Q76)</f>
        <v/>
      </c>
      <c r="S76" s="42">
        <f>IF(OR(N76="Atrasada",N76="Aguardando"),IF(N76="Atrasada",100000+O76,0)+D76/1000000+ROW()/100000000,0)</f>
        <v>0</v>
      </c>
      <c r="T76" s="42">
        <f>IF(AND(F76&lt;&gt;"",E76&lt;&gt;""),F76-E76,"")</f>
        <v/>
      </c>
    </row>
    <row r="77">
      <c r="A77" s="33" t="n"/>
      <c r="B77" s="43" t="n"/>
      <c r="C77" s="35" t="n"/>
      <c r="D77" s="40" t="n"/>
      <c r="E77" s="39" t="n"/>
      <c r="F77" s="39" t="n"/>
      <c r="G77" s="40" t="n"/>
      <c r="H77" s="35" t="n"/>
      <c r="I77" s="40" t="n"/>
      <c r="J77" s="39" t="n"/>
      <c r="K77" s="27">
        <f>IF(A77="","",IFERROR(INDEX(Config!$B$10:$B$15,MATCH(A77,Config!$A$10:$A$15,0)),""))</f>
        <v/>
      </c>
      <c r="L77" s="31">
        <f>IF(OR(A77="",E77="",K77=""),"",E77+K77)</f>
        <v/>
      </c>
      <c r="M77" s="25">
        <f>IF(OR(A77="",F77=""),0,MAX(0,D77-G77))</f>
        <v>0</v>
      </c>
      <c r="N77" s="24">
        <f>IF(A77="","",IF(E77="","Em separação",IF(F77&lt;&gt;"",IF(H77="Em recurso","Em recurso",IF(M77&gt;0,"Paga com glosa","Paga")),IF(L77+Config!$B$7&lt;Config!$B$5,"Atrasada","Aguardando"))))</f>
        <v/>
      </c>
      <c r="O77" s="27">
        <f>IF(N77="Atrasada",Config!$B$5-L77,"")</f>
        <v/>
      </c>
      <c r="P77" s="41">
        <f>IF(OR(A77="",B77=""),"",A77&amp;"|"&amp;TEXT(B77,"yyyy-mm"))</f>
        <v/>
      </c>
      <c r="Q77" s="25">
        <f>IF(P77="","",IF(COUNTIF(Guias!$K$5:$K$1504,P77)=0,"",SUMIFS(Guias!$G$5:$G$1504,Guias!$K$5:$K$1504,P77)))</f>
        <v/>
      </c>
      <c r="R77" s="25">
        <f>IF(Q77="","",D77-Q77)</f>
        <v/>
      </c>
      <c r="S77" s="42">
        <f>IF(OR(N77="Atrasada",N77="Aguardando"),IF(N77="Atrasada",100000+O77,0)+D77/1000000+ROW()/100000000,0)</f>
        <v>0</v>
      </c>
      <c r="T77" s="42">
        <f>IF(AND(F77&lt;&gt;"",E77&lt;&gt;""),F77-E77,"")</f>
        <v/>
      </c>
    </row>
    <row r="78">
      <c r="A78" s="33" t="n"/>
      <c r="B78" s="43" t="n"/>
      <c r="C78" s="35" t="n"/>
      <c r="D78" s="40" t="n"/>
      <c r="E78" s="39" t="n"/>
      <c r="F78" s="39" t="n"/>
      <c r="G78" s="40" t="n"/>
      <c r="H78" s="35" t="n"/>
      <c r="I78" s="40" t="n"/>
      <c r="J78" s="39" t="n"/>
      <c r="K78" s="27">
        <f>IF(A78="","",IFERROR(INDEX(Config!$B$10:$B$15,MATCH(A78,Config!$A$10:$A$15,0)),""))</f>
        <v/>
      </c>
      <c r="L78" s="31">
        <f>IF(OR(A78="",E78="",K78=""),"",E78+K78)</f>
        <v/>
      </c>
      <c r="M78" s="25">
        <f>IF(OR(A78="",F78=""),0,MAX(0,D78-G78))</f>
        <v>0</v>
      </c>
      <c r="N78" s="24">
        <f>IF(A78="","",IF(E78="","Em separação",IF(F78&lt;&gt;"",IF(H78="Em recurso","Em recurso",IF(M78&gt;0,"Paga com glosa","Paga")),IF(L78+Config!$B$7&lt;Config!$B$5,"Atrasada","Aguardando"))))</f>
        <v/>
      </c>
      <c r="O78" s="27">
        <f>IF(N78="Atrasada",Config!$B$5-L78,"")</f>
        <v/>
      </c>
      <c r="P78" s="41">
        <f>IF(OR(A78="",B78=""),"",A78&amp;"|"&amp;TEXT(B78,"yyyy-mm"))</f>
        <v/>
      </c>
      <c r="Q78" s="25">
        <f>IF(P78="","",IF(COUNTIF(Guias!$K$5:$K$1504,P78)=0,"",SUMIFS(Guias!$G$5:$G$1504,Guias!$K$5:$K$1504,P78)))</f>
        <v/>
      </c>
      <c r="R78" s="25">
        <f>IF(Q78="","",D78-Q78)</f>
        <v/>
      </c>
      <c r="S78" s="42">
        <f>IF(OR(N78="Atrasada",N78="Aguardando"),IF(N78="Atrasada",100000+O78,0)+D78/1000000+ROW()/100000000,0)</f>
        <v>0</v>
      </c>
      <c r="T78" s="42">
        <f>IF(AND(F78&lt;&gt;"",E78&lt;&gt;""),F78-E78,"")</f>
        <v/>
      </c>
    </row>
    <row r="79">
      <c r="A79" s="33" t="n"/>
      <c r="B79" s="43" t="n"/>
      <c r="C79" s="35" t="n"/>
      <c r="D79" s="40" t="n"/>
      <c r="E79" s="39" t="n"/>
      <c r="F79" s="39" t="n"/>
      <c r="G79" s="40" t="n"/>
      <c r="H79" s="35" t="n"/>
      <c r="I79" s="40" t="n"/>
      <c r="J79" s="39" t="n"/>
      <c r="K79" s="27">
        <f>IF(A79="","",IFERROR(INDEX(Config!$B$10:$B$15,MATCH(A79,Config!$A$10:$A$15,0)),""))</f>
        <v/>
      </c>
      <c r="L79" s="31">
        <f>IF(OR(A79="",E79="",K79=""),"",E79+K79)</f>
        <v/>
      </c>
      <c r="M79" s="25">
        <f>IF(OR(A79="",F79=""),0,MAX(0,D79-G79))</f>
        <v>0</v>
      </c>
      <c r="N79" s="24">
        <f>IF(A79="","",IF(E79="","Em separação",IF(F79&lt;&gt;"",IF(H79="Em recurso","Em recurso",IF(M79&gt;0,"Paga com glosa","Paga")),IF(L79+Config!$B$7&lt;Config!$B$5,"Atrasada","Aguardando"))))</f>
        <v/>
      </c>
      <c r="O79" s="27">
        <f>IF(N79="Atrasada",Config!$B$5-L79,"")</f>
        <v/>
      </c>
      <c r="P79" s="41">
        <f>IF(OR(A79="",B79=""),"",A79&amp;"|"&amp;TEXT(B79,"yyyy-mm"))</f>
        <v/>
      </c>
      <c r="Q79" s="25">
        <f>IF(P79="","",IF(COUNTIF(Guias!$K$5:$K$1504,P79)=0,"",SUMIFS(Guias!$G$5:$G$1504,Guias!$K$5:$K$1504,P79)))</f>
        <v/>
      </c>
      <c r="R79" s="25">
        <f>IF(Q79="","",D79-Q79)</f>
        <v/>
      </c>
      <c r="S79" s="42">
        <f>IF(OR(N79="Atrasada",N79="Aguardando"),IF(N79="Atrasada",100000+O79,0)+D79/1000000+ROW()/100000000,0)</f>
        <v>0</v>
      </c>
      <c r="T79" s="42">
        <f>IF(AND(F79&lt;&gt;"",E79&lt;&gt;""),F79-E79,"")</f>
        <v/>
      </c>
    </row>
    <row r="80">
      <c r="A80" s="33" t="n"/>
      <c r="B80" s="43" t="n"/>
      <c r="C80" s="35" t="n"/>
      <c r="D80" s="40" t="n"/>
      <c r="E80" s="39" t="n"/>
      <c r="F80" s="39" t="n"/>
      <c r="G80" s="40" t="n"/>
      <c r="H80" s="35" t="n"/>
      <c r="I80" s="40" t="n"/>
      <c r="J80" s="39" t="n"/>
      <c r="K80" s="27">
        <f>IF(A80="","",IFERROR(INDEX(Config!$B$10:$B$15,MATCH(A80,Config!$A$10:$A$15,0)),""))</f>
        <v/>
      </c>
      <c r="L80" s="31">
        <f>IF(OR(A80="",E80="",K80=""),"",E80+K80)</f>
        <v/>
      </c>
      <c r="M80" s="25">
        <f>IF(OR(A80="",F80=""),0,MAX(0,D80-G80))</f>
        <v>0</v>
      </c>
      <c r="N80" s="24">
        <f>IF(A80="","",IF(E80="","Em separação",IF(F80&lt;&gt;"",IF(H80="Em recurso","Em recurso",IF(M80&gt;0,"Paga com glosa","Paga")),IF(L80+Config!$B$7&lt;Config!$B$5,"Atrasada","Aguardando"))))</f>
        <v/>
      </c>
      <c r="O80" s="27">
        <f>IF(N80="Atrasada",Config!$B$5-L80,"")</f>
        <v/>
      </c>
      <c r="P80" s="41">
        <f>IF(OR(A80="",B80=""),"",A80&amp;"|"&amp;TEXT(B80,"yyyy-mm"))</f>
        <v/>
      </c>
      <c r="Q80" s="25">
        <f>IF(P80="","",IF(COUNTIF(Guias!$K$5:$K$1504,P80)=0,"",SUMIFS(Guias!$G$5:$G$1504,Guias!$K$5:$K$1504,P80)))</f>
        <v/>
      </c>
      <c r="R80" s="25">
        <f>IF(Q80="","",D80-Q80)</f>
        <v/>
      </c>
      <c r="S80" s="42">
        <f>IF(OR(N80="Atrasada",N80="Aguardando"),IF(N80="Atrasada",100000+O80,0)+D80/1000000+ROW()/100000000,0)</f>
        <v>0</v>
      </c>
      <c r="T80" s="42">
        <f>IF(AND(F80&lt;&gt;"",E80&lt;&gt;""),F80-E80,"")</f>
        <v/>
      </c>
    </row>
    <row r="81">
      <c r="A81" s="33" t="n"/>
      <c r="B81" s="43" t="n"/>
      <c r="C81" s="35" t="n"/>
      <c r="D81" s="40" t="n"/>
      <c r="E81" s="39" t="n"/>
      <c r="F81" s="39" t="n"/>
      <c r="G81" s="40" t="n"/>
      <c r="H81" s="35" t="n"/>
      <c r="I81" s="40" t="n"/>
      <c r="J81" s="39" t="n"/>
      <c r="K81" s="27">
        <f>IF(A81="","",IFERROR(INDEX(Config!$B$10:$B$15,MATCH(A81,Config!$A$10:$A$15,0)),""))</f>
        <v/>
      </c>
      <c r="L81" s="31">
        <f>IF(OR(A81="",E81="",K81=""),"",E81+K81)</f>
        <v/>
      </c>
      <c r="M81" s="25">
        <f>IF(OR(A81="",F81=""),0,MAX(0,D81-G81))</f>
        <v>0</v>
      </c>
      <c r="N81" s="24">
        <f>IF(A81="","",IF(E81="","Em separação",IF(F81&lt;&gt;"",IF(H81="Em recurso","Em recurso",IF(M81&gt;0,"Paga com glosa","Paga")),IF(L81+Config!$B$7&lt;Config!$B$5,"Atrasada","Aguardando"))))</f>
        <v/>
      </c>
      <c r="O81" s="27">
        <f>IF(N81="Atrasada",Config!$B$5-L81,"")</f>
        <v/>
      </c>
      <c r="P81" s="41">
        <f>IF(OR(A81="",B81=""),"",A81&amp;"|"&amp;TEXT(B81,"yyyy-mm"))</f>
        <v/>
      </c>
      <c r="Q81" s="25">
        <f>IF(P81="","",IF(COUNTIF(Guias!$K$5:$K$1504,P81)=0,"",SUMIFS(Guias!$G$5:$G$1504,Guias!$K$5:$K$1504,P81)))</f>
        <v/>
      </c>
      <c r="R81" s="25">
        <f>IF(Q81="","",D81-Q81)</f>
        <v/>
      </c>
      <c r="S81" s="42">
        <f>IF(OR(N81="Atrasada",N81="Aguardando"),IF(N81="Atrasada",100000+O81,0)+D81/1000000+ROW()/100000000,0)</f>
        <v>0</v>
      </c>
      <c r="T81" s="42">
        <f>IF(AND(F81&lt;&gt;"",E81&lt;&gt;""),F81-E81,"")</f>
        <v/>
      </c>
    </row>
    <row r="82">
      <c r="A82" s="33" t="n"/>
      <c r="B82" s="43" t="n"/>
      <c r="C82" s="35" t="n"/>
      <c r="D82" s="40" t="n"/>
      <c r="E82" s="39" t="n"/>
      <c r="F82" s="39" t="n"/>
      <c r="G82" s="40" t="n"/>
      <c r="H82" s="35" t="n"/>
      <c r="I82" s="40" t="n"/>
      <c r="J82" s="39" t="n"/>
      <c r="K82" s="27">
        <f>IF(A82="","",IFERROR(INDEX(Config!$B$10:$B$15,MATCH(A82,Config!$A$10:$A$15,0)),""))</f>
        <v/>
      </c>
      <c r="L82" s="31">
        <f>IF(OR(A82="",E82="",K82=""),"",E82+K82)</f>
        <v/>
      </c>
      <c r="M82" s="25">
        <f>IF(OR(A82="",F82=""),0,MAX(0,D82-G82))</f>
        <v>0</v>
      </c>
      <c r="N82" s="24">
        <f>IF(A82="","",IF(E82="","Em separação",IF(F82&lt;&gt;"",IF(H82="Em recurso","Em recurso",IF(M82&gt;0,"Paga com glosa","Paga")),IF(L82+Config!$B$7&lt;Config!$B$5,"Atrasada","Aguardando"))))</f>
        <v/>
      </c>
      <c r="O82" s="27">
        <f>IF(N82="Atrasada",Config!$B$5-L82,"")</f>
        <v/>
      </c>
      <c r="P82" s="41">
        <f>IF(OR(A82="",B82=""),"",A82&amp;"|"&amp;TEXT(B82,"yyyy-mm"))</f>
        <v/>
      </c>
      <c r="Q82" s="25">
        <f>IF(P82="","",IF(COUNTIF(Guias!$K$5:$K$1504,P82)=0,"",SUMIFS(Guias!$G$5:$G$1504,Guias!$K$5:$K$1504,P82)))</f>
        <v/>
      </c>
      <c r="R82" s="25">
        <f>IF(Q82="","",D82-Q82)</f>
        <v/>
      </c>
      <c r="S82" s="42">
        <f>IF(OR(N82="Atrasada",N82="Aguardando"),IF(N82="Atrasada",100000+O82,0)+D82/1000000+ROW()/100000000,0)</f>
        <v>0</v>
      </c>
      <c r="T82" s="42">
        <f>IF(AND(F82&lt;&gt;"",E82&lt;&gt;""),F82-E82,"")</f>
        <v/>
      </c>
    </row>
    <row r="83">
      <c r="A83" s="33" t="n"/>
      <c r="B83" s="43" t="n"/>
      <c r="C83" s="35" t="n"/>
      <c r="D83" s="40" t="n"/>
      <c r="E83" s="39" t="n"/>
      <c r="F83" s="39" t="n"/>
      <c r="G83" s="40" t="n"/>
      <c r="H83" s="35" t="n"/>
      <c r="I83" s="40" t="n"/>
      <c r="J83" s="39" t="n"/>
      <c r="K83" s="27">
        <f>IF(A83="","",IFERROR(INDEX(Config!$B$10:$B$15,MATCH(A83,Config!$A$10:$A$15,0)),""))</f>
        <v/>
      </c>
      <c r="L83" s="31">
        <f>IF(OR(A83="",E83="",K83=""),"",E83+K83)</f>
        <v/>
      </c>
      <c r="M83" s="25">
        <f>IF(OR(A83="",F83=""),0,MAX(0,D83-G83))</f>
        <v>0</v>
      </c>
      <c r="N83" s="24">
        <f>IF(A83="","",IF(E83="","Em separação",IF(F83&lt;&gt;"",IF(H83="Em recurso","Em recurso",IF(M83&gt;0,"Paga com glosa","Paga")),IF(L83+Config!$B$7&lt;Config!$B$5,"Atrasada","Aguardando"))))</f>
        <v/>
      </c>
      <c r="O83" s="27">
        <f>IF(N83="Atrasada",Config!$B$5-L83,"")</f>
        <v/>
      </c>
      <c r="P83" s="41">
        <f>IF(OR(A83="",B83=""),"",A83&amp;"|"&amp;TEXT(B83,"yyyy-mm"))</f>
        <v/>
      </c>
      <c r="Q83" s="25">
        <f>IF(P83="","",IF(COUNTIF(Guias!$K$5:$K$1504,P83)=0,"",SUMIFS(Guias!$G$5:$G$1504,Guias!$K$5:$K$1504,P83)))</f>
        <v/>
      </c>
      <c r="R83" s="25">
        <f>IF(Q83="","",D83-Q83)</f>
        <v/>
      </c>
      <c r="S83" s="42">
        <f>IF(OR(N83="Atrasada",N83="Aguardando"),IF(N83="Atrasada",100000+O83,0)+D83/1000000+ROW()/100000000,0)</f>
        <v>0</v>
      </c>
      <c r="T83" s="42">
        <f>IF(AND(F83&lt;&gt;"",E83&lt;&gt;""),F83-E83,"")</f>
        <v/>
      </c>
    </row>
    <row r="84">
      <c r="A84" s="33" t="n"/>
      <c r="B84" s="43" t="n"/>
      <c r="C84" s="35" t="n"/>
      <c r="D84" s="40" t="n"/>
      <c r="E84" s="39" t="n"/>
      <c r="F84" s="39" t="n"/>
      <c r="G84" s="40" t="n"/>
      <c r="H84" s="35" t="n"/>
      <c r="I84" s="40" t="n"/>
      <c r="J84" s="39" t="n"/>
      <c r="K84" s="27">
        <f>IF(A84="","",IFERROR(INDEX(Config!$B$10:$B$15,MATCH(A84,Config!$A$10:$A$15,0)),""))</f>
        <v/>
      </c>
      <c r="L84" s="31">
        <f>IF(OR(A84="",E84="",K84=""),"",E84+K84)</f>
        <v/>
      </c>
      <c r="M84" s="25">
        <f>IF(OR(A84="",F84=""),0,MAX(0,D84-G84))</f>
        <v>0</v>
      </c>
      <c r="N84" s="24">
        <f>IF(A84="","",IF(E84="","Em separação",IF(F84&lt;&gt;"",IF(H84="Em recurso","Em recurso",IF(M84&gt;0,"Paga com glosa","Paga")),IF(L84+Config!$B$7&lt;Config!$B$5,"Atrasada","Aguardando"))))</f>
        <v/>
      </c>
      <c r="O84" s="27">
        <f>IF(N84="Atrasada",Config!$B$5-L84,"")</f>
        <v/>
      </c>
      <c r="P84" s="41">
        <f>IF(OR(A84="",B84=""),"",A84&amp;"|"&amp;TEXT(B84,"yyyy-mm"))</f>
        <v/>
      </c>
      <c r="Q84" s="25">
        <f>IF(P84="","",IF(COUNTIF(Guias!$K$5:$K$1504,P84)=0,"",SUMIFS(Guias!$G$5:$G$1504,Guias!$K$5:$K$1504,P84)))</f>
        <v/>
      </c>
      <c r="R84" s="25">
        <f>IF(Q84="","",D84-Q84)</f>
        <v/>
      </c>
      <c r="S84" s="42">
        <f>IF(OR(N84="Atrasada",N84="Aguardando"),IF(N84="Atrasada",100000+O84,0)+D84/1000000+ROW()/100000000,0)</f>
        <v>0</v>
      </c>
      <c r="T84" s="42">
        <f>IF(AND(F84&lt;&gt;"",E84&lt;&gt;""),F84-E84,"")</f>
        <v/>
      </c>
    </row>
    <row r="85">
      <c r="A85" s="33" t="n"/>
      <c r="B85" s="43" t="n"/>
      <c r="C85" s="35" t="n"/>
      <c r="D85" s="40" t="n"/>
      <c r="E85" s="39" t="n"/>
      <c r="F85" s="39" t="n"/>
      <c r="G85" s="40" t="n"/>
      <c r="H85" s="35" t="n"/>
      <c r="I85" s="40" t="n"/>
      <c r="J85" s="39" t="n"/>
      <c r="K85" s="27">
        <f>IF(A85="","",IFERROR(INDEX(Config!$B$10:$B$15,MATCH(A85,Config!$A$10:$A$15,0)),""))</f>
        <v/>
      </c>
      <c r="L85" s="31">
        <f>IF(OR(A85="",E85="",K85=""),"",E85+K85)</f>
        <v/>
      </c>
      <c r="M85" s="25">
        <f>IF(OR(A85="",F85=""),0,MAX(0,D85-G85))</f>
        <v>0</v>
      </c>
      <c r="N85" s="24">
        <f>IF(A85="","",IF(E85="","Em separação",IF(F85&lt;&gt;"",IF(H85="Em recurso","Em recurso",IF(M85&gt;0,"Paga com glosa","Paga")),IF(L85+Config!$B$7&lt;Config!$B$5,"Atrasada","Aguardando"))))</f>
        <v/>
      </c>
      <c r="O85" s="27">
        <f>IF(N85="Atrasada",Config!$B$5-L85,"")</f>
        <v/>
      </c>
      <c r="P85" s="41">
        <f>IF(OR(A85="",B85=""),"",A85&amp;"|"&amp;TEXT(B85,"yyyy-mm"))</f>
        <v/>
      </c>
      <c r="Q85" s="25">
        <f>IF(P85="","",IF(COUNTIF(Guias!$K$5:$K$1504,P85)=0,"",SUMIFS(Guias!$G$5:$G$1504,Guias!$K$5:$K$1504,P85)))</f>
        <v/>
      </c>
      <c r="R85" s="25">
        <f>IF(Q85="","",D85-Q85)</f>
        <v/>
      </c>
      <c r="S85" s="42">
        <f>IF(OR(N85="Atrasada",N85="Aguardando"),IF(N85="Atrasada",100000+O85,0)+D85/1000000+ROW()/100000000,0)</f>
        <v>0</v>
      </c>
      <c r="T85" s="42">
        <f>IF(AND(F85&lt;&gt;"",E85&lt;&gt;""),F85-E85,"")</f>
        <v/>
      </c>
    </row>
    <row r="86">
      <c r="A86" s="33" t="n"/>
      <c r="B86" s="43" t="n"/>
      <c r="C86" s="35" t="n"/>
      <c r="D86" s="40" t="n"/>
      <c r="E86" s="39" t="n"/>
      <c r="F86" s="39" t="n"/>
      <c r="G86" s="40" t="n"/>
      <c r="H86" s="35" t="n"/>
      <c r="I86" s="40" t="n"/>
      <c r="J86" s="39" t="n"/>
      <c r="K86" s="27">
        <f>IF(A86="","",IFERROR(INDEX(Config!$B$10:$B$15,MATCH(A86,Config!$A$10:$A$15,0)),""))</f>
        <v/>
      </c>
      <c r="L86" s="31">
        <f>IF(OR(A86="",E86="",K86=""),"",E86+K86)</f>
        <v/>
      </c>
      <c r="M86" s="25">
        <f>IF(OR(A86="",F86=""),0,MAX(0,D86-G86))</f>
        <v>0</v>
      </c>
      <c r="N86" s="24">
        <f>IF(A86="","",IF(E86="","Em separação",IF(F86&lt;&gt;"",IF(H86="Em recurso","Em recurso",IF(M86&gt;0,"Paga com glosa","Paga")),IF(L86+Config!$B$7&lt;Config!$B$5,"Atrasada","Aguardando"))))</f>
        <v/>
      </c>
      <c r="O86" s="27">
        <f>IF(N86="Atrasada",Config!$B$5-L86,"")</f>
        <v/>
      </c>
      <c r="P86" s="41">
        <f>IF(OR(A86="",B86=""),"",A86&amp;"|"&amp;TEXT(B86,"yyyy-mm"))</f>
        <v/>
      </c>
      <c r="Q86" s="25">
        <f>IF(P86="","",IF(COUNTIF(Guias!$K$5:$K$1504,P86)=0,"",SUMIFS(Guias!$G$5:$G$1504,Guias!$K$5:$K$1504,P86)))</f>
        <v/>
      </c>
      <c r="R86" s="25">
        <f>IF(Q86="","",D86-Q86)</f>
        <v/>
      </c>
      <c r="S86" s="42">
        <f>IF(OR(N86="Atrasada",N86="Aguardando"),IF(N86="Atrasada",100000+O86,0)+D86/1000000+ROW()/100000000,0)</f>
        <v>0</v>
      </c>
      <c r="T86" s="42">
        <f>IF(AND(F86&lt;&gt;"",E86&lt;&gt;""),F86-E86,"")</f>
        <v/>
      </c>
    </row>
    <row r="87">
      <c r="A87" s="33" t="n"/>
      <c r="B87" s="43" t="n"/>
      <c r="C87" s="35" t="n"/>
      <c r="D87" s="40" t="n"/>
      <c r="E87" s="39" t="n"/>
      <c r="F87" s="39" t="n"/>
      <c r="G87" s="40" t="n"/>
      <c r="H87" s="35" t="n"/>
      <c r="I87" s="40" t="n"/>
      <c r="J87" s="39" t="n"/>
      <c r="K87" s="27">
        <f>IF(A87="","",IFERROR(INDEX(Config!$B$10:$B$15,MATCH(A87,Config!$A$10:$A$15,0)),""))</f>
        <v/>
      </c>
      <c r="L87" s="31">
        <f>IF(OR(A87="",E87="",K87=""),"",E87+K87)</f>
        <v/>
      </c>
      <c r="M87" s="25">
        <f>IF(OR(A87="",F87=""),0,MAX(0,D87-G87))</f>
        <v>0</v>
      </c>
      <c r="N87" s="24">
        <f>IF(A87="","",IF(E87="","Em separação",IF(F87&lt;&gt;"",IF(H87="Em recurso","Em recurso",IF(M87&gt;0,"Paga com glosa","Paga")),IF(L87+Config!$B$7&lt;Config!$B$5,"Atrasada","Aguardando"))))</f>
        <v/>
      </c>
      <c r="O87" s="27">
        <f>IF(N87="Atrasada",Config!$B$5-L87,"")</f>
        <v/>
      </c>
      <c r="P87" s="41">
        <f>IF(OR(A87="",B87=""),"",A87&amp;"|"&amp;TEXT(B87,"yyyy-mm"))</f>
        <v/>
      </c>
      <c r="Q87" s="25">
        <f>IF(P87="","",IF(COUNTIF(Guias!$K$5:$K$1504,P87)=0,"",SUMIFS(Guias!$G$5:$G$1504,Guias!$K$5:$K$1504,P87)))</f>
        <v/>
      </c>
      <c r="R87" s="25">
        <f>IF(Q87="","",D87-Q87)</f>
        <v/>
      </c>
      <c r="S87" s="42">
        <f>IF(OR(N87="Atrasada",N87="Aguardando"),IF(N87="Atrasada",100000+O87,0)+D87/1000000+ROW()/100000000,0)</f>
        <v>0</v>
      </c>
      <c r="T87" s="42">
        <f>IF(AND(F87&lt;&gt;"",E87&lt;&gt;""),F87-E87,"")</f>
        <v/>
      </c>
    </row>
    <row r="88">
      <c r="A88" s="33" t="n"/>
      <c r="B88" s="43" t="n"/>
      <c r="C88" s="35" t="n"/>
      <c r="D88" s="40" t="n"/>
      <c r="E88" s="39" t="n"/>
      <c r="F88" s="39" t="n"/>
      <c r="G88" s="40" t="n"/>
      <c r="H88" s="35" t="n"/>
      <c r="I88" s="40" t="n"/>
      <c r="J88" s="39" t="n"/>
      <c r="K88" s="27">
        <f>IF(A88="","",IFERROR(INDEX(Config!$B$10:$B$15,MATCH(A88,Config!$A$10:$A$15,0)),""))</f>
        <v/>
      </c>
      <c r="L88" s="31">
        <f>IF(OR(A88="",E88="",K88=""),"",E88+K88)</f>
        <v/>
      </c>
      <c r="M88" s="25">
        <f>IF(OR(A88="",F88=""),0,MAX(0,D88-G88))</f>
        <v>0</v>
      </c>
      <c r="N88" s="24">
        <f>IF(A88="","",IF(E88="","Em separação",IF(F88&lt;&gt;"",IF(H88="Em recurso","Em recurso",IF(M88&gt;0,"Paga com glosa","Paga")),IF(L88+Config!$B$7&lt;Config!$B$5,"Atrasada","Aguardando"))))</f>
        <v/>
      </c>
      <c r="O88" s="27">
        <f>IF(N88="Atrasada",Config!$B$5-L88,"")</f>
        <v/>
      </c>
      <c r="P88" s="41">
        <f>IF(OR(A88="",B88=""),"",A88&amp;"|"&amp;TEXT(B88,"yyyy-mm"))</f>
        <v/>
      </c>
      <c r="Q88" s="25">
        <f>IF(P88="","",IF(COUNTIF(Guias!$K$5:$K$1504,P88)=0,"",SUMIFS(Guias!$G$5:$G$1504,Guias!$K$5:$K$1504,P88)))</f>
        <v/>
      </c>
      <c r="R88" s="25">
        <f>IF(Q88="","",D88-Q88)</f>
        <v/>
      </c>
      <c r="S88" s="42">
        <f>IF(OR(N88="Atrasada",N88="Aguardando"),IF(N88="Atrasada",100000+O88,0)+D88/1000000+ROW()/100000000,0)</f>
        <v>0</v>
      </c>
      <c r="T88" s="42">
        <f>IF(AND(F88&lt;&gt;"",E88&lt;&gt;""),F88-E88,"")</f>
        <v/>
      </c>
    </row>
    <row r="89">
      <c r="A89" s="33" t="n"/>
      <c r="B89" s="43" t="n"/>
      <c r="C89" s="35" t="n"/>
      <c r="D89" s="40" t="n"/>
      <c r="E89" s="39" t="n"/>
      <c r="F89" s="39" t="n"/>
      <c r="G89" s="40" t="n"/>
      <c r="H89" s="35" t="n"/>
      <c r="I89" s="40" t="n"/>
      <c r="J89" s="39" t="n"/>
      <c r="K89" s="27">
        <f>IF(A89="","",IFERROR(INDEX(Config!$B$10:$B$15,MATCH(A89,Config!$A$10:$A$15,0)),""))</f>
        <v/>
      </c>
      <c r="L89" s="31">
        <f>IF(OR(A89="",E89="",K89=""),"",E89+K89)</f>
        <v/>
      </c>
      <c r="M89" s="25">
        <f>IF(OR(A89="",F89=""),0,MAX(0,D89-G89))</f>
        <v>0</v>
      </c>
      <c r="N89" s="24">
        <f>IF(A89="","",IF(E89="","Em separação",IF(F89&lt;&gt;"",IF(H89="Em recurso","Em recurso",IF(M89&gt;0,"Paga com glosa","Paga")),IF(L89+Config!$B$7&lt;Config!$B$5,"Atrasada","Aguardando"))))</f>
        <v/>
      </c>
      <c r="O89" s="27">
        <f>IF(N89="Atrasada",Config!$B$5-L89,"")</f>
        <v/>
      </c>
      <c r="P89" s="41">
        <f>IF(OR(A89="",B89=""),"",A89&amp;"|"&amp;TEXT(B89,"yyyy-mm"))</f>
        <v/>
      </c>
      <c r="Q89" s="25">
        <f>IF(P89="","",IF(COUNTIF(Guias!$K$5:$K$1504,P89)=0,"",SUMIFS(Guias!$G$5:$G$1504,Guias!$K$5:$K$1504,P89)))</f>
        <v/>
      </c>
      <c r="R89" s="25">
        <f>IF(Q89="","",D89-Q89)</f>
        <v/>
      </c>
      <c r="S89" s="42">
        <f>IF(OR(N89="Atrasada",N89="Aguardando"),IF(N89="Atrasada",100000+O89,0)+D89/1000000+ROW()/100000000,0)</f>
        <v>0</v>
      </c>
      <c r="T89" s="42">
        <f>IF(AND(F89&lt;&gt;"",E89&lt;&gt;""),F89-E89,"")</f>
        <v/>
      </c>
    </row>
    <row r="90">
      <c r="A90" s="33" t="n"/>
      <c r="B90" s="43" t="n"/>
      <c r="C90" s="35" t="n"/>
      <c r="D90" s="40" t="n"/>
      <c r="E90" s="39" t="n"/>
      <c r="F90" s="39" t="n"/>
      <c r="G90" s="40" t="n"/>
      <c r="H90" s="35" t="n"/>
      <c r="I90" s="40" t="n"/>
      <c r="J90" s="39" t="n"/>
      <c r="K90" s="27">
        <f>IF(A90="","",IFERROR(INDEX(Config!$B$10:$B$15,MATCH(A90,Config!$A$10:$A$15,0)),""))</f>
        <v/>
      </c>
      <c r="L90" s="31">
        <f>IF(OR(A90="",E90="",K90=""),"",E90+K90)</f>
        <v/>
      </c>
      <c r="M90" s="25">
        <f>IF(OR(A90="",F90=""),0,MAX(0,D90-G90))</f>
        <v>0</v>
      </c>
      <c r="N90" s="24">
        <f>IF(A90="","",IF(E90="","Em separação",IF(F90&lt;&gt;"",IF(H90="Em recurso","Em recurso",IF(M90&gt;0,"Paga com glosa","Paga")),IF(L90+Config!$B$7&lt;Config!$B$5,"Atrasada","Aguardando"))))</f>
        <v/>
      </c>
      <c r="O90" s="27">
        <f>IF(N90="Atrasada",Config!$B$5-L90,"")</f>
        <v/>
      </c>
      <c r="P90" s="41">
        <f>IF(OR(A90="",B90=""),"",A90&amp;"|"&amp;TEXT(B90,"yyyy-mm"))</f>
        <v/>
      </c>
      <c r="Q90" s="25">
        <f>IF(P90="","",IF(COUNTIF(Guias!$K$5:$K$1504,P90)=0,"",SUMIFS(Guias!$G$5:$G$1504,Guias!$K$5:$K$1504,P90)))</f>
        <v/>
      </c>
      <c r="R90" s="25">
        <f>IF(Q90="","",D90-Q90)</f>
        <v/>
      </c>
      <c r="S90" s="42">
        <f>IF(OR(N90="Atrasada",N90="Aguardando"),IF(N90="Atrasada",100000+O90,0)+D90/1000000+ROW()/100000000,0)</f>
        <v>0</v>
      </c>
      <c r="T90" s="42">
        <f>IF(AND(F90&lt;&gt;"",E90&lt;&gt;""),F90-E90,"")</f>
        <v/>
      </c>
    </row>
    <row r="91">
      <c r="A91" s="33" t="n"/>
      <c r="B91" s="43" t="n"/>
      <c r="C91" s="35" t="n"/>
      <c r="D91" s="40" t="n"/>
      <c r="E91" s="39" t="n"/>
      <c r="F91" s="39" t="n"/>
      <c r="G91" s="40" t="n"/>
      <c r="H91" s="35" t="n"/>
      <c r="I91" s="40" t="n"/>
      <c r="J91" s="39" t="n"/>
      <c r="K91" s="27">
        <f>IF(A91="","",IFERROR(INDEX(Config!$B$10:$B$15,MATCH(A91,Config!$A$10:$A$15,0)),""))</f>
        <v/>
      </c>
      <c r="L91" s="31">
        <f>IF(OR(A91="",E91="",K91=""),"",E91+K91)</f>
        <v/>
      </c>
      <c r="M91" s="25">
        <f>IF(OR(A91="",F91=""),0,MAX(0,D91-G91))</f>
        <v>0</v>
      </c>
      <c r="N91" s="24">
        <f>IF(A91="","",IF(E91="","Em separação",IF(F91&lt;&gt;"",IF(H91="Em recurso","Em recurso",IF(M91&gt;0,"Paga com glosa","Paga")),IF(L91+Config!$B$7&lt;Config!$B$5,"Atrasada","Aguardando"))))</f>
        <v/>
      </c>
      <c r="O91" s="27">
        <f>IF(N91="Atrasada",Config!$B$5-L91,"")</f>
        <v/>
      </c>
      <c r="P91" s="41">
        <f>IF(OR(A91="",B91=""),"",A91&amp;"|"&amp;TEXT(B91,"yyyy-mm"))</f>
        <v/>
      </c>
      <c r="Q91" s="25">
        <f>IF(P91="","",IF(COUNTIF(Guias!$K$5:$K$1504,P91)=0,"",SUMIFS(Guias!$G$5:$G$1504,Guias!$K$5:$K$1504,P91)))</f>
        <v/>
      </c>
      <c r="R91" s="25">
        <f>IF(Q91="","",D91-Q91)</f>
        <v/>
      </c>
      <c r="S91" s="42">
        <f>IF(OR(N91="Atrasada",N91="Aguardando"),IF(N91="Atrasada",100000+O91,0)+D91/1000000+ROW()/100000000,0)</f>
        <v>0</v>
      </c>
      <c r="T91" s="42">
        <f>IF(AND(F91&lt;&gt;"",E91&lt;&gt;""),F91-E91,"")</f>
        <v/>
      </c>
    </row>
    <row r="92">
      <c r="A92" s="33" t="n"/>
      <c r="B92" s="43" t="n"/>
      <c r="C92" s="35" t="n"/>
      <c r="D92" s="40" t="n"/>
      <c r="E92" s="39" t="n"/>
      <c r="F92" s="39" t="n"/>
      <c r="G92" s="40" t="n"/>
      <c r="H92" s="35" t="n"/>
      <c r="I92" s="40" t="n"/>
      <c r="J92" s="39" t="n"/>
      <c r="K92" s="27">
        <f>IF(A92="","",IFERROR(INDEX(Config!$B$10:$B$15,MATCH(A92,Config!$A$10:$A$15,0)),""))</f>
        <v/>
      </c>
      <c r="L92" s="31">
        <f>IF(OR(A92="",E92="",K92=""),"",E92+K92)</f>
        <v/>
      </c>
      <c r="M92" s="25">
        <f>IF(OR(A92="",F92=""),0,MAX(0,D92-G92))</f>
        <v>0</v>
      </c>
      <c r="N92" s="24">
        <f>IF(A92="","",IF(E92="","Em separação",IF(F92&lt;&gt;"",IF(H92="Em recurso","Em recurso",IF(M92&gt;0,"Paga com glosa","Paga")),IF(L92+Config!$B$7&lt;Config!$B$5,"Atrasada","Aguardando"))))</f>
        <v/>
      </c>
      <c r="O92" s="27">
        <f>IF(N92="Atrasada",Config!$B$5-L92,"")</f>
        <v/>
      </c>
      <c r="P92" s="41">
        <f>IF(OR(A92="",B92=""),"",A92&amp;"|"&amp;TEXT(B92,"yyyy-mm"))</f>
        <v/>
      </c>
      <c r="Q92" s="25">
        <f>IF(P92="","",IF(COUNTIF(Guias!$K$5:$K$1504,P92)=0,"",SUMIFS(Guias!$G$5:$G$1504,Guias!$K$5:$K$1504,P92)))</f>
        <v/>
      </c>
      <c r="R92" s="25">
        <f>IF(Q92="","",D92-Q92)</f>
        <v/>
      </c>
      <c r="S92" s="42">
        <f>IF(OR(N92="Atrasada",N92="Aguardando"),IF(N92="Atrasada",100000+O92,0)+D92/1000000+ROW()/100000000,0)</f>
        <v>0</v>
      </c>
      <c r="T92" s="42">
        <f>IF(AND(F92&lt;&gt;"",E92&lt;&gt;""),F92-E92,"")</f>
        <v/>
      </c>
    </row>
    <row r="93">
      <c r="A93" s="33" t="n"/>
      <c r="B93" s="43" t="n"/>
      <c r="C93" s="35" t="n"/>
      <c r="D93" s="40" t="n"/>
      <c r="E93" s="39" t="n"/>
      <c r="F93" s="39" t="n"/>
      <c r="G93" s="40" t="n"/>
      <c r="H93" s="35" t="n"/>
      <c r="I93" s="40" t="n"/>
      <c r="J93" s="39" t="n"/>
      <c r="K93" s="27">
        <f>IF(A93="","",IFERROR(INDEX(Config!$B$10:$B$15,MATCH(A93,Config!$A$10:$A$15,0)),""))</f>
        <v/>
      </c>
      <c r="L93" s="31">
        <f>IF(OR(A93="",E93="",K93=""),"",E93+K93)</f>
        <v/>
      </c>
      <c r="M93" s="25">
        <f>IF(OR(A93="",F93=""),0,MAX(0,D93-G93))</f>
        <v>0</v>
      </c>
      <c r="N93" s="24">
        <f>IF(A93="","",IF(E93="","Em separação",IF(F93&lt;&gt;"",IF(H93="Em recurso","Em recurso",IF(M93&gt;0,"Paga com glosa","Paga")),IF(L93+Config!$B$7&lt;Config!$B$5,"Atrasada","Aguardando"))))</f>
        <v/>
      </c>
      <c r="O93" s="27">
        <f>IF(N93="Atrasada",Config!$B$5-L93,"")</f>
        <v/>
      </c>
      <c r="P93" s="41">
        <f>IF(OR(A93="",B93=""),"",A93&amp;"|"&amp;TEXT(B93,"yyyy-mm"))</f>
        <v/>
      </c>
      <c r="Q93" s="25">
        <f>IF(P93="","",IF(COUNTIF(Guias!$K$5:$K$1504,P93)=0,"",SUMIFS(Guias!$G$5:$G$1504,Guias!$K$5:$K$1504,P93)))</f>
        <v/>
      </c>
      <c r="R93" s="25">
        <f>IF(Q93="","",D93-Q93)</f>
        <v/>
      </c>
      <c r="S93" s="42">
        <f>IF(OR(N93="Atrasada",N93="Aguardando"),IF(N93="Atrasada",100000+O93,0)+D93/1000000+ROW()/100000000,0)</f>
        <v>0</v>
      </c>
      <c r="T93" s="42">
        <f>IF(AND(F93&lt;&gt;"",E93&lt;&gt;""),F93-E93,"")</f>
        <v/>
      </c>
    </row>
    <row r="94">
      <c r="A94" s="33" t="n"/>
      <c r="B94" s="43" t="n"/>
      <c r="C94" s="35" t="n"/>
      <c r="D94" s="40" t="n"/>
      <c r="E94" s="39" t="n"/>
      <c r="F94" s="39" t="n"/>
      <c r="G94" s="40" t="n"/>
      <c r="H94" s="35" t="n"/>
      <c r="I94" s="40" t="n"/>
      <c r="J94" s="39" t="n"/>
      <c r="K94" s="27">
        <f>IF(A94="","",IFERROR(INDEX(Config!$B$10:$B$15,MATCH(A94,Config!$A$10:$A$15,0)),""))</f>
        <v/>
      </c>
      <c r="L94" s="31">
        <f>IF(OR(A94="",E94="",K94=""),"",E94+K94)</f>
        <v/>
      </c>
      <c r="M94" s="25">
        <f>IF(OR(A94="",F94=""),0,MAX(0,D94-G94))</f>
        <v>0</v>
      </c>
      <c r="N94" s="24">
        <f>IF(A94="","",IF(E94="","Em separação",IF(F94&lt;&gt;"",IF(H94="Em recurso","Em recurso",IF(M94&gt;0,"Paga com glosa","Paga")),IF(L94+Config!$B$7&lt;Config!$B$5,"Atrasada","Aguardando"))))</f>
        <v/>
      </c>
      <c r="O94" s="27">
        <f>IF(N94="Atrasada",Config!$B$5-L94,"")</f>
        <v/>
      </c>
      <c r="P94" s="41">
        <f>IF(OR(A94="",B94=""),"",A94&amp;"|"&amp;TEXT(B94,"yyyy-mm"))</f>
        <v/>
      </c>
      <c r="Q94" s="25">
        <f>IF(P94="","",IF(COUNTIF(Guias!$K$5:$K$1504,P94)=0,"",SUMIFS(Guias!$G$5:$G$1504,Guias!$K$5:$K$1504,P94)))</f>
        <v/>
      </c>
      <c r="R94" s="25">
        <f>IF(Q94="","",D94-Q94)</f>
        <v/>
      </c>
      <c r="S94" s="42">
        <f>IF(OR(N94="Atrasada",N94="Aguardando"),IF(N94="Atrasada",100000+O94,0)+D94/1000000+ROW()/100000000,0)</f>
        <v>0</v>
      </c>
      <c r="T94" s="42">
        <f>IF(AND(F94&lt;&gt;"",E94&lt;&gt;""),F94-E94,"")</f>
        <v/>
      </c>
    </row>
    <row r="95">
      <c r="A95" s="33" t="n"/>
      <c r="B95" s="43" t="n"/>
      <c r="C95" s="35" t="n"/>
      <c r="D95" s="40" t="n"/>
      <c r="E95" s="39" t="n"/>
      <c r="F95" s="39" t="n"/>
      <c r="G95" s="40" t="n"/>
      <c r="H95" s="35" t="n"/>
      <c r="I95" s="40" t="n"/>
      <c r="J95" s="39" t="n"/>
      <c r="K95" s="27">
        <f>IF(A95="","",IFERROR(INDEX(Config!$B$10:$B$15,MATCH(A95,Config!$A$10:$A$15,0)),""))</f>
        <v/>
      </c>
      <c r="L95" s="31">
        <f>IF(OR(A95="",E95="",K95=""),"",E95+K95)</f>
        <v/>
      </c>
      <c r="M95" s="25">
        <f>IF(OR(A95="",F95=""),0,MAX(0,D95-G95))</f>
        <v>0</v>
      </c>
      <c r="N95" s="24">
        <f>IF(A95="","",IF(E95="","Em separação",IF(F95&lt;&gt;"",IF(H95="Em recurso","Em recurso",IF(M95&gt;0,"Paga com glosa","Paga")),IF(L95+Config!$B$7&lt;Config!$B$5,"Atrasada","Aguardando"))))</f>
        <v/>
      </c>
      <c r="O95" s="27">
        <f>IF(N95="Atrasada",Config!$B$5-L95,"")</f>
        <v/>
      </c>
      <c r="P95" s="41">
        <f>IF(OR(A95="",B95=""),"",A95&amp;"|"&amp;TEXT(B95,"yyyy-mm"))</f>
        <v/>
      </c>
      <c r="Q95" s="25">
        <f>IF(P95="","",IF(COUNTIF(Guias!$K$5:$K$1504,P95)=0,"",SUMIFS(Guias!$G$5:$G$1504,Guias!$K$5:$K$1504,P95)))</f>
        <v/>
      </c>
      <c r="R95" s="25">
        <f>IF(Q95="","",D95-Q95)</f>
        <v/>
      </c>
      <c r="S95" s="42">
        <f>IF(OR(N95="Atrasada",N95="Aguardando"),IF(N95="Atrasada",100000+O95,0)+D95/1000000+ROW()/100000000,0)</f>
        <v>0</v>
      </c>
      <c r="T95" s="42">
        <f>IF(AND(F95&lt;&gt;"",E95&lt;&gt;""),F95-E95,"")</f>
        <v/>
      </c>
    </row>
    <row r="96">
      <c r="A96" s="33" t="n"/>
      <c r="B96" s="43" t="n"/>
      <c r="C96" s="35" t="n"/>
      <c r="D96" s="40" t="n"/>
      <c r="E96" s="39" t="n"/>
      <c r="F96" s="39" t="n"/>
      <c r="G96" s="40" t="n"/>
      <c r="H96" s="35" t="n"/>
      <c r="I96" s="40" t="n"/>
      <c r="J96" s="39" t="n"/>
      <c r="K96" s="27">
        <f>IF(A96="","",IFERROR(INDEX(Config!$B$10:$B$15,MATCH(A96,Config!$A$10:$A$15,0)),""))</f>
        <v/>
      </c>
      <c r="L96" s="31">
        <f>IF(OR(A96="",E96="",K96=""),"",E96+K96)</f>
        <v/>
      </c>
      <c r="M96" s="25">
        <f>IF(OR(A96="",F96=""),0,MAX(0,D96-G96))</f>
        <v>0</v>
      </c>
      <c r="N96" s="24">
        <f>IF(A96="","",IF(E96="","Em separação",IF(F96&lt;&gt;"",IF(H96="Em recurso","Em recurso",IF(M96&gt;0,"Paga com glosa","Paga")),IF(L96+Config!$B$7&lt;Config!$B$5,"Atrasada","Aguardando"))))</f>
        <v/>
      </c>
      <c r="O96" s="27">
        <f>IF(N96="Atrasada",Config!$B$5-L96,"")</f>
        <v/>
      </c>
      <c r="P96" s="41">
        <f>IF(OR(A96="",B96=""),"",A96&amp;"|"&amp;TEXT(B96,"yyyy-mm"))</f>
        <v/>
      </c>
      <c r="Q96" s="25">
        <f>IF(P96="","",IF(COUNTIF(Guias!$K$5:$K$1504,P96)=0,"",SUMIFS(Guias!$G$5:$G$1504,Guias!$K$5:$K$1504,P96)))</f>
        <v/>
      </c>
      <c r="R96" s="25">
        <f>IF(Q96="","",D96-Q96)</f>
        <v/>
      </c>
      <c r="S96" s="42">
        <f>IF(OR(N96="Atrasada",N96="Aguardando"),IF(N96="Atrasada",100000+O96,0)+D96/1000000+ROW()/100000000,0)</f>
        <v>0</v>
      </c>
      <c r="T96" s="42">
        <f>IF(AND(F96&lt;&gt;"",E96&lt;&gt;""),F96-E96,"")</f>
        <v/>
      </c>
    </row>
    <row r="97">
      <c r="A97" s="33" t="n"/>
      <c r="B97" s="43" t="n"/>
      <c r="C97" s="35" t="n"/>
      <c r="D97" s="40" t="n"/>
      <c r="E97" s="39" t="n"/>
      <c r="F97" s="39" t="n"/>
      <c r="G97" s="40" t="n"/>
      <c r="H97" s="35" t="n"/>
      <c r="I97" s="40" t="n"/>
      <c r="J97" s="39" t="n"/>
      <c r="K97" s="27">
        <f>IF(A97="","",IFERROR(INDEX(Config!$B$10:$B$15,MATCH(A97,Config!$A$10:$A$15,0)),""))</f>
        <v/>
      </c>
      <c r="L97" s="31">
        <f>IF(OR(A97="",E97="",K97=""),"",E97+K97)</f>
        <v/>
      </c>
      <c r="M97" s="25">
        <f>IF(OR(A97="",F97=""),0,MAX(0,D97-G97))</f>
        <v>0</v>
      </c>
      <c r="N97" s="24">
        <f>IF(A97="","",IF(E97="","Em separação",IF(F97&lt;&gt;"",IF(H97="Em recurso","Em recurso",IF(M97&gt;0,"Paga com glosa","Paga")),IF(L97+Config!$B$7&lt;Config!$B$5,"Atrasada","Aguardando"))))</f>
        <v/>
      </c>
      <c r="O97" s="27">
        <f>IF(N97="Atrasada",Config!$B$5-L97,"")</f>
        <v/>
      </c>
      <c r="P97" s="41">
        <f>IF(OR(A97="",B97=""),"",A97&amp;"|"&amp;TEXT(B97,"yyyy-mm"))</f>
        <v/>
      </c>
      <c r="Q97" s="25">
        <f>IF(P97="","",IF(COUNTIF(Guias!$K$5:$K$1504,P97)=0,"",SUMIFS(Guias!$G$5:$G$1504,Guias!$K$5:$K$1504,P97)))</f>
        <v/>
      </c>
      <c r="R97" s="25">
        <f>IF(Q97="","",D97-Q97)</f>
        <v/>
      </c>
      <c r="S97" s="42">
        <f>IF(OR(N97="Atrasada",N97="Aguardando"),IF(N97="Atrasada",100000+O97,0)+D97/1000000+ROW()/100000000,0)</f>
        <v>0</v>
      </c>
      <c r="T97" s="42">
        <f>IF(AND(F97&lt;&gt;"",E97&lt;&gt;""),F97-E97,"")</f>
        <v/>
      </c>
    </row>
    <row r="98">
      <c r="A98" s="33" t="n"/>
      <c r="B98" s="43" t="n"/>
      <c r="C98" s="35" t="n"/>
      <c r="D98" s="40" t="n"/>
      <c r="E98" s="39" t="n"/>
      <c r="F98" s="39" t="n"/>
      <c r="G98" s="40" t="n"/>
      <c r="H98" s="35" t="n"/>
      <c r="I98" s="40" t="n"/>
      <c r="J98" s="39" t="n"/>
      <c r="K98" s="27">
        <f>IF(A98="","",IFERROR(INDEX(Config!$B$10:$B$15,MATCH(A98,Config!$A$10:$A$15,0)),""))</f>
        <v/>
      </c>
      <c r="L98" s="31">
        <f>IF(OR(A98="",E98="",K98=""),"",E98+K98)</f>
        <v/>
      </c>
      <c r="M98" s="25">
        <f>IF(OR(A98="",F98=""),0,MAX(0,D98-G98))</f>
        <v>0</v>
      </c>
      <c r="N98" s="24">
        <f>IF(A98="","",IF(E98="","Em separação",IF(F98&lt;&gt;"",IF(H98="Em recurso","Em recurso",IF(M98&gt;0,"Paga com glosa","Paga")),IF(L98+Config!$B$7&lt;Config!$B$5,"Atrasada","Aguardando"))))</f>
        <v/>
      </c>
      <c r="O98" s="27">
        <f>IF(N98="Atrasada",Config!$B$5-L98,"")</f>
        <v/>
      </c>
      <c r="P98" s="41">
        <f>IF(OR(A98="",B98=""),"",A98&amp;"|"&amp;TEXT(B98,"yyyy-mm"))</f>
        <v/>
      </c>
      <c r="Q98" s="25">
        <f>IF(P98="","",IF(COUNTIF(Guias!$K$5:$K$1504,P98)=0,"",SUMIFS(Guias!$G$5:$G$1504,Guias!$K$5:$K$1504,P98)))</f>
        <v/>
      </c>
      <c r="R98" s="25">
        <f>IF(Q98="","",D98-Q98)</f>
        <v/>
      </c>
      <c r="S98" s="42">
        <f>IF(OR(N98="Atrasada",N98="Aguardando"),IF(N98="Atrasada",100000+O98,0)+D98/1000000+ROW()/100000000,0)</f>
        <v>0</v>
      </c>
      <c r="T98" s="42">
        <f>IF(AND(F98&lt;&gt;"",E98&lt;&gt;""),F98-E98,"")</f>
        <v/>
      </c>
    </row>
    <row r="99">
      <c r="A99" s="33" t="n"/>
      <c r="B99" s="43" t="n"/>
      <c r="C99" s="35" t="n"/>
      <c r="D99" s="40" t="n"/>
      <c r="E99" s="39" t="n"/>
      <c r="F99" s="39" t="n"/>
      <c r="G99" s="40" t="n"/>
      <c r="H99" s="35" t="n"/>
      <c r="I99" s="40" t="n"/>
      <c r="J99" s="39" t="n"/>
      <c r="K99" s="27">
        <f>IF(A99="","",IFERROR(INDEX(Config!$B$10:$B$15,MATCH(A99,Config!$A$10:$A$15,0)),""))</f>
        <v/>
      </c>
      <c r="L99" s="31">
        <f>IF(OR(A99="",E99="",K99=""),"",E99+K99)</f>
        <v/>
      </c>
      <c r="M99" s="25">
        <f>IF(OR(A99="",F99=""),0,MAX(0,D99-G99))</f>
        <v>0</v>
      </c>
      <c r="N99" s="24">
        <f>IF(A99="","",IF(E99="","Em separação",IF(F99&lt;&gt;"",IF(H99="Em recurso","Em recurso",IF(M99&gt;0,"Paga com glosa","Paga")),IF(L99+Config!$B$7&lt;Config!$B$5,"Atrasada","Aguardando"))))</f>
        <v/>
      </c>
      <c r="O99" s="27">
        <f>IF(N99="Atrasada",Config!$B$5-L99,"")</f>
        <v/>
      </c>
      <c r="P99" s="41">
        <f>IF(OR(A99="",B99=""),"",A99&amp;"|"&amp;TEXT(B99,"yyyy-mm"))</f>
        <v/>
      </c>
      <c r="Q99" s="25">
        <f>IF(P99="","",IF(COUNTIF(Guias!$K$5:$K$1504,P99)=0,"",SUMIFS(Guias!$G$5:$G$1504,Guias!$K$5:$K$1504,P99)))</f>
        <v/>
      </c>
      <c r="R99" s="25">
        <f>IF(Q99="","",D99-Q99)</f>
        <v/>
      </c>
      <c r="S99" s="42">
        <f>IF(OR(N99="Atrasada",N99="Aguardando"),IF(N99="Atrasada",100000+O99,0)+D99/1000000+ROW()/100000000,0)</f>
        <v>0</v>
      </c>
      <c r="T99" s="42">
        <f>IF(AND(F99&lt;&gt;"",E99&lt;&gt;""),F99-E99,"")</f>
        <v/>
      </c>
    </row>
    <row r="100">
      <c r="A100" s="33" t="n"/>
      <c r="B100" s="43" t="n"/>
      <c r="C100" s="35" t="n"/>
      <c r="D100" s="40" t="n"/>
      <c r="E100" s="39" t="n"/>
      <c r="F100" s="39" t="n"/>
      <c r="G100" s="40" t="n"/>
      <c r="H100" s="35" t="n"/>
      <c r="I100" s="40" t="n"/>
      <c r="J100" s="39" t="n"/>
      <c r="K100" s="27">
        <f>IF(A100="","",IFERROR(INDEX(Config!$B$10:$B$15,MATCH(A100,Config!$A$10:$A$15,0)),""))</f>
        <v/>
      </c>
      <c r="L100" s="31">
        <f>IF(OR(A100="",E100="",K100=""),"",E100+K100)</f>
        <v/>
      </c>
      <c r="M100" s="25">
        <f>IF(OR(A100="",F100=""),0,MAX(0,D100-G100))</f>
        <v>0</v>
      </c>
      <c r="N100" s="24">
        <f>IF(A100="","",IF(E100="","Em separação",IF(F100&lt;&gt;"",IF(H100="Em recurso","Em recurso",IF(M100&gt;0,"Paga com glosa","Paga")),IF(L100+Config!$B$7&lt;Config!$B$5,"Atrasada","Aguardando"))))</f>
        <v/>
      </c>
      <c r="O100" s="27">
        <f>IF(N100="Atrasada",Config!$B$5-L100,"")</f>
        <v/>
      </c>
      <c r="P100" s="41">
        <f>IF(OR(A100="",B100=""),"",A100&amp;"|"&amp;TEXT(B100,"yyyy-mm"))</f>
        <v/>
      </c>
      <c r="Q100" s="25">
        <f>IF(P100="","",IF(COUNTIF(Guias!$K$5:$K$1504,P100)=0,"",SUMIFS(Guias!$G$5:$G$1504,Guias!$K$5:$K$1504,P100)))</f>
        <v/>
      </c>
      <c r="R100" s="25">
        <f>IF(Q100="","",D100-Q100)</f>
        <v/>
      </c>
      <c r="S100" s="42">
        <f>IF(OR(N100="Atrasada",N100="Aguardando"),IF(N100="Atrasada",100000+O100,0)+D100/1000000+ROW()/100000000,0)</f>
        <v>0</v>
      </c>
      <c r="T100" s="42">
        <f>IF(AND(F100&lt;&gt;"",E100&lt;&gt;""),F100-E100,"")</f>
        <v/>
      </c>
    </row>
    <row r="101">
      <c r="A101" s="33" t="n"/>
      <c r="B101" s="43" t="n"/>
      <c r="C101" s="35" t="n"/>
      <c r="D101" s="40" t="n"/>
      <c r="E101" s="39" t="n"/>
      <c r="F101" s="39" t="n"/>
      <c r="G101" s="40" t="n"/>
      <c r="H101" s="35" t="n"/>
      <c r="I101" s="40" t="n"/>
      <c r="J101" s="39" t="n"/>
      <c r="K101" s="27">
        <f>IF(A101="","",IFERROR(INDEX(Config!$B$10:$B$15,MATCH(A101,Config!$A$10:$A$15,0)),""))</f>
        <v/>
      </c>
      <c r="L101" s="31">
        <f>IF(OR(A101="",E101="",K101=""),"",E101+K101)</f>
        <v/>
      </c>
      <c r="M101" s="25">
        <f>IF(OR(A101="",F101=""),0,MAX(0,D101-G101))</f>
        <v>0</v>
      </c>
      <c r="N101" s="24">
        <f>IF(A101="","",IF(E101="","Em separação",IF(F101&lt;&gt;"",IF(H101="Em recurso","Em recurso",IF(M101&gt;0,"Paga com glosa","Paga")),IF(L101+Config!$B$7&lt;Config!$B$5,"Atrasada","Aguardando"))))</f>
        <v/>
      </c>
      <c r="O101" s="27">
        <f>IF(N101="Atrasada",Config!$B$5-L101,"")</f>
        <v/>
      </c>
      <c r="P101" s="41">
        <f>IF(OR(A101="",B101=""),"",A101&amp;"|"&amp;TEXT(B101,"yyyy-mm"))</f>
        <v/>
      </c>
      <c r="Q101" s="25">
        <f>IF(P101="","",IF(COUNTIF(Guias!$K$5:$K$1504,P101)=0,"",SUMIFS(Guias!$G$5:$G$1504,Guias!$K$5:$K$1504,P101)))</f>
        <v/>
      </c>
      <c r="R101" s="25">
        <f>IF(Q101="","",D101-Q101)</f>
        <v/>
      </c>
      <c r="S101" s="42">
        <f>IF(OR(N101="Atrasada",N101="Aguardando"),IF(N101="Atrasada",100000+O101,0)+D101/1000000+ROW()/100000000,0)</f>
        <v>0</v>
      </c>
      <c r="T101" s="42">
        <f>IF(AND(F101&lt;&gt;"",E101&lt;&gt;""),F101-E101,"")</f>
        <v/>
      </c>
    </row>
    <row r="102">
      <c r="A102" s="33" t="n"/>
      <c r="B102" s="43" t="n"/>
      <c r="C102" s="35" t="n"/>
      <c r="D102" s="40" t="n"/>
      <c r="E102" s="39" t="n"/>
      <c r="F102" s="39" t="n"/>
      <c r="G102" s="40" t="n"/>
      <c r="H102" s="35" t="n"/>
      <c r="I102" s="40" t="n"/>
      <c r="J102" s="39" t="n"/>
      <c r="K102" s="27">
        <f>IF(A102="","",IFERROR(INDEX(Config!$B$10:$B$15,MATCH(A102,Config!$A$10:$A$15,0)),""))</f>
        <v/>
      </c>
      <c r="L102" s="31">
        <f>IF(OR(A102="",E102="",K102=""),"",E102+K102)</f>
        <v/>
      </c>
      <c r="M102" s="25">
        <f>IF(OR(A102="",F102=""),0,MAX(0,D102-G102))</f>
        <v>0</v>
      </c>
      <c r="N102" s="24">
        <f>IF(A102="","",IF(E102="","Em separação",IF(F102&lt;&gt;"",IF(H102="Em recurso","Em recurso",IF(M102&gt;0,"Paga com glosa","Paga")),IF(L102+Config!$B$7&lt;Config!$B$5,"Atrasada","Aguardando"))))</f>
        <v/>
      </c>
      <c r="O102" s="27">
        <f>IF(N102="Atrasada",Config!$B$5-L102,"")</f>
        <v/>
      </c>
      <c r="P102" s="41">
        <f>IF(OR(A102="",B102=""),"",A102&amp;"|"&amp;TEXT(B102,"yyyy-mm"))</f>
        <v/>
      </c>
      <c r="Q102" s="25">
        <f>IF(P102="","",IF(COUNTIF(Guias!$K$5:$K$1504,P102)=0,"",SUMIFS(Guias!$G$5:$G$1504,Guias!$K$5:$K$1504,P102)))</f>
        <v/>
      </c>
      <c r="R102" s="25">
        <f>IF(Q102="","",D102-Q102)</f>
        <v/>
      </c>
      <c r="S102" s="42">
        <f>IF(OR(N102="Atrasada",N102="Aguardando"),IF(N102="Atrasada",100000+O102,0)+D102/1000000+ROW()/100000000,0)</f>
        <v>0</v>
      </c>
      <c r="T102" s="42">
        <f>IF(AND(F102&lt;&gt;"",E102&lt;&gt;""),F102-E102,"")</f>
        <v/>
      </c>
    </row>
    <row r="103">
      <c r="A103" s="33" t="n"/>
      <c r="B103" s="43" t="n"/>
      <c r="C103" s="35" t="n"/>
      <c r="D103" s="40" t="n"/>
      <c r="E103" s="39" t="n"/>
      <c r="F103" s="39" t="n"/>
      <c r="G103" s="40" t="n"/>
      <c r="H103" s="35" t="n"/>
      <c r="I103" s="40" t="n"/>
      <c r="J103" s="39" t="n"/>
      <c r="K103" s="27">
        <f>IF(A103="","",IFERROR(INDEX(Config!$B$10:$B$15,MATCH(A103,Config!$A$10:$A$15,0)),""))</f>
        <v/>
      </c>
      <c r="L103" s="31">
        <f>IF(OR(A103="",E103="",K103=""),"",E103+K103)</f>
        <v/>
      </c>
      <c r="M103" s="25">
        <f>IF(OR(A103="",F103=""),0,MAX(0,D103-G103))</f>
        <v>0</v>
      </c>
      <c r="N103" s="24">
        <f>IF(A103="","",IF(E103="","Em separação",IF(F103&lt;&gt;"",IF(H103="Em recurso","Em recurso",IF(M103&gt;0,"Paga com glosa","Paga")),IF(L103+Config!$B$7&lt;Config!$B$5,"Atrasada","Aguardando"))))</f>
        <v/>
      </c>
      <c r="O103" s="27">
        <f>IF(N103="Atrasada",Config!$B$5-L103,"")</f>
        <v/>
      </c>
      <c r="P103" s="41">
        <f>IF(OR(A103="",B103=""),"",A103&amp;"|"&amp;TEXT(B103,"yyyy-mm"))</f>
        <v/>
      </c>
      <c r="Q103" s="25">
        <f>IF(P103="","",IF(COUNTIF(Guias!$K$5:$K$1504,P103)=0,"",SUMIFS(Guias!$G$5:$G$1504,Guias!$K$5:$K$1504,P103)))</f>
        <v/>
      </c>
      <c r="R103" s="25">
        <f>IF(Q103="","",D103-Q103)</f>
        <v/>
      </c>
      <c r="S103" s="42">
        <f>IF(OR(N103="Atrasada",N103="Aguardando"),IF(N103="Atrasada",100000+O103,0)+D103/1000000+ROW()/100000000,0)</f>
        <v>0</v>
      </c>
      <c r="T103" s="42">
        <f>IF(AND(F103&lt;&gt;"",E103&lt;&gt;""),F103-E103,"")</f>
        <v/>
      </c>
    </row>
    <row r="104">
      <c r="A104" s="33" t="n"/>
      <c r="B104" s="43" t="n"/>
      <c r="C104" s="35" t="n"/>
      <c r="D104" s="40" t="n"/>
      <c r="E104" s="39" t="n"/>
      <c r="F104" s="39" t="n"/>
      <c r="G104" s="40" t="n"/>
      <c r="H104" s="35" t="n"/>
      <c r="I104" s="40" t="n"/>
      <c r="J104" s="39" t="n"/>
      <c r="K104" s="27">
        <f>IF(A104="","",IFERROR(INDEX(Config!$B$10:$B$15,MATCH(A104,Config!$A$10:$A$15,0)),""))</f>
        <v/>
      </c>
      <c r="L104" s="31">
        <f>IF(OR(A104="",E104="",K104=""),"",E104+K104)</f>
        <v/>
      </c>
      <c r="M104" s="25">
        <f>IF(OR(A104="",F104=""),0,MAX(0,D104-G104))</f>
        <v>0</v>
      </c>
      <c r="N104" s="24">
        <f>IF(A104="","",IF(E104="","Em separação",IF(F104&lt;&gt;"",IF(H104="Em recurso","Em recurso",IF(M104&gt;0,"Paga com glosa","Paga")),IF(L104+Config!$B$7&lt;Config!$B$5,"Atrasada","Aguardando"))))</f>
        <v/>
      </c>
      <c r="O104" s="27">
        <f>IF(N104="Atrasada",Config!$B$5-L104,"")</f>
        <v/>
      </c>
      <c r="P104" s="41">
        <f>IF(OR(A104="",B104=""),"",A104&amp;"|"&amp;TEXT(B104,"yyyy-mm"))</f>
        <v/>
      </c>
      <c r="Q104" s="25">
        <f>IF(P104="","",IF(COUNTIF(Guias!$K$5:$K$1504,P104)=0,"",SUMIFS(Guias!$G$5:$G$1504,Guias!$K$5:$K$1504,P104)))</f>
        <v/>
      </c>
      <c r="R104" s="25">
        <f>IF(Q104="","",D104-Q104)</f>
        <v/>
      </c>
      <c r="S104" s="42">
        <f>IF(OR(N104="Atrasada",N104="Aguardando"),IF(N104="Atrasada",100000+O104,0)+D104/1000000+ROW()/100000000,0)</f>
        <v>0</v>
      </c>
      <c r="T104" s="42">
        <f>IF(AND(F104&lt;&gt;"",E104&lt;&gt;""),F104-E104,"")</f>
        <v/>
      </c>
    </row>
    <row r="105">
      <c r="A105" s="33" t="n"/>
      <c r="B105" s="43" t="n"/>
      <c r="C105" s="35" t="n"/>
      <c r="D105" s="40" t="n"/>
      <c r="E105" s="39" t="n"/>
      <c r="F105" s="39" t="n"/>
      <c r="G105" s="40" t="n"/>
      <c r="H105" s="35" t="n"/>
      <c r="I105" s="40" t="n"/>
      <c r="J105" s="39" t="n"/>
      <c r="K105" s="27">
        <f>IF(A105="","",IFERROR(INDEX(Config!$B$10:$B$15,MATCH(A105,Config!$A$10:$A$15,0)),""))</f>
        <v/>
      </c>
      <c r="L105" s="31">
        <f>IF(OR(A105="",E105="",K105=""),"",E105+K105)</f>
        <v/>
      </c>
      <c r="M105" s="25">
        <f>IF(OR(A105="",F105=""),0,MAX(0,D105-G105))</f>
        <v>0</v>
      </c>
      <c r="N105" s="24">
        <f>IF(A105="","",IF(E105="","Em separação",IF(F105&lt;&gt;"",IF(H105="Em recurso","Em recurso",IF(M105&gt;0,"Paga com glosa","Paga")),IF(L105+Config!$B$7&lt;Config!$B$5,"Atrasada","Aguardando"))))</f>
        <v/>
      </c>
      <c r="O105" s="27">
        <f>IF(N105="Atrasada",Config!$B$5-L105,"")</f>
        <v/>
      </c>
      <c r="P105" s="41">
        <f>IF(OR(A105="",B105=""),"",A105&amp;"|"&amp;TEXT(B105,"yyyy-mm"))</f>
        <v/>
      </c>
      <c r="Q105" s="25">
        <f>IF(P105="","",IF(COUNTIF(Guias!$K$5:$K$1504,P105)=0,"",SUMIFS(Guias!$G$5:$G$1504,Guias!$K$5:$K$1504,P105)))</f>
        <v/>
      </c>
      <c r="R105" s="25">
        <f>IF(Q105="","",D105-Q105)</f>
        <v/>
      </c>
      <c r="S105" s="42">
        <f>IF(OR(N105="Atrasada",N105="Aguardando"),IF(N105="Atrasada",100000+O105,0)+D105/1000000+ROW()/100000000,0)</f>
        <v>0</v>
      </c>
      <c r="T105" s="42">
        <f>IF(AND(F105&lt;&gt;"",E105&lt;&gt;""),F105-E105,"")</f>
        <v/>
      </c>
    </row>
    <row r="106">
      <c r="A106" s="33" t="n"/>
      <c r="B106" s="43" t="n"/>
      <c r="C106" s="35" t="n"/>
      <c r="D106" s="40" t="n"/>
      <c r="E106" s="39" t="n"/>
      <c r="F106" s="39" t="n"/>
      <c r="G106" s="40" t="n"/>
      <c r="H106" s="35" t="n"/>
      <c r="I106" s="40" t="n"/>
      <c r="J106" s="39" t="n"/>
      <c r="K106" s="27">
        <f>IF(A106="","",IFERROR(INDEX(Config!$B$10:$B$15,MATCH(A106,Config!$A$10:$A$15,0)),""))</f>
        <v/>
      </c>
      <c r="L106" s="31">
        <f>IF(OR(A106="",E106="",K106=""),"",E106+K106)</f>
        <v/>
      </c>
      <c r="M106" s="25">
        <f>IF(OR(A106="",F106=""),0,MAX(0,D106-G106))</f>
        <v>0</v>
      </c>
      <c r="N106" s="24">
        <f>IF(A106="","",IF(E106="","Em separação",IF(F106&lt;&gt;"",IF(H106="Em recurso","Em recurso",IF(M106&gt;0,"Paga com glosa","Paga")),IF(L106+Config!$B$7&lt;Config!$B$5,"Atrasada","Aguardando"))))</f>
        <v/>
      </c>
      <c r="O106" s="27">
        <f>IF(N106="Atrasada",Config!$B$5-L106,"")</f>
        <v/>
      </c>
      <c r="P106" s="41">
        <f>IF(OR(A106="",B106=""),"",A106&amp;"|"&amp;TEXT(B106,"yyyy-mm"))</f>
        <v/>
      </c>
      <c r="Q106" s="25">
        <f>IF(P106="","",IF(COUNTIF(Guias!$K$5:$K$1504,P106)=0,"",SUMIFS(Guias!$G$5:$G$1504,Guias!$K$5:$K$1504,P106)))</f>
        <v/>
      </c>
      <c r="R106" s="25">
        <f>IF(Q106="","",D106-Q106)</f>
        <v/>
      </c>
      <c r="S106" s="42">
        <f>IF(OR(N106="Atrasada",N106="Aguardando"),IF(N106="Atrasada",100000+O106,0)+D106/1000000+ROW()/100000000,0)</f>
        <v>0</v>
      </c>
      <c r="T106" s="42">
        <f>IF(AND(F106&lt;&gt;"",E106&lt;&gt;""),F106-E106,"")</f>
        <v/>
      </c>
    </row>
    <row r="107">
      <c r="A107" s="33" t="n"/>
      <c r="B107" s="43" t="n"/>
      <c r="C107" s="35" t="n"/>
      <c r="D107" s="40" t="n"/>
      <c r="E107" s="39" t="n"/>
      <c r="F107" s="39" t="n"/>
      <c r="G107" s="40" t="n"/>
      <c r="H107" s="35" t="n"/>
      <c r="I107" s="40" t="n"/>
      <c r="J107" s="39" t="n"/>
      <c r="K107" s="27">
        <f>IF(A107="","",IFERROR(INDEX(Config!$B$10:$B$15,MATCH(A107,Config!$A$10:$A$15,0)),""))</f>
        <v/>
      </c>
      <c r="L107" s="31">
        <f>IF(OR(A107="",E107="",K107=""),"",E107+K107)</f>
        <v/>
      </c>
      <c r="M107" s="25">
        <f>IF(OR(A107="",F107=""),0,MAX(0,D107-G107))</f>
        <v>0</v>
      </c>
      <c r="N107" s="24">
        <f>IF(A107="","",IF(E107="","Em separação",IF(F107&lt;&gt;"",IF(H107="Em recurso","Em recurso",IF(M107&gt;0,"Paga com glosa","Paga")),IF(L107+Config!$B$7&lt;Config!$B$5,"Atrasada","Aguardando"))))</f>
        <v/>
      </c>
      <c r="O107" s="27">
        <f>IF(N107="Atrasada",Config!$B$5-L107,"")</f>
        <v/>
      </c>
      <c r="P107" s="41">
        <f>IF(OR(A107="",B107=""),"",A107&amp;"|"&amp;TEXT(B107,"yyyy-mm"))</f>
        <v/>
      </c>
      <c r="Q107" s="25">
        <f>IF(P107="","",IF(COUNTIF(Guias!$K$5:$K$1504,P107)=0,"",SUMIFS(Guias!$G$5:$G$1504,Guias!$K$5:$K$1504,P107)))</f>
        <v/>
      </c>
      <c r="R107" s="25">
        <f>IF(Q107="","",D107-Q107)</f>
        <v/>
      </c>
      <c r="S107" s="42">
        <f>IF(OR(N107="Atrasada",N107="Aguardando"),IF(N107="Atrasada",100000+O107,0)+D107/1000000+ROW()/100000000,0)</f>
        <v>0</v>
      </c>
      <c r="T107" s="42">
        <f>IF(AND(F107&lt;&gt;"",E107&lt;&gt;""),F107-E107,"")</f>
        <v/>
      </c>
    </row>
    <row r="108">
      <c r="A108" s="33" t="n"/>
      <c r="B108" s="43" t="n"/>
      <c r="C108" s="35" t="n"/>
      <c r="D108" s="40" t="n"/>
      <c r="E108" s="39" t="n"/>
      <c r="F108" s="39" t="n"/>
      <c r="G108" s="40" t="n"/>
      <c r="H108" s="35" t="n"/>
      <c r="I108" s="40" t="n"/>
      <c r="J108" s="39" t="n"/>
      <c r="K108" s="27">
        <f>IF(A108="","",IFERROR(INDEX(Config!$B$10:$B$15,MATCH(A108,Config!$A$10:$A$15,0)),""))</f>
        <v/>
      </c>
      <c r="L108" s="31">
        <f>IF(OR(A108="",E108="",K108=""),"",E108+K108)</f>
        <v/>
      </c>
      <c r="M108" s="25">
        <f>IF(OR(A108="",F108=""),0,MAX(0,D108-G108))</f>
        <v>0</v>
      </c>
      <c r="N108" s="24">
        <f>IF(A108="","",IF(E108="","Em separação",IF(F108&lt;&gt;"",IF(H108="Em recurso","Em recurso",IF(M108&gt;0,"Paga com glosa","Paga")),IF(L108+Config!$B$7&lt;Config!$B$5,"Atrasada","Aguardando"))))</f>
        <v/>
      </c>
      <c r="O108" s="27">
        <f>IF(N108="Atrasada",Config!$B$5-L108,"")</f>
        <v/>
      </c>
      <c r="P108" s="41">
        <f>IF(OR(A108="",B108=""),"",A108&amp;"|"&amp;TEXT(B108,"yyyy-mm"))</f>
        <v/>
      </c>
      <c r="Q108" s="25">
        <f>IF(P108="","",IF(COUNTIF(Guias!$K$5:$K$1504,P108)=0,"",SUMIFS(Guias!$G$5:$G$1504,Guias!$K$5:$K$1504,P108)))</f>
        <v/>
      </c>
      <c r="R108" s="25">
        <f>IF(Q108="","",D108-Q108)</f>
        <v/>
      </c>
      <c r="S108" s="42">
        <f>IF(OR(N108="Atrasada",N108="Aguardando"),IF(N108="Atrasada",100000+O108,0)+D108/1000000+ROW()/100000000,0)</f>
        <v>0</v>
      </c>
      <c r="T108" s="42">
        <f>IF(AND(F108&lt;&gt;"",E108&lt;&gt;""),F108-E108,"")</f>
        <v/>
      </c>
    </row>
    <row r="109">
      <c r="A109" s="33" t="n"/>
      <c r="B109" s="43" t="n"/>
      <c r="C109" s="35" t="n"/>
      <c r="D109" s="40" t="n"/>
      <c r="E109" s="39" t="n"/>
      <c r="F109" s="39" t="n"/>
      <c r="G109" s="40" t="n"/>
      <c r="H109" s="35" t="n"/>
      <c r="I109" s="40" t="n"/>
      <c r="J109" s="39" t="n"/>
      <c r="K109" s="27">
        <f>IF(A109="","",IFERROR(INDEX(Config!$B$10:$B$15,MATCH(A109,Config!$A$10:$A$15,0)),""))</f>
        <v/>
      </c>
      <c r="L109" s="31">
        <f>IF(OR(A109="",E109="",K109=""),"",E109+K109)</f>
        <v/>
      </c>
      <c r="M109" s="25">
        <f>IF(OR(A109="",F109=""),0,MAX(0,D109-G109))</f>
        <v>0</v>
      </c>
      <c r="N109" s="24">
        <f>IF(A109="","",IF(E109="","Em separação",IF(F109&lt;&gt;"",IF(H109="Em recurso","Em recurso",IF(M109&gt;0,"Paga com glosa","Paga")),IF(L109+Config!$B$7&lt;Config!$B$5,"Atrasada","Aguardando"))))</f>
        <v/>
      </c>
      <c r="O109" s="27">
        <f>IF(N109="Atrasada",Config!$B$5-L109,"")</f>
        <v/>
      </c>
      <c r="P109" s="41">
        <f>IF(OR(A109="",B109=""),"",A109&amp;"|"&amp;TEXT(B109,"yyyy-mm"))</f>
        <v/>
      </c>
      <c r="Q109" s="25">
        <f>IF(P109="","",IF(COUNTIF(Guias!$K$5:$K$1504,P109)=0,"",SUMIFS(Guias!$G$5:$G$1504,Guias!$K$5:$K$1504,P109)))</f>
        <v/>
      </c>
      <c r="R109" s="25">
        <f>IF(Q109="","",D109-Q109)</f>
        <v/>
      </c>
      <c r="S109" s="42">
        <f>IF(OR(N109="Atrasada",N109="Aguardando"),IF(N109="Atrasada",100000+O109,0)+D109/1000000+ROW()/100000000,0)</f>
        <v>0</v>
      </c>
      <c r="T109" s="42">
        <f>IF(AND(F109&lt;&gt;"",E109&lt;&gt;""),F109-E109,"")</f>
        <v/>
      </c>
    </row>
    <row r="110">
      <c r="A110" s="33" t="n"/>
      <c r="B110" s="43" t="n"/>
      <c r="C110" s="35" t="n"/>
      <c r="D110" s="40" t="n"/>
      <c r="E110" s="39" t="n"/>
      <c r="F110" s="39" t="n"/>
      <c r="G110" s="40" t="n"/>
      <c r="H110" s="35" t="n"/>
      <c r="I110" s="40" t="n"/>
      <c r="J110" s="39" t="n"/>
      <c r="K110" s="27">
        <f>IF(A110="","",IFERROR(INDEX(Config!$B$10:$B$15,MATCH(A110,Config!$A$10:$A$15,0)),""))</f>
        <v/>
      </c>
      <c r="L110" s="31">
        <f>IF(OR(A110="",E110="",K110=""),"",E110+K110)</f>
        <v/>
      </c>
      <c r="M110" s="25">
        <f>IF(OR(A110="",F110=""),0,MAX(0,D110-G110))</f>
        <v>0</v>
      </c>
      <c r="N110" s="24">
        <f>IF(A110="","",IF(E110="","Em separação",IF(F110&lt;&gt;"",IF(H110="Em recurso","Em recurso",IF(M110&gt;0,"Paga com glosa","Paga")),IF(L110+Config!$B$7&lt;Config!$B$5,"Atrasada","Aguardando"))))</f>
        <v/>
      </c>
      <c r="O110" s="27">
        <f>IF(N110="Atrasada",Config!$B$5-L110,"")</f>
        <v/>
      </c>
      <c r="P110" s="41">
        <f>IF(OR(A110="",B110=""),"",A110&amp;"|"&amp;TEXT(B110,"yyyy-mm"))</f>
        <v/>
      </c>
      <c r="Q110" s="25">
        <f>IF(P110="","",IF(COUNTIF(Guias!$K$5:$K$1504,P110)=0,"",SUMIFS(Guias!$G$5:$G$1504,Guias!$K$5:$K$1504,P110)))</f>
        <v/>
      </c>
      <c r="R110" s="25">
        <f>IF(Q110="","",D110-Q110)</f>
        <v/>
      </c>
      <c r="S110" s="42">
        <f>IF(OR(N110="Atrasada",N110="Aguardando"),IF(N110="Atrasada",100000+O110,0)+D110/1000000+ROW()/100000000,0)</f>
        <v>0</v>
      </c>
      <c r="T110" s="42">
        <f>IF(AND(F110&lt;&gt;"",E110&lt;&gt;""),F110-E110,"")</f>
        <v/>
      </c>
    </row>
    <row r="111">
      <c r="A111" s="33" t="n"/>
      <c r="B111" s="43" t="n"/>
      <c r="C111" s="35" t="n"/>
      <c r="D111" s="40" t="n"/>
      <c r="E111" s="39" t="n"/>
      <c r="F111" s="39" t="n"/>
      <c r="G111" s="40" t="n"/>
      <c r="H111" s="35" t="n"/>
      <c r="I111" s="40" t="n"/>
      <c r="J111" s="39" t="n"/>
      <c r="K111" s="27">
        <f>IF(A111="","",IFERROR(INDEX(Config!$B$10:$B$15,MATCH(A111,Config!$A$10:$A$15,0)),""))</f>
        <v/>
      </c>
      <c r="L111" s="31">
        <f>IF(OR(A111="",E111="",K111=""),"",E111+K111)</f>
        <v/>
      </c>
      <c r="M111" s="25">
        <f>IF(OR(A111="",F111=""),0,MAX(0,D111-G111))</f>
        <v>0</v>
      </c>
      <c r="N111" s="24">
        <f>IF(A111="","",IF(E111="","Em separação",IF(F111&lt;&gt;"",IF(H111="Em recurso","Em recurso",IF(M111&gt;0,"Paga com glosa","Paga")),IF(L111+Config!$B$7&lt;Config!$B$5,"Atrasada","Aguardando"))))</f>
        <v/>
      </c>
      <c r="O111" s="27">
        <f>IF(N111="Atrasada",Config!$B$5-L111,"")</f>
        <v/>
      </c>
      <c r="P111" s="41">
        <f>IF(OR(A111="",B111=""),"",A111&amp;"|"&amp;TEXT(B111,"yyyy-mm"))</f>
        <v/>
      </c>
      <c r="Q111" s="25">
        <f>IF(P111="","",IF(COUNTIF(Guias!$K$5:$K$1504,P111)=0,"",SUMIFS(Guias!$G$5:$G$1504,Guias!$K$5:$K$1504,P111)))</f>
        <v/>
      </c>
      <c r="R111" s="25">
        <f>IF(Q111="","",D111-Q111)</f>
        <v/>
      </c>
      <c r="S111" s="42">
        <f>IF(OR(N111="Atrasada",N111="Aguardando"),IF(N111="Atrasada",100000+O111,0)+D111/1000000+ROW()/100000000,0)</f>
        <v>0</v>
      </c>
      <c r="T111" s="42">
        <f>IF(AND(F111&lt;&gt;"",E111&lt;&gt;""),F111-E111,"")</f>
        <v/>
      </c>
    </row>
    <row r="112">
      <c r="A112" s="33" t="n"/>
      <c r="B112" s="43" t="n"/>
      <c r="C112" s="35" t="n"/>
      <c r="D112" s="40" t="n"/>
      <c r="E112" s="39" t="n"/>
      <c r="F112" s="39" t="n"/>
      <c r="G112" s="40" t="n"/>
      <c r="H112" s="35" t="n"/>
      <c r="I112" s="40" t="n"/>
      <c r="J112" s="39" t="n"/>
      <c r="K112" s="27">
        <f>IF(A112="","",IFERROR(INDEX(Config!$B$10:$B$15,MATCH(A112,Config!$A$10:$A$15,0)),""))</f>
        <v/>
      </c>
      <c r="L112" s="31">
        <f>IF(OR(A112="",E112="",K112=""),"",E112+K112)</f>
        <v/>
      </c>
      <c r="M112" s="25">
        <f>IF(OR(A112="",F112=""),0,MAX(0,D112-G112))</f>
        <v>0</v>
      </c>
      <c r="N112" s="24">
        <f>IF(A112="","",IF(E112="","Em separação",IF(F112&lt;&gt;"",IF(H112="Em recurso","Em recurso",IF(M112&gt;0,"Paga com glosa","Paga")),IF(L112+Config!$B$7&lt;Config!$B$5,"Atrasada","Aguardando"))))</f>
        <v/>
      </c>
      <c r="O112" s="27">
        <f>IF(N112="Atrasada",Config!$B$5-L112,"")</f>
        <v/>
      </c>
      <c r="P112" s="41">
        <f>IF(OR(A112="",B112=""),"",A112&amp;"|"&amp;TEXT(B112,"yyyy-mm"))</f>
        <v/>
      </c>
      <c r="Q112" s="25">
        <f>IF(P112="","",IF(COUNTIF(Guias!$K$5:$K$1504,P112)=0,"",SUMIFS(Guias!$G$5:$G$1504,Guias!$K$5:$K$1504,P112)))</f>
        <v/>
      </c>
      <c r="R112" s="25">
        <f>IF(Q112="","",D112-Q112)</f>
        <v/>
      </c>
      <c r="S112" s="42">
        <f>IF(OR(N112="Atrasada",N112="Aguardando"),IF(N112="Atrasada",100000+O112,0)+D112/1000000+ROW()/100000000,0)</f>
        <v>0</v>
      </c>
      <c r="T112" s="42">
        <f>IF(AND(F112&lt;&gt;"",E112&lt;&gt;""),F112-E112,"")</f>
        <v/>
      </c>
    </row>
    <row r="113">
      <c r="A113" s="33" t="n"/>
      <c r="B113" s="43" t="n"/>
      <c r="C113" s="35" t="n"/>
      <c r="D113" s="40" t="n"/>
      <c r="E113" s="39" t="n"/>
      <c r="F113" s="39" t="n"/>
      <c r="G113" s="40" t="n"/>
      <c r="H113" s="35" t="n"/>
      <c r="I113" s="40" t="n"/>
      <c r="J113" s="39" t="n"/>
      <c r="K113" s="27">
        <f>IF(A113="","",IFERROR(INDEX(Config!$B$10:$B$15,MATCH(A113,Config!$A$10:$A$15,0)),""))</f>
        <v/>
      </c>
      <c r="L113" s="31">
        <f>IF(OR(A113="",E113="",K113=""),"",E113+K113)</f>
        <v/>
      </c>
      <c r="M113" s="25">
        <f>IF(OR(A113="",F113=""),0,MAX(0,D113-G113))</f>
        <v>0</v>
      </c>
      <c r="N113" s="24">
        <f>IF(A113="","",IF(E113="","Em separação",IF(F113&lt;&gt;"",IF(H113="Em recurso","Em recurso",IF(M113&gt;0,"Paga com glosa","Paga")),IF(L113+Config!$B$7&lt;Config!$B$5,"Atrasada","Aguardando"))))</f>
        <v/>
      </c>
      <c r="O113" s="27">
        <f>IF(N113="Atrasada",Config!$B$5-L113,"")</f>
        <v/>
      </c>
      <c r="P113" s="41">
        <f>IF(OR(A113="",B113=""),"",A113&amp;"|"&amp;TEXT(B113,"yyyy-mm"))</f>
        <v/>
      </c>
      <c r="Q113" s="25">
        <f>IF(P113="","",IF(COUNTIF(Guias!$K$5:$K$1504,P113)=0,"",SUMIFS(Guias!$G$5:$G$1504,Guias!$K$5:$K$1504,P113)))</f>
        <v/>
      </c>
      <c r="R113" s="25">
        <f>IF(Q113="","",D113-Q113)</f>
        <v/>
      </c>
      <c r="S113" s="42">
        <f>IF(OR(N113="Atrasada",N113="Aguardando"),IF(N113="Atrasada",100000+O113,0)+D113/1000000+ROW()/100000000,0)</f>
        <v>0</v>
      </c>
      <c r="T113" s="42">
        <f>IF(AND(F113&lt;&gt;"",E113&lt;&gt;""),F113-E113,"")</f>
        <v/>
      </c>
    </row>
    <row r="114">
      <c r="A114" s="33" t="n"/>
      <c r="B114" s="43" t="n"/>
      <c r="C114" s="35" t="n"/>
      <c r="D114" s="40" t="n"/>
      <c r="E114" s="39" t="n"/>
      <c r="F114" s="39" t="n"/>
      <c r="G114" s="40" t="n"/>
      <c r="H114" s="35" t="n"/>
      <c r="I114" s="40" t="n"/>
      <c r="J114" s="39" t="n"/>
      <c r="K114" s="27">
        <f>IF(A114="","",IFERROR(INDEX(Config!$B$10:$B$15,MATCH(A114,Config!$A$10:$A$15,0)),""))</f>
        <v/>
      </c>
      <c r="L114" s="31">
        <f>IF(OR(A114="",E114="",K114=""),"",E114+K114)</f>
        <v/>
      </c>
      <c r="M114" s="25">
        <f>IF(OR(A114="",F114=""),0,MAX(0,D114-G114))</f>
        <v>0</v>
      </c>
      <c r="N114" s="24">
        <f>IF(A114="","",IF(E114="","Em separação",IF(F114&lt;&gt;"",IF(H114="Em recurso","Em recurso",IF(M114&gt;0,"Paga com glosa","Paga")),IF(L114+Config!$B$7&lt;Config!$B$5,"Atrasada","Aguardando"))))</f>
        <v/>
      </c>
      <c r="O114" s="27">
        <f>IF(N114="Atrasada",Config!$B$5-L114,"")</f>
        <v/>
      </c>
      <c r="P114" s="41">
        <f>IF(OR(A114="",B114=""),"",A114&amp;"|"&amp;TEXT(B114,"yyyy-mm"))</f>
        <v/>
      </c>
      <c r="Q114" s="25">
        <f>IF(P114="","",IF(COUNTIF(Guias!$K$5:$K$1504,P114)=0,"",SUMIFS(Guias!$G$5:$G$1504,Guias!$K$5:$K$1504,P114)))</f>
        <v/>
      </c>
      <c r="R114" s="25">
        <f>IF(Q114="","",D114-Q114)</f>
        <v/>
      </c>
      <c r="S114" s="42">
        <f>IF(OR(N114="Atrasada",N114="Aguardando"),IF(N114="Atrasada",100000+O114,0)+D114/1000000+ROW()/100000000,0)</f>
        <v>0</v>
      </c>
      <c r="T114" s="42">
        <f>IF(AND(F114&lt;&gt;"",E114&lt;&gt;""),F114-E114,"")</f>
        <v/>
      </c>
    </row>
    <row r="115">
      <c r="A115" s="33" t="n"/>
      <c r="B115" s="43" t="n"/>
      <c r="C115" s="35" t="n"/>
      <c r="D115" s="40" t="n"/>
      <c r="E115" s="39" t="n"/>
      <c r="F115" s="39" t="n"/>
      <c r="G115" s="40" t="n"/>
      <c r="H115" s="35" t="n"/>
      <c r="I115" s="40" t="n"/>
      <c r="J115" s="39" t="n"/>
      <c r="K115" s="27">
        <f>IF(A115="","",IFERROR(INDEX(Config!$B$10:$B$15,MATCH(A115,Config!$A$10:$A$15,0)),""))</f>
        <v/>
      </c>
      <c r="L115" s="31">
        <f>IF(OR(A115="",E115="",K115=""),"",E115+K115)</f>
        <v/>
      </c>
      <c r="M115" s="25">
        <f>IF(OR(A115="",F115=""),0,MAX(0,D115-G115))</f>
        <v>0</v>
      </c>
      <c r="N115" s="24">
        <f>IF(A115="","",IF(E115="","Em separação",IF(F115&lt;&gt;"",IF(H115="Em recurso","Em recurso",IF(M115&gt;0,"Paga com glosa","Paga")),IF(L115+Config!$B$7&lt;Config!$B$5,"Atrasada","Aguardando"))))</f>
        <v/>
      </c>
      <c r="O115" s="27">
        <f>IF(N115="Atrasada",Config!$B$5-L115,"")</f>
        <v/>
      </c>
      <c r="P115" s="41">
        <f>IF(OR(A115="",B115=""),"",A115&amp;"|"&amp;TEXT(B115,"yyyy-mm"))</f>
        <v/>
      </c>
      <c r="Q115" s="25">
        <f>IF(P115="","",IF(COUNTIF(Guias!$K$5:$K$1504,P115)=0,"",SUMIFS(Guias!$G$5:$G$1504,Guias!$K$5:$K$1504,P115)))</f>
        <v/>
      </c>
      <c r="R115" s="25">
        <f>IF(Q115="","",D115-Q115)</f>
        <v/>
      </c>
      <c r="S115" s="42">
        <f>IF(OR(N115="Atrasada",N115="Aguardando"),IF(N115="Atrasada",100000+O115,0)+D115/1000000+ROW()/100000000,0)</f>
        <v>0</v>
      </c>
      <c r="T115" s="42">
        <f>IF(AND(F115&lt;&gt;"",E115&lt;&gt;""),F115-E115,"")</f>
        <v/>
      </c>
    </row>
    <row r="116">
      <c r="A116" s="33" t="n"/>
      <c r="B116" s="43" t="n"/>
      <c r="C116" s="35" t="n"/>
      <c r="D116" s="40" t="n"/>
      <c r="E116" s="39" t="n"/>
      <c r="F116" s="39" t="n"/>
      <c r="G116" s="40" t="n"/>
      <c r="H116" s="35" t="n"/>
      <c r="I116" s="40" t="n"/>
      <c r="J116" s="39" t="n"/>
      <c r="K116" s="27">
        <f>IF(A116="","",IFERROR(INDEX(Config!$B$10:$B$15,MATCH(A116,Config!$A$10:$A$15,0)),""))</f>
        <v/>
      </c>
      <c r="L116" s="31">
        <f>IF(OR(A116="",E116="",K116=""),"",E116+K116)</f>
        <v/>
      </c>
      <c r="M116" s="25">
        <f>IF(OR(A116="",F116=""),0,MAX(0,D116-G116))</f>
        <v>0</v>
      </c>
      <c r="N116" s="24">
        <f>IF(A116="","",IF(E116="","Em separação",IF(F116&lt;&gt;"",IF(H116="Em recurso","Em recurso",IF(M116&gt;0,"Paga com glosa","Paga")),IF(L116+Config!$B$7&lt;Config!$B$5,"Atrasada","Aguardando"))))</f>
        <v/>
      </c>
      <c r="O116" s="27">
        <f>IF(N116="Atrasada",Config!$B$5-L116,"")</f>
        <v/>
      </c>
      <c r="P116" s="41">
        <f>IF(OR(A116="",B116=""),"",A116&amp;"|"&amp;TEXT(B116,"yyyy-mm"))</f>
        <v/>
      </c>
      <c r="Q116" s="25">
        <f>IF(P116="","",IF(COUNTIF(Guias!$K$5:$K$1504,P116)=0,"",SUMIFS(Guias!$G$5:$G$1504,Guias!$K$5:$K$1504,P116)))</f>
        <v/>
      </c>
      <c r="R116" s="25">
        <f>IF(Q116="","",D116-Q116)</f>
        <v/>
      </c>
      <c r="S116" s="42">
        <f>IF(OR(N116="Atrasada",N116="Aguardando"),IF(N116="Atrasada",100000+O116,0)+D116/1000000+ROW()/100000000,0)</f>
        <v>0</v>
      </c>
      <c r="T116" s="42">
        <f>IF(AND(F116&lt;&gt;"",E116&lt;&gt;""),F116-E116,"")</f>
        <v/>
      </c>
    </row>
    <row r="117">
      <c r="A117" s="33" t="n"/>
      <c r="B117" s="43" t="n"/>
      <c r="C117" s="35" t="n"/>
      <c r="D117" s="40" t="n"/>
      <c r="E117" s="39" t="n"/>
      <c r="F117" s="39" t="n"/>
      <c r="G117" s="40" t="n"/>
      <c r="H117" s="35" t="n"/>
      <c r="I117" s="40" t="n"/>
      <c r="J117" s="39" t="n"/>
      <c r="K117" s="27">
        <f>IF(A117="","",IFERROR(INDEX(Config!$B$10:$B$15,MATCH(A117,Config!$A$10:$A$15,0)),""))</f>
        <v/>
      </c>
      <c r="L117" s="31">
        <f>IF(OR(A117="",E117="",K117=""),"",E117+K117)</f>
        <v/>
      </c>
      <c r="M117" s="25">
        <f>IF(OR(A117="",F117=""),0,MAX(0,D117-G117))</f>
        <v>0</v>
      </c>
      <c r="N117" s="24">
        <f>IF(A117="","",IF(E117="","Em separação",IF(F117&lt;&gt;"",IF(H117="Em recurso","Em recurso",IF(M117&gt;0,"Paga com glosa","Paga")),IF(L117+Config!$B$7&lt;Config!$B$5,"Atrasada","Aguardando"))))</f>
        <v/>
      </c>
      <c r="O117" s="27">
        <f>IF(N117="Atrasada",Config!$B$5-L117,"")</f>
        <v/>
      </c>
      <c r="P117" s="41">
        <f>IF(OR(A117="",B117=""),"",A117&amp;"|"&amp;TEXT(B117,"yyyy-mm"))</f>
        <v/>
      </c>
      <c r="Q117" s="25">
        <f>IF(P117="","",IF(COUNTIF(Guias!$K$5:$K$1504,P117)=0,"",SUMIFS(Guias!$G$5:$G$1504,Guias!$K$5:$K$1504,P117)))</f>
        <v/>
      </c>
      <c r="R117" s="25">
        <f>IF(Q117="","",D117-Q117)</f>
        <v/>
      </c>
      <c r="S117" s="42">
        <f>IF(OR(N117="Atrasada",N117="Aguardando"),IF(N117="Atrasada",100000+O117,0)+D117/1000000+ROW()/100000000,0)</f>
        <v>0</v>
      </c>
      <c r="T117" s="42">
        <f>IF(AND(F117&lt;&gt;"",E117&lt;&gt;""),F117-E117,"")</f>
        <v/>
      </c>
    </row>
    <row r="118">
      <c r="A118" s="33" t="n"/>
      <c r="B118" s="43" t="n"/>
      <c r="C118" s="35" t="n"/>
      <c r="D118" s="40" t="n"/>
      <c r="E118" s="39" t="n"/>
      <c r="F118" s="39" t="n"/>
      <c r="G118" s="40" t="n"/>
      <c r="H118" s="35" t="n"/>
      <c r="I118" s="40" t="n"/>
      <c r="J118" s="39" t="n"/>
      <c r="K118" s="27">
        <f>IF(A118="","",IFERROR(INDEX(Config!$B$10:$B$15,MATCH(A118,Config!$A$10:$A$15,0)),""))</f>
        <v/>
      </c>
      <c r="L118" s="31">
        <f>IF(OR(A118="",E118="",K118=""),"",E118+K118)</f>
        <v/>
      </c>
      <c r="M118" s="25">
        <f>IF(OR(A118="",F118=""),0,MAX(0,D118-G118))</f>
        <v>0</v>
      </c>
      <c r="N118" s="24">
        <f>IF(A118="","",IF(E118="","Em separação",IF(F118&lt;&gt;"",IF(H118="Em recurso","Em recurso",IF(M118&gt;0,"Paga com glosa","Paga")),IF(L118+Config!$B$7&lt;Config!$B$5,"Atrasada","Aguardando"))))</f>
        <v/>
      </c>
      <c r="O118" s="27">
        <f>IF(N118="Atrasada",Config!$B$5-L118,"")</f>
        <v/>
      </c>
      <c r="P118" s="41">
        <f>IF(OR(A118="",B118=""),"",A118&amp;"|"&amp;TEXT(B118,"yyyy-mm"))</f>
        <v/>
      </c>
      <c r="Q118" s="25">
        <f>IF(P118="","",IF(COUNTIF(Guias!$K$5:$K$1504,P118)=0,"",SUMIFS(Guias!$G$5:$G$1504,Guias!$K$5:$K$1504,P118)))</f>
        <v/>
      </c>
      <c r="R118" s="25">
        <f>IF(Q118="","",D118-Q118)</f>
        <v/>
      </c>
      <c r="S118" s="42">
        <f>IF(OR(N118="Atrasada",N118="Aguardando"),IF(N118="Atrasada",100000+O118,0)+D118/1000000+ROW()/100000000,0)</f>
        <v>0</v>
      </c>
      <c r="T118" s="42">
        <f>IF(AND(F118&lt;&gt;"",E118&lt;&gt;""),F118-E118,"")</f>
        <v/>
      </c>
    </row>
    <row r="119">
      <c r="A119" s="33" t="n"/>
      <c r="B119" s="43" t="n"/>
      <c r="C119" s="35" t="n"/>
      <c r="D119" s="40" t="n"/>
      <c r="E119" s="39" t="n"/>
      <c r="F119" s="39" t="n"/>
      <c r="G119" s="40" t="n"/>
      <c r="H119" s="35" t="n"/>
      <c r="I119" s="40" t="n"/>
      <c r="J119" s="39" t="n"/>
      <c r="K119" s="27">
        <f>IF(A119="","",IFERROR(INDEX(Config!$B$10:$B$15,MATCH(A119,Config!$A$10:$A$15,0)),""))</f>
        <v/>
      </c>
      <c r="L119" s="31">
        <f>IF(OR(A119="",E119="",K119=""),"",E119+K119)</f>
        <v/>
      </c>
      <c r="M119" s="25">
        <f>IF(OR(A119="",F119=""),0,MAX(0,D119-G119))</f>
        <v>0</v>
      </c>
      <c r="N119" s="24">
        <f>IF(A119="","",IF(E119="","Em separação",IF(F119&lt;&gt;"",IF(H119="Em recurso","Em recurso",IF(M119&gt;0,"Paga com glosa","Paga")),IF(L119+Config!$B$7&lt;Config!$B$5,"Atrasada","Aguardando"))))</f>
        <v/>
      </c>
      <c r="O119" s="27">
        <f>IF(N119="Atrasada",Config!$B$5-L119,"")</f>
        <v/>
      </c>
      <c r="P119" s="41">
        <f>IF(OR(A119="",B119=""),"",A119&amp;"|"&amp;TEXT(B119,"yyyy-mm"))</f>
        <v/>
      </c>
      <c r="Q119" s="25">
        <f>IF(P119="","",IF(COUNTIF(Guias!$K$5:$K$1504,P119)=0,"",SUMIFS(Guias!$G$5:$G$1504,Guias!$K$5:$K$1504,P119)))</f>
        <v/>
      </c>
      <c r="R119" s="25">
        <f>IF(Q119="","",D119-Q119)</f>
        <v/>
      </c>
      <c r="S119" s="42">
        <f>IF(OR(N119="Atrasada",N119="Aguardando"),IF(N119="Atrasada",100000+O119,0)+D119/1000000+ROW()/100000000,0)</f>
        <v>0</v>
      </c>
      <c r="T119" s="42">
        <f>IF(AND(F119&lt;&gt;"",E119&lt;&gt;""),F119-E119,"")</f>
        <v/>
      </c>
    </row>
    <row r="120">
      <c r="A120" s="33" t="n"/>
      <c r="B120" s="43" t="n"/>
      <c r="C120" s="35" t="n"/>
      <c r="D120" s="40" t="n"/>
      <c r="E120" s="39" t="n"/>
      <c r="F120" s="39" t="n"/>
      <c r="G120" s="40" t="n"/>
      <c r="H120" s="35" t="n"/>
      <c r="I120" s="40" t="n"/>
      <c r="J120" s="39" t="n"/>
      <c r="K120" s="27">
        <f>IF(A120="","",IFERROR(INDEX(Config!$B$10:$B$15,MATCH(A120,Config!$A$10:$A$15,0)),""))</f>
        <v/>
      </c>
      <c r="L120" s="31">
        <f>IF(OR(A120="",E120="",K120=""),"",E120+K120)</f>
        <v/>
      </c>
      <c r="M120" s="25">
        <f>IF(OR(A120="",F120=""),0,MAX(0,D120-G120))</f>
        <v>0</v>
      </c>
      <c r="N120" s="24">
        <f>IF(A120="","",IF(E120="","Em separação",IF(F120&lt;&gt;"",IF(H120="Em recurso","Em recurso",IF(M120&gt;0,"Paga com glosa","Paga")),IF(L120+Config!$B$7&lt;Config!$B$5,"Atrasada","Aguardando"))))</f>
        <v/>
      </c>
      <c r="O120" s="27">
        <f>IF(N120="Atrasada",Config!$B$5-L120,"")</f>
        <v/>
      </c>
      <c r="P120" s="41">
        <f>IF(OR(A120="",B120=""),"",A120&amp;"|"&amp;TEXT(B120,"yyyy-mm"))</f>
        <v/>
      </c>
      <c r="Q120" s="25">
        <f>IF(P120="","",IF(COUNTIF(Guias!$K$5:$K$1504,P120)=0,"",SUMIFS(Guias!$G$5:$G$1504,Guias!$K$5:$K$1504,P120)))</f>
        <v/>
      </c>
      <c r="R120" s="25">
        <f>IF(Q120="","",D120-Q120)</f>
        <v/>
      </c>
      <c r="S120" s="42">
        <f>IF(OR(N120="Atrasada",N120="Aguardando"),IF(N120="Atrasada",100000+O120,0)+D120/1000000+ROW()/100000000,0)</f>
        <v>0</v>
      </c>
      <c r="T120" s="42">
        <f>IF(AND(F120&lt;&gt;"",E120&lt;&gt;""),F120-E120,"")</f>
        <v/>
      </c>
    </row>
    <row r="121">
      <c r="A121" s="33" t="n"/>
      <c r="B121" s="43" t="n"/>
      <c r="C121" s="35" t="n"/>
      <c r="D121" s="40" t="n"/>
      <c r="E121" s="39" t="n"/>
      <c r="F121" s="39" t="n"/>
      <c r="G121" s="40" t="n"/>
      <c r="H121" s="35" t="n"/>
      <c r="I121" s="40" t="n"/>
      <c r="J121" s="39" t="n"/>
      <c r="K121" s="27">
        <f>IF(A121="","",IFERROR(INDEX(Config!$B$10:$B$15,MATCH(A121,Config!$A$10:$A$15,0)),""))</f>
        <v/>
      </c>
      <c r="L121" s="31">
        <f>IF(OR(A121="",E121="",K121=""),"",E121+K121)</f>
        <v/>
      </c>
      <c r="M121" s="25">
        <f>IF(OR(A121="",F121=""),0,MAX(0,D121-G121))</f>
        <v>0</v>
      </c>
      <c r="N121" s="24">
        <f>IF(A121="","",IF(E121="","Em separação",IF(F121&lt;&gt;"",IF(H121="Em recurso","Em recurso",IF(M121&gt;0,"Paga com glosa","Paga")),IF(L121+Config!$B$7&lt;Config!$B$5,"Atrasada","Aguardando"))))</f>
        <v/>
      </c>
      <c r="O121" s="27">
        <f>IF(N121="Atrasada",Config!$B$5-L121,"")</f>
        <v/>
      </c>
      <c r="P121" s="41">
        <f>IF(OR(A121="",B121=""),"",A121&amp;"|"&amp;TEXT(B121,"yyyy-mm"))</f>
        <v/>
      </c>
      <c r="Q121" s="25">
        <f>IF(P121="","",IF(COUNTIF(Guias!$K$5:$K$1504,P121)=0,"",SUMIFS(Guias!$G$5:$G$1504,Guias!$K$5:$K$1504,P121)))</f>
        <v/>
      </c>
      <c r="R121" s="25">
        <f>IF(Q121="","",D121-Q121)</f>
        <v/>
      </c>
      <c r="S121" s="42">
        <f>IF(OR(N121="Atrasada",N121="Aguardando"),IF(N121="Atrasada",100000+O121,0)+D121/1000000+ROW()/100000000,0)</f>
        <v>0</v>
      </c>
      <c r="T121" s="42">
        <f>IF(AND(F121&lt;&gt;"",E121&lt;&gt;""),F121-E121,"")</f>
        <v/>
      </c>
    </row>
    <row r="122">
      <c r="A122" s="33" t="n"/>
      <c r="B122" s="43" t="n"/>
      <c r="C122" s="35" t="n"/>
      <c r="D122" s="40" t="n"/>
      <c r="E122" s="39" t="n"/>
      <c r="F122" s="39" t="n"/>
      <c r="G122" s="40" t="n"/>
      <c r="H122" s="35" t="n"/>
      <c r="I122" s="40" t="n"/>
      <c r="J122" s="39" t="n"/>
      <c r="K122" s="27">
        <f>IF(A122="","",IFERROR(INDEX(Config!$B$10:$B$15,MATCH(A122,Config!$A$10:$A$15,0)),""))</f>
        <v/>
      </c>
      <c r="L122" s="31">
        <f>IF(OR(A122="",E122="",K122=""),"",E122+K122)</f>
        <v/>
      </c>
      <c r="M122" s="25">
        <f>IF(OR(A122="",F122=""),0,MAX(0,D122-G122))</f>
        <v>0</v>
      </c>
      <c r="N122" s="24">
        <f>IF(A122="","",IF(E122="","Em separação",IF(F122&lt;&gt;"",IF(H122="Em recurso","Em recurso",IF(M122&gt;0,"Paga com glosa","Paga")),IF(L122+Config!$B$7&lt;Config!$B$5,"Atrasada","Aguardando"))))</f>
        <v/>
      </c>
      <c r="O122" s="27">
        <f>IF(N122="Atrasada",Config!$B$5-L122,"")</f>
        <v/>
      </c>
      <c r="P122" s="41">
        <f>IF(OR(A122="",B122=""),"",A122&amp;"|"&amp;TEXT(B122,"yyyy-mm"))</f>
        <v/>
      </c>
      <c r="Q122" s="25">
        <f>IF(P122="","",IF(COUNTIF(Guias!$K$5:$K$1504,P122)=0,"",SUMIFS(Guias!$G$5:$G$1504,Guias!$K$5:$K$1504,P122)))</f>
        <v/>
      </c>
      <c r="R122" s="25">
        <f>IF(Q122="","",D122-Q122)</f>
        <v/>
      </c>
      <c r="S122" s="42">
        <f>IF(OR(N122="Atrasada",N122="Aguardando"),IF(N122="Atrasada",100000+O122,0)+D122/1000000+ROW()/100000000,0)</f>
        <v>0</v>
      </c>
      <c r="T122" s="42">
        <f>IF(AND(F122&lt;&gt;"",E122&lt;&gt;""),F122-E122,"")</f>
        <v/>
      </c>
    </row>
    <row r="123">
      <c r="A123" s="33" t="n"/>
      <c r="B123" s="43" t="n"/>
      <c r="C123" s="35" t="n"/>
      <c r="D123" s="40" t="n"/>
      <c r="E123" s="39" t="n"/>
      <c r="F123" s="39" t="n"/>
      <c r="G123" s="40" t="n"/>
      <c r="H123" s="35" t="n"/>
      <c r="I123" s="40" t="n"/>
      <c r="J123" s="39" t="n"/>
      <c r="K123" s="27">
        <f>IF(A123="","",IFERROR(INDEX(Config!$B$10:$B$15,MATCH(A123,Config!$A$10:$A$15,0)),""))</f>
        <v/>
      </c>
      <c r="L123" s="31">
        <f>IF(OR(A123="",E123="",K123=""),"",E123+K123)</f>
        <v/>
      </c>
      <c r="M123" s="25">
        <f>IF(OR(A123="",F123=""),0,MAX(0,D123-G123))</f>
        <v>0</v>
      </c>
      <c r="N123" s="24">
        <f>IF(A123="","",IF(E123="","Em separação",IF(F123&lt;&gt;"",IF(H123="Em recurso","Em recurso",IF(M123&gt;0,"Paga com glosa","Paga")),IF(L123+Config!$B$7&lt;Config!$B$5,"Atrasada","Aguardando"))))</f>
        <v/>
      </c>
      <c r="O123" s="27">
        <f>IF(N123="Atrasada",Config!$B$5-L123,"")</f>
        <v/>
      </c>
      <c r="P123" s="41">
        <f>IF(OR(A123="",B123=""),"",A123&amp;"|"&amp;TEXT(B123,"yyyy-mm"))</f>
        <v/>
      </c>
      <c r="Q123" s="25">
        <f>IF(P123="","",IF(COUNTIF(Guias!$K$5:$K$1504,P123)=0,"",SUMIFS(Guias!$G$5:$G$1504,Guias!$K$5:$K$1504,P123)))</f>
        <v/>
      </c>
      <c r="R123" s="25">
        <f>IF(Q123="","",D123-Q123)</f>
        <v/>
      </c>
      <c r="S123" s="42">
        <f>IF(OR(N123="Atrasada",N123="Aguardando"),IF(N123="Atrasada",100000+O123,0)+D123/1000000+ROW()/100000000,0)</f>
        <v>0</v>
      </c>
      <c r="T123" s="42">
        <f>IF(AND(F123&lt;&gt;"",E123&lt;&gt;""),F123-E123,"")</f>
        <v/>
      </c>
    </row>
    <row r="124">
      <c r="A124" s="33" t="n"/>
      <c r="B124" s="43" t="n"/>
      <c r="C124" s="35" t="n"/>
      <c r="D124" s="40" t="n"/>
      <c r="E124" s="39" t="n"/>
      <c r="F124" s="39" t="n"/>
      <c r="G124" s="40" t="n"/>
      <c r="H124" s="35" t="n"/>
      <c r="I124" s="40" t="n"/>
      <c r="J124" s="39" t="n"/>
      <c r="K124" s="27">
        <f>IF(A124="","",IFERROR(INDEX(Config!$B$10:$B$15,MATCH(A124,Config!$A$10:$A$15,0)),""))</f>
        <v/>
      </c>
      <c r="L124" s="31">
        <f>IF(OR(A124="",E124="",K124=""),"",E124+K124)</f>
        <v/>
      </c>
      <c r="M124" s="25">
        <f>IF(OR(A124="",F124=""),0,MAX(0,D124-G124))</f>
        <v>0</v>
      </c>
      <c r="N124" s="24">
        <f>IF(A124="","",IF(E124="","Em separação",IF(F124&lt;&gt;"",IF(H124="Em recurso","Em recurso",IF(M124&gt;0,"Paga com glosa","Paga")),IF(L124+Config!$B$7&lt;Config!$B$5,"Atrasada","Aguardando"))))</f>
        <v/>
      </c>
      <c r="O124" s="27">
        <f>IF(N124="Atrasada",Config!$B$5-L124,"")</f>
        <v/>
      </c>
      <c r="P124" s="41">
        <f>IF(OR(A124="",B124=""),"",A124&amp;"|"&amp;TEXT(B124,"yyyy-mm"))</f>
        <v/>
      </c>
      <c r="Q124" s="25">
        <f>IF(P124="","",IF(COUNTIF(Guias!$K$5:$K$1504,P124)=0,"",SUMIFS(Guias!$G$5:$G$1504,Guias!$K$5:$K$1504,P124)))</f>
        <v/>
      </c>
      <c r="R124" s="25">
        <f>IF(Q124="","",D124-Q124)</f>
        <v/>
      </c>
      <c r="S124" s="42">
        <f>IF(OR(N124="Atrasada",N124="Aguardando"),IF(N124="Atrasada",100000+O124,0)+D124/1000000+ROW()/100000000,0)</f>
        <v>0</v>
      </c>
      <c r="T124" s="42">
        <f>IF(AND(F124&lt;&gt;"",E124&lt;&gt;""),F124-E124,"")</f>
        <v/>
      </c>
    </row>
    <row r="125">
      <c r="A125" s="33" t="n"/>
      <c r="B125" s="43" t="n"/>
      <c r="C125" s="35" t="n"/>
      <c r="D125" s="40" t="n"/>
      <c r="E125" s="39" t="n"/>
      <c r="F125" s="39" t="n"/>
      <c r="G125" s="40" t="n"/>
      <c r="H125" s="35" t="n"/>
      <c r="I125" s="40" t="n"/>
      <c r="J125" s="39" t="n"/>
      <c r="K125" s="27">
        <f>IF(A125="","",IFERROR(INDEX(Config!$B$10:$B$15,MATCH(A125,Config!$A$10:$A$15,0)),""))</f>
        <v/>
      </c>
      <c r="L125" s="31">
        <f>IF(OR(A125="",E125="",K125=""),"",E125+K125)</f>
        <v/>
      </c>
      <c r="M125" s="25">
        <f>IF(OR(A125="",F125=""),0,MAX(0,D125-G125))</f>
        <v>0</v>
      </c>
      <c r="N125" s="24">
        <f>IF(A125="","",IF(E125="","Em separação",IF(F125&lt;&gt;"",IF(H125="Em recurso","Em recurso",IF(M125&gt;0,"Paga com glosa","Paga")),IF(L125+Config!$B$7&lt;Config!$B$5,"Atrasada","Aguardando"))))</f>
        <v/>
      </c>
      <c r="O125" s="27">
        <f>IF(N125="Atrasada",Config!$B$5-L125,"")</f>
        <v/>
      </c>
      <c r="P125" s="41">
        <f>IF(OR(A125="",B125=""),"",A125&amp;"|"&amp;TEXT(B125,"yyyy-mm"))</f>
        <v/>
      </c>
      <c r="Q125" s="25">
        <f>IF(P125="","",IF(COUNTIF(Guias!$K$5:$K$1504,P125)=0,"",SUMIFS(Guias!$G$5:$G$1504,Guias!$K$5:$K$1504,P125)))</f>
        <v/>
      </c>
      <c r="R125" s="25">
        <f>IF(Q125="","",D125-Q125)</f>
        <v/>
      </c>
      <c r="S125" s="42">
        <f>IF(OR(N125="Atrasada",N125="Aguardando"),IF(N125="Atrasada",100000+O125,0)+D125/1000000+ROW()/100000000,0)</f>
        <v>0</v>
      </c>
      <c r="T125" s="42">
        <f>IF(AND(F125&lt;&gt;"",E125&lt;&gt;""),F125-E125,"")</f>
        <v/>
      </c>
    </row>
    <row r="126">
      <c r="A126" s="33" t="n"/>
      <c r="B126" s="43" t="n"/>
      <c r="C126" s="35" t="n"/>
      <c r="D126" s="40" t="n"/>
      <c r="E126" s="39" t="n"/>
      <c r="F126" s="39" t="n"/>
      <c r="G126" s="40" t="n"/>
      <c r="H126" s="35" t="n"/>
      <c r="I126" s="40" t="n"/>
      <c r="J126" s="39" t="n"/>
      <c r="K126" s="27">
        <f>IF(A126="","",IFERROR(INDEX(Config!$B$10:$B$15,MATCH(A126,Config!$A$10:$A$15,0)),""))</f>
        <v/>
      </c>
      <c r="L126" s="31">
        <f>IF(OR(A126="",E126="",K126=""),"",E126+K126)</f>
        <v/>
      </c>
      <c r="M126" s="25">
        <f>IF(OR(A126="",F126=""),0,MAX(0,D126-G126))</f>
        <v>0</v>
      </c>
      <c r="N126" s="24">
        <f>IF(A126="","",IF(E126="","Em separação",IF(F126&lt;&gt;"",IF(H126="Em recurso","Em recurso",IF(M126&gt;0,"Paga com glosa","Paga")),IF(L126+Config!$B$7&lt;Config!$B$5,"Atrasada","Aguardando"))))</f>
        <v/>
      </c>
      <c r="O126" s="27">
        <f>IF(N126="Atrasada",Config!$B$5-L126,"")</f>
        <v/>
      </c>
      <c r="P126" s="41">
        <f>IF(OR(A126="",B126=""),"",A126&amp;"|"&amp;TEXT(B126,"yyyy-mm"))</f>
        <v/>
      </c>
      <c r="Q126" s="25">
        <f>IF(P126="","",IF(COUNTIF(Guias!$K$5:$K$1504,P126)=0,"",SUMIFS(Guias!$G$5:$G$1504,Guias!$K$5:$K$1504,P126)))</f>
        <v/>
      </c>
      <c r="R126" s="25">
        <f>IF(Q126="","",D126-Q126)</f>
        <v/>
      </c>
      <c r="S126" s="42">
        <f>IF(OR(N126="Atrasada",N126="Aguardando"),IF(N126="Atrasada",100000+O126,0)+D126/1000000+ROW()/100000000,0)</f>
        <v>0</v>
      </c>
      <c r="T126" s="42">
        <f>IF(AND(F126&lt;&gt;"",E126&lt;&gt;""),F126-E126,"")</f>
        <v/>
      </c>
    </row>
    <row r="127">
      <c r="A127" s="33" t="n"/>
      <c r="B127" s="43" t="n"/>
      <c r="C127" s="35" t="n"/>
      <c r="D127" s="40" t="n"/>
      <c r="E127" s="39" t="n"/>
      <c r="F127" s="39" t="n"/>
      <c r="G127" s="40" t="n"/>
      <c r="H127" s="35" t="n"/>
      <c r="I127" s="40" t="n"/>
      <c r="J127" s="39" t="n"/>
      <c r="K127" s="27">
        <f>IF(A127="","",IFERROR(INDEX(Config!$B$10:$B$15,MATCH(A127,Config!$A$10:$A$15,0)),""))</f>
        <v/>
      </c>
      <c r="L127" s="31">
        <f>IF(OR(A127="",E127="",K127=""),"",E127+K127)</f>
        <v/>
      </c>
      <c r="M127" s="25">
        <f>IF(OR(A127="",F127=""),0,MAX(0,D127-G127))</f>
        <v>0</v>
      </c>
      <c r="N127" s="24">
        <f>IF(A127="","",IF(E127="","Em separação",IF(F127&lt;&gt;"",IF(H127="Em recurso","Em recurso",IF(M127&gt;0,"Paga com glosa","Paga")),IF(L127+Config!$B$7&lt;Config!$B$5,"Atrasada","Aguardando"))))</f>
        <v/>
      </c>
      <c r="O127" s="27">
        <f>IF(N127="Atrasada",Config!$B$5-L127,"")</f>
        <v/>
      </c>
      <c r="P127" s="41">
        <f>IF(OR(A127="",B127=""),"",A127&amp;"|"&amp;TEXT(B127,"yyyy-mm"))</f>
        <v/>
      </c>
      <c r="Q127" s="25">
        <f>IF(P127="","",IF(COUNTIF(Guias!$K$5:$K$1504,P127)=0,"",SUMIFS(Guias!$G$5:$G$1504,Guias!$K$5:$K$1504,P127)))</f>
        <v/>
      </c>
      <c r="R127" s="25">
        <f>IF(Q127="","",D127-Q127)</f>
        <v/>
      </c>
      <c r="S127" s="42">
        <f>IF(OR(N127="Atrasada",N127="Aguardando"),IF(N127="Atrasada",100000+O127,0)+D127/1000000+ROW()/100000000,0)</f>
        <v>0</v>
      </c>
      <c r="T127" s="42">
        <f>IF(AND(F127&lt;&gt;"",E127&lt;&gt;""),F127-E127,"")</f>
        <v/>
      </c>
    </row>
    <row r="128">
      <c r="A128" s="33" t="n"/>
      <c r="B128" s="43" t="n"/>
      <c r="C128" s="35" t="n"/>
      <c r="D128" s="40" t="n"/>
      <c r="E128" s="39" t="n"/>
      <c r="F128" s="39" t="n"/>
      <c r="G128" s="40" t="n"/>
      <c r="H128" s="35" t="n"/>
      <c r="I128" s="40" t="n"/>
      <c r="J128" s="39" t="n"/>
      <c r="K128" s="27">
        <f>IF(A128="","",IFERROR(INDEX(Config!$B$10:$B$15,MATCH(A128,Config!$A$10:$A$15,0)),""))</f>
        <v/>
      </c>
      <c r="L128" s="31">
        <f>IF(OR(A128="",E128="",K128=""),"",E128+K128)</f>
        <v/>
      </c>
      <c r="M128" s="25">
        <f>IF(OR(A128="",F128=""),0,MAX(0,D128-G128))</f>
        <v>0</v>
      </c>
      <c r="N128" s="24">
        <f>IF(A128="","",IF(E128="","Em separação",IF(F128&lt;&gt;"",IF(H128="Em recurso","Em recurso",IF(M128&gt;0,"Paga com glosa","Paga")),IF(L128+Config!$B$7&lt;Config!$B$5,"Atrasada","Aguardando"))))</f>
        <v/>
      </c>
      <c r="O128" s="27">
        <f>IF(N128="Atrasada",Config!$B$5-L128,"")</f>
        <v/>
      </c>
      <c r="P128" s="41">
        <f>IF(OR(A128="",B128=""),"",A128&amp;"|"&amp;TEXT(B128,"yyyy-mm"))</f>
        <v/>
      </c>
      <c r="Q128" s="25">
        <f>IF(P128="","",IF(COUNTIF(Guias!$K$5:$K$1504,P128)=0,"",SUMIFS(Guias!$G$5:$G$1504,Guias!$K$5:$K$1504,P128)))</f>
        <v/>
      </c>
      <c r="R128" s="25">
        <f>IF(Q128="","",D128-Q128)</f>
        <v/>
      </c>
      <c r="S128" s="42">
        <f>IF(OR(N128="Atrasada",N128="Aguardando"),IF(N128="Atrasada",100000+O128,0)+D128/1000000+ROW()/100000000,0)</f>
        <v>0</v>
      </c>
      <c r="T128" s="42">
        <f>IF(AND(F128&lt;&gt;"",E128&lt;&gt;""),F128-E128,"")</f>
        <v/>
      </c>
    </row>
    <row r="129">
      <c r="A129" s="33" t="n"/>
      <c r="B129" s="43" t="n"/>
      <c r="C129" s="35" t="n"/>
      <c r="D129" s="40" t="n"/>
      <c r="E129" s="39" t="n"/>
      <c r="F129" s="39" t="n"/>
      <c r="G129" s="40" t="n"/>
      <c r="H129" s="35" t="n"/>
      <c r="I129" s="40" t="n"/>
      <c r="J129" s="39" t="n"/>
      <c r="K129" s="27">
        <f>IF(A129="","",IFERROR(INDEX(Config!$B$10:$B$15,MATCH(A129,Config!$A$10:$A$15,0)),""))</f>
        <v/>
      </c>
      <c r="L129" s="31">
        <f>IF(OR(A129="",E129="",K129=""),"",E129+K129)</f>
        <v/>
      </c>
      <c r="M129" s="25">
        <f>IF(OR(A129="",F129=""),0,MAX(0,D129-G129))</f>
        <v>0</v>
      </c>
      <c r="N129" s="24">
        <f>IF(A129="","",IF(E129="","Em separação",IF(F129&lt;&gt;"",IF(H129="Em recurso","Em recurso",IF(M129&gt;0,"Paga com glosa","Paga")),IF(L129+Config!$B$7&lt;Config!$B$5,"Atrasada","Aguardando"))))</f>
        <v/>
      </c>
      <c r="O129" s="27">
        <f>IF(N129="Atrasada",Config!$B$5-L129,"")</f>
        <v/>
      </c>
      <c r="P129" s="41">
        <f>IF(OR(A129="",B129=""),"",A129&amp;"|"&amp;TEXT(B129,"yyyy-mm"))</f>
        <v/>
      </c>
      <c r="Q129" s="25">
        <f>IF(P129="","",IF(COUNTIF(Guias!$K$5:$K$1504,P129)=0,"",SUMIFS(Guias!$G$5:$G$1504,Guias!$K$5:$K$1504,P129)))</f>
        <v/>
      </c>
      <c r="R129" s="25">
        <f>IF(Q129="","",D129-Q129)</f>
        <v/>
      </c>
      <c r="S129" s="42">
        <f>IF(OR(N129="Atrasada",N129="Aguardando"),IF(N129="Atrasada",100000+O129,0)+D129/1000000+ROW()/100000000,0)</f>
        <v>0</v>
      </c>
      <c r="T129" s="42">
        <f>IF(AND(F129&lt;&gt;"",E129&lt;&gt;""),F129-E129,"")</f>
        <v/>
      </c>
    </row>
    <row r="130">
      <c r="A130" s="33" t="n"/>
      <c r="B130" s="43" t="n"/>
      <c r="C130" s="35" t="n"/>
      <c r="D130" s="40" t="n"/>
      <c r="E130" s="39" t="n"/>
      <c r="F130" s="39" t="n"/>
      <c r="G130" s="40" t="n"/>
      <c r="H130" s="35" t="n"/>
      <c r="I130" s="40" t="n"/>
      <c r="J130" s="39" t="n"/>
      <c r="K130" s="27">
        <f>IF(A130="","",IFERROR(INDEX(Config!$B$10:$B$15,MATCH(A130,Config!$A$10:$A$15,0)),""))</f>
        <v/>
      </c>
      <c r="L130" s="31">
        <f>IF(OR(A130="",E130="",K130=""),"",E130+K130)</f>
        <v/>
      </c>
      <c r="M130" s="25">
        <f>IF(OR(A130="",F130=""),0,MAX(0,D130-G130))</f>
        <v>0</v>
      </c>
      <c r="N130" s="24">
        <f>IF(A130="","",IF(E130="","Em separação",IF(F130&lt;&gt;"",IF(H130="Em recurso","Em recurso",IF(M130&gt;0,"Paga com glosa","Paga")),IF(L130+Config!$B$7&lt;Config!$B$5,"Atrasada","Aguardando"))))</f>
        <v/>
      </c>
      <c r="O130" s="27">
        <f>IF(N130="Atrasada",Config!$B$5-L130,"")</f>
        <v/>
      </c>
      <c r="P130" s="41">
        <f>IF(OR(A130="",B130=""),"",A130&amp;"|"&amp;TEXT(B130,"yyyy-mm"))</f>
        <v/>
      </c>
      <c r="Q130" s="25">
        <f>IF(P130="","",IF(COUNTIF(Guias!$K$5:$K$1504,P130)=0,"",SUMIFS(Guias!$G$5:$G$1504,Guias!$K$5:$K$1504,P130)))</f>
        <v/>
      </c>
      <c r="R130" s="25">
        <f>IF(Q130="","",D130-Q130)</f>
        <v/>
      </c>
      <c r="S130" s="42">
        <f>IF(OR(N130="Atrasada",N130="Aguardando"),IF(N130="Atrasada",100000+O130,0)+D130/1000000+ROW()/100000000,0)</f>
        <v>0</v>
      </c>
      <c r="T130" s="42">
        <f>IF(AND(F130&lt;&gt;"",E130&lt;&gt;""),F130-E130,"")</f>
        <v/>
      </c>
    </row>
    <row r="131">
      <c r="A131" s="33" t="n"/>
      <c r="B131" s="43" t="n"/>
      <c r="C131" s="35" t="n"/>
      <c r="D131" s="40" t="n"/>
      <c r="E131" s="39" t="n"/>
      <c r="F131" s="39" t="n"/>
      <c r="G131" s="40" t="n"/>
      <c r="H131" s="35" t="n"/>
      <c r="I131" s="40" t="n"/>
      <c r="J131" s="39" t="n"/>
      <c r="K131" s="27">
        <f>IF(A131="","",IFERROR(INDEX(Config!$B$10:$B$15,MATCH(A131,Config!$A$10:$A$15,0)),""))</f>
        <v/>
      </c>
      <c r="L131" s="31">
        <f>IF(OR(A131="",E131="",K131=""),"",E131+K131)</f>
        <v/>
      </c>
      <c r="M131" s="25">
        <f>IF(OR(A131="",F131=""),0,MAX(0,D131-G131))</f>
        <v>0</v>
      </c>
      <c r="N131" s="24">
        <f>IF(A131="","",IF(E131="","Em separação",IF(F131&lt;&gt;"",IF(H131="Em recurso","Em recurso",IF(M131&gt;0,"Paga com glosa","Paga")),IF(L131+Config!$B$7&lt;Config!$B$5,"Atrasada","Aguardando"))))</f>
        <v/>
      </c>
      <c r="O131" s="27">
        <f>IF(N131="Atrasada",Config!$B$5-L131,"")</f>
        <v/>
      </c>
      <c r="P131" s="41">
        <f>IF(OR(A131="",B131=""),"",A131&amp;"|"&amp;TEXT(B131,"yyyy-mm"))</f>
        <v/>
      </c>
      <c r="Q131" s="25">
        <f>IF(P131="","",IF(COUNTIF(Guias!$K$5:$K$1504,P131)=0,"",SUMIFS(Guias!$G$5:$G$1504,Guias!$K$5:$K$1504,P131)))</f>
        <v/>
      </c>
      <c r="R131" s="25">
        <f>IF(Q131="","",D131-Q131)</f>
        <v/>
      </c>
      <c r="S131" s="42">
        <f>IF(OR(N131="Atrasada",N131="Aguardando"),IF(N131="Atrasada",100000+O131,0)+D131/1000000+ROW()/100000000,0)</f>
        <v>0</v>
      </c>
      <c r="T131" s="42">
        <f>IF(AND(F131&lt;&gt;"",E131&lt;&gt;""),F131-E131,"")</f>
        <v/>
      </c>
    </row>
    <row r="132">
      <c r="A132" s="33" t="n"/>
      <c r="B132" s="43" t="n"/>
      <c r="C132" s="35" t="n"/>
      <c r="D132" s="40" t="n"/>
      <c r="E132" s="39" t="n"/>
      <c r="F132" s="39" t="n"/>
      <c r="G132" s="40" t="n"/>
      <c r="H132" s="35" t="n"/>
      <c r="I132" s="40" t="n"/>
      <c r="J132" s="39" t="n"/>
      <c r="K132" s="27">
        <f>IF(A132="","",IFERROR(INDEX(Config!$B$10:$B$15,MATCH(A132,Config!$A$10:$A$15,0)),""))</f>
        <v/>
      </c>
      <c r="L132" s="31">
        <f>IF(OR(A132="",E132="",K132=""),"",E132+K132)</f>
        <v/>
      </c>
      <c r="M132" s="25">
        <f>IF(OR(A132="",F132=""),0,MAX(0,D132-G132))</f>
        <v>0</v>
      </c>
      <c r="N132" s="24">
        <f>IF(A132="","",IF(E132="","Em separação",IF(F132&lt;&gt;"",IF(H132="Em recurso","Em recurso",IF(M132&gt;0,"Paga com glosa","Paga")),IF(L132+Config!$B$7&lt;Config!$B$5,"Atrasada","Aguardando"))))</f>
        <v/>
      </c>
      <c r="O132" s="27">
        <f>IF(N132="Atrasada",Config!$B$5-L132,"")</f>
        <v/>
      </c>
      <c r="P132" s="41">
        <f>IF(OR(A132="",B132=""),"",A132&amp;"|"&amp;TEXT(B132,"yyyy-mm"))</f>
        <v/>
      </c>
      <c r="Q132" s="25">
        <f>IF(P132="","",IF(COUNTIF(Guias!$K$5:$K$1504,P132)=0,"",SUMIFS(Guias!$G$5:$G$1504,Guias!$K$5:$K$1504,P132)))</f>
        <v/>
      </c>
      <c r="R132" s="25">
        <f>IF(Q132="","",D132-Q132)</f>
        <v/>
      </c>
      <c r="S132" s="42">
        <f>IF(OR(N132="Atrasada",N132="Aguardando"),IF(N132="Atrasada",100000+O132,0)+D132/1000000+ROW()/100000000,0)</f>
        <v>0</v>
      </c>
      <c r="T132" s="42">
        <f>IF(AND(F132&lt;&gt;"",E132&lt;&gt;""),F132-E132,"")</f>
        <v/>
      </c>
    </row>
    <row r="133">
      <c r="A133" s="33" t="n"/>
      <c r="B133" s="43" t="n"/>
      <c r="C133" s="35" t="n"/>
      <c r="D133" s="40" t="n"/>
      <c r="E133" s="39" t="n"/>
      <c r="F133" s="39" t="n"/>
      <c r="G133" s="40" t="n"/>
      <c r="H133" s="35" t="n"/>
      <c r="I133" s="40" t="n"/>
      <c r="J133" s="39" t="n"/>
      <c r="K133" s="27">
        <f>IF(A133="","",IFERROR(INDEX(Config!$B$10:$B$15,MATCH(A133,Config!$A$10:$A$15,0)),""))</f>
        <v/>
      </c>
      <c r="L133" s="31">
        <f>IF(OR(A133="",E133="",K133=""),"",E133+K133)</f>
        <v/>
      </c>
      <c r="M133" s="25">
        <f>IF(OR(A133="",F133=""),0,MAX(0,D133-G133))</f>
        <v>0</v>
      </c>
      <c r="N133" s="24">
        <f>IF(A133="","",IF(E133="","Em separação",IF(F133&lt;&gt;"",IF(H133="Em recurso","Em recurso",IF(M133&gt;0,"Paga com glosa","Paga")),IF(L133+Config!$B$7&lt;Config!$B$5,"Atrasada","Aguardando"))))</f>
        <v/>
      </c>
      <c r="O133" s="27">
        <f>IF(N133="Atrasada",Config!$B$5-L133,"")</f>
        <v/>
      </c>
      <c r="P133" s="41">
        <f>IF(OR(A133="",B133=""),"",A133&amp;"|"&amp;TEXT(B133,"yyyy-mm"))</f>
        <v/>
      </c>
      <c r="Q133" s="25">
        <f>IF(P133="","",IF(COUNTIF(Guias!$K$5:$K$1504,P133)=0,"",SUMIFS(Guias!$G$5:$G$1504,Guias!$K$5:$K$1504,P133)))</f>
        <v/>
      </c>
      <c r="R133" s="25">
        <f>IF(Q133="","",D133-Q133)</f>
        <v/>
      </c>
      <c r="S133" s="42">
        <f>IF(OR(N133="Atrasada",N133="Aguardando"),IF(N133="Atrasada",100000+O133,0)+D133/1000000+ROW()/100000000,0)</f>
        <v>0</v>
      </c>
      <c r="T133" s="42">
        <f>IF(AND(F133&lt;&gt;"",E133&lt;&gt;""),F133-E133,"")</f>
        <v/>
      </c>
    </row>
    <row r="134">
      <c r="A134" s="33" t="n"/>
      <c r="B134" s="43" t="n"/>
      <c r="C134" s="35" t="n"/>
      <c r="D134" s="40" t="n"/>
      <c r="E134" s="39" t="n"/>
      <c r="F134" s="39" t="n"/>
      <c r="G134" s="40" t="n"/>
      <c r="H134" s="35" t="n"/>
      <c r="I134" s="40" t="n"/>
      <c r="J134" s="39" t="n"/>
      <c r="K134" s="27">
        <f>IF(A134="","",IFERROR(INDEX(Config!$B$10:$B$15,MATCH(A134,Config!$A$10:$A$15,0)),""))</f>
        <v/>
      </c>
      <c r="L134" s="31">
        <f>IF(OR(A134="",E134="",K134=""),"",E134+K134)</f>
        <v/>
      </c>
      <c r="M134" s="25">
        <f>IF(OR(A134="",F134=""),0,MAX(0,D134-G134))</f>
        <v>0</v>
      </c>
      <c r="N134" s="24">
        <f>IF(A134="","",IF(E134="","Em separação",IF(F134&lt;&gt;"",IF(H134="Em recurso","Em recurso",IF(M134&gt;0,"Paga com glosa","Paga")),IF(L134+Config!$B$7&lt;Config!$B$5,"Atrasada","Aguardando"))))</f>
        <v/>
      </c>
      <c r="O134" s="27">
        <f>IF(N134="Atrasada",Config!$B$5-L134,"")</f>
        <v/>
      </c>
      <c r="P134" s="41">
        <f>IF(OR(A134="",B134=""),"",A134&amp;"|"&amp;TEXT(B134,"yyyy-mm"))</f>
        <v/>
      </c>
      <c r="Q134" s="25">
        <f>IF(P134="","",IF(COUNTIF(Guias!$K$5:$K$1504,P134)=0,"",SUMIFS(Guias!$G$5:$G$1504,Guias!$K$5:$K$1504,P134)))</f>
        <v/>
      </c>
      <c r="R134" s="25">
        <f>IF(Q134="","",D134-Q134)</f>
        <v/>
      </c>
      <c r="S134" s="42">
        <f>IF(OR(N134="Atrasada",N134="Aguardando"),IF(N134="Atrasada",100000+O134,0)+D134/1000000+ROW()/100000000,0)</f>
        <v>0</v>
      </c>
      <c r="T134" s="42">
        <f>IF(AND(F134&lt;&gt;"",E134&lt;&gt;""),F134-E134,"")</f>
        <v/>
      </c>
    </row>
    <row r="135">
      <c r="A135" s="33" t="n"/>
      <c r="B135" s="43" t="n"/>
      <c r="C135" s="35" t="n"/>
      <c r="D135" s="40" t="n"/>
      <c r="E135" s="39" t="n"/>
      <c r="F135" s="39" t="n"/>
      <c r="G135" s="40" t="n"/>
      <c r="H135" s="35" t="n"/>
      <c r="I135" s="40" t="n"/>
      <c r="J135" s="39" t="n"/>
      <c r="K135" s="27">
        <f>IF(A135="","",IFERROR(INDEX(Config!$B$10:$B$15,MATCH(A135,Config!$A$10:$A$15,0)),""))</f>
        <v/>
      </c>
      <c r="L135" s="31">
        <f>IF(OR(A135="",E135="",K135=""),"",E135+K135)</f>
        <v/>
      </c>
      <c r="M135" s="25">
        <f>IF(OR(A135="",F135=""),0,MAX(0,D135-G135))</f>
        <v>0</v>
      </c>
      <c r="N135" s="24">
        <f>IF(A135="","",IF(E135="","Em separação",IF(F135&lt;&gt;"",IF(H135="Em recurso","Em recurso",IF(M135&gt;0,"Paga com glosa","Paga")),IF(L135+Config!$B$7&lt;Config!$B$5,"Atrasada","Aguardando"))))</f>
        <v/>
      </c>
      <c r="O135" s="27">
        <f>IF(N135="Atrasada",Config!$B$5-L135,"")</f>
        <v/>
      </c>
      <c r="P135" s="41">
        <f>IF(OR(A135="",B135=""),"",A135&amp;"|"&amp;TEXT(B135,"yyyy-mm"))</f>
        <v/>
      </c>
      <c r="Q135" s="25">
        <f>IF(P135="","",IF(COUNTIF(Guias!$K$5:$K$1504,P135)=0,"",SUMIFS(Guias!$G$5:$G$1504,Guias!$K$5:$K$1504,P135)))</f>
        <v/>
      </c>
      <c r="R135" s="25">
        <f>IF(Q135="","",D135-Q135)</f>
        <v/>
      </c>
      <c r="S135" s="42">
        <f>IF(OR(N135="Atrasada",N135="Aguardando"),IF(N135="Atrasada",100000+O135,0)+D135/1000000+ROW()/100000000,0)</f>
        <v>0</v>
      </c>
      <c r="T135" s="42">
        <f>IF(AND(F135&lt;&gt;"",E135&lt;&gt;""),F135-E135,"")</f>
        <v/>
      </c>
    </row>
    <row r="136">
      <c r="A136" s="33" t="n"/>
      <c r="B136" s="43" t="n"/>
      <c r="C136" s="35" t="n"/>
      <c r="D136" s="40" t="n"/>
      <c r="E136" s="39" t="n"/>
      <c r="F136" s="39" t="n"/>
      <c r="G136" s="40" t="n"/>
      <c r="H136" s="35" t="n"/>
      <c r="I136" s="40" t="n"/>
      <c r="J136" s="39" t="n"/>
      <c r="K136" s="27">
        <f>IF(A136="","",IFERROR(INDEX(Config!$B$10:$B$15,MATCH(A136,Config!$A$10:$A$15,0)),""))</f>
        <v/>
      </c>
      <c r="L136" s="31">
        <f>IF(OR(A136="",E136="",K136=""),"",E136+K136)</f>
        <v/>
      </c>
      <c r="M136" s="25">
        <f>IF(OR(A136="",F136=""),0,MAX(0,D136-G136))</f>
        <v>0</v>
      </c>
      <c r="N136" s="24">
        <f>IF(A136="","",IF(E136="","Em separação",IF(F136&lt;&gt;"",IF(H136="Em recurso","Em recurso",IF(M136&gt;0,"Paga com glosa","Paga")),IF(L136+Config!$B$7&lt;Config!$B$5,"Atrasada","Aguardando"))))</f>
        <v/>
      </c>
      <c r="O136" s="27">
        <f>IF(N136="Atrasada",Config!$B$5-L136,"")</f>
        <v/>
      </c>
      <c r="P136" s="41">
        <f>IF(OR(A136="",B136=""),"",A136&amp;"|"&amp;TEXT(B136,"yyyy-mm"))</f>
        <v/>
      </c>
      <c r="Q136" s="25">
        <f>IF(P136="","",IF(COUNTIF(Guias!$K$5:$K$1504,P136)=0,"",SUMIFS(Guias!$G$5:$G$1504,Guias!$K$5:$K$1504,P136)))</f>
        <v/>
      </c>
      <c r="R136" s="25">
        <f>IF(Q136="","",D136-Q136)</f>
        <v/>
      </c>
      <c r="S136" s="42">
        <f>IF(OR(N136="Atrasada",N136="Aguardando"),IF(N136="Atrasada",100000+O136,0)+D136/1000000+ROW()/100000000,0)</f>
        <v>0</v>
      </c>
      <c r="T136" s="42">
        <f>IF(AND(F136&lt;&gt;"",E136&lt;&gt;""),F136-E136,"")</f>
        <v/>
      </c>
    </row>
    <row r="137">
      <c r="A137" s="33" t="n"/>
      <c r="B137" s="43" t="n"/>
      <c r="C137" s="35" t="n"/>
      <c r="D137" s="40" t="n"/>
      <c r="E137" s="39" t="n"/>
      <c r="F137" s="39" t="n"/>
      <c r="G137" s="40" t="n"/>
      <c r="H137" s="35" t="n"/>
      <c r="I137" s="40" t="n"/>
      <c r="J137" s="39" t="n"/>
      <c r="K137" s="27">
        <f>IF(A137="","",IFERROR(INDEX(Config!$B$10:$B$15,MATCH(A137,Config!$A$10:$A$15,0)),""))</f>
        <v/>
      </c>
      <c r="L137" s="31">
        <f>IF(OR(A137="",E137="",K137=""),"",E137+K137)</f>
        <v/>
      </c>
      <c r="M137" s="25">
        <f>IF(OR(A137="",F137=""),0,MAX(0,D137-G137))</f>
        <v>0</v>
      </c>
      <c r="N137" s="24">
        <f>IF(A137="","",IF(E137="","Em separação",IF(F137&lt;&gt;"",IF(H137="Em recurso","Em recurso",IF(M137&gt;0,"Paga com glosa","Paga")),IF(L137+Config!$B$7&lt;Config!$B$5,"Atrasada","Aguardando"))))</f>
        <v/>
      </c>
      <c r="O137" s="27">
        <f>IF(N137="Atrasada",Config!$B$5-L137,"")</f>
        <v/>
      </c>
      <c r="P137" s="41">
        <f>IF(OR(A137="",B137=""),"",A137&amp;"|"&amp;TEXT(B137,"yyyy-mm"))</f>
        <v/>
      </c>
      <c r="Q137" s="25">
        <f>IF(P137="","",IF(COUNTIF(Guias!$K$5:$K$1504,P137)=0,"",SUMIFS(Guias!$G$5:$G$1504,Guias!$K$5:$K$1504,P137)))</f>
        <v/>
      </c>
      <c r="R137" s="25">
        <f>IF(Q137="","",D137-Q137)</f>
        <v/>
      </c>
      <c r="S137" s="42">
        <f>IF(OR(N137="Atrasada",N137="Aguardando"),IF(N137="Atrasada",100000+O137,0)+D137/1000000+ROW()/100000000,0)</f>
        <v>0</v>
      </c>
      <c r="T137" s="42">
        <f>IF(AND(F137&lt;&gt;"",E137&lt;&gt;""),F137-E137,"")</f>
        <v/>
      </c>
    </row>
    <row r="138">
      <c r="A138" s="33" t="n"/>
      <c r="B138" s="43" t="n"/>
      <c r="C138" s="35" t="n"/>
      <c r="D138" s="40" t="n"/>
      <c r="E138" s="39" t="n"/>
      <c r="F138" s="39" t="n"/>
      <c r="G138" s="40" t="n"/>
      <c r="H138" s="35" t="n"/>
      <c r="I138" s="40" t="n"/>
      <c r="J138" s="39" t="n"/>
      <c r="K138" s="27">
        <f>IF(A138="","",IFERROR(INDEX(Config!$B$10:$B$15,MATCH(A138,Config!$A$10:$A$15,0)),""))</f>
        <v/>
      </c>
      <c r="L138" s="31">
        <f>IF(OR(A138="",E138="",K138=""),"",E138+K138)</f>
        <v/>
      </c>
      <c r="M138" s="25">
        <f>IF(OR(A138="",F138=""),0,MAX(0,D138-G138))</f>
        <v>0</v>
      </c>
      <c r="N138" s="24">
        <f>IF(A138="","",IF(E138="","Em separação",IF(F138&lt;&gt;"",IF(H138="Em recurso","Em recurso",IF(M138&gt;0,"Paga com glosa","Paga")),IF(L138+Config!$B$7&lt;Config!$B$5,"Atrasada","Aguardando"))))</f>
        <v/>
      </c>
      <c r="O138" s="27">
        <f>IF(N138="Atrasada",Config!$B$5-L138,"")</f>
        <v/>
      </c>
      <c r="P138" s="41">
        <f>IF(OR(A138="",B138=""),"",A138&amp;"|"&amp;TEXT(B138,"yyyy-mm"))</f>
        <v/>
      </c>
      <c r="Q138" s="25">
        <f>IF(P138="","",IF(COUNTIF(Guias!$K$5:$K$1504,P138)=0,"",SUMIFS(Guias!$G$5:$G$1504,Guias!$K$5:$K$1504,P138)))</f>
        <v/>
      </c>
      <c r="R138" s="25">
        <f>IF(Q138="","",D138-Q138)</f>
        <v/>
      </c>
      <c r="S138" s="42">
        <f>IF(OR(N138="Atrasada",N138="Aguardando"),IF(N138="Atrasada",100000+O138,0)+D138/1000000+ROW()/100000000,0)</f>
        <v>0</v>
      </c>
      <c r="T138" s="42">
        <f>IF(AND(F138&lt;&gt;"",E138&lt;&gt;""),F138-E138,"")</f>
        <v/>
      </c>
    </row>
    <row r="139">
      <c r="A139" s="33" t="n"/>
      <c r="B139" s="43" t="n"/>
      <c r="C139" s="35" t="n"/>
      <c r="D139" s="40" t="n"/>
      <c r="E139" s="39" t="n"/>
      <c r="F139" s="39" t="n"/>
      <c r="G139" s="40" t="n"/>
      <c r="H139" s="35" t="n"/>
      <c r="I139" s="40" t="n"/>
      <c r="J139" s="39" t="n"/>
      <c r="K139" s="27">
        <f>IF(A139="","",IFERROR(INDEX(Config!$B$10:$B$15,MATCH(A139,Config!$A$10:$A$15,0)),""))</f>
        <v/>
      </c>
      <c r="L139" s="31">
        <f>IF(OR(A139="",E139="",K139=""),"",E139+K139)</f>
        <v/>
      </c>
      <c r="M139" s="25">
        <f>IF(OR(A139="",F139=""),0,MAX(0,D139-G139))</f>
        <v>0</v>
      </c>
      <c r="N139" s="24">
        <f>IF(A139="","",IF(E139="","Em separação",IF(F139&lt;&gt;"",IF(H139="Em recurso","Em recurso",IF(M139&gt;0,"Paga com glosa","Paga")),IF(L139+Config!$B$7&lt;Config!$B$5,"Atrasada","Aguardando"))))</f>
        <v/>
      </c>
      <c r="O139" s="27">
        <f>IF(N139="Atrasada",Config!$B$5-L139,"")</f>
        <v/>
      </c>
      <c r="P139" s="41">
        <f>IF(OR(A139="",B139=""),"",A139&amp;"|"&amp;TEXT(B139,"yyyy-mm"))</f>
        <v/>
      </c>
      <c r="Q139" s="25">
        <f>IF(P139="","",IF(COUNTIF(Guias!$K$5:$K$1504,P139)=0,"",SUMIFS(Guias!$G$5:$G$1504,Guias!$K$5:$K$1504,P139)))</f>
        <v/>
      </c>
      <c r="R139" s="25">
        <f>IF(Q139="","",D139-Q139)</f>
        <v/>
      </c>
      <c r="S139" s="42">
        <f>IF(OR(N139="Atrasada",N139="Aguardando"),IF(N139="Atrasada",100000+O139,0)+D139/1000000+ROW()/100000000,0)</f>
        <v>0</v>
      </c>
      <c r="T139" s="42">
        <f>IF(AND(F139&lt;&gt;"",E139&lt;&gt;""),F139-E139,"")</f>
        <v/>
      </c>
    </row>
    <row r="140">
      <c r="A140" s="33" t="n"/>
      <c r="B140" s="43" t="n"/>
      <c r="C140" s="35" t="n"/>
      <c r="D140" s="40" t="n"/>
      <c r="E140" s="39" t="n"/>
      <c r="F140" s="39" t="n"/>
      <c r="G140" s="40" t="n"/>
      <c r="H140" s="35" t="n"/>
      <c r="I140" s="40" t="n"/>
      <c r="J140" s="39" t="n"/>
      <c r="K140" s="27">
        <f>IF(A140="","",IFERROR(INDEX(Config!$B$10:$B$15,MATCH(A140,Config!$A$10:$A$15,0)),""))</f>
        <v/>
      </c>
      <c r="L140" s="31">
        <f>IF(OR(A140="",E140="",K140=""),"",E140+K140)</f>
        <v/>
      </c>
      <c r="M140" s="25">
        <f>IF(OR(A140="",F140=""),0,MAX(0,D140-G140))</f>
        <v>0</v>
      </c>
      <c r="N140" s="24">
        <f>IF(A140="","",IF(E140="","Em separação",IF(F140&lt;&gt;"",IF(H140="Em recurso","Em recurso",IF(M140&gt;0,"Paga com glosa","Paga")),IF(L140+Config!$B$7&lt;Config!$B$5,"Atrasada","Aguardando"))))</f>
        <v/>
      </c>
      <c r="O140" s="27">
        <f>IF(N140="Atrasada",Config!$B$5-L140,"")</f>
        <v/>
      </c>
      <c r="P140" s="41">
        <f>IF(OR(A140="",B140=""),"",A140&amp;"|"&amp;TEXT(B140,"yyyy-mm"))</f>
        <v/>
      </c>
      <c r="Q140" s="25">
        <f>IF(P140="","",IF(COUNTIF(Guias!$K$5:$K$1504,P140)=0,"",SUMIFS(Guias!$G$5:$G$1504,Guias!$K$5:$K$1504,P140)))</f>
        <v/>
      </c>
      <c r="R140" s="25">
        <f>IF(Q140="","",D140-Q140)</f>
        <v/>
      </c>
      <c r="S140" s="42">
        <f>IF(OR(N140="Atrasada",N140="Aguardando"),IF(N140="Atrasada",100000+O140,0)+D140/1000000+ROW()/100000000,0)</f>
        <v>0</v>
      </c>
      <c r="T140" s="42">
        <f>IF(AND(F140&lt;&gt;"",E140&lt;&gt;""),F140-E140,"")</f>
        <v/>
      </c>
    </row>
    <row r="141">
      <c r="A141" s="33" t="n"/>
      <c r="B141" s="43" t="n"/>
      <c r="C141" s="35" t="n"/>
      <c r="D141" s="40" t="n"/>
      <c r="E141" s="39" t="n"/>
      <c r="F141" s="39" t="n"/>
      <c r="G141" s="40" t="n"/>
      <c r="H141" s="35" t="n"/>
      <c r="I141" s="40" t="n"/>
      <c r="J141" s="39" t="n"/>
      <c r="K141" s="27">
        <f>IF(A141="","",IFERROR(INDEX(Config!$B$10:$B$15,MATCH(A141,Config!$A$10:$A$15,0)),""))</f>
        <v/>
      </c>
      <c r="L141" s="31">
        <f>IF(OR(A141="",E141="",K141=""),"",E141+K141)</f>
        <v/>
      </c>
      <c r="M141" s="25">
        <f>IF(OR(A141="",F141=""),0,MAX(0,D141-G141))</f>
        <v>0</v>
      </c>
      <c r="N141" s="24">
        <f>IF(A141="","",IF(E141="","Em separação",IF(F141&lt;&gt;"",IF(H141="Em recurso","Em recurso",IF(M141&gt;0,"Paga com glosa","Paga")),IF(L141+Config!$B$7&lt;Config!$B$5,"Atrasada","Aguardando"))))</f>
        <v/>
      </c>
      <c r="O141" s="27">
        <f>IF(N141="Atrasada",Config!$B$5-L141,"")</f>
        <v/>
      </c>
      <c r="P141" s="41">
        <f>IF(OR(A141="",B141=""),"",A141&amp;"|"&amp;TEXT(B141,"yyyy-mm"))</f>
        <v/>
      </c>
      <c r="Q141" s="25">
        <f>IF(P141="","",IF(COUNTIF(Guias!$K$5:$K$1504,P141)=0,"",SUMIFS(Guias!$G$5:$G$1504,Guias!$K$5:$K$1504,P141)))</f>
        <v/>
      </c>
      <c r="R141" s="25">
        <f>IF(Q141="","",D141-Q141)</f>
        <v/>
      </c>
      <c r="S141" s="42">
        <f>IF(OR(N141="Atrasada",N141="Aguardando"),IF(N141="Atrasada",100000+O141,0)+D141/1000000+ROW()/100000000,0)</f>
        <v>0</v>
      </c>
      <c r="T141" s="42">
        <f>IF(AND(F141&lt;&gt;"",E141&lt;&gt;""),F141-E141,"")</f>
        <v/>
      </c>
    </row>
    <row r="142">
      <c r="A142" s="33" t="n"/>
      <c r="B142" s="43" t="n"/>
      <c r="C142" s="35" t="n"/>
      <c r="D142" s="40" t="n"/>
      <c r="E142" s="39" t="n"/>
      <c r="F142" s="39" t="n"/>
      <c r="G142" s="40" t="n"/>
      <c r="H142" s="35" t="n"/>
      <c r="I142" s="40" t="n"/>
      <c r="J142" s="39" t="n"/>
      <c r="K142" s="27">
        <f>IF(A142="","",IFERROR(INDEX(Config!$B$10:$B$15,MATCH(A142,Config!$A$10:$A$15,0)),""))</f>
        <v/>
      </c>
      <c r="L142" s="31">
        <f>IF(OR(A142="",E142="",K142=""),"",E142+K142)</f>
        <v/>
      </c>
      <c r="M142" s="25">
        <f>IF(OR(A142="",F142=""),0,MAX(0,D142-G142))</f>
        <v>0</v>
      </c>
      <c r="N142" s="24">
        <f>IF(A142="","",IF(E142="","Em separação",IF(F142&lt;&gt;"",IF(H142="Em recurso","Em recurso",IF(M142&gt;0,"Paga com glosa","Paga")),IF(L142+Config!$B$7&lt;Config!$B$5,"Atrasada","Aguardando"))))</f>
        <v/>
      </c>
      <c r="O142" s="27">
        <f>IF(N142="Atrasada",Config!$B$5-L142,"")</f>
        <v/>
      </c>
      <c r="P142" s="41">
        <f>IF(OR(A142="",B142=""),"",A142&amp;"|"&amp;TEXT(B142,"yyyy-mm"))</f>
        <v/>
      </c>
      <c r="Q142" s="25">
        <f>IF(P142="","",IF(COUNTIF(Guias!$K$5:$K$1504,P142)=0,"",SUMIFS(Guias!$G$5:$G$1504,Guias!$K$5:$K$1504,P142)))</f>
        <v/>
      </c>
      <c r="R142" s="25">
        <f>IF(Q142="","",D142-Q142)</f>
        <v/>
      </c>
      <c r="S142" s="42">
        <f>IF(OR(N142="Atrasada",N142="Aguardando"),IF(N142="Atrasada",100000+O142,0)+D142/1000000+ROW()/100000000,0)</f>
        <v>0</v>
      </c>
      <c r="T142" s="42">
        <f>IF(AND(F142&lt;&gt;"",E142&lt;&gt;""),F142-E142,"")</f>
        <v/>
      </c>
    </row>
    <row r="143">
      <c r="A143" s="33" t="n"/>
      <c r="B143" s="43" t="n"/>
      <c r="C143" s="35" t="n"/>
      <c r="D143" s="40" t="n"/>
      <c r="E143" s="39" t="n"/>
      <c r="F143" s="39" t="n"/>
      <c r="G143" s="40" t="n"/>
      <c r="H143" s="35" t="n"/>
      <c r="I143" s="40" t="n"/>
      <c r="J143" s="39" t="n"/>
      <c r="K143" s="27">
        <f>IF(A143="","",IFERROR(INDEX(Config!$B$10:$B$15,MATCH(A143,Config!$A$10:$A$15,0)),""))</f>
        <v/>
      </c>
      <c r="L143" s="31">
        <f>IF(OR(A143="",E143="",K143=""),"",E143+K143)</f>
        <v/>
      </c>
      <c r="M143" s="25">
        <f>IF(OR(A143="",F143=""),0,MAX(0,D143-G143))</f>
        <v>0</v>
      </c>
      <c r="N143" s="24">
        <f>IF(A143="","",IF(E143="","Em separação",IF(F143&lt;&gt;"",IF(H143="Em recurso","Em recurso",IF(M143&gt;0,"Paga com glosa","Paga")),IF(L143+Config!$B$7&lt;Config!$B$5,"Atrasada","Aguardando"))))</f>
        <v/>
      </c>
      <c r="O143" s="27">
        <f>IF(N143="Atrasada",Config!$B$5-L143,"")</f>
        <v/>
      </c>
      <c r="P143" s="41">
        <f>IF(OR(A143="",B143=""),"",A143&amp;"|"&amp;TEXT(B143,"yyyy-mm"))</f>
        <v/>
      </c>
      <c r="Q143" s="25">
        <f>IF(P143="","",IF(COUNTIF(Guias!$K$5:$K$1504,P143)=0,"",SUMIFS(Guias!$G$5:$G$1504,Guias!$K$5:$K$1504,P143)))</f>
        <v/>
      </c>
      <c r="R143" s="25">
        <f>IF(Q143="","",D143-Q143)</f>
        <v/>
      </c>
      <c r="S143" s="42">
        <f>IF(OR(N143="Atrasada",N143="Aguardando"),IF(N143="Atrasada",100000+O143,0)+D143/1000000+ROW()/100000000,0)</f>
        <v>0</v>
      </c>
      <c r="T143" s="42">
        <f>IF(AND(F143&lt;&gt;"",E143&lt;&gt;""),F143-E143,"")</f>
        <v/>
      </c>
    </row>
    <row r="144">
      <c r="A144" s="33" t="n"/>
      <c r="B144" s="43" t="n"/>
      <c r="C144" s="35" t="n"/>
      <c r="D144" s="40" t="n"/>
      <c r="E144" s="39" t="n"/>
      <c r="F144" s="39" t="n"/>
      <c r="G144" s="40" t="n"/>
      <c r="H144" s="35" t="n"/>
      <c r="I144" s="40" t="n"/>
      <c r="J144" s="39" t="n"/>
      <c r="K144" s="27">
        <f>IF(A144="","",IFERROR(INDEX(Config!$B$10:$B$15,MATCH(A144,Config!$A$10:$A$15,0)),""))</f>
        <v/>
      </c>
      <c r="L144" s="31">
        <f>IF(OR(A144="",E144="",K144=""),"",E144+K144)</f>
        <v/>
      </c>
      <c r="M144" s="25">
        <f>IF(OR(A144="",F144=""),0,MAX(0,D144-G144))</f>
        <v>0</v>
      </c>
      <c r="N144" s="24">
        <f>IF(A144="","",IF(E144="","Em separação",IF(F144&lt;&gt;"",IF(H144="Em recurso","Em recurso",IF(M144&gt;0,"Paga com glosa","Paga")),IF(L144+Config!$B$7&lt;Config!$B$5,"Atrasada","Aguardando"))))</f>
        <v/>
      </c>
      <c r="O144" s="27">
        <f>IF(N144="Atrasada",Config!$B$5-L144,"")</f>
        <v/>
      </c>
      <c r="P144" s="41">
        <f>IF(OR(A144="",B144=""),"",A144&amp;"|"&amp;TEXT(B144,"yyyy-mm"))</f>
        <v/>
      </c>
      <c r="Q144" s="25">
        <f>IF(P144="","",IF(COUNTIF(Guias!$K$5:$K$1504,P144)=0,"",SUMIFS(Guias!$G$5:$G$1504,Guias!$K$5:$K$1504,P144)))</f>
        <v/>
      </c>
      <c r="R144" s="25">
        <f>IF(Q144="","",D144-Q144)</f>
        <v/>
      </c>
      <c r="S144" s="42">
        <f>IF(OR(N144="Atrasada",N144="Aguardando"),IF(N144="Atrasada",100000+O144,0)+D144/1000000+ROW()/100000000,0)</f>
        <v>0</v>
      </c>
      <c r="T144" s="42">
        <f>IF(AND(F144&lt;&gt;"",E144&lt;&gt;""),F144-E144,"")</f>
        <v/>
      </c>
    </row>
    <row r="145">
      <c r="A145" s="33" t="n"/>
      <c r="B145" s="43" t="n"/>
      <c r="C145" s="35" t="n"/>
      <c r="D145" s="40" t="n"/>
      <c r="E145" s="39" t="n"/>
      <c r="F145" s="39" t="n"/>
      <c r="G145" s="40" t="n"/>
      <c r="H145" s="35" t="n"/>
      <c r="I145" s="40" t="n"/>
      <c r="J145" s="39" t="n"/>
      <c r="K145" s="27">
        <f>IF(A145="","",IFERROR(INDEX(Config!$B$10:$B$15,MATCH(A145,Config!$A$10:$A$15,0)),""))</f>
        <v/>
      </c>
      <c r="L145" s="31">
        <f>IF(OR(A145="",E145="",K145=""),"",E145+K145)</f>
        <v/>
      </c>
      <c r="M145" s="25">
        <f>IF(OR(A145="",F145=""),0,MAX(0,D145-G145))</f>
        <v>0</v>
      </c>
      <c r="N145" s="24">
        <f>IF(A145="","",IF(E145="","Em separação",IF(F145&lt;&gt;"",IF(H145="Em recurso","Em recurso",IF(M145&gt;0,"Paga com glosa","Paga")),IF(L145+Config!$B$7&lt;Config!$B$5,"Atrasada","Aguardando"))))</f>
        <v/>
      </c>
      <c r="O145" s="27">
        <f>IF(N145="Atrasada",Config!$B$5-L145,"")</f>
        <v/>
      </c>
      <c r="P145" s="41">
        <f>IF(OR(A145="",B145=""),"",A145&amp;"|"&amp;TEXT(B145,"yyyy-mm"))</f>
        <v/>
      </c>
      <c r="Q145" s="25">
        <f>IF(P145="","",IF(COUNTIF(Guias!$K$5:$K$1504,P145)=0,"",SUMIFS(Guias!$G$5:$G$1504,Guias!$K$5:$K$1504,P145)))</f>
        <v/>
      </c>
      <c r="R145" s="25">
        <f>IF(Q145="","",D145-Q145)</f>
        <v/>
      </c>
      <c r="S145" s="42">
        <f>IF(OR(N145="Atrasada",N145="Aguardando"),IF(N145="Atrasada",100000+O145,0)+D145/1000000+ROW()/100000000,0)</f>
        <v>0</v>
      </c>
      <c r="T145" s="42">
        <f>IF(AND(F145&lt;&gt;"",E145&lt;&gt;""),F145-E145,"")</f>
        <v/>
      </c>
    </row>
    <row r="146">
      <c r="A146" s="33" t="n"/>
      <c r="B146" s="43" t="n"/>
      <c r="C146" s="35" t="n"/>
      <c r="D146" s="40" t="n"/>
      <c r="E146" s="39" t="n"/>
      <c r="F146" s="39" t="n"/>
      <c r="G146" s="40" t="n"/>
      <c r="H146" s="35" t="n"/>
      <c r="I146" s="40" t="n"/>
      <c r="J146" s="39" t="n"/>
      <c r="K146" s="27">
        <f>IF(A146="","",IFERROR(INDEX(Config!$B$10:$B$15,MATCH(A146,Config!$A$10:$A$15,0)),""))</f>
        <v/>
      </c>
      <c r="L146" s="31">
        <f>IF(OR(A146="",E146="",K146=""),"",E146+K146)</f>
        <v/>
      </c>
      <c r="M146" s="25">
        <f>IF(OR(A146="",F146=""),0,MAX(0,D146-G146))</f>
        <v>0</v>
      </c>
      <c r="N146" s="24">
        <f>IF(A146="","",IF(E146="","Em separação",IF(F146&lt;&gt;"",IF(H146="Em recurso","Em recurso",IF(M146&gt;0,"Paga com glosa","Paga")),IF(L146+Config!$B$7&lt;Config!$B$5,"Atrasada","Aguardando"))))</f>
        <v/>
      </c>
      <c r="O146" s="27">
        <f>IF(N146="Atrasada",Config!$B$5-L146,"")</f>
        <v/>
      </c>
      <c r="P146" s="41">
        <f>IF(OR(A146="",B146=""),"",A146&amp;"|"&amp;TEXT(B146,"yyyy-mm"))</f>
        <v/>
      </c>
      <c r="Q146" s="25">
        <f>IF(P146="","",IF(COUNTIF(Guias!$K$5:$K$1504,P146)=0,"",SUMIFS(Guias!$G$5:$G$1504,Guias!$K$5:$K$1504,P146)))</f>
        <v/>
      </c>
      <c r="R146" s="25">
        <f>IF(Q146="","",D146-Q146)</f>
        <v/>
      </c>
      <c r="S146" s="42">
        <f>IF(OR(N146="Atrasada",N146="Aguardando"),IF(N146="Atrasada",100000+O146,0)+D146/1000000+ROW()/100000000,0)</f>
        <v>0</v>
      </c>
      <c r="T146" s="42">
        <f>IF(AND(F146&lt;&gt;"",E146&lt;&gt;""),F146-E146,"")</f>
        <v/>
      </c>
    </row>
    <row r="147">
      <c r="A147" s="33" t="n"/>
      <c r="B147" s="43" t="n"/>
      <c r="C147" s="35" t="n"/>
      <c r="D147" s="40" t="n"/>
      <c r="E147" s="39" t="n"/>
      <c r="F147" s="39" t="n"/>
      <c r="G147" s="40" t="n"/>
      <c r="H147" s="35" t="n"/>
      <c r="I147" s="40" t="n"/>
      <c r="J147" s="39" t="n"/>
      <c r="K147" s="27">
        <f>IF(A147="","",IFERROR(INDEX(Config!$B$10:$B$15,MATCH(A147,Config!$A$10:$A$15,0)),""))</f>
        <v/>
      </c>
      <c r="L147" s="31">
        <f>IF(OR(A147="",E147="",K147=""),"",E147+K147)</f>
        <v/>
      </c>
      <c r="M147" s="25">
        <f>IF(OR(A147="",F147=""),0,MAX(0,D147-G147))</f>
        <v>0</v>
      </c>
      <c r="N147" s="24">
        <f>IF(A147="","",IF(E147="","Em separação",IF(F147&lt;&gt;"",IF(H147="Em recurso","Em recurso",IF(M147&gt;0,"Paga com glosa","Paga")),IF(L147+Config!$B$7&lt;Config!$B$5,"Atrasada","Aguardando"))))</f>
        <v/>
      </c>
      <c r="O147" s="27">
        <f>IF(N147="Atrasada",Config!$B$5-L147,"")</f>
        <v/>
      </c>
      <c r="P147" s="41">
        <f>IF(OR(A147="",B147=""),"",A147&amp;"|"&amp;TEXT(B147,"yyyy-mm"))</f>
        <v/>
      </c>
      <c r="Q147" s="25">
        <f>IF(P147="","",IF(COUNTIF(Guias!$K$5:$K$1504,P147)=0,"",SUMIFS(Guias!$G$5:$G$1504,Guias!$K$5:$K$1504,P147)))</f>
        <v/>
      </c>
      <c r="R147" s="25">
        <f>IF(Q147="","",D147-Q147)</f>
        <v/>
      </c>
      <c r="S147" s="42">
        <f>IF(OR(N147="Atrasada",N147="Aguardando"),IF(N147="Atrasada",100000+O147,0)+D147/1000000+ROW()/100000000,0)</f>
        <v>0</v>
      </c>
      <c r="T147" s="42">
        <f>IF(AND(F147&lt;&gt;"",E147&lt;&gt;""),F147-E147,"")</f>
        <v/>
      </c>
    </row>
    <row r="148">
      <c r="A148" s="33" t="n"/>
      <c r="B148" s="43" t="n"/>
      <c r="C148" s="35" t="n"/>
      <c r="D148" s="40" t="n"/>
      <c r="E148" s="39" t="n"/>
      <c r="F148" s="39" t="n"/>
      <c r="G148" s="40" t="n"/>
      <c r="H148" s="35" t="n"/>
      <c r="I148" s="40" t="n"/>
      <c r="J148" s="39" t="n"/>
      <c r="K148" s="27">
        <f>IF(A148="","",IFERROR(INDEX(Config!$B$10:$B$15,MATCH(A148,Config!$A$10:$A$15,0)),""))</f>
        <v/>
      </c>
      <c r="L148" s="31">
        <f>IF(OR(A148="",E148="",K148=""),"",E148+K148)</f>
        <v/>
      </c>
      <c r="M148" s="25">
        <f>IF(OR(A148="",F148=""),0,MAX(0,D148-G148))</f>
        <v>0</v>
      </c>
      <c r="N148" s="24">
        <f>IF(A148="","",IF(E148="","Em separação",IF(F148&lt;&gt;"",IF(H148="Em recurso","Em recurso",IF(M148&gt;0,"Paga com glosa","Paga")),IF(L148+Config!$B$7&lt;Config!$B$5,"Atrasada","Aguardando"))))</f>
        <v/>
      </c>
      <c r="O148" s="27">
        <f>IF(N148="Atrasada",Config!$B$5-L148,"")</f>
        <v/>
      </c>
      <c r="P148" s="41">
        <f>IF(OR(A148="",B148=""),"",A148&amp;"|"&amp;TEXT(B148,"yyyy-mm"))</f>
        <v/>
      </c>
      <c r="Q148" s="25">
        <f>IF(P148="","",IF(COUNTIF(Guias!$K$5:$K$1504,P148)=0,"",SUMIFS(Guias!$G$5:$G$1504,Guias!$K$5:$K$1504,P148)))</f>
        <v/>
      </c>
      <c r="R148" s="25">
        <f>IF(Q148="","",D148-Q148)</f>
        <v/>
      </c>
      <c r="S148" s="42">
        <f>IF(OR(N148="Atrasada",N148="Aguardando"),IF(N148="Atrasada",100000+O148,0)+D148/1000000+ROW()/100000000,0)</f>
        <v>0</v>
      </c>
      <c r="T148" s="42">
        <f>IF(AND(F148&lt;&gt;"",E148&lt;&gt;""),F148-E148,"")</f>
        <v/>
      </c>
    </row>
    <row r="149">
      <c r="A149" s="33" t="n"/>
      <c r="B149" s="43" t="n"/>
      <c r="C149" s="35" t="n"/>
      <c r="D149" s="40" t="n"/>
      <c r="E149" s="39" t="n"/>
      <c r="F149" s="39" t="n"/>
      <c r="G149" s="40" t="n"/>
      <c r="H149" s="35" t="n"/>
      <c r="I149" s="40" t="n"/>
      <c r="J149" s="39" t="n"/>
      <c r="K149" s="27">
        <f>IF(A149="","",IFERROR(INDEX(Config!$B$10:$B$15,MATCH(A149,Config!$A$10:$A$15,0)),""))</f>
        <v/>
      </c>
      <c r="L149" s="31">
        <f>IF(OR(A149="",E149="",K149=""),"",E149+K149)</f>
        <v/>
      </c>
      <c r="M149" s="25">
        <f>IF(OR(A149="",F149=""),0,MAX(0,D149-G149))</f>
        <v>0</v>
      </c>
      <c r="N149" s="24">
        <f>IF(A149="","",IF(E149="","Em separação",IF(F149&lt;&gt;"",IF(H149="Em recurso","Em recurso",IF(M149&gt;0,"Paga com glosa","Paga")),IF(L149+Config!$B$7&lt;Config!$B$5,"Atrasada","Aguardando"))))</f>
        <v/>
      </c>
      <c r="O149" s="27">
        <f>IF(N149="Atrasada",Config!$B$5-L149,"")</f>
        <v/>
      </c>
      <c r="P149" s="41">
        <f>IF(OR(A149="",B149=""),"",A149&amp;"|"&amp;TEXT(B149,"yyyy-mm"))</f>
        <v/>
      </c>
      <c r="Q149" s="25">
        <f>IF(P149="","",IF(COUNTIF(Guias!$K$5:$K$1504,P149)=0,"",SUMIFS(Guias!$G$5:$G$1504,Guias!$K$5:$K$1504,P149)))</f>
        <v/>
      </c>
      <c r="R149" s="25">
        <f>IF(Q149="","",D149-Q149)</f>
        <v/>
      </c>
      <c r="S149" s="42">
        <f>IF(OR(N149="Atrasada",N149="Aguardando"),IF(N149="Atrasada",100000+O149,0)+D149/1000000+ROW()/100000000,0)</f>
        <v>0</v>
      </c>
      <c r="T149" s="42">
        <f>IF(AND(F149&lt;&gt;"",E149&lt;&gt;""),F149-E149,"")</f>
        <v/>
      </c>
    </row>
    <row r="150">
      <c r="A150" s="33" t="n"/>
      <c r="B150" s="43" t="n"/>
      <c r="C150" s="35" t="n"/>
      <c r="D150" s="40" t="n"/>
      <c r="E150" s="39" t="n"/>
      <c r="F150" s="39" t="n"/>
      <c r="G150" s="40" t="n"/>
      <c r="H150" s="35" t="n"/>
      <c r="I150" s="40" t="n"/>
      <c r="J150" s="39" t="n"/>
      <c r="K150" s="27">
        <f>IF(A150="","",IFERROR(INDEX(Config!$B$10:$B$15,MATCH(A150,Config!$A$10:$A$15,0)),""))</f>
        <v/>
      </c>
      <c r="L150" s="31">
        <f>IF(OR(A150="",E150="",K150=""),"",E150+K150)</f>
        <v/>
      </c>
      <c r="M150" s="25">
        <f>IF(OR(A150="",F150=""),0,MAX(0,D150-G150))</f>
        <v>0</v>
      </c>
      <c r="N150" s="24">
        <f>IF(A150="","",IF(E150="","Em separação",IF(F150&lt;&gt;"",IF(H150="Em recurso","Em recurso",IF(M150&gt;0,"Paga com glosa","Paga")),IF(L150+Config!$B$7&lt;Config!$B$5,"Atrasada","Aguardando"))))</f>
        <v/>
      </c>
      <c r="O150" s="27">
        <f>IF(N150="Atrasada",Config!$B$5-L150,"")</f>
        <v/>
      </c>
      <c r="P150" s="41">
        <f>IF(OR(A150="",B150=""),"",A150&amp;"|"&amp;TEXT(B150,"yyyy-mm"))</f>
        <v/>
      </c>
      <c r="Q150" s="25">
        <f>IF(P150="","",IF(COUNTIF(Guias!$K$5:$K$1504,P150)=0,"",SUMIFS(Guias!$G$5:$G$1504,Guias!$K$5:$K$1504,P150)))</f>
        <v/>
      </c>
      <c r="R150" s="25">
        <f>IF(Q150="","",D150-Q150)</f>
        <v/>
      </c>
      <c r="S150" s="42">
        <f>IF(OR(N150="Atrasada",N150="Aguardando"),IF(N150="Atrasada",100000+O150,0)+D150/1000000+ROW()/100000000,0)</f>
        <v>0</v>
      </c>
      <c r="T150" s="42">
        <f>IF(AND(F150&lt;&gt;"",E150&lt;&gt;""),F150-E150,"")</f>
        <v/>
      </c>
    </row>
    <row r="151">
      <c r="A151" s="33" t="n"/>
      <c r="B151" s="43" t="n"/>
      <c r="C151" s="35" t="n"/>
      <c r="D151" s="40" t="n"/>
      <c r="E151" s="39" t="n"/>
      <c r="F151" s="39" t="n"/>
      <c r="G151" s="40" t="n"/>
      <c r="H151" s="35" t="n"/>
      <c r="I151" s="40" t="n"/>
      <c r="J151" s="39" t="n"/>
      <c r="K151" s="27">
        <f>IF(A151="","",IFERROR(INDEX(Config!$B$10:$B$15,MATCH(A151,Config!$A$10:$A$15,0)),""))</f>
        <v/>
      </c>
      <c r="L151" s="31">
        <f>IF(OR(A151="",E151="",K151=""),"",E151+K151)</f>
        <v/>
      </c>
      <c r="M151" s="25">
        <f>IF(OR(A151="",F151=""),0,MAX(0,D151-G151))</f>
        <v>0</v>
      </c>
      <c r="N151" s="24">
        <f>IF(A151="","",IF(E151="","Em separação",IF(F151&lt;&gt;"",IF(H151="Em recurso","Em recurso",IF(M151&gt;0,"Paga com glosa","Paga")),IF(L151+Config!$B$7&lt;Config!$B$5,"Atrasada","Aguardando"))))</f>
        <v/>
      </c>
      <c r="O151" s="27">
        <f>IF(N151="Atrasada",Config!$B$5-L151,"")</f>
        <v/>
      </c>
      <c r="P151" s="41">
        <f>IF(OR(A151="",B151=""),"",A151&amp;"|"&amp;TEXT(B151,"yyyy-mm"))</f>
        <v/>
      </c>
      <c r="Q151" s="25">
        <f>IF(P151="","",IF(COUNTIF(Guias!$K$5:$K$1504,P151)=0,"",SUMIFS(Guias!$G$5:$G$1504,Guias!$K$5:$K$1504,P151)))</f>
        <v/>
      </c>
      <c r="R151" s="25">
        <f>IF(Q151="","",D151-Q151)</f>
        <v/>
      </c>
      <c r="S151" s="42">
        <f>IF(OR(N151="Atrasada",N151="Aguardando"),IF(N151="Atrasada",100000+O151,0)+D151/1000000+ROW()/100000000,0)</f>
        <v>0</v>
      </c>
      <c r="T151" s="42">
        <f>IF(AND(F151&lt;&gt;"",E151&lt;&gt;""),F151-E151,"")</f>
        <v/>
      </c>
    </row>
    <row r="152">
      <c r="A152" s="33" t="n"/>
      <c r="B152" s="43" t="n"/>
      <c r="C152" s="35" t="n"/>
      <c r="D152" s="40" t="n"/>
      <c r="E152" s="39" t="n"/>
      <c r="F152" s="39" t="n"/>
      <c r="G152" s="40" t="n"/>
      <c r="H152" s="35" t="n"/>
      <c r="I152" s="40" t="n"/>
      <c r="J152" s="39" t="n"/>
      <c r="K152" s="27">
        <f>IF(A152="","",IFERROR(INDEX(Config!$B$10:$B$15,MATCH(A152,Config!$A$10:$A$15,0)),""))</f>
        <v/>
      </c>
      <c r="L152" s="31">
        <f>IF(OR(A152="",E152="",K152=""),"",E152+K152)</f>
        <v/>
      </c>
      <c r="M152" s="25">
        <f>IF(OR(A152="",F152=""),0,MAX(0,D152-G152))</f>
        <v>0</v>
      </c>
      <c r="N152" s="24">
        <f>IF(A152="","",IF(E152="","Em separação",IF(F152&lt;&gt;"",IF(H152="Em recurso","Em recurso",IF(M152&gt;0,"Paga com glosa","Paga")),IF(L152+Config!$B$7&lt;Config!$B$5,"Atrasada","Aguardando"))))</f>
        <v/>
      </c>
      <c r="O152" s="27">
        <f>IF(N152="Atrasada",Config!$B$5-L152,"")</f>
        <v/>
      </c>
      <c r="P152" s="41">
        <f>IF(OR(A152="",B152=""),"",A152&amp;"|"&amp;TEXT(B152,"yyyy-mm"))</f>
        <v/>
      </c>
      <c r="Q152" s="25">
        <f>IF(P152="","",IF(COUNTIF(Guias!$K$5:$K$1504,P152)=0,"",SUMIFS(Guias!$G$5:$G$1504,Guias!$K$5:$K$1504,P152)))</f>
        <v/>
      </c>
      <c r="R152" s="25">
        <f>IF(Q152="","",D152-Q152)</f>
        <v/>
      </c>
      <c r="S152" s="42">
        <f>IF(OR(N152="Atrasada",N152="Aguardando"),IF(N152="Atrasada",100000+O152,0)+D152/1000000+ROW()/100000000,0)</f>
        <v>0</v>
      </c>
      <c r="T152" s="42">
        <f>IF(AND(F152&lt;&gt;"",E152&lt;&gt;""),F152-E152,"")</f>
        <v/>
      </c>
    </row>
    <row r="153">
      <c r="A153" s="33" t="n"/>
      <c r="B153" s="43" t="n"/>
      <c r="C153" s="35" t="n"/>
      <c r="D153" s="40" t="n"/>
      <c r="E153" s="39" t="n"/>
      <c r="F153" s="39" t="n"/>
      <c r="G153" s="40" t="n"/>
      <c r="H153" s="35" t="n"/>
      <c r="I153" s="40" t="n"/>
      <c r="J153" s="39" t="n"/>
      <c r="K153" s="27">
        <f>IF(A153="","",IFERROR(INDEX(Config!$B$10:$B$15,MATCH(A153,Config!$A$10:$A$15,0)),""))</f>
        <v/>
      </c>
      <c r="L153" s="31">
        <f>IF(OR(A153="",E153="",K153=""),"",E153+K153)</f>
        <v/>
      </c>
      <c r="M153" s="25">
        <f>IF(OR(A153="",F153=""),0,MAX(0,D153-G153))</f>
        <v>0</v>
      </c>
      <c r="N153" s="24">
        <f>IF(A153="","",IF(E153="","Em separação",IF(F153&lt;&gt;"",IF(H153="Em recurso","Em recurso",IF(M153&gt;0,"Paga com glosa","Paga")),IF(L153+Config!$B$7&lt;Config!$B$5,"Atrasada","Aguardando"))))</f>
        <v/>
      </c>
      <c r="O153" s="27">
        <f>IF(N153="Atrasada",Config!$B$5-L153,"")</f>
        <v/>
      </c>
      <c r="P153" s="41">
        <f>IF(OR(A153="",B153=""),"",A153&amp;"|"&amp;TEXT(B153,"yyyy-mm"))</f>
        <v/>
      </c>
      <c r="Q153" s="25">
        <f>IF(P153="","",IF(COUNTIF(Guias!$K$5:$K$1504,P153)=0,"",SUMIFS(Guias!$G$5:$G$1504,Guias!$K$5:$K$1504,P153)))</f>
        <v/>
      </c>
      <c r="R153" s="25">
        <f>IF(Q153="","",D153-Q153)</f>
        <v/>
      </c>
      <c r="S153" s="42">
        <f>IF(OR(N153="Atrasada",N153="Aguardando"),IF(N153="Atrasada",100000+O153,0)+D153/1000000+ROW()/100000000,0)</f>
        <v>0</v>
      </c>
      <c r="T153" s="42">
        <f>IF(AND(F153&lt;&gt;"",E153&lt;&gt;""),F153-E153,"")</f>
        <v/>
      </c>
    </row>
    <row r="154">
      <c r="A154" s="33" t="n"/>
      <c r="B154" s="43" t="n"/>
      <c r="C154" s="35" t="n"/>
      <c r="D154" s="40" t="n"/>
      <c r="E154" s="39" t="n"/>
      <c r="F154" s="39" t="n"/>
      <c r="G154" s="40" t="n"/>
      <c r="H154" s="35" t="n"/>
      <c r="I154" s="40" t="n"/>
      <c r="J154" s="39" t="n"/>
      <c r="K154" s="27">
        <f>IF(A154="","",IFERROR(INDEX(Config!$B$10:$B$15,MATCH(A154,Config!$A$10:$A$15,0)),""))</f>
        <v/>
      </c>
      <c r="L154" s="31">
        <f>IF(OR(A154="",E154="",K154=""),"",E154+K154)</f>
        <v/>
      </c>
      <c r="M154" s="25">
        <f>IF(OR(A154="",F154=""),0,MAX(0,D154-G154))</f>
        <v>0</v>
      </c>
      <c r="N154" s="24">
        <f>IF(A154="","",IF(E154="","Em separação",IF(F154&lt;&gt;"",IF(H154="Em recurso","Em recurso",IF(M154&gt;0,"Paga com glosa","Paga")),IF(L154+Config!$B$7&lt;Config!$B$5,"Atrasada","Aguardando"))))</f>
        <v/>
      </c>
      <c r="O154" s="27">
        <f>IF(N154="Atrasada",Config!$B$5-L154,"")</f>
        <v/>
      </c>
      <c r="P154" s="41">
        <f>IF(OR(A154="",B154=""),"",A154&amp;"|"&amp;TEXT(B154,"yyyy-mm"))</f>
        <v/>
      </c>
      <c r="Q154" s="25">
        <f>IF(P154="","",IF(COUNTIF(Guias!$K$5:$K$1504,P154)=0,"",SUMIFS(Guias!$G$5:$G$1504,Guias!$K$5:$K$1504,P154)))</f>
        <v/>
      </c>
      <c r="R154" s="25">
        <f>IF(Q154="","",D154-Q154)</f>
        <v/>
      </c>
      <c r="S154" s="42">
        <f>IF(OR(N154="Atrasada",N154="Aguardando"),IF(N154="Atrasada",100000+O154,0)+D154/1000000+ROW()/100000000,0)</f>
        <v>0</v>
      </c>
      <c r="T154" s="42">
        <f>IF(AND(F154&lt;&gt;"",E154&lt;&gt;""),F154-E154,"")</f>
        <v/>
      </c>
    </row>
    <row r="156">
      <c r="A156" s="38" t="inlineStr">
        <is>
          <t>Vermelho: previsão de pagamento vencida sem pagamento. Amarelo: glosa em recurso. Verde: paga. Cinza: guias em separação (lote ainda não enviado). Diferença em vermelho: o valor enviado não bate com as guias cadastradas na aba Guias para essa competência.</t>
        </is>
      </c>
    </row>
    <row r="157">
      <c r="A157" s="38" t="inlineStr">
        <is>
          <t>Glosa = enviado − pago. Recurso aceito: digite o valor recuperado e a data (é uma entrada no caixa 09). No exemplo, os lotes de outubro/2025 a maio/2026 vêm dos registros anteriores à agenda; junho em diante bate com a aba Guias.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R154"/>
  <mergeCells count="2">
    <mergeCell ref="A2:R2"/>
    <mergeCell ref="A1:R1"/>
  </mergeCells>
  <conditionalFormatting sqref="A5:R154">
    <cfRule type="expression" priority="1" dxfId="2">
      <formula>$N5="Atrasada"</formula>
    </cfRule>
    <cfRule type="expression" priority="2" dxfId="5">
      <formula>$N5="Em recurso"</formula>
    </cfRule>
    <cfRule type="expression" priority="3" dxfId="7">
      <formula>OR($N5="Paga",$N5="Paga com glosa")</formula>
    </cfRule>
    <cfRule type="expression" priority="4" dxfId="6">
      <formula>$N5="Em separação"</formula>
    </cfRule>
  </conditionalFormatting>
  <conditionalFormatting sqref="R5:R154">
    <cfRule type="expression" priority="5" dxfId="1">
      <formula>AND(ISNUMBER(R5),R5&lt;&gt;0)</formula>
    </cfRule>
  </conditionalFormatting>
  <dataValidations count="5">
    <dataValidation sqref="A5:A154" showDropDown="0" showInputMessage="0" showErrorMessage="1" allowBlank="1" type="list">
      <formula1>=OFFSET(Config!$A$10,0,0,MAX(1,COUNTA(Config!$A$10:$A$15)),1)</formula1>
    </dataValidation>
    <dataValidation sqref="H5:H154" showDropDown="0" showInputMessage="0" showErrorMessage="1" allowBlank="1" type="list">
      <formula1>"Em recurso,Aceito,Negado"</formula1>
    </dataValidation>
    <dataValidation sqref="B5:B154" showDropDown="0" showInputMessage="0" showErrorMessage="1" allowBlank="1" type="date" operator="greaterThan">
      <formula1>1</formula1>
    </dataValidation>
    <dataValidation sqref="E5:F154" showDropDown="0" showInputMessage="0" showErrorMessage="1" allowBlank="1" type="date" operator="greaterThan">
      <formula1>1</formula1>
    </dataValidation>
    <dataValidation sqref="D5:D15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Convênios a receber · Kit de Gestão para Médicos</dc:title>
  <dcterms:created xmlns:dcterms="http://purl.org/dc/terms/" xmlns:xsi="http://www.w3.org/2001/XMLSchema-instance" xsi:type="dcterms:W3CDTF">2026-09-17T15:51:48Z</dcterms:created>
  <dcterms:modified xmlns:dcterms="http://purl.org/dc/terms/" xmlns:xsi="http://www.w3.org/2001/XMLSchema-instance" xsi:type="dcterms:W3CDTF">2026-09-17T15:51:50Z</dcterms:modified>
</cp:coreProperties>
</file>