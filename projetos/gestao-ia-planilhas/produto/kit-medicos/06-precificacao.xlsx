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recificação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0.0"/>
    <numFmt numFmtId="168" formatCode="&quot;R$&quot; #,##0;[Red]-&quot;R$&quot; #,##0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8" fontId="4" fillId="2" borderId="1" applyAlignment="1" applyProtection="1" pivotButton="0" quotePrefix="0" xfId="0">
      <alignment horizontal="center"/>
      <protection locked="0" hidden="0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49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6" fillId="0" borderId="1" pivotButton="0" quotePrefix="0" xfId="0"/>
    <xf numFmtId="166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left"/>
    </xf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 mínimo × alvo × particular praticado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'Precificação'!G4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'Precificação'!$G$5:$G$11</f>
            </numRef>
          </val>
        </ser>
        <ser>
          <idx val="1"/>
          <order val="1"/>
          <tx>
            <strRef>
              <f>'Precificação'!H4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'Precificação'!$H$5:$H$11</f>
            </numRef>
          </val>
        </ser>
        <ser>
          <idx val="2"/>
          <order val="2"/>
          <tx>
            <strRef>
              <f>'Precificação'!I4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'Precificação'!$I$5:$I$11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20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Precificação de consulta e procedimento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o custo cheio de cada consulta e procedimento (tempo × custo-hora + material, com o tempo de retorno embutido nas consultas), o preço mínimo (margem mínima) e o preço alvo (margem alvo), e mostra a margem do preço particular praticado e de cada tabela de convênio.</t>
        </is>
      </c>
    </row>
    <row r="5" ht="46" customHeight="1">
      <c r="A5" s="3" t="inlineStr">
        <is>
          <t>Passo 1</t>
        </is>
      </c>
      <c r="B5" s="4" t="inlineStr">
        <is>
          <t>Em Config, copie o custo-hora da planilha 05, a alíquota de impostos e as margens mínima e alvo. Ajuste a média de retornos por consulta e a duração do retorno. Liste até 4 convênios.</t>
        </is>
      </c>
    </row>
    <row r="6" ht="46" customHeight="1">
      <c r="A6" s="3" t="inlineStr">
        <is>
          <t>Passo 2</t>
        </is>
      </c>
      <c r="B6" s="4" t="inlineStr">
        <is>
          <t>Em Precificação, uma linha por procedimento: minutos, se gera retorno, material por atendimento, o preço particular que você pratica hoje e a tabela de cada convênio. Copie os valores da planilha 08 · Tabela de preços: ela é a fonte única da tabela no kit (a 07 e a Config da 01 também copiam de lá).</t>
        </is>
      </c>
    </row>
    <row r="7" ht="46" customHeight="1">
      <c r="A7" s="3" t="inlineStr">
        <is>
          <t>Passo 3</t>
        </is>
      </c>
      <c r="B7" s="4" t="inlineStr">
        <is>
          <t>Leia a Situação e as margens: vermelho não cobre o custo cheio; amarelo cobre o custo mas não a margem mínima; verde está na faixa. Use o bloco "Simular" para testar um procedimento ou um preço novo antes de mudar a tabela.</t>
        </is>
      </c>
    </row>
    <row r="8" ht="46" customHeight="1">
      <c r="A8" s="3" t="inlineStr">
        <is>
          <t>Rotina</t>
        </is>
      </c>
      <c r="B8" s="4" t="inlineStr">
        <is>
          <t>Revise quando o custo-hora mudar (05) ou uma vez por semestre. Decidiu mudar um preço? Atualize na ordem: 08 (tabela de preços, a fonte) → 06 (esta) → 07 (simulador) → 01 (Config da agenda). Assim os quatro arquivos continuam com o mesmo número.</t>
        </is>
      </c>
    </row>
    <row r="9" ht="46" customHeight="1">
      <c r="A9" s="3" t="inlineStr">
        <is>
          <t>Convênio abaixo do custo</t>
        </is>
      </c>
      <c r="B9" s="4" t="inlineStr">
        <is>
          <t>Não decida só por esta tela: com horários vazios, uma tabela baixa ainda pode contribuir; com agenda cheia, toma o lugar de um particular. A planilha 07 faz essa conta com prazo de pagamento e glosa.</t>
        </is>
      </c>
    </row>
    <row r="10" ht="46" customHeight="1">
      <c r="A10" s="3" t="inlineStr">
        <is>
          <t>Com a IA</t>
        </is>
      </c>
      <c r="B10" s="4" t="inlineStr">
        <is>
          <t>Copie a tabela Precificação (sem os nomes dos convênios, se preferir) e use o prompt "Preço 02 · Revisar a tabela de preços pela margem" da biblioteca do kit. A IA ajuda a explicar o número ao sócio; o preço é decisão da clínica.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  <col width="18" customWidth="1" min="11" max="11"/>
    <col width="11" customWidth="1" min="12" max="12"/>
    <col width="9" customWidth="1" min="13" max="13"/>
    <col width="11" customWidth="1" min="14" max="14"/>
    <col width="9" customWidth="1" min="15" max="15"/>
    <col width="11" customWidth="1" min="16" max="16"/>
    <col width="9" customWidth="1" min="17" max="17"/>
    <col width="11" customWidth="1" min="18" max="18"/>
    <col width="9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28" customHeight="1">
      <c r="A1" s="5" t="str">
        <f>Config!$B$4&amp;" · Precificação de consulta e procedimento · "&amp;Config!$B$5</f>
        <v>Clínica Vida Plena (exemplo fictício) · Precificação de consulta e procedimento · Setembro de 2026</v>
      </c>
    </row>
    <row r="2">
      <c r="A2" s="6" t="inlineStr">
        <is>
          <t>Amarelo: procedimento, minutos, se gera retorno, material, preço particular praticado e tabelas de convênio. O resto é calculado: custo cheio, preço mínimo, preço alvo e margem por pagador.</t>
        </is>
      </c>
    </row>
    <row r="3"/>
    <row r="4" ht="40" customHeight="1">
      <c r="A4" s="7" t="inlineStr">
        <is>
          <t>Procedimento</t>
        </is>
      </c>
      <c r="B4" s="7" t="inlineStr">
        <is>
          <t>Minutos</t>
        </is>
      </c>
      <c r="C4" s="7" t="inlineStr">
        <is>
          <t>Gera retorno?</t>
        </is>
      </c>
      <c r="D4" s="7" t="inlineStr">
        <is>
          <t>Material (R$)</t>
        </is>
      </c>
      <c r="E4" s="7" t="inlineStr">
        <is>
          <t>Tempo com retorno (min)</t>
        </is>
      </c>
      <c r="F4" s="7" t="inlineStr">
        <is>
          <t>Custo cheio (R$)</t>
        </is>
      </c>
      <c r="G4" s="7" t="inlineStr">
        <is>
          <t>Preço mínimo (R$)</t>
        </is>
      </c>
      <c r="H4" s="7" t="inlineStr">
        <is>
          <t>Preço alvo (R$)</t>
        </is>
      </c>
      <c r="I4" s="7" t="inlineStr">
        <is>
          <t>Particular praticado (R$)</t>
        </is>
      </c>
      <c r="J4" s="7" t="inlineStr">
        <is>
          <t>Margem no particular</t>
        </is>
      </c>
      <c r="K4" s="7" t="inlineStr">
        <is>
          <t>Situação</t>
        </is>
      </c>
      <c r="L4" s="7" t="str">
        <f>IF(Config!$B$15="","",Config!$B$15)</f>
        <v>Saúde Total</v>
      </c>
      <c r="M4" s="7" t="str">
        <f>IF(Config!$B$15="","","Margem")</f>
        <v>Margem</v>
      </c>
      <c r="N4" s="7" t="str">
        <f>IF(Config!$B$16="","",Config!$B$16)</f>
        <v>MediPlan</v>
      </c>
      <c r="O4" s="7" t="str">
        <f>IF(Config!$B$16="","","Margem")</f>
        <v>Margem</v>
      </c>
      <c r="P4" s="7" t="str">
        <f>IF(Config!$B$17="","",Config!$B$17)</f>
        <v>Vida Care</v>
      </c>
      <c r="Q4" s="7" t="str">
        <f>IF(Config!$B$17="","","Margem")</f>
        <v>Margem</v>
      </c>
      <c r="R4" s="7">
        <f>IF(Config!$B$18="","",Config!$B$18)</f>
        <v/>
      </c>
      <c r="S4" s="7">
        <f>IF(Config!$B$18="","","Margem")</f>
        <v/>
      </c>
    </row>
    <row r="5">
      <c r="A5" s="8" t="inlineStr">
        <is>
          <t>Consulta</t>
        </is>
      </c>
      <c r="B5" s="9" t="n">
        <v>30</v>
      </c>
      <c r="C5" s="10" t="inlineStr">
        <is>
          <t>Sim</t>
        </is>
      </c>
      <c r="D5" s="11" t="n">
        <v>4</v>
      </c>
      <c r="E5" s="12">
        <f>IF(A5="","",IF(NOT(IF(ISNUMBER(B5),AND(B5&gt;=0),FALSE)),"faltam os minutos",IF(AND(C5&lt;&gt;"Sim",C5&lt;&gt;"Não"),"falta: gera retorno?",IF(AND(C5="Sim",NOT(AND(IF(ISNUMBER(Config!$B$11),AND(Config!$B$11&gt;=0),FALSE),IF(ISNUMBER(Config!$B$12),AND(Config!$B$12&gt;=0),FALSE)))),"falta o retorno em Config",B5+IF(C5="Sim",Config!$B$11*Config!$B$12,0)))))</f>
        <v>38</v>
      </c>
      <c r="F5" s="13">
        <f>IF(A5="","",IF(NOT(ISNUMBER(E5)),E5,IF(NOT(ISNUMBER(Config!$B$7)),"falta o custo-hora em Config",IF(NOT(IF(ISNUMBER(D5),AND(D5&gt;=0),FALSE)),"falta o material",E5/60*Config!$B$7+D5))))</f>
        <v>130.666666666667</v>
      </c>
      <c r="G5" s="14">
        <f>IF(A5="","",IF(NOT(ISNUMBER(F5)),F5,IF((Config!$B$13&lt;&gt;"Sim"),"margens inválidas (Config)",F5/(1-Config!$B$8-Config!$B$9))))</f>
        <v>221.468926553672</v>
      </c>
      <c r="H5" s="13">
        <f>IF(A5="","",IF(NOT(ISNUMBER(F5)),F5,IF((Config!$B$13&lt;&gt;"Sim"),"margens inválidas (Config)",F5/(1-Config!$B$8-Config!$B$10))))</f>
        <v>296.969696969697</v>
      </c>
      <c r="I5" s="15" t="n">
        <v>380</v>
      </c>
      <c r="J5" s="16">
        <f>IF(OR(A5="",I5="",NOT(ISNUMBER(I5)),N(I5)=0,NOT(ISNUMBER(F5)),(Config!$B$13&lt;&gt;"Sim")),"",(I5*(1-Config!$B$8)-F5)/I5)</f>
        <v>0.546140350877193</v>
      </c>
      <c r="K5" s="17" t="str">
        <f>IF(OR(A5="",I5=""),"",IF(NOT(ISNUMBER(I5)),"Preço inválido",IF(NOT(ISNUMBER(F5)),IF(ISNUMBER(Config!$B$7),"Faltam dados da linha","Falta o custo-hora"),IF(OR(NOT(ISNUMBER(G5)),NOT(ISNUMBER(H5))),"Margens inválidas",IF(I5=0,"Sem cobrança",IF(I5&lt;G5,"Abaixo do mínimo",IF(I5&lt;H5,"Entre mínimo e alvo","No alvo ou acima")))))))</f>
        <v>No alvo ou acima</v>
      </c>
      <c r="L5" s="15" t="n">
        <v>120</v>
      </c>
      <c r="M5" s="16">
        <f>IF(OR(A5="",L5="",NOT(ISNUMBER(L5)),N(L5)=0,NOT(ISNUMBER(F5)),(Config!$B$13&lt;&gt;"Sim")),"",(L5*(1-Config!$B$8)-F5)/L5)</f>
        <v>-0.198888888888889</v>
      </c>
      <c r="N5" s="15" t="n">
        <v>100</v>
      </c>
      <c r="O5" s="16">
        <f>IF(OR(A5="",N5="",NOT(ISNUMBER(N5)),N(N5)=0,NOT(ISNUMBER(F5)),(Config!$B$13&lt;&gt;"Sim")),"",(N5*(1-Config!$B$8)-F5)/N5)</f>
        <v>-0.416666666666667</v>
      </c>
      <c r="P5" s="15" t="n">
        <v>90</v>
      </c>
      <c r="Q5" s="16">
        <f>IF(OR(A5="",P5="",NOT(ISNUMBER(P5)),N(P5)=0,NOT(ISNUMBER(F5)),(Config!$B$13&lt;&gt;"Sim")),"",(P5*(1-Config!$B$8)-F5)/P5)</f>
        <v>-0.561851851851852</v>
      </c>
      <c r="R5" s="15" t="n"/>
      <c r="S5" s="16">
        <f>IF(OR(A5="",R5="",NOT(ISNUMBER(R5)),N(R5)=0,NOT(ISNUMBER(F5)),(Config!$B$13&lt;&gt;"Sim")),"",(R5*(1-Config!$B$8)-F5)/R5)</f>
        <v/>
      </c>
      <c r="T5" s="18">
        <f>IF(AND(ISNUMBER(M5),M5&lt;0),M5*L5,0)</f>
        <v>-23.8666666666667</v>
      </c>
      <c r="U5" s="18">
        <f>IF(AND(ISNUMBER(O5),O5&lt;0),O5*N5,0)</f>
        <v>-41.6666666666667</v>
      </c>
      <c r="V5" s="18">
        <f>IF(AND(ISNUMBER(Q5),Q5&lt;0),Q5*P5,0)</f>
        <v>-50.5666666666667</v>
      </c>
      <c r="W5" s="18">
        <f>IF(AND(ISNUMBER(S5),S5&lt;0),S5*R5,0)</f>
        <v>0</v>
      </c>
    </row>
    <row r="6">
      <c r="A6" s="8" t="inlineStr">
        <is>
          <t>Retorno</t>
        </is>
      </c>
      <c r="B6" s="9" t="n">
        <v>20</v>
      </c>
      <c r="C6" s="10" t="inlineStr">
        <is>
          <t>Não</t>
        </is>
      </c>
      <c r="D6" s="11" t="n">
        <v>2</v>
      </c>
      <c r="E6" s="12">
        <f>IF(A6="","",IF(NOT(IF(ISNUMBER(B6),AND(B6&gt;=0),FALSE)),"faltam os minutos",IF(AND(C6&lt;&gt;"Sim",C6&lt;&gt;"Não"),"falta: gera retorno?",IF(AND(C6="Sim",NOT(AND(IF(ISNUMBER(Config!$B$11),AND(Config!$B$11&gt;=0),FALSE),IF(ISNUMBER(Config!$B$12),AND(Config!$B$12&gt;=0),FALSE)))),"falta o retorno em Config",B6+IF(C6="Sim",Config!$B$11*Config!$B$12,0)))))</f>
        <v>20</v>
      </c>
      <c r="F6" s="13">
        <f>IF(A6="","",IF(NOT(ISNUMBER(E6)),E6,IF(NOT(ISNUMBER(Config!$B$7)),"falta o custo-hora em Config",IF(NOT(IF(ISNUMBER(D6),AND(D6&gt;=0),FALSE)),"falta o material",E6/60*Config!$B$7+D6))))</f>
        <v>68.6666666666667</v>
      </c>
      <c r="G6" s="14">
        <f>IF(A6="","",IF(NOT(ISNUMBER(F6)),F6,IF((Config!$B$13&lt;&gt;"Sim"),"margens inválidas (Config)",F6/(1-Config!$B$8-Config!$B$9))))</f>
        <v>116.38418079096</v>
      </c>
      <c r="H6" s="13">
        <f>IF(A6="","",IF(NOT(ISNUMBER(F6)),F6,IF((Config!$B$13&lt;&gt;"Sim"),"margens inválidas (Config)",F6/(1-Config!$B$8-Config!$B$10))))</f>
        <v>156.060606060606</v>
      </c>
      <c r="I6" s="15" t="n">
        <v>0</v>
      </c>
      <c r="J6" s="16">
        <f>IF(OR(A6="",I6="",NOT(ISNUMBER(I6)),N(I6)=0,NOT(ISNUMBER(F6)),(Config!$B$13&lt;&gt;"Sim")),"",(I6*(1-Config!$B$8)-F6)/I6)</f>
        <v/>
      </c>
      <c r="K6" s="17" t="str">
        <f>IF(OR(A6="",I6=""),"",IF(NOT(ISNUMBER(I6)),"Preço inválido",IF(NOT(ISNUMBER(F6)),IF(ISNUMBER(Config!$B$7),"Faltam dados da linha","Falta o custo-hora"),IF(OR(NOT(ISNUMBER(G6)),NOT(ISNUMBER(H6))),"Margens inválidas",IF(I6=0,"Sem cobrança",IF(I6&lt;G6,"Abaixo do mínimo",IF(I6&lt;H6,"Entre mínimo e alvo","No alvo ou acima")))))))</f>
        <v>Sem cobrança</v>
      </c>
      <c r="L6" s="15" t="n">
        <v>0</v>
      </c>
      <c r="M6" s="16">
        <f>IF(OR(A6="",L6="",NOT(ISNUMBER(L6)),N(L6)=0,NOT(ISNUMBER(F6)),(Config!$B$13&lt;&gt;"Sim")),"",(L6*(1-Config!$B$8)-F6)/L6)</f>
        <v/>
      </c>
      <c r="N6" s="15" t="n">
        <v>0</v>
      </c>
      <c r="O6" s="16">
        <f>IF(OR(A6="",N6="",NOT(ISNUMBER(N6)),N(N6)=0,NOT(ISNUMBER(F6)),(Config!$B$13&lt;&gt;"Sim")),"",(N6*(1-Config!$B$8)-F6)/N6)</f>
        <v/>
      </c>
      <c r="P6" s="15" t="n">
        <v>0</v>
      </c>
      <c r="Q6" s="16">
        <f>IF(OR(A6="",P6="",NOT(ISNUMBER(P6)),N(P6)=0,NOT(ISNUMBER(F6)),(Config!$B$13&lt;&gt;"Sim")),"",(P6*(1-Config!$B$8)-F6)/P6)</f>
        <v/>
      </c>
      <c r="R6" s="15" t="n"/>
      <c r="S6" s="16">
        <f>IF(OR(A6="",R6="",NOT(ISNUMBER(R6)),N(R6)=0,NOT(ISNUMBER(F6)),(Config!$B$13&lt;&gt;"Sim")),"",(R6*(1-Config!$B$8)-F6)/R6)</f>
        <v/>
      </c>
      <c r="T6" s="18">
        <f>IF(AND(ISNUMBER(M6),M6&lt;0),M6*L6,0)</f>
        <v>0</v>
      </c>
      <c r="U6" s="18">
        <f>IF(AND(ISNUMBER(O6),O6&lt;0),O6*N6,0)</f>
        <v>0</v>
      </c>
      <c r="V6" s="18">
        <f>IF(AND(ISNUMBER(Q6),Q6&lt;0),Q6*P6,0)</f>
        <v>0</v>
      </c>
      <c r="W6" s="18">
        <f>IF(AND(ISNUMBER(S6),S6&lt;0),S6*R6,0)</f>
        <v>0</v>
      </c>
    </row>
    <row r="7">
      <c r="A7" s="8" t="inlineStr">
        <is>
          <t>ECG</t>
        </is>
      </c>
      <c r="B7" s="9" t="n">
        <v>20</v>
      </c>
      <c r="C7" s="10" t="inlineStr">
        <is>
          <t>Não</t>
        </is>
      </c>
      <c r="D7" s="11" t="n">
        <v>8</v>
      </c>
      <c r="E7" s="12">
        <f>IF(A7="","",IF(NOT(IF(ISNUMBER(B7),AND(B7&gt;=0),FALSE)),"faltam os minutos",IF(AND(C7&lt;&gt;"Sim",C7&lt;&gt;"Não"),"falta: gera retorno?",IF(AND(C7="Sim",NOT(AND(IF(ISNUMBER(Config!$B$11),AND(Config!$B$11&gt;=0),FALSE),IF(ISNUMBER(Config!$B$12),AND(Config!$B$12&gt;=0),FALSE)))),"falta o retorno em Config",B7+IF(C7="Sim",Config!$B$11*Config!$B$12,0)))))</f>
        <v>20</v>
      </c>
      <c r="F7" s="13">
        <f>IF(A7="","",IF(NOT(ISNUMBER(E7)),E7,IF(NOT(ISNUMBER(Config!$B$7)),"falta o custo-hora em Config",IF(NOT(IF(ISNUMBER(D7),AND(D7&gt;=0),FALSE)),"falta o material",E7/60*Config!$B$7+D7))))</f>
        <v>74.6666666666667</v>
      </c>
      <c r="G7" s="14">
        <f>IF(A7="","",IF(NOT(ISNUMBER(F7)),F7,IF((Config!$B$13&lt;&gt;"Sim"),"margens inválidas (Config)",F7/(1-Config!$B$8-Config!$B$9))))</f>
        <v>126.553672316384</v>
      </c>
      <c r="H7" s="13">
        <f>IF(A7="","",IF(NOT(ISNUMBER(F7)),F7,IF((Config!$B$13&lt;&gt;"Sim"),"margens inválidas (Config)",F7/(1-Config!$B$8-Config!$B$10))))</f>
        <v>169.69696969697</v>
      </c>
      <c r="I7" s="15" t="n">
        <v>130</v>
      </c>
      <c r="J7" s="16">
        <f>IF(OR(A7="",I7="",NOT(ISNUMBER(I7)),N(I7)=0,NOT(ISNUMBER(F7)),(Config!$B$13&lt;&gt;"Sim")),"",(I7*(1-Config!$B$8)-F7)/I7)</f>
        <v>0.315641025641026</v>
      </c>
      <c r="K7" s="17" t="str">
        <f>IF(OR(A7="",I7=""),"",IF(NOT(ISNUMBER(I7)),"Preço inválido",IF(NOT(ISNUMBER(F7)),IF(ISNUMBER(Config!$B$7),"Faltam dados da linha","Falta o custo-hora"),IF(OR(NOT(ISNUMBER(G7)),NOT(ISNUMBER(H7))),"Margens inválidas",IF(I7=0,"Sem cobrança",IF(I7&lt;G7,"Abaixo do mínimo",IF(I7&lt;H7,"Entre mínimo e alvo","No alvo ou acima")))))))</f>
        <v>Entre mínimo e alvo</v>
      </c>
      <c r="L7" s="15" t="n">
        <v>40</v>
      </c>
      <c r="M7" s="16">
        <f>IF(OR(A7="",L7="",NOT(ISNUMBER(L7)),N(L7)=0,NOT(ISNUMBER(F7)),(Config!$B$13&lt;&gt;"Sim")),"",(L7*(1-Config!$B$8)-F7)/L7)</f>
        <v>-0.976666666666666</v>
      </c>
      <c r="N7" s="15" t="n">
        <v>35</v>
      </c>
      <c r="O7" s="16">
        <f>IF(OR(A7="",N7="",NOT(ISNUMBER(N7)),N(N7)=0,NOT(ISNUMBER(F7)),(Config!$B$13&lt;&gt;"Sim")),"",(N7*(1-Config!$B$8)-F7)/N7)</f>
        <v>-1.24333333333333</v>
      </c>
      <c r="P7" s="15" t="n">
        <v>32</v>
      </c>
      <c r="Q7" s="16">
        <f>IF(OR(A7="",P7="",NOT(ISNUMBER(P7)),N(P7)=0,NOT(ISNUMBER(F7)),(Config!$B$13&lt;&gt;"Sim")),"",(P7*(1-Config!$B$8)-F7)/P7)</f>
        <v>-1.44333333333333</v>
      </c>
      <c r="R7" s="15" t="n"/>
      <c r="S7" s="16">
        <f>IF(OR(A7="",R7="",NOT(ISNUMBER(R7)),N(R7)=0,NOT(ISNUMBER(F7)),(Config!$B$13&lt;&gt;"Sim")),"",(R7*(1-Config!$B$8)-F7)/R7)</f>
        <v/>
      </c>
      <c r="T7" s="18">
        <f>IF(AND(ISNUMBER(M7),M7&lt;0),M7*L7,0)</f>
        <v>-39.0666666666667</v>
      </c>
      <c r="U7" s="18">
        <f>IF(AND(ISNUMBER(O7),O7&lt;0),O7*N7,0)</f>
        <v>-43.5166666666667</v>
      </c>
      <c r="V7" s="18">
        <f>IF(AND(ISNUMBER(Q7),Q7&lt;0),Q7*P7,0)</f>
        <v>-46.1866666666667</v>
      </c>
      <c r="W7" s="18">
        <f>IF(AND(ISNUMBER(S7),S7&lt;0),S7*R7,0)</f>
        <v>0</v>
      </c>
    </row>
    <row r="8">
      <c r="A8" s="8" t="inlineStr">
        <is>
          <t>MAPA</t>
        </is>
      </c>
      <c r="B8" s="9" t="n">
        <v>20</v>
      </c>
      <c r="C8" s="10" t="inlineStr">
        <is>
          <t>Não</t>
        </is>
      </c>
      <c r="D8" s="11" t="n">
        <v>15</v>
      </c>
      <c r="E8" s="12">
        <f>IF(A8="","",IF(NOT(IF(ISNUMBER(B8),AND(B8&gt;=0),FALSE)),"faltam os minutos",IF(AND(C8&lt;&gt;"Sim",C8&lt;&gt;"Não"),"falta: gera retorno?",IF(AND(C8="Sim",NOT(AND(IF(ISNUMBER(Config!$B$11),AND(Config!$B$11&gt;=0),FALSE),IF(ISNUMBER(Config!$B$12),AND(Config!$B$12&gt;=0),FALSE)))),"falta o retorno em Config",B8+IF(C8="Sim",Config!$B$11*Config!$B$12,0)))))</f>
        <v>20</v>
      </c>
      <c r="F8" s="13">
        <f>IF(A8="","",IF(NOT(ISNUMBER(E8)),E8,IF(NOT(ISNUMBER(Config!$B$7)),"falta o custo-hora em Config",IF(NOT(IF(ISNUMBER(D8),AND(D8&gt;=0),FALSE)),"falta o material",E8/60*Config!$B$7+D8))))</f>
        <v>81.6666666666667</v>
      </c>
      <c r="G8" s="14">
        <f>IF(A8="","",IF(NOT(ISNUMBER(F8)),F8,IF((Config!$B$13&lt;&gt;"Sim"),"margens inválidas (Config)",F8/(1-Config!$B$8-Config!$B$9))))</f>
        <v>138.418079096045</v>
      </c>
      <c r="H8" s="13">
        <f>IF(A8="","",IF(NOT(ISNUMBER(F8)),F8,IF((Config!$B$13&lt;&gt;"Sim"),"margens inválidas (Config)",F8/(1-Config!$B$8-Config!$B$10))))</f>
        <v>185.606060606061</v>
      </c>
      <c r="I8" s="15" t="n">
        <v>300</v>
      </c>
      <c r="J8" s="16">
        <f>IF(OR(A8="",I8="",NOT(ISNUMBER(I8)),N(I8)=0,NOT(ISNUMBER(F8)),(Config!$B$13&lt;&gt;"Sim")),"",(I8*(1-Config!$B$8)-F8)/I8)</f>
        <v>0.617777777777778</v>
      </c>
      <c r="K8" s="17" t="str">
        <f>IF(OR(A8="",I8=""),"",IF(NOT(ISNUMBER(I8)),"Preço inválido",IF(NOT(ISNUMBER(F8)),IF(ISNUMBER(Config!$B$7),"Faltam dados da linha","Falta o custo-hora"),IF(OR(NOT(ISNUMBER(G8)),NOT(ISNUMBER(H8))),"Margens inválidas",IF(I8=0,"Sem cobrança",IF(I8&lt;G8,"Abaixo do mínimo",IF(I8&lt;H8,"Entre mínimo e alvo","No alvo ou acima")))))))</f>
        <v>No alvo ou acima</v>
      </c>
      <c r="L8" s="15" t="n">
        <v>95</v>
      </c>
      <c r="M8" s="16">
        <f>IF(OR(A8="",L8="",NOT(ISNUMBER(L8)),N(L8)=0,NOT(ISNUMBER(F8)),(Config!$B$13&lt;&gt;"Sim")),"",(L8*(1-Config!$B$8)-F8)/L8)</f>
        <v>0.0303508771929825</v>
      </c>
      <c r="N8" s="15" t="n">
        <v>85</v>
      </c>
      <c r="O8" s="16">
        <f>IF(OR(A8="",N8="",NOT(ISNUMBER(N8)),N(N8)=0,NOT(ISNUMBER(F8)),(Config!$B$13&lt;&gt;"Sim")),"",(N8*(1-Config!$B$8)-F8)/N8)</f>
        <v>-0.07078431372549</v>
      </c>
      <c r="P8" s="15" t="n">
        <v>75</v>
      </c>
      <c r="Q8" s="16">
        <f>IF(OR(A8="",P8="",NOT(ISNUMBER(P8)),N(P8)=0,NOT(ISNUMBER(F8)),(Config!$B$13&lt;&gt;"Sim")),"",(P8*(1-Config!$B$8)-F8)/P8)</f>
        <v>-0.198888888888889</v>
      </c>
      <c r="R8" s="15" t="n"/>
      <c r="S8" s="16">
        <f>IF(OR(A8="",R8="",NOT(ISNUMBER(R8)),N(R8)=0,NOT(ISNUMBER(F8)),(Config!$B$13&lt;&gt;"Sim")),"",(R8*(1-Config!$B$8)-F8)/R8)</f>
        <v/>
      </c>
      <c r="T8" s="18">
        <f>IF(AND(ISNUMBER(M8),M8&lt;0),M8*L8,0)</f>
        <v>0</v>
      </c>
      <c r="U8" s="18">
        <f>IF(AND(ISNUMBER(O8),O8&lt;0),O8*N8,0)</f>
        <v>-6.01666666666665</v>
      </c>
      <c r="V8" s="18">
        <f>IF(AND(ISNUMBER(Q8),Q8&lt;0),Q8*P8,0)</f>
        <v>-14.9166666666667</v>
      </c>
      <c r="W8" s="18">
        <f>IF(AND(ISNUMBER(S8),S8&lt;0),S8*R8,0)</f>
        <v>0</v>
      </c>
    </row>
    <row r="9">
      <c r="A9" s="8" t="inlineStr">
        <is>
          <t>Holter</t>
        </is>
      </c>
      <c r="B9" s="9" t="n">
        <v>20</v>
      </c>
      <c r="C9" s="10" t="inlineStr">
        <is>
          <t>Não</t>
        </is>
      </c>
      <c r="D9" s="11" t="n">
        <v>18</v>
      </c>
      <c r="E9" s="12">
        <f>IF(A9="","",IF(NOT(IF(ISNUMBER(B9),AND(B9&gt;=0),FALSE)),"faltam os minutos",IF(AND(C9&lt;&gt;"Sim",C9&lt;&gt;"Não"),"falta: gera retorno?",IF(AND(C9="Sim",NOT(AND(IF(ISNUMBER(Config!$B$11),AND(Config!$B$11&gt;=0),FALSE),IF(ISNUMBER(Config!$B$12),AND(Config!$B$12&gt;=0),FALSE)))),"falta o retorno em Config",B9+IF(C9="Sim",Config!$B$11*Config!$B$12,0)))))</f>
        <v>20</v>
      </c>
      <c r="F9" s="13">
        <f>IF(A9="","",IF(NOT(ISNUMBER(E9)),E9,IF(NOT(ISNUMBER(Config!$B$7)),"falta o custo-hora em Config",IF(NOT(IF(ISNUMBER(D9),AND(D9&gt;=0),FALSE)),"falta o material",E9/60*Config!$B$7+D9))))</f>
        <v>84.6666666666667</v>
      </c>
      <c r="G9" s="14">
        <f>IF(A9="","",IF(NOT(ISNUMBER(F9)),F9,IF((Config!$B$13&lt;&gt;"Sim"),"margens inválidas (Config)",F9/(1-Config!$B$8-Config!$B$9))))</f>
        <v>143.502824858757</v>
      </c>
      <c r="H9" s="13">
        <f>IF(A9="","",IF(NOT(ISNUMBER(F9)),F9,IF((Config!$B$13&lt;&gt;"Sim"),"margens inválidas (Config)",F9/(1-Config!$B$8-Config!$B$10))))</f>
        <v>192.424242424242</v>
      </c>
      <c r="I9" s="15" t="n">
        <v>350</v>
      </c>
      <c r="J9" s="16">
        <f>IF(OR(A9="",I9="",NOT(ISNUMBER(I9)),N(I9)=0,NOT(ISNUMBER(F9)),(Config!$B$13&lt;&gt;"Sim")),"",(I9*(1-Config!$B$8)-F9)/I9)</f>
        <v>0.648095238095238</v>
      </c>
      <c r="K9" s="17" t="str">
        <f>IF(OR(A9="",I9=""),"",IF(NOT(ISNUMBER(I9)),"Preço inválido",IF(NOT(ISNUMBER(F9)),IF(ISNUMBER(Config!$B$7),"Faltam dados da linha","Falta o custo-hora"),IF(OR(NOT(ISNUMBER(G9)),NOT(ISNUMBER(H9))),"Margens inválidas",IF(I9=0,"Sem cobrança",IF(I9&lt;G9,"Abaixo do mínimo",IF(I9&lt;H9,"Entre mínimo e alvo","No alvo ou acima")))))))</f>
        <v>No alvo ou acima</v>
      </c>
      <c r="L9" s="15" t="n">
        <v>105</v>
      </c>
      <c r="M9" s="16">
        <f>IF(OR(A9="",L9="",NOT(ISNUMBER(L9)),N(L9)=0,NOT(ISNUMBER(F9)),(Config!$B$13&lt;&gt;"Sim")),"",(L9*(1-Config!$B$8)-F9)/L9)</f>
        <v>0.0836507936507938</v>
      </c>
      <c r="N9" s="15" t="n">
        <v>95</v>
      </c>
      <c r="O9" s="16">
        <f>IF(OR(A9="",N9="",NOT(ISNUMBER(N9)),N(N9)=0,NOT(ISNUMBER(F9)),(Config!$B$13&lt;&gt;"Sim")),"",(N9*(1-Config!$B$8)-F9)/N9)</f>
        <v>-0.00122807017543853</v>
      </c>
      <c r="P9" s="15" t="n">
        <v>85</v>
      </c>
      <c r="Q9" s="16">
        <f>IF(OR(A9="",P9="",NOT(ISNUMBER(P9)),N(P9)=0,NOT(ISNUMBER(F9)),(Config!$B$13&lt;&gt;"Sim")),"",(P9*(1-Config!$B$8)-F9)/P9)</f>
        <v>-0.106078431372549</v>
      </c>
      <c r="R9" s="15" t="n"/>
      <c r="S9" s="16">
        <f>IF(OR(A9="",R9="",NOT(ISNUMBER(R9)),N(R9)=0,NOT(ISNUMBER(F9)),(Config!$B$13&lt;&gt;"Sim")),"",(R9*(1-Config!$B$8)-F9)/R9)</f>
        <v/>
      </c>
      <c r="T9" s="18">
        <f>IF(AND(ISNUMBER(M9),M9&lt;0),M9*L9,0)</f>
        <v>0</v>
      </c>
      <c r="U9" s="18">
        <f>IF(AND(ISNUMBER(O9),O9&lt;0),O9*N9,0)</f>
        <v>-0.11666666666666</v>
      </c>
      <c r="V9" s="18">
        <f>IF(AND(ISNUMBER(Q9),Q9&lt;0),Q9*P9,0)</f>
        <v>-9.01666666666665</v>
      </c>
      <c r="W9" s="18">
        <f>IF(AND(ISNUMBER(S9),S9&lt;0),S9*R9,0)</f>
        <v>0</v>
      </c>
    </row>
    <row r="10">
      <c r="A10" s="8" t="inlineStr">
        <is>
          <t>Teste ergométrico</t>
        </is>
      </c>
      <c r="B10" s="9" t="n">
        <v>40</v>
      </c>
      <c r="C10" s="10" t="inlineStr">
        <is>
          <t>Não</t>
        </is>
      </c>
      <c r="D10" s="11" t="n">
        <v>25</v>
      </c>
      <c r="E10" s="12">
        <f>IF(A10="","",IF(NOT(IF(ISNUMBER(B10),AND(B10&gt;=0),FALSE)),"faltam os minutos",IF(AND(C10&lt;&gt;"Sim",C10&lt;&gt;"Não"),"falta: gera retorno?",IF(AND(C10="Sim",NOT(AND(IF(ISNUMBER(Config!$B$11),AND(Config!$B$11&gt;=0),FALSE),IF(ISNUMBER(Config!$B$12),AND(Config!$B$12&gt;=0),FALSE)))),"falta o retorno em Config",B10+IF(C10="Sim",Config!$B$11*Config!$B$12,0)))))</f>
        <v>40</v>
      </c>
      <c r="F10" s="13">
        <f>IF(A10="","",IF(NOT(ISNUMBER(E10)),E10,IF(NOT(ISNUMBER(Config!$B$7)),"falta o custo-hora em Config",IF(NOT(IF(ISNUMBER(D10),AND(D10&gt;=0),FALSE)),"falta o material",E10/60*Config!$B$7+D10))))</f>
        <v>158.333333333333</v>
      </c>
      <c r="G10" s="14">
        <f>IF(A10="","",IF(NOT(ISNUMBER(F10)),F10,IF((Config!$B$13&lt;&gt;"Sim"),"margens inválidas (Config)",F10/(1-Config!$B$8-Config!$B$9))))</f>
        <v>268.361581920904</v>
      </c>
      <c r="H10" s="13">
        <f>IF(A10="","",IF(NOT(ISNUMBER(F10)),F10,IF((Config!$B$13&lt;&gt;"Sim"),"margens inválidas (Config)",F10/(1-Config!$B$8-Config!$B$10))))</f>
        <v>359.848484848485</v>
      </c>
      <c r="I10" s="15" t="n">
        <v>450</v>
      </c>
      <c r="J10" s="16">
        <f>IF(OR(A10="",I10="",NOT(ISNUMBER(I10)),N(I10)=0,NOT(ISNUMBER(F10)),(Config!$B$13&lt;&gt;"Sim")),"",(I10*(1-Config!$B$8)-F10)/I10)</f>
        <v>0.538148148148148</v>
      </c>
      <c r="K10" s="17" t="str">
        <f>IF(OR(A10="",I10=""),"",IF(NOT(ISNUMBER(I10)),"Preço inválido",IF(NOT(ISNUMBER(F10)),IF(ISNUMBER(Config!$B$7),"Faltam dados da linha","Falta o custo-hora"),IF(OR(NOT(ISNUMBER(G10)),NOT(ISNUMBER(H10))),"Margens inválidas",IF(I10=0,"Sem cobrança",IF(I10&lt;G10,"Abaixo do mínimo",IF(I10&lt;H10,"Entre mínimo e alvo","No alvo ou acima")))))))</f>
        <v>No alvo ou acima</v>
      </c>
      <c r="L10" s="15" t="n">
        <v>140</v>
      </c>
      <c r="M10" s="16">
        <f>IF(OR(A10="",L10="",NOT(ISNUMBER(L10)),N(L10)=0,NOT(ISNUMBER(F10)),(Config!$B$13&lt;&gt;"Sim")),"",(L10*(1-Config!$B$8)-F10)/L10)</f>
        <v>-0.240952380952381</v>
      </c>
      <c r="N10" s="15" t="n">
        <v>125</v>
      </c>
      <c r="O10" s="16">
        <f>IF(OR(A10="",N10="",NOT(ISNUMBER(N10)),N(N10)=0,NOT(ISNUMBER(F10)),(Config!$B$13&lt;&gt;"Sim")),"",(N10*(1-Config!$B$8)-F10)/N10)</f>
        <v>-0.376666666666667</v>
      </c>
      <c r="P10" s="15" t="n">
        <v>110</v>
      </c>
      <c r="Q10" s="16">
        <f>IF(OR(A10="",P10="",NOT(ISNUMBER(P10)),N(P10)=0,NOT(ISNUMBER(F10)),(Config!$B$13&lt;&gt;"Sim")),"",(P10*(1-Config!$B$8)-F10)/P10)</f>
        <v>-0.549393939393939</v>
      </c>
      <c r="R10" s="15" t="n"/>
      <c r="S10" s="16">
        <f>IF(OR(A10="",R10="",NOT(ISNUMBER(R10)),N(R10)=0,NOT(ISNUMBER(F10)),(Config!$B$13&lt;&gt;"Sim")),"",(R10*(1-Config!$B$8)-F10)/R10)</f>
        <v/>
      </c>
      <c r="T10" s="18">
        <f>IF(AND(ISNUMBER(M10),M10&lt;0),M10*L10,0)</f>
        <v>-33.7333333333333</v>
      </c>
      <c r="U10" s="18">
        <f>IF(AND(ISNUMBER(O10),O10&lt;0),O10*N10,0)</f>
        <v>-47.0833333333333</v>
      </c>
      <c r="V10" s="18">
        <f>IF(AND(ISNUMBER(Q10),Q10&lt;0),Q10*P10,0)</f>
        <v>-60.4333333333333</v>
      </c>
      <c r="W10" s="18">
        <f>IF(AND(ISNUMBER(S10),S10&lt;0),S10*R10,0)</f>
        <v>0</v>
      </c>
    </row>
    <row r="11">
      <c r="A11" s="8" t="inlineStr">
        <is>
          <t>Avaliação endócrina</t>
        </is>
      </c>
      <c r="B11" s="9" t="n">
        <v>40</v>
      </c>
      <c r="C11" s="10" t="inlineStr">
        <is>
          <t>Sim</t>
        </is>
      </c>
      <c r="D11" s="11" t="n">
        <v>4</v>
      </c>
      <c r="E11" s="12">
        <f>IF(A11="","",IF(NOT(IF(ISNUMBER(B11),AND(B11&gt;=0),FALSE)),"faltam os minutos",IF(AND(C11&lt;&gt;"Sim",C11&lt;&gt;"Não"),"falta: gera retorno?",IF(AND(C11="Sim",NOT(AND(IF(ISNUMBER(Config!$B$11),AND(Config!$B$11&gt;=0),FALSE),IF(ISNUMBER(Config!$B$12),AND(Config!$B$12&gt;=0),FALSE)))),"falta o retorno em Config",B11+IF(C11="Sim",Config!$B$11*Config!$B$12,0)))))</f>
        <v>48</v>
      </c>
      <c r="F11" s="13">
        <f>IF(A11="","",IF(NOT(ISNUMBER(E11)),E11,IF(NOT(ISNUMBER(Config!$B$7)),"falta o custo-hora em Config",IF(NOT(IF(ISNUMBER(D11),AND(D11&gt;=0),FALSE)),"falta o material",E11/60*Config!$B$7+D11))))</f>
        <v>164</v>
      </c>
      <c r="G11" s="14">
        <f>IF(A11="","",IF(NOT(ISNUMBER(F11)),F11,IF((Config!$B$13&lt;&gt;"Sim"),"margens inválidas (Config)",F11/(1-Config!$B$8-Config!$B$9))))</f>
        <v>277.966101694915</v>
      </c>
      <c r="H11" s="13">
        <f>IF(A11="","",IF(NOT(ISNUMBER(F11)),F11,IF((Config!$B$13&lt;&gt;"Sim"),"margens inválidas (Config)",F11/(1-Config!$B$8-Config!$B$10))))</f>
        <v>372.727272727273</v>
      </c>
      <c r="I11" s="15" t="n">
        <v>400</v>
      </c>
      <c r="J11" s="16">
        <f>IF(OR(A11="",I11="",NOT(ISNUMBER(I11)),N(I11)=0,NOT(ISNUMBER(F11)),(Config!$B$13&lt;&gt;"Sim")),"",(I11*(1-Config!$B$8)-F11)/I11)</f>
        <v>0.48</v>
      </c>
      <c r="K11" s="17" t="str">
        <f>IF(OR(A11="",I11=""),"",IF(NOT(ISNUMBER(I11)),"Preço inválido",IF(NOT(ISNUMBER(F11)),IF(ISNUMBER(Config!$B$7),"Faltam dados da linha","Falta o custo-hora"),IF(OR(NOT(ISNUMBER(G11)),NOT(ISNUMBER(H11))),"Margens inválidas",IF(I11=0,"Sem cobrança",IF(I11&lt;G11,"Abaixo do mínimo",IF(I11&lt;H11,"Entre mínimo e alvo","No alvo ou acima")))))))</f>
        <v>No alvo ou acima</v>
      </c>
      <c r="L11" s="15" t="n">
        <v>130</v>
      </c>
      <c r="M11" s="16">
        <f>IF(OR(A11="",L11="",NOT(ISNUMBER(L11)),N(L11)=0,NOT(ISNUMBER(F11)),(Config!$B$13&lt;&gt;"Sim")),"",(L11*(1-Config!$B$8)-F11)/L11)</f>
        <v>-0.371538461538462</v>
      </c>
      <c r="N11" s="15" t="n"/>
      <c r="O11" s="16">
        <f>IF(OR(A11="",N11="",NOT(ISNUMBER(N11)),N(N11)=0,NOT(ISNUMBER(F11)),(Config!$B$13&lt;&gt;"Sim")),"",(N11*(1-Config!$B$8)-F11)/N11)</f>
        <v/>
      </c>
      <c r="P11" s="15" t="n"/>
      <c r="Q11" s="16">
        <f>IF(OR(A11="",P11="",NOT(ISNUMBER(P11)),N(P11)=0,NOT(ISNUMBER(F11)),(Config!$B$13&lt;&gt;"Sim")),"",(P11*(1-Config!$B$8)-F11)/P11)</f>
        <v/>
      </c>
      <c r="R11" s="15" t="n"/>
      <c r="S11" s="16">
        <f>IF(OR(A11="",R11="",NOT(ISNUMBER(R11)),N(R11)=0,NOT(ISNUMBER(F11)),(Config!$B$13&lt;&gt;"Sim")),"",(R11*(1-Config!$B$8)-F11)/R11)</f>
        <v/>
      </c>
      <c r="T11" s="18">
        <f>IF(AND(ISNUMBER(M11),M11&lt;0),M11*L11,0)</f>
        <v>-48.3</v>
      </c>
      <c r="U11" s="18">
        <f>IF(AND(ISNUMBER(O11),O11&lt;0),O11*N11,0)</f>
        <v>0</v>
      </c>
      <c r="V11" s="18">
        <f>IF(AND(ISNUMBER(Q11),Q11&lt;0),Q11*P11,0)</f>
        <v>0</v>
      </c>
      <c r="W11" s="18">
        <f>IF(AND(ISNUMBER(S11),S11&lt;0),S11*R11,0)</f>
        <v>0</v>
      </c>
    </row>
    <row r="12">
      <c r="A12" s="8" t="n"/>
      <c r="B12" s="9" t="n"/>
      <c r="C12" s="10" t="n"/>
      <c r="D12" s="11" t="n"/>
      <c r="E12" s="12">
        <f>IF(A12="","",IF(NOT(IF(ISNUMBER(B12),AND(B12&gt;=0),FALSE)),"faltam os minutos",IF(AND(C12&lt;&gt;"Sim",C12&lt;&gt;"Não"),"falta: gera retorno?",IF(AND(C12="Sim",NOT(AND(IF(ISNUMBER(Config!$B$11),AND(Config!$B$11&gt;=0),FALSE),IF(ISNUMBER(Config!$B$12),AND(Config!$B$12&gt;=0),FALSE)))),"falta o retorno em Config",B12+IF(C12="Sim",Config!$B$11*Config!$B$12,0)))))</f>
        <v/>
      </c>
      <c r="F12" s="13">
        <f>IF(A12="","",IF(NOT(ISNUMBER(E12)),E12,IF(NOT(ISNUMBER(Config!$B$7)),"falta o custo-hora em Config",IF(NOT(IF(ISNUMBER(D12),AND(D12&gt;=0),FALSE)),"falta o material",E12/60*Config!$B$7+D12))))</f>
        <v/>
      </c>
      <c r="G12" s="14">
        <f>IF(A12="","",IF(NOT(ISNUMBER(F12)),F12,IF((Config!$B$13&lt;&gt;"Sim"),"margens inválidas (Config)",F12/(1-Config!$B$8-Config!$B$9))))</f>
        <v/>
      </c>
      <c r="H12" s="13">
        <f>IF(A12="","",IF(NOT(ISNUMBER(F12)),F12,IF((Config!$B$13&lt;&gt;"Sim"),"margens inválidas (Config)",F12/(1-Config!$B$8-Config!$B$10))))</f>
        <v/>
      </c>
      <c r="I12" s="15" t="n"/>
      <c r="J12" s="16">
        <f>IF(OR(A12="",I12="",NOT(ISNUMBER(I12)),N(I12)=0,NOT(ISNUMBER(F12)),(Config!$B$13&lt;&gt;"Sim")),"",(I12*(1-Config!$B$8)-F12)/I12)</f>
        <v/>
      </c>
      <c r="K12" s="17">
        <f>IF(OR(A12="",I12=""),"",IF(NOT(ISNUMBER(I12)),"Preço inválido",IF(NOT(ISNUMBER(F12)),IF(ISNUMBER(Config!$B$7),"Faltam dados da linha","Falta o custo-hora"),IF(OR(NOT(ISNUMBER(G12)),NOT(ISNUMBER(H12))),"Margens inválidas",IF(I12=0,"Sem cobrança",IF(I12&lt;G12,"Abaixo do mínimo",IF(I12&lt;H12,"Entre mínimo e alvo","No alvo ou acima")))))))</f>
        <v/>
      </c>
      <c r="L12" s="15" t="n"/>
      <c r="M12" s="16">
        <f>IF(OR(A12="",L12="",NOT(ISNUMBER(L12)),N(L12)=0,NOT(ISNUMBER(F12)),(Config!$B$13&lt;&gt;"Sim")),"",(L12*(1-Config!$B$8)-F12)/L12)</f>
        <v/>
      </c>
      <c r="N12" s="15" t="n"/>
      <c r="O12" s="16">
        <f>IF(OR(A12="",N12="",NOT(ISNUMBER(N12)),N(N12)=0,NOT(ISNUMBER(F12)),(Config!$B$13&lt;&gt;"Sim")),"",(N12*(1-Config!$B$8)-F12)/N12)</f>
        <v/>
      </c>
      <c r="P12" s="15" t="n"/>
      <c r="Q12" s="16">
        <f>IF(OR(A12="",P12="",NOT(ISNUMBER(P12)),N(P12)=0,NOT(ISNUMBER(F12)),(Config!$B$13&lt;&gt;"Sim")),"",(P12*(1-Config!$B$8)-F12)/P12)</f>
        <v/>
      </c>
      <c r="R12" s="15" t="n"/>
      <c r="S12" s="16">
        <f>IF(OR(A12="",R12="",NOT(ISNUMBER(R12)),N(R12)=0,NOT(ISNUMBER(F12)),(Config!$B$13&lt;&gt;"Sim")),"",(R12*(1-Config!$B$8)-F12)/R12)</f>
        <v/>
      </c>
      <c r="T12" s="18">
        <f>IF(AND(ISNUMBER(M12),M12&lt;0),M12*L12,0)</f>
        <v>0</v>
      </c>
      <c r="U12" s="18">
        <f>IF(AND(ISNUMBER(O12),O12&lt;0),O12*N12,0)</f>
        <v>0</v>
      </c>
      <c r="V12" s="18">
        <f>IF(AND(ISNUMBER(Q12),Q12&lt;0),Q12*P12,0)</f>
        <v>0</v>
      </c>
      <c r="W12" s="18">
        <f>IF(AND(ISNUMBER(S12),S12&lt;0),S12*R12,0)</f>
        <v>0</v>
      </c>
    </row>
    <row r="13">
      <c r="A13" s="8" t="n"/>
      <c r="B13" s="9" t="n"/>
      <c r="C13" s="10" t="n"/>
      <c r="D13" s="11" t="n"/>
      <c r="E13" s="12">
        <f>IF(A13="","",IF(NOT(IF(ISNUMBER(B13),AND(B13&gt;=0),FALSE)),"faltam os minutos",IF(AND(C13&lt;&gt;"Sim",C13&lt;&gt;"Não"),"falta: gera retorno?",IF(AND(C13="Sim",NOT(AND(IF(ISNUMBER(Config!$B$11),AND(Config!$B$11&gt;=0),FALSE),IF(ISNUMBER(Config!$B$12),AND(Config!$B$12&gt;=0),FALSE)))),"falta o retorno em Config",B13+IF(C13="Sim",Config!$B$11*Config!$B$12,0)))))</f>
        <v/>
      </c>
      <c r="F13" s="13">
        <f>IF(A13="","",IF(NOT(ISNUMBER(E13)),E13,IF(NOT(ISNUMBER(Config!$B$7)),"falta o custo-hora em Config",IF(NOT(IF(ISNUMBER(D13),AND(D13&gt;=0),FALSE)),"falta o material",E13/60*Config!$B$7+D13))))</f>
        <v/>
      </c>
      <c r="G13" s="14">
        <f>IF(A13="","",IF(NOT(ISNUMBER(F13)),F13,IF((Config!$B$13&lt;&gt;"Sim"),"margens inválidas (Config)",F13/(1-Config!$B$8-Config!$B$9))))</f>
        <v/>
      </c>
      <c r="H13" s="13">
        <f>IF(A13="","",IF(NOT(ISNUMBER(F13)),F13,IF((Config!$B$13&lt;&gt;"Sim"),"margens inválidas (Config)",F13/(1-Config!$B$8-Config!$B$10))))</f>
        <v/>
      </c>
      <c r="I13" s="15" t="n"/>
      <c r="J13" s="16">
        <f>IF(OR(A13="",I13="",NOT(ISNUMBER(I13)),N(I13)=0,NOT(ISNUMBER(F13)),(Config!$B$13&lt;&gt;"Sim")),"",(I13*(1-Config!$B$8)-F13)/I13)</f>
        <v/>
      </c>
      <c r="K13" s="17">
        <f>IF(OR(A13="",I13=""),"",IF(NOT(ISNUMBER(I13)),"Preço inválido",IF(NOT(ISNUMBER(F13)),IF(ISNUMBER(Config!$B$7),"Faltam dados da linha","Falta o custo-hora"),IF(OR(NOT(ISNUMBER(G13)),NOT(ISNUMBER(H13))),"Margens inválidas",IF(I13=0,"Sem cobrança",IF(I13&lt;G13,"Abaixo do mínimo",IF(I13&lt;H13,"Entre mínimo e alvo","No alvo ou acima")))))))</f>
        <v/>
      </c>
      <c r="L13" s="15" t="n"/>
      <c r="M13" s="16">
        <f>IF(OR(A13="",L13="",NOT(ISNUMBER(L13)),N(L13)=0,NOT(ISNUMBER(F13)),(Config!$B$13&lt;&gt;"Sim")),"",(L13*(1-Config!$B$8)-F13)/L13)</f>
        <v/>
      </c>
      <c r="N13" s="15" t="n"/>
      <c r="O13" s="16">
        <f>IF(OR(A13="",N13="",NOT(ISNUMBER(N13)),N(N13)=0,NOT(ISNUMBER(F13)),(Config!$B$13&lt;&gt;"Sim")),"",(N13*(1-Config!$B$8)-F13)/N13)</f>
        <v/>
      </c>
      <c r="P13" s="15" t="n"/>
      <c r="Q13" s="16">
        <f>IF(OR(A13="",P13="",NOT(ISNUMBER(P13)),N(P13)=0,NOT(ISNUMBER(F13)),(Config!$B$13&lt;&gt;"Sim")),"",(P13*(1-Config!$B$8)-F13)/P13)</f>
        <v/>
      </c>
      <c r="R13" s="15" t="n"/>
      <c r="S13" s="16">
        <f>IF(OR(A13="",R13="",NOT(ISNUMBER(R13)),N(R13)=0,NOT(ISNUMBER(F13)),(Config!$B$13&lt;&gt;"Sim")),"",(R13*(1-Config!$B$8)-F13)/R13)</f>
        <v/>
      </c>
      <c r="T13" s="18">
        <f>IF(AND(ISNUMBER(M13),M13&lt;0),M13*L13,0)</f>
        <v>0</v>
      </c>
      <c r="U13" s="18">
        <f>IF(AND(ISNUMBER(O13),O13&lt;0),O13*N13,0)</f>
        <v>0</v>
      </c>
      <c r="V13" s="18">
        <f>IF(AND(ISNUMBER(Q13),Q13&lt;0),Q13*P13,0)</f>
        <v>0</v>
      </c>
      <c r="W13" s="18">
        <f>IF(AND(ISNUMBER(S13),S13&lt;0),S13*R13,0)</f>
        <v>0</v>
      </c>
    </row>
    <row r="14">
      <c r="A14" s="8" t="n"/>
      <c r="B14" s="9" t="n"/>
      <c r="C14" s="10" t="n"/>
      <c r="D14" s="11" t="n"/>
      <c r="E14" s="12">
        <f>IF(A14="","",IF(NOT(IF(ISNUMBER(B14),AND(B14&gt;=0),FALSE)),"faltam os minutos",IF(AND(C14&lt;&gt;"Sim",C14&lt;&gt;"Não"),"falta: gera retorno?",IF(AND(C14="Sim",NOT(AND(IF(ISNUMBER(Config!$B$11),AND(Config!$B$11&gt;=0),FALSE),IF(ISNUMBER(Config!$B$12),AND(Config!$B$12&gt;=0),FALSE)))),"falta o retorno em Config",B14+IF(C14="Sim",Config!$B$11*Config!$B$12,0)))))</f>
        <v/>
      </c>
      <c r="F14" s="13">
        <f>IF(A14="","",IF(NOT(ISNUMBER(E14)),E14,IF(NOT(ISNUMBER(Config!$B$7)),"falta o custo-hora em Config",IF(NOT(IF(ISNUMBER(D14),AND(D14&gt;=0),FALSE)),"falta o material",E14/60*Config!$B$7+D14))))</f>
        <v/>
      </c>
      <c r="G14" s="14">
        <f>IF(A14="","",IF(NOT(ISNUMBER(F14)),F14,IF((Config!$B$13&lt;&gt;"Sim"),"margens inválidas (Config)",F14/(1-Config!$B$8-Config!$B$9))))</f>
        <v/>
      </c>
      <c r="H14" s="13">
        <f>IF(A14="","",IF(NOT(ISNUMBER(F14)),F14,IF((Config!$B$13&lt;&gt;"Sim"),"margens inválidas (Config)",F14/(1-Config!$B$8-Config!$B$10))))</f>
        <v/>
      </c>
      <c r="I14" s="15" t="n"/>
      <c r="J14" s="16">
        <f>IF(OR(A14="",I14="",NOT(ISNUMBER(I14)),N(I14)=0,NOT(ISNUMBER(F14)),(Config!$B$13&lt;&gt;"Sim")),"",(I14*(1-Config!$B$8)-F14)/I14)</f>
        <v/>
      </c>
      <c r="K14" s="17">
        <f>IF(OR(A14="",I14=""),"",IF(NOT(ISNUMBER(I14)),"Preço inválido",IF(NOT(ISNUMBER(F14)),IF(ISNUMBER(Config!$B$7),"Faltam dados da linha","Falta o custo-hora"),IF(OR(NOT(ISNUMBER(G14)),NOT(ISNUMBER(H14))),"Margens inválidas",IF(I14=0,"Sem cobrança",IF(I14&lt;G14,"Abaixo do mínimo",IF(I14&lt;H14,"Entre mínimo e alvo","No alvo ou acima")))))))</f>
        <v/>
      </c>
      <c r="L14" s="15" t="n"/>
      <c r="M14" s="16">
        <f>IF(OR(A14="",L14="",NOT(ISNUMBER(L14)),N(L14)=0,NOT(ISNUMBER(F14)),(Config!$B$13&lt;&gt;"Sim")),"",(L14*(1-Config!$B$8)-F14)/L14)</f>
        <v/>
      </c>
      <c r="N14" s="15" t="n"/>
      <c r="O14" s="16">
        <f>IF(OR(A14="",N14="",NOT(ISNUMBER(N14)),N(N14)=0,NOT(ISNUMBER(F14)),(Config!$B$13&lt;&gt;"Sim")),"",(N14*(1-Config!$B$8)-F14)/N14)</f>
        <v/>
      </c>
      <c r="P14" s="15" t="n"/>
      <c r="Q14" s="16">
        <f>IF(OR(A14="",P14="",NOT(ISNUMBER(P14)),N(P14)=0,NOT(ISNUMBER(F14)),(Config!$B$13&lt;&gt;"Sim")),"",(P14*(1-Config!$B$8)-F14)/P14)</f>
        <v/>
      </c>
      <c r="R14" s="15" t="n"/>
      <c r="S14" s="16">
        <f>IF(OR(A14="",R14="",NOT(ISNUMBER(R14)),N(R14)=0,NOT(ISNUMBER(F14)),(Config!$B$13&lt;&gt;"Sim")),"",(R14*(1-Config!$B$8)-F14)/R14)</f>
        <v/>
      </c>
      <c r="T14" s="18">
        <f>IF(AND(ISNUMBER(M14),M14&lt;0),M14*L14,0)</f>
        <v>0</v>
      </c>
      <c r="U14" s="18">
        <f>IF(AND(ISNUMBER(O14),O14&lt;0),O14*N14,0)</f>
        <v>0</v>
      </c>
      <c r="V14" s="18">
        <f>IF(AND(ISNUMBER(Q14),Q14&lt;0),Q14*P14,0)</f>
        <v>0</v>
      </c>
      <c r="W14" s="18">
        <f>IF(AND(ISNUMBER(S14),S14&lt;0),S14*R14,0)</f>
        <v>0</v>
      </c>
    </row>
    <row r="15">
      <c r="A15" s="8" t="n"/>
      <c r="B15" s="9" t="n"/>
      <c r="C15" s="10" t="n"/>
      <c r="D15" s="11" t="n"/>
      <c r="E15" s="12">
        <f>IF(A15="","",IF(NOT(IF(ISNUMBER(B15),AND(B15&gt;=0),FALSE)),"faltam os minutos",IF(AND(C15&lt;&gt;"Sim",C15&lt;&gt;"Não"),"falta: gera retorno?",IF(AND(C15="Sim",NOT(AND(IF(ISNUMBER(Config!$B$11),AND(Config!$B$11&gt;=0),FALSE),IF(ISNUMBER(Config!$B$12),AND(Config!$B$12&gt;=0),FALSE)))),"falta o retorno em Config",B15+IF(C15="Sim",Config!$B$11*Config!$B$12,0)))))</f>
        <v/>
      </c>
      <c r="F15" s="13">
        <f>IF(A15="","",IF(NOT(ISNUMBER(E15)),E15,IF(NOT(ISNUMBER(Config!$B$7)),"falta o custo-hora em Config",IF(NOT(IF(ISNUMBER(D15),AND(D15&gt;=0),FALSE)),"falta o material",E15/60*Config!$B$7+D15))))</f>
        <v/>
      </c>
      <c r="G15" s="14">
        <f>IF(A15="","",IF(NOT(ISNUMBER(F15)),F15,IF((Config!$B$13&lt;&gt;"Sim"),"margens inválidas (Config)",F15/(1-Config!$B$8-Config!$B$9))))</f>
        <v/>
      </c>
      <c r="H15" s="13">
        <f>IF(A15="","",IF(NOT(ISNUMBER(F15)),F15,IF((Config!$B$13&lt;&gt;"Sim"),"margens inválidas (Config)",F15/(1-Config!$B$8-Config!$B$10))))</f>
        <v/>
      </c>
      <c r="I15" s="15" t="n"/>
      <c r="J15" s="16">
        <f>IF(OR(A15="",I15="",NOT(ISNUMBER(I15)),N(I15)=0,NOT(ISNUMBER(F15)),(Config!$B$13&lt;&gt;"Sim")),"",(I15*(1-Config!$B$8)-F15)/I15)</f>
        <v/>
      </c>
      <c r="K15" s="17">
        <f>IF(OR(A15="",I15=""),"",IF(NOT(ISNUMBER(I15)),"Preço inválido",IF(NOT(ISNUMBER(F15)),IF(ISNUMBER(Config!$B$7),"Faltam dados da linha","Falta o custo-hora"),IF(OR(NOT(ISNUMBER(G15)),NOT(ISNUMBER(H15))),"Margens inválidas",IF(I15=0,"Sem cobrança",IF(I15&lt;G15,"Abaixo do mínimo",IF(I15&lt;H15,"Entre mínimo e alvo","No alvo ou acima")))))))</f>
        <v/>
      </c>
      <c r="L15" s="15" t="n"/>
      <c r="M15" s="16">
        <f>IF(OR(A15="",L15="",NOT(ISNUMBER(L15)),N(L15)=0,NOT(ISNUMBER(F15)),(Config!$B$13&lt;&gt;"Sim")),"",(L15*(1-Config!$B$8)-F15)/L15)</f>
        <v/>
      </c>
      <c r="N15" s="15" t="n"/>
      <c r="O15" s="16">
        <f>IF(OR(A15="",N15="",NOT(ISNUMBER(N15)),N(N15)=0,NOT(ISNUMBER(F15)),(Config!$B$13&lt;&gt;"Sim")),"",(N15*(1-Config!$B$8)-F15)/N15)</f>
        <v/>
      </c>
      <c r="P15" s="15" t="n"/>
      <c r="Q15" s="16">
        <f>IF(OR(A15="",P15="",NOT(ISNUMBER(P15)),N(P15)=0,NOT(ISNUMBER(F15)),(Config!$B$13&lt;&gt;"Sim")),"",(P15*(1-Config!$B$8)-F15)/P15)</f>
        <v/>
      </c>
      <c r="R15" s="15" t="n"/>
      <c r="S15" s="16">
        <f>IF(OR(A15="",R15="",NOT(ISNUMBER(R15)),N(R15)=0,NOT(ISNUMBER(F15)),(Config!$B$13&lt;&gt;"Sim")),"",(R15*(1-Config!$B$8)-F15)/R15)</f>
        <v/>
      </c>
      <c r="T15" s="18">
        <f>IF(AND(ISNUMBER(M15),M15&lt;0),M15*L15,0)</f>
        <v>0</v>
      </c>
      <c r="U15" s="18">
        <f>IF(AND(ISNUMBER(O15),O15&lt;0),O15*N15,0)</f>
        <v>0</v>
      </c>
      <c r="V15" s="18">
        <f>IF(AND(ISNUMBER(Q15),Q15&lt;0),Q15*P15,0)</f>
        <v>0</v>
      </c>
      <c r="W15" s="18">
        <f>IF(AND(ISNUMBER(S15),S15&lt;0),S15*R15,0)</f>
        <v>0</v>
      </c>
    </row>
    <row r="16">
      <c r="A16" s="8" t="n"/>
      <c r="B16" s="9" t="n"/>
      <c r="C16" s="10" t="n"/>
      <c r="D16" s="11" t="n"/>
      <c r="E16" s="12">
        <f>IF(A16="","",IF(NOT(IF(ISNUMBER(B16),AND(B16&gt;=0),FALSE)),"faltam os minutos",IF(AND(C16&lt;&gt;"Sim",C16&lt;&gt;"Não"),"falta: gera retorno?",IF(AND(C16="Sim",NOT(AND(IF(ISNUMBER(Config!$B$11),AND(Config!$B$11&gt;=0),FALSE),IF(ISNUMBER(Config!$B$12),AND(Config!$B$12&gt;=0),FALSE)))),"falta o retorno em Config",B16+IF(C16="Sim",Config!$B$11*Config!$B$12,0)))))</f>
        <v/>
      </c>
      <c r="F16" s="13">
        <f>IF(A16="","",IF(NOT(ISNUMBER(E16)),E16,IF(NOT(ISNUMBER(Config!$B$7)),"falta o custo-hora em Config",IF(NOT(IF(ISNUMBER(D16),AND(D16&gt;=0),FALSE)),"falta o material",E16/60*Config!$B$7+D16))))</f>
        <v/>
      </c>
      <c r="G16" s="14">
        <f>IF(A16="","",IF(NOT(ISNUMBER(F16)),F16,IF((Config!$B$13&lt;&gt;"Sim"),"margens inválidas (Config)",F16/(1-Config!$B$8-Config!$B$9))))</f>
        <v/>
      </c>
      <c r="H16" s="13">
        <f>IF(A16="","",IF(NOT(ISNUMBER(F16)),F16,IF((Config!$B$13&lt;&gt;"Sim"),"margens inválidas (Config)",F16/(1-Config!$B$8-Config!$B$10))))</f>
        <v/>
      </c>
      <c r="I16" s="15" t="n"/>
      <c r="J16" s="16">
        <f>IF(OR(A16="",I16="",NOT(ISNUMBER(I16)),N(I16)=0,NOT(ISNUMBER(F16)),(Config!$B$13&lt;&gt;"Sim")),"",(I16*(1-Config!$B$8)-F16)/I16)</f>
        <v/>
      </c>
      <c r="K16" s="17">
        <f>IF(OR(A16="",I16=""),"",IF(NOT(ISNUMBER(I16)),"Preço inválido",IF(NOT(ISNUMBER(F16)),IF(ISNUMBER(Config!$B$7),"Faltam dados da linha","Falta o custo-hora"),IF(OR(NOT(ISNUMBER(G16)),NOT(ISNUMBER(H16))),"Margens inválidas",IF(I16=0,"Sem cobrança",IF(I16&lt;G16,"Abaixo do mínimo",IF(I16&lt;H16,"Entre mínimo e alvo","No alvo ou acima")))))))</f>
        <v/>
      </c>
      <c r="L16" s="15" t="n"/>
      <c r="M16" s="16">
        <f>IF(OR(A16="",L16="",NOT(ISNUMBER(L16)),N(L16)=0,NOT(ISNUMBER(F16)),(Config!$B$13&lt;&gt;"Sim")),"",(L16*(1-Config!$B$8)-F16)/L16)</f>
        <v/>
      </c>
      <c r="N16" s="15" t="n"/>
      <c r="O16" s="16">
        <f>IF(OR(A16="",N16="",NOT(ISNUMBER(N16)),N(N16)=0,NOT(ISNUMBER(F16)),(Config!$B$13&lt;&gt;"Sim")),"",(N16*(1-Config!$B$8)-F16)/N16)</f>
        <v/>
      </c>
      <c r="P16" s="15" t="n"/>
      <c r="Q16" s="16">
        <f>IF(OR(A16="",P16="",NOT(ISNUMBER(P16)),N(P16)=0,NOT(ISNUMBER(F16)),(Config!$B$13&lt;&gt;"Sim")),"",(P16*(1-Config!$B$8)-F16)/P16)</f>
        <v/>
      </c>
      <c r="R16" s="15" t="n"/>
      <c r="S16" s="16">
        <f>IF(OR(A16="",R16="",NOT(ISNUMBER(R16)),N(R16)=0,NOT(ISNUMBER(F16)),(Config!$B$13&lt;&gt;"Sim")),"",(R16*(1-Config!$B$8)-F16)/R16)</f>
        <v/>
      </c>
      <c r="T16" s="18">
        <f>IF(AND(ISNUMBER(M16),M16&lt;0),M16*L16,0)</f>
        <v>0</v>
      </c>
      <c r="U16" s="18">
        <f>IF(AND(ISNUMBER(O16),O16&lt;0),O16*N16,0)</f>
        <v>0</v>
      </c>
      <c r="V16" s="18">
        <f>IF(AND(ISNUMBER(Q16),Q16&lt;0),Q16*P16,0)</f>
        <v>0</v>
      </c>
      <c r="W16" s="18">
        <f>IF(AND(ISNUMBER(S16),S16&lt;0),S16*R16,0)</f>
        <v>0</v>
      </c>
    </row>
    <row r="17"/>
    <row r="18" ht="32" customHeight="1">
      <c r="A18" s="19" t="inlineStr">
        <is>
          <t>Custo cheio = tempo (com retorno embutido) ÷ 60 × custo-hora + material. Preço mínimo = custo ÷ (1 − impostos − margem mínima); preço alvo, com a margem alvo. Margem = (preço × (1 − impostos) − custo) ÷ preço. Vermelho: não cobre o custo cheio. Amarelo: cobre o custo, mas fica abaixo da margem mínima. Verde: margem mínima ou mais.</t>
        </is>
      </c>
    </row>
    <row r="19" ht="32" customHeight="1">
      <c r="A19" s="19" t="inlineStr">
        <is>
          <t>Retorno tem preço zero de propósito: o tempo dele já está no custo da consulta. Tabela de convênio abaixo do custo cheio não é automaticamente "não aceitar": com agenda vazia, o que importa é a contribuição (planilha 07).</t>
        </is>
      </c>
    </row>
    <row r="20"/>
    <row r="21">
      <c r="A21" s="20" t="inlineStr">
        <is>
          <t>Resumo</t>
        </is>
      </c>
    </row>
    <row r="22">
      <c r="A22" s="21" t="inlineStr">
        <is>
          <t>Custo da hora de atendimento (planilha 05)</t>
        </is>
      </c>
      <c r="B22" s="22" t="n"/>
      <c r="C22" s="22" t="n"/>
      <c r="D22" s="23" t="n"/>
      <c r="E22" s="14">
        <f>IF(ISNUMBER(Config!$B$7),Config!$B$7,"falta o custo-hora em Config")</f>
        <v>200</v>
      </c>
    </row>
    <row r="23">
      <c r="A23" s="21" t="inlineStr">
        <is>
          <t>Hora mínima a cobrar (custo-hora ÷ (1 − impostos − margem mínima))</t>
        </is>
      </c>
      <c r="B23" s="22" t="n"/>
      <c r="C23" s="22" t="n"/>
      <c r="D23" s="23" t="n"/>
      <c r="E23" s="14">
        <f>IF(NOT(ISNUMBER(Config!$B$7)),"falta o custo-hora em Config",IF((Config!$B$13&lt;&gt;"Sim"),"margens inválidas (Config)",IF((SUMPRODUCT(($A$5:$A$16&lt;&gt;"")*(ISNUMBER($F$5:$F$16)=FALSE))+SUMPRODUCT(ISTEXT($I$5:$I$16)*1)+SUMPRODUCT(ISTEXT($L$5:$L$16)*1)+SUMPRODUCT(ISTEXT($N$5:$N$16)*1)+SUMPRODUCT(ISTEXT($P$5:$P$16)*1)+SUMPRODUCT(ISTEXT($R$5:$R$16)*1))&gt;0,(SUMPRODUCT(($A$5:$A$16&lt;&gt;"")*(ISNUMBER($F$5:$F$16)=FALSE))+SUMPRODUCT(ISTEXT($I$5:$I$16)*1)+SUMPRODUCT(ISTEXT($L$5:$L$16)*1)+SUMPRODUCT(ISTEXT($N$5:$N$16)*1)+SUMPRODUCT(ISTEXT($P$5:$P$16)*1)+SUMPRODUCT(ISTEXT($R$5:$R$16)*1))&amp;" linha(s) ou preço(s) incompletos",Config!$B$7/(1-Config!$B$8-Config!$B$9))))</f>
        <v>338.983050847458</v>
      </c>
    </row>
    <row r="24">
      <c r="A24" s="21" t="inlineStr">
        <is>
          <t>Procedimentos com particular abaixo do mínimo</t>
        </is>
      </c>
      <c r="B24" s="22" t="n"/>
      <c r="C24" s="22" t="n"/>
      <c r="D24" s="23" t="n"/>
      <c r="E24" s="24" t="str">
        <f>IF(NOT(ISNUMBER(Config!$B$7)),"falta o custo-hora em Config",IF((Config!$B$13&lt;&gt;"Sim"),"margens inválidas (Config)",IF((SUMPRODUCT(($A$5:$A$16&lt;&gt;"")*(ISNUMBER($F$5:$F$16)=FALSE))+SUMPRODUCT(ISTEXT($I$5:$I$16)*1)+SUMPRODUCT(ISTEXT($L$5:$L$16)*1)+SUMPRODUCT(ISTEXT($N$5:$N$16)*1)+SUMPRODUCT(ISTEXT($P$5:$P$16)*1)+SUMPRODUCT(ISTEXT($R$5:$R$16)*1))&gt;0,(SUMPRODUCT(($A$5:$A$16&lt;&gt;"")*(ISNUMBER($F$5:$F$16)=FALSE))+SUMPRODUCT(ISTEXT($I$5:$I$16)*1)+SUMPRODUCT(ISTEXT($L$5:$L$16)*1)+SUMPRODUCT(ISTEXT($N$5:$N$16)*1)+SUMPRODUCT(ISTEXT($P$5:$P$16)*1)+SUMPRODUCT(ISTEXT($R$5:$R$16)*1))&amp;" linha(s) ou preço(s) incompletos",COUNTIF($K$5:$K$16,"Abaixo do mínimo")&amp;" de "&amp;COUNTA($A$5:$A$16))))</f>
        <v>0 de 7</v>
      </c>
    </row>
    <row r="25">
      <c r="A25" s="21" t="inlineStr">
        <is>
          <t>Tabelas de convênio abaixo do custo cheio + imposto</t>
        </is>
      </c>
      <c r="B25" s="22" t="n"/>
      <c r="C25" s="22" t="n"/>
      <c r="D25" s="23" t="n"/>
      <c r="E25" s="25">
        <f>IF(NOT(ISNUMBER(Config!$B$7)),"falta o custo-hora em Config",IF((Config!$B$13&lt;&gt;"Sim"),"margens inválidas (Config)",IF((SUMPRODUCT(($A$5:$A$16&lt;&gt;"")*(ISNUMBER($F$5:$F$16)=FALSE))+SUMPRODUCT(ISTEXT($I$5:$I$16)*1)+SUMPRODUCT(ISTEXT($L$5:$L$16)*1)+SUMPRODUCT(ISTEXT($N$5:$N$16)*1)+SUMPRODUCT(ISTEXT($P$5:$P$16)*1)+SUMPRODUCT(ISTEXT($R$5:$R$16)*1))&gt;0,(SUMPRODUCT(($A$5:$A$16&lt;&gt;"")*(ISNUMBER($F$5:$F$16)=FALSE))+SUMPRODUCT(ISTEXT($I$5:$I$16)*1)+SUMPRODUCT(ISTEXT($L$5:$L$16)*1)+SUMPRODUCT(ISTEXT($N$5:$N$16)*1)+SUMPRODUCT(ISTEXT($P$5:$P$16)*1)+SUMPRODUCT(ISTEXT($R$5:$R$16)*1))&amp;" linha(s) ou preço(s) incompletos",COUNTIF($T$5:$W$16,"&lt;0"))))</f>
        <v>14</v>
      </c>
    </row>
    <row r="26">
      <c r="A26" s="21" t="inlineStr">
        <is>
          <t>Maior prejuízo por atendimento em convênio (R$)</t>
        </is>
      </c>
      <c r="B26" s="22" t="n"/>
      <c r="C26" s="22" t="n"/>
      <c r="D26" s="23" t="n"/>
      <c r="E26" s="14">
        <f>IF(NOT(ISNUMBER(Config!$B$7)),"falta o custo-hora em Config",IF((Config!$B$13&lt;&gt;"Sim"),"margens inválidas (Config)",IF((SUMPRODUCT(($A$5:$A$16&lt;&gt;"")*(ISNUMBER($F$5:$F$16)=FALSE))+SUMPRODUCT(ISTEXT($I$5:$I$16)*1)+SUMPRODUCT(ISTEXT($L$5:$L$16)*1)+SUMPRODUCT(ISTEXT($N$5:$N$16)*1)+SUMPRODUCT(ISTEXT($P$5:$P$16)*1)+SUMPRODUCT(ISTEXT($R$5:$R$16)*1))&gt;0,(SUMPRODUCT(($A$5:$A$16&lt;&gt;"")*(ISNUMBER($F$5:$F$16)=FALSE))+SUMPRODUCT(ISTEXT($I$5:$I$16)*1)+SUMPRODUCT(ISTEXT($L$5:$L$16)*1)+SUMPRODUCT(ISTEXT($N$5:$N$16)*1)+SUMPRODUCT(ISTEXT($P$5:$P$16)*1)+SUMPRODUCT(ISTEXT($R$5:$R$16)*1))&amp;" linha(s) ou preço(s) incompletos",-MIN($T$5:$W$16))))</f>
        <v>60.4333333333333</v>
      </c>
    </row>
    <row r="27" ht="28" customHeight="1">
      <c r="A27" s="19" t="inlineStr">
        <is>
          <t>"Abaixo do custo cheio + imposto" conta as células de Margem negativas: a tabela do convênio, depois dos impostos, não paga o custo cheio do atendimento. É a mesma conta e o mesmo número do KPI "Tabelas de convênio abaixo do custo cheio + imposto" da planilha 08. "Maior prejuízo" = margem negativa × tabela do convênio: a célula mais vermelha da tabela, em reais por atendimento (colunas auxiliares T a W, ocultas).</t>
        </is>
      </c>
    </row>
    <row r="28"/>
    <row r="29">
      <c r="A29" s="20" t="inlineStr">
        <is>
          <t>Simular um procedimento ou um preço novo</t>
        </is>
      </c>
    </row>
    <row r="30">
      <c r="A30" s="26" t="inlineStr">
        <is>
          <t>Nome</t>
        </is>
      </c>
      <c r="B30" s="8" t="inlineStr">
        <is>
          <t>Consulta particular estendida (45 min)</t>
        </is>
      </c>
    </row>
    <row r="31">
      <c r="A31" s="26" t="inlineStr">
        <is>
          <t>Minutos</t>
        </is>
      </c>
      <c r="B31" s="9" t="n">
        <v>45</v>
      </c>
    </row>
    <row r="32">
      <c r="A32" s="26" t="inlineStr">
        <is>
          <t>Gera retorno? (Sim/Não)</t>
        </is>
      </c>
      <c r="B32" s="8" t="inlineStr">
        <is>
          <t>Sim</t>
        </is>
      </c>
    </row>
    <row r="33">
      <c r="A33" s="26" t="inlineStr">
        <is>
          <t>Material (R$)</t>
        </is>
      </c>
      <c r="B33" s="11" t="n">
        <v>4</v>
      </c>
    </row>
    <row r="34">
      <c r="A34" s="26" t="inlineStr">
        <is>
          <t>Preço pretendido (R$)</t>
        </is>
      </c>
      <c r="B34" s="15" t="n">
        <v>480</v>
      </c>
    </row>
    <row r="35">
      <c r="A35" s="21" t="inlineStr">
        <is>
          <t>Tempo com retorno (min)</t>
        </is>
      </c>
      <c r="B35" s="12">
        <f>IF(NOT(IF(ISNUMBER(B31),AND(B31&gt;=0),FALSE)),"faltam os minutos",IF(AND(B32&lt;&gt;"Sim",B32&lt;&gt;"Não"),"falta: gera retorno?",IF(AND(B32="Sim",NOT(AND(IF(ISNUMBER(Config!$B$11),AND(Config!$B$11&gt;=0),FALSE),IF(ISNUMBER(Config!$B$12),AND(Config!$B$12&gt;=0),FALSE)))),"falta o retorno em Config",B31+IF(B32="Sim",Config!$B$11*Config!$B$12,0))))</f>
        <v>53</v>
      </c>
    </row>
    <row r="36">
      <c r="A36" s="21" t="inlineStr">
        <is>
          <t>Custo cheio (R$)</t>
        </is>
      </c>
      <c r="B36" s="27">
        <f>IF(NOT(ISNUMBER(B35)),B35,IF(NOT(ISNUMBER(Config!$B$7)),"falta o custo-hora em Config",IF(NOT(IF(ISNUMBER(B33),AND(B33&gt;=0),FALSE)),"falta o material",B35/60*Config!$B$7+B33)))</f>
        <v>180.666666666667</v>
      </c>
    </row>
    <row r="37">
      <c r="A37" s="21" t="inlineStr">
        <is>
          <t>Preço mínimo (R$)</t>
        </is>
      </c>
      <c r="B37" s="14">
        <f>IF(NOT(ISNUMBER(B36)),B36,IF((Config!$B$13&lt;&gt;"Sim"),"margens inválidas (Config)",B36/(1-Config!$B$8-Config!$B$9)))</f>
        <v>306.214689265537</v>
      </c>
    </row>
    <row r="38">
      <c r="A38" s="21" t="inlineStr">
        <is>
          <t>Preço alvo (R$)</t>
        </is>
      </c>
      <c r="B38" s="27">
        <f>IF(NOT(ISNUMBER(B36)),B36,IF((Config!$B$13&lt;&gt;"Sim"),"margens inválidas (Config)",B36/(1-Config!$B$8-Config!$B$10)))</f>
        <v>410.606060606061</v>
      </c>
    </row>
    <row r="39">
      <c r="A39" s="21" t="inlineStr">
        <is>
          <t>Margem no preço pretendido</t>
        </is>
      </c>
      <c r="B39" s="16">
        <f>IF(OR(NOT(ISNUMBER(B34)),N(B34)=0,NOT(ISNUMBER(B36)),(Config!$B$13&lt;&gt;"Sim")),"",(B34*(1-Config!$B$8)-B36)/B34)</f>
        <v>0.513611111111111</v>
      </c>
    </row>
    <row r="40">
      <c r="A40" s="21" t="inlineStr">
        <is>
          <t>Leitura</t>
        </is>
      </c>
      <c r="B40" s="28" t="str">
        <f>IF(B34="","",IF(NOT(ISNUMBER(B34)),"Preço pretendido inválido",IF(B34=0,"",IF(NOT(ISNUMBER(B36)),IF(ISNUMBER(Config!$B$7),"Faltam dados: "&amp;B36,"Falta o custo-hora em Config"),IF(OR(NOT(ISNUMBER(B37)),NOT(ISNUMBER(B38))),"Margens inválidas em Config",IF(B34&lt;B37,"Abaixo do mínimo: cobre parte do custo, não a margem",IF(B34&lt;B38,"Entre o mínimo e o alvo","No alvo ou acima")))))))</f>
        <v>No alvo ou acima</v>
      </c>
      <c r="C40" s="22" t="n"/>
      <c r="D40" s="22" t="n"/>
      <c r="E40" s="22" t="n"/>
      <c r="F4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3">
    <mergeCell ref="A23:D23"/>
    <mergeCell ref="A19:S19"/>
    <mergeCell ref="A22:D22"/>
    <mergeCell ref="A2:R2"/>
    <mergeCell ref="A26:D26"/>
    <mergeCell ref="A21:J21"/>
    <mergeCell ref="A18:S18"/>
    <mergeCell ref="A27:S27"/>
    <mergeCell ref="A29:J29"/>
    <mergeCell ref="A25:D25"/>
    <mergeCell ref="A1:R1"/>
    <mergeCell ref="A24:D24"/>
    <mergeCell ref="B40:F40"/>
  </mergeCells>
  <conditionalFormatting sqref="K5:K16">
    <cfRule type="expression" priority="1" dxfId="0">
      <formula>OR(K5="Abaixo do mínimo",K5="Falta o custo-hora",K5="Margens inválidas",K5="Faltam dados da linha",K5="Preço inválido")</formula>
    </cfRule>
    <cfRule type="expression" priority="2" dxfId="1">
      <formula>K5="Entre mínimo e alvo"</formula>
    </cfRule>
    <cfRule type="expression" priority="3" dxfId="2">
      <formula>K5="No alvo ou acima"</formula>
    </cfRule>
  </conditionalFormatting>
  <conditionalFormatting sqref="J5:J16">
    <cfRule type="expression" priority="4" dxfId="0">
      <formula>AND(ISNUMBER(J5),J5&lt;0)</formula>
    </cfRule>
    <cfRule type="expression" priority="5" dxfId="1">
      <formula>AND(ISNUMBER(J5),J5&gt;=0,J5&lt;INDIRECT("Config!$B$9"))</formula>
    </cfRule>
    <cfRule type="expression" priority="6" dxfId="2">
      <formula>AND(ISNUMBER(J5),J5&gt;=INDIRECT("Config!$B$9"))</formula>
    </cfRule>
  </conditionalFormatting>
  <conditionalFormatting sqref="M5:M16">
    <cfRule type="expression" priority="7" dxfId="0">
      <formula>AND(ISNUMBER(M5),M5&lt;0)</formula>
    </cfRule>
    <cfRule type="expression" priority="8" dxfId="1">
      <formula>AND(ISNUMBER(M5),M5&gt;=0,M5&lt;INDIRECT("Config!$B$9"))</formula>
    </cfRule>
    <cfRule type="expression" priority="9" dxfId="2">
      <formula>AND(ISNUMBER(M5),M5&gt;=INDIRECT("Config!$B$9"))</formula>
    </cfRule>
  </conditionalFormatting>
  <conditionalFormatting sqref="O5:O16">
    <cfRule type="expression" priority="10" dxfId="0">
      <formula>AND(ISNUMBER(O5),O5&lt;0)</formula>
    </cfRule>
    <cfRule type="expression" priority="11" dxfId="1">
      <formula>AND(ISNUMBER(O5),O5&gt;=0,O5&lt;INDIRECT("Config!$B$9"))</formula>
    </cfRule>
    <cfRule type="expression" priority="12" dxfId="2">
      <formula>AND(ISNUMBER(O5),O5&gt;=INDIRECT("Config!$B$9"))</formula>
    </cfRule>
  </conditionalFormatting>
  <conditionalFormatting sqref="Q5:Q16">
    <cfRule type="expression" priority="13" dxfId="0">
      <formula>AND(ISNUMBER(Q5),Q5&lt;0)</formula>
    </cfRule>
    <cfRule type="expression" priority="14" dxfId="1">
      <formula>AND(ISNUMBER(Q5),Q5&gt;=0,Q5&lt;INDIRECT("Config!$B$9"))</formula>
    </cfRule>
    <cfRule type="expression" priority="15" dxfId="2">
      <formula>AND(ISNUMBER(Q5),Q5&gt;=INDIRECT("Config!$B$9"))</formula>
    </cfRule>
  </conditionalFormatting>
  <conditionalFormatting sqref="S5:S16">
    <cfRule type="expression" priority="16" dxfId="0">
      <formula>AND(ISNUMBER(S5),S5&lt;0)</formula>
    </cfRule>
    <cfRule type="expression" priority="17" dxfId="1">
      <formula>AND(ISNUMBER(S5),S5&gt;=0,S5&lt;INDIRECT("Config!$B$9"))</formula>
    </cfRule>
    <cfRule type="expression" priority="18" dxfId="2">
      <formula>AND(ISNUMBER(S5),S5&gt;=INDIRECT("Config!$B$9"))</formula>
    </cfRule>
  </conditionalFormatting>
  <dataValidations count="2">
    <dataValidation sqref="C5:C16" showDropDown="0" showInputMessage="0" showErrorMessage="1" allowBlank="1" type="list">
      <formula1>"Sim,Não"</formula1>
    </dataValidation>
    <dataValidation sqref="B32" showDropDown="0" showInputMessage="0" showErrorMessage="1" allowBlank="1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impostos e margens valem para todos os procedimentos.</t>
        </is>
      </c>
    </row>
    <row r="4">
      <c r="A4" s="29" t="inlineStr">
        <is>
          <t>Nome da clínica</t>
        </is>
      </c>
      <c r="B4" s="8" t="inlineStr">
        <is>
          <t>Clínica Vida Plena (exemplo fictício)</t>
        </is>
      </c>
    </row>
    <row r="5">
      <c r="A5" s="29" t="inlineStr">
        <is>
          <t>Mês de referência</t>
        </is>
      </c>
      <c r="B5" s="8" t="inlineStr">
        <is>
          <t>Setembro de 2026</t>
        </is>
      </c>
    </row>
    <row r="6">
      <c r="A6" s="29" t="inlineStr">
        <is>
          <t>Data de referência</t>
        </is>
      </c>
      <c r="B6" s="30" t="n">
        <v>46279</v>
      </c>
    </row>
    <row r="7">
      <c r="A7" s="29" t="inlineStr">
        <is>
          <t>Custo da hora de atendimento (R$)</t>
        </is>
      </c>
      <c r="B7" s="11" t="n">
        <v>200</v>
      </c>
      <c r="C7" s="31" t="inlineStr">
        <is>
          <t>Copie do Painel da planilha 05 ("Custo da hora de atendimento"). No exemplo, R$ 200,00 (R$ 28.000 ÷ 140 h).</t>
        </is>
      </c>
    </row>
    <row r="8">
      <c r="A8" s="29" t="inlineStr">
        <is>
          <t>Impostos sobre o que entra (%)</t>
        </is>
      </c>
      <c r="B8" s="32" t="n">
        <v>0.11</v>
      </c>
      <c r="C8" s="31" t="inlineStr">
        <is>
          <t>A mesma alíquota efetiva da planilha 05 (exemplo: 11 %; confira com o contador). Só imposto: a taxa da maquininha não entra aqui (ela está na 16 e no resultado 18).</t>
        </is>
      </c>
    </row>
    <row r="9">
      <c r="A9" s="29" t="inlineStr">
        <is>
          <t>Margem mínima sobre o preço (%)</t>
        </is>
      </c>
      <c r="B9" s="32" t="n">
        <v>0.3</v>
      </c>
      <c r="C9" s="31" t="inlineStr">
        <is>
          <t>Abaixo disso o procedimento não vale a pena. É o piso da faixa (a mesma margem da 05).</t>
        </is>
      </c>
    </row>
    <row r="10">
      <c r="A10" s="29" t="inlineStr">
        <is>
          <t>Margem alvo sobre o preço (%)</t>
        </is>
      </c>
      <c r="B10" s="32" t="n">
        <v>0.45</v>
      </c>
      <c r="C10" s="31" t="inlineStr">
        <is>
          <t>A margem que a clínica quer de verdade. É o teto da faixa.</t>
        </is>
      </c>
    </row>
    <row r="11">
      <c r="A11" s="29" t="inlineStr">
        <is>
          <t>Retornos por consulta (média)</t>
        </is>
      </c>
      <c r="B11" s="33" t="n">
        <v>0.4</v>
      </c>
      <c r="C11" s="31" t="inlineStr">
        <is>
          <t>Consulta que costuma gerar retorno sem cobrança: em média, quantos retornos por consulta. O tempo do retorno entra no custo da consulta.</t>
        </is>
      </c>
    </row>
    <row r="12">
      <c r="A12" s="29" t="inlineStr">
        <is>
          <t>Duração do retorno (minutos)</t>
        </is>
      </c>
      <c r="B12" s="9" t="n">
        <v>20</v>
      </c>
      <c r="C12" s="31" t="inlineStr">
        <is>
          <t>Minutos de um retorno (planilha 01, Config).</t>
        </is>
      </c>
    </row>
    <row r="13">
      <c r="A13" s="29" t="inlineStr">
        <is>
          <t>Impostos e margens conferem? (calculado)</t>
        </is>
      </c>
      <c r="B13" s="17" t="str">
        <f>IF(AND(ISNUMBER(B8),ISNUMBER(B9),ISNUMBER(B10)),IF(AND(B8&gt;=0,B8&lt;1,B9&gt;=0,B9&lt;=B10,B10&lt;1,B8+B10&lt;1),"Sim","Não"),"Não")</f>
        <v>Sim</v>
      </c>
      <c r="C13" s="31" t="inlineStr">
        <is>
          <t>"Não" suspende preços, margens, situação e resumo: impostos e margens de 0 % a 99 %, mínima ≤ alvo e impostos + margem alvo abaixo de 100 %.</t>
        </is>
      </c>
    </row>
    <row r="14">
      <c r="A14" s="29" t="inlineStr">
        <is>
          <t>Convênios (até 4, na ordem das colunas da aba Precificação)</t>
        </is>
      </c>
    </row>
    <row r="15">
      <c r="A15" s="34" t="inlineStr">
        <is>
          <t>Nomes</t>
        </is>
      </c>
      <c r="B15" s="8" t="inlineStr">
        <is>
          <t>Saúde Total</t>
        </is>
      </c>
      <c r="C15" s="31" t="inlineStr">
        <is>
          <t>Preencha de cima para baixo, sem pular linha. As tabelas de cada convênio ficam na aba Precificação.</t>
        </is>
      </c>
    </row>
    <row r="16">
      <c r="B16" s="8" t="inlineStr">
        <is>
          <t>MediPlan</t>
        </is>
      </c>
    </row>
    <row r="17">
      <c r="B17" s="8" t="inlineStr">
        <is>
          <t>Vida Care</t>
        </is>
      </c>
    </row>
    <row r="18">
      <c r="B18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dataValidations count="3">
    <dataValidation sqref="B8" showDropDown="0" showInputMessage="0" showErrorMessage="1" allowBlank="0" errorTitle="Percentual" error="Impostos entre 0 % e 99 %, e impostos + margem alvo abaixo de 100 %." type="custom">
      <formula1>=IF(ISNUMBER(B8),AND(B8&gt;=0,B8&lt;1,B8+N(B10)&lt;1),FALSE)</formula1>
    </dataValidation>
    <dataValidation sqref="B9" showDropDown="0" showInputMessage="0" showErrorMessage="1" allowBlank="0" errorTitle="Percentual" error="Margem mínima entre 0 % e a margem alvo, e impostos + margem abaixo de 100 %." type="custom">
      <formula1>=IF(ISNUMBER(B9),AND(B9&gt;=0,B9&lt;=N(B10),N(B8)+B9&lt;1),FALSE)</formula1>
    </dataValidation>
    <dataValidation sqref="B10" showDropDown="0" showInputMessage="0" showErrorMessage="1" allowBlank="0" errorTitle="Percentual" error="Margem alvo entre a margem mínima e 99 %, e impostos + margem alvo abaixo de 100 %." type="custom">
      <formula1>=IF(ISNUMBER(B10),AND(B10&gt;=N(B9),B10&lt;1,N(B8)+B10&lt;1),FALSE)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Precificação de consulta e procedimento · Kit de Gestão para Médicos</dc:title>
  <dcterms:created xmlns:dcterms="http://purl.org/dc/terms/" xmlns:xsi="http://www.w3.org/2001/XMLSchema-instance" xsi:type="dcterms:W3CDTF">2026-09-24T13:32:25Z</dcterms:created>
  <dcterms:modified xmlns:dcterms="http://purl.org/dc/terms/" xmlns:xsi="http://www.w3.org/2001/XMLSchema-instance" xsi:type="dcterms:W3CDTF">2026-09-24T13:32:25Z</dcterms:modified>
</cp:coreProperties>
</file>