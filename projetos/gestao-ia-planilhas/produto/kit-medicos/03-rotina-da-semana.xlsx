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(agenda, faltas e retornos) e sexta (caixa, guias, orçamentos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a segunda-feira da semana 1 (sugestão: a primeira do ano) e as pessoas da clínica.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 (12 na segunda, 18 na sexta), a maior parte com a recepção; mantenha curto, o que é longo não vira hábito.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A clínica fictícia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"Agenda 05 · Rotina da recepção em 30 minutos por semana"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6" customWidth="1" min="2" max="2"/>
    <col width="10" customWidth="1" min="3" max="3"/>
    <col width="22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width="26" customWidth="1" min="10" max="10"/>
    <col width="12" customWidth="1" min="11" max="11"/>
  </cols>
  <sheetData>
    <row r="1" ht="28" customHeight="1">
      <c r="A1" s="5" t="str">
        <f>Config!$B$4&amp;" · Aderência à rotina · "&amp;TEXT(Config!$B$5,"dd/mm/yyyy")</f>
        <v>Clínica Vida Plena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3"/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0.833333333333333</v>
      </c>
      <c r="B5" s="8" t="n"/>
      <c r="C5" s="16" t="str">
        <f>"S"&amp;$K$5&amp;" · "&amp;TEXT(Config!$B$6+7*($K$5-1),"dd/mm")</f>
        <v>S37 · 14/09</v>
      </c>
      <c r="D5" s="10" t="n"/>
      <c r="E5" s="17" t="str">
        <f>IF($K$4=0,"nenhuma","S"&amp;$K$4&amp;" · "&amp;TEXT(Config!$B$6+7*($K$4-1),"dd/mm"))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9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4</v>
      </c>
      <c r="C9" s="22">
        <f>SUMIFS(Rotina!$C$5:$C$28,Rotina!$A$5:$A$28,A9,Rotina!$B$5:$B$28,"&lt;&gt;")</f>
        <v>12</v>
      </c>
      <c r="D9" s="22">
        <f>IF($K$4=0,"",SUMIFS($E$29:$E$52,$A$29:$A$52,A9))</f>
        <v>12</v>
      </c>
      <c r="E9" s="22">
        <f>IF($K$4=0,"",B9*$K$6)</f>
        <v>16</v>
      </c>
      <c r="F9" s="23">
        <f>IF(OR(E9="",E9=0),"",D9/E9)</f>
        <v>0.75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18</v>
      </c>
      <c r="E13" s="22">
        <f>IF($K$4=0,"",B13*$K$6)</f>
        <v>20</v>
      </c>
      <c r="F13" s="23">
        <f>IF(OR(E13="",E13=0),"",D13/E13)</f>
        <v>0.9</v>
      </c>
    </row>
    <row r="14"/>
    <row r="15">
      <c r="A15" s="24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5">
        <f>IF(A17="","",INDEX(Rotina!$E$3:$BD$3,($K$4-7)))</f>
        <v>46223.0</v>
      </c>
      <c r="C17" s="22">
        <f>IF(A17="","",INDEX(Rotina!$E$30:$BD$30,($K$4-7)))</f>
        <v>5</v>
      </c>
      <c r="D17" s="22">
        <f>IF(A17="","",INDEX(Rotina!$E$32:$BD$32,($K$4-7)))</f>
        <v>9</v>
      </c>
      <c r="E17" s="23">
        <f>IF(OR(A17="",D17=0),"",C17/D17)</f>
        <v>0.555555555555556</v>
      </c>
      <c r="F17" s="22">
        <f>IF(A17="","",INDEX(Rotina!$E$34:$BD$34,($K$4-7)))</f>
        <v>16</v>
      </c>
      <c r="G17" s="26" t="str">
        <f>IF(E17="","",REPT("█",ROUND(E17*10,0)))</f>
        <v>██████</v>
      </c>
      <c r="H17" s="27" t="n"/>
    </row>
    <row r="18">
      <c r="A18" s="22" t="str">
        <f>IF(($K$4-6)&lt;1,"","S"&amp;($K$4-6))</f>
        <v>S30</v>
      </c>
      <c r="B18" s="25">
        <f>IF(A18="","",INDEX(Rotina!$E$3:$BD$3,($K$4-6)))</f>
        <v>46230.0</v>
      </c>
      <c r="C18" s="22">
        <f>IF(A18="","",INDEX(Rotina!$E$30:$BD$30,($K$4-6)))</f>
        <v>8</v>
      </c>
      <c r="D18" s="22">
        <f>IF(A18="","",INDEX(Rotina!$E$32:$BD$32,($K$4-6)))</f>
        <v>9</v>
      </c>
      <c r="E18" s="23">
        <f>IF(OR(A18="",D18=0),"",C18/D18)</f>
        <v>0.888888888888889</v>
      </c>
      <c r="F18" s="22">
        <f>IF(A18="","",INDEX(Rotina!$E$34:$BD$34,($K$4-6)))</f>
        <v>26</v>
      </c>
      <c r="G18" s="26" t="str">
        <f>IF(E18="","",REPT("█",ROUND(E18*10,0)))</f>
        <v>█████████</v>
      </c>
      <c r="H18" s="27" t="n"/>
    </row>
    <row r="19">
      <c r="A19" s="22" t="str">
        <f>IF(($K$4-5)&lt;1,"","S"&amp;($K$4-5))</f>
        <v>S31</v>
      </c>
      <c r="B19" s="25">
        <f>IF(A19="","",INDEX(Rotina!$E$3:$BD$3,($K$4-5)))</f>
        <v>46237.0</v>
      </c>
      <c r="C19" s="22">
        <f>IF(A19="","",INDEX(Rotina!$E$30:$BD$30,($K$4-5)))</f>
        <v>8</v>
      </c>
      <c r="D19" s="22">
        <f>IF(A19="","",INDEX(Rotina!$E$32:$BD$32,($K$4-5)))</f>
        <v>9</v>
      </c>
      <c r="E19" s="23">
        <f>IF(OR(A19="",D19=0),"",C19/D19)</f>
        <v>0.888888888888889</v>
      </c>
      <c r="F19" s="22">
        <f>IF(A19="","",INDEX(Rotina!$E$34:$BD$34,($K$4-5)))</f>
        <v>26</v>
      </c>
      <c r="G19" s="26" t="str">
        <f>IF(E19="","",REPT("█",ROUND(E19*10,0)))</f>
        <v>█████████</v>
      </c>
      <c r="H19" s="27" t="n"/>
    </row>
    <row r="20">
      <c r="A20" s="22" t="str">
        <f>IF(($K$4-4)&lt;1,"","S"&amp;($K$4-4))</f>
        <v>S32</v>
      </c>
      <c r="B20" s="25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9</v>
      </c>
      <c r="E20" s="23">
        <f>IF(OR(A20="",D20=0),"",C20/D20)</f>
        <v>0.888888888888889</v>
      </c>
      <c r="F20" s="22">
        <f>IF(A20="","",INDEX(Rotina!$E$34:$BD$34,($K$4-4)))</f>
        <v>27</v>
      </c>
      <c r="G20" s="26" t="str">
        <f>IF(E20="","",REPT("█",ROUND(E20*10,0)))</f>
        <v>█████████</v>
      </c>
      <c r="H20" s="27" t="n"/>
    </row>
    <row r="21">
      <c r="A21" s="22" t="str">
        <f>IF(($K$4-3)&lt;1,"","S"&amp;($K$4-3))</f>
        <v>S33</v>
      </c>
      <c r="B21" s="25">
        <f>IF(A21="","",INDEX(Rotina!$E$3:$BD$3,($K$4-3)))</f>
        <v>46251.0</v>
      </c>
      <c r="C21" s="22">
        <f>IF(A21="","",INDEX(Rotina!$E$30:$BD$30,($K$4-3)))</f>
        <v>8</v>
      </c>
      <c r="D21" s="22">
        <f>IF(A21="","",INDEX(Rotina!$E$32:$BD$32,($K$4-3)))</f>
        <v>9</v>
      </c>
      <c r="E21" s="23">
        <f>IF(OR(A21="",D21=0),"",C21/D21)</f>
        <v>0.888888888888889</v>
      </c>
      <c r="F21" s="22">
        <f>IF(A21="","",INDEX(Rotina!$E$34:$BD$34,($K$4-3)))</f>
        <v>27</v>
      </c>
      <c r="G21" s="26" t="str">
        <f>IF(E21="","",REPT("█",ROUND(E21*10,0)))</f>
        <v>█████████</v>
      </c>
      <c r="H21" s="27" t="n"/>
    </row>
    <row r="22">
      <c r="A22" s="22" t="str">
        <f>IF(($K$4-2)&lt;1,"","S"&amp;($K$4-2))</f>
        <v>S34</v>
      </c>
      <c r="B22" s="25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9</v>
      </c>
      <c r="E22" s="23">
        <f>IF(OR(A22="",D22=0),"",C22/D22)</f>
        <v>0.777777777777778</v>
      </c>
      <c r="F22" s="22">
        <f>IF(A22="","",INDEX(Rotina!$E$34:$BD$34,($K$4-2)))</f>
        <v>24</v>
      </c>
      <c r="G22" s="26" t="str">
        <f>IF(E22="","",REPT("█",ROUND(E22*10,0)))</f>
        <v>████████</v>
      </c>
      <c r="H22" s="27" t="n"/>
    </row>
    <row r="23">
      <c r="A23" s="22" t="str">
        <f>IF(($K$4-1)&lt;1,"","S"&amp;($K$4-1))</f>
        <v>S35</v>
      </c>
      <c r="B23" s="25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9</v>
      </c>
      <c r="E23" s="23">
        <f>IF(OR(A23="",D23=0),"",C23/D23)</f>
        <v>0.777777777777778</v>
      </c>
      <c r="F23" s="22">
        <f>IF(A23="","",INDEX(Rotina!$E$34:$BD$34,($K$4-1)))</f>
        <v>24</v>
      </c>
      <c r="G23" s="26" t="str">
        <f>IF(E23="","",REPT("█",ROUND(E23*10,0)))</f>
        <v>████████</v>
      </c>
      <c r="H23" s="27" t="n"/>
    </row>
    <row r="24">
      <c r="A24" s="22" t="str">
        <f>IF(($K$4-0)&lt;1,"","S"&amp;($K$4-0))</f>
        <v>S36</v>
      </c>
      <c r="B24" s="25">
        <f>IF(A24="","",INDEX(Rotina!$E$3:$BD$3,($K$4-0)))</f>
        <v>46272.0</v>
      </c>
      <c r="C24" s="22">
        <f>IF(A24="","",INDEX(Rotina!$E$30:$BD$30,($K$4-0)))</f>
        <v>8</v>
      </c>
      <c r="D24" s="22">
        <f>IF(A24="","",INDEX(Rotina!$E$32:$BD$32,($K$4-0)))</f>
        <v>9</v>
      </c>
      <c r="E24" s="23">
        <f>IF(OR(A24="",D24=0),"",C24/D24)</f>
        <v>0.888888888888889</v>
      </c>
      <c r="F24" s="22">
        <f>IF(A24="","",INDEX(Rotina!$E$34:$BD$34,($K$4-0)))</f>
        <v>28</v>
      </c>
      <c r="G24" s="26" t="str">
        <f>IF(E24="","",REPT("█",ROUND(E24*10,0)))</f>
        <v>█████████</v>
      </c>
      <c r="H24" s="27" t="n"/>
    </row>
    <row r="25"/>
    <row r="26">
      <c r="A26" s="24" t="inlineStr">
        <is>
          <t>Por rotina (últimas 4 semanas registradas)</t>
        </is>
      </c>
    </row>
    <row r="27">
      <c r="A27" s="28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(01): olhar as vagas dos próximos 7 dias e a ocupação da semana</v>
      </c>
      <c r="C29" s="22">
        <f>IF(Rotina!$B5="","",Rotina!$C5)</f>
        <v>4</v>
      </c>
      <c r="D29" s="22" t="str">
        <f>IF(Rotina!$B5="","",Rotina!$D5)</f>
        <v>Bruna Carvalho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por mensagem os agendados da semana</v>
      </c>
      <c r="C30" s="22">
        <f>IF(Rotina!$B6="","",Rotina!$C6)</f>
        <v>3</v>
      </c>
      <c r="D30" s="22" t="str">
        <f>IF(Rotina!$B6="","",Rotina!$D6)</f>
        <v>Bruna Carvalho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Ligar ou mandar mensagem para a lista de retorno (02)</v>
      </c>
      <c r="C31" s="22">
        <f>IF(Rotina!$B7="","",Rotina!$C7)</f>
        <v>3</v>
      </c>
      <c r="D31" s="22" t="str">
        <f>IF(Rotina!$B7="","",Rotina!$D7)</f>
        <v>Bruna Carvalho</v>
      </c>
      <c r="E31" s="22">
        <f>IF(OR(Rotina!$B7="",$K$4=0),"",SUMPRODUCT((Rotina!$E$7:$BD$7="Sim")*(Rotina!$E$2:$BD$2&gt;=$K$4-3)*(Rotina!$E$2:$BD$2&lt;=$K$4)))</f>
        <v>1</v>
      </c>
      <c r="F31" s="22">
        <f>IF(E31="","",$K$6)</f>
        <v>4</v>
      </c>
      <c r="G31" s="23">
        <f>IF(OR(E31="",F31=0),"",E31/F31)</f>
        <v>0.25</v>
      </c>
      <c r="H31" s="21" t="str">
        <f>IF(G31="","",IF(G31&lt;0.5,"Pulada na maioria das semanas",IF(G31&lt;0.75,"Pulada às vezes","")))</f>
        <v>Pulada na maioria das semanas</v>
      </c>
    </row>
    <row r="32">
      <c r="A32" s="22" t="str">
        <f>IF(Rotina!$B8="","",Rotina!$A8)</f>
        <v>Segunda</v>
      </c>
      <c r="B32" s="21" t="str">
        <f>IF(Rotina!$B8="","",Rotina!$B8)</f>
        <v>Registrar as faltas da semana passada e remarcar</v>
      </c>
      <c r="C32" s="22">
        <f>IF(Rotina!$B8="","",Rotina!$C8)</f>
        <v>2</v>
      </c>
      <c r="D32" s="22" t="str">
        <f>IF(Rotina!$B8="","",Rotina!$D8)</f>
        <v>Bruna Carvalho</v>
      </c>
      <c r="E32" s="22">
        <f>IF(OR(Rotina!$B8="",$K$4=0),"",SUMPRODUCT((Rotina!$E$8:$BD$8="Sim")*(Rotina!$E$2:$BD$2&gt;=$K$4-3)*(Rotina!$E$2:$BD$2&lt;=$K$4)))</f>
        <v>3</v>
      </c>
      <c r="F32" s="22">
        <f>IF(E32="","",$K$6)</f>
        <v>4</v>
      </c>
      <c r="G32" s="23">
        <f>IF(OR(E32="",F32=0),"",E32/F32)</f>
        <v>0.75</v>
      </c>
      <c r="H32" s="21">
        <f>IF(G32="","",IF(G32&lt;0.5,"Pulada na maioria das semanas",IF(G32&lt;0.75,"Pulada às vezes","")))</f>
        <v/>
      </c>
    </row>
    <row r="33">
      <c r="A33" s="22" t="str">
        <f>IF(Rotina!$B9="","",Rotina!$A9)</f>
        <v>Sexta</v>
      </c>
      <c r="B33" s="21" t="str">
        <f>IF(Rotina!$B9="","",Rotina!$B9)</f>
        <v>Lançar os fechamentos do dia da semana no Caixa (09)</v>
      </c>
      <c r="C33" s="22">
        <f>IF(Rotina!$B9="","",Rotina!$C9)</f>
        <v>5</v>
      </c>
      <c r="D33" s="22" t="str">
        <f>IF(Rotina!$B9="","",Rotina!$D9)</f>
        <v>Dra. Carolina Mendes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Marcar parcelas recebidas e enviar a cobrança educada (14)</v>
      </c>
      <c r="C34" s="22">
        <f>IF(Rotina!$B10="","",Rotina!$C10)</f>
        <v>4</v>
      </c>
      <c r="D34" s="22" t="str">
        <f>IF(Rotina!$B10="","",Rotina!$D10)</f>
        <v>Bruna Carvalho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Separar as guias da semana e atualizar os lotes (13)</v>
      </c>
      <c r="C35" s="22">
        <f>IF(Rotina!$B11="","",Rotina!$C11)</f>
        <v>3</v>
      </c>
      <c r="D35" s="22" t="str">
        <f>IF(Rotina!$B11="","",Rotina!$D11)</f>
        <v>Bruna Carvalho</v>
      </c>
      <c r="E35" s="22">
        <f>IF(OR(Rotina!$B11="",$K$4=0),"",SUMPRODUCT((Rotina!$E$11:$BD$11="Sim")*(Rotina!$E$2:$BD$2&gt;=$K$4-3)*(Rotina!$E$2:$BD$2&lt;=$K$4)))</f>
        <v>3</v>
      </c>
      <c r="F35" s="22">
        <f>IF(E35="","",$K$6)</f>
        <v>4</v>
      </c>
      <c r="G35" s="23">
        <f>IF(OR(E35="",F35=0),"",E35/F35)</f>
        <v>0.75</v>
      </c>
      <c r="H35" s="21">
        <f>IF(G35="","",IF(G35&lt;0.5,"Pulada na maioria das semanas",IF(G35&lt;0.75,"Pulada às vezes","")))</f>
        <v/>
      </c>
    </row>
    <row r="36">
      <c r="A36" s="22" t="str">
        <f>IF(Rotina!$B12="","",Rotina!$A12)</f>
        <v>Sexta</v>
      </c>
      <c r="B36" s="21" t="str">
        <f>IF(Rotina!$B12="","",Rotina!$B12)</f>
        <v>Atualizar os orçamentos apresentados e aprovados (15)</v>
      </c>
      <c r="C36" s="22">
        <f>IF(Rotina!$B12="","",Rotina!$C12)</f>
        <v>3</v>
      </c>
      <c r="D36" s="22" t="str">
        <f>IF(Rotina!$B12="","",Rotina!$D12)</f>
        <v>Bruna Carvalho</v>
      </c>
      <c r="E36" s="22">
        <f>IF(OR(Rotina!$B12="",$K$4=0),"",SUMPRODUCT((Rotina!$E$12:$BD$12="Sim")*(Rotina!$E$2:$BD$2&gt;=$K$4-3)*(Rotina!$E$2:$BD$2&lt;=$K$4)))</f>
        <v>4</v>
      </c>
      <c r="F36" s="22">
        <f>IF(E36="","",$K$6)</f>
        <v>4</v>
      </c>
      <c r="G36" s="23">
        <f>IF(OR(E36="",F36=0),"",E36/F36)</f>
        <v>1</v>
      </c>
      <c r="H36" s="21">
        <f>IF(G36="","",IF(G36&lt;0.5,"Pulada na maioria das semanas",IF(G36&lt;0.75,"Pulada às vezes","")))</f>
        <v/>
      </c>
    </row>
    <row r="37">
      <c r="A37" s="22" t="str">
        <f>IF(Rotina!$B13="","",Rotina!$A13)</f>
        <v>Sexta</v>
      </c>
      <c r="B37" s="21" t="str">
        <f>IF(Rotina!$B13="","",Rotina!$B13)</f>
        <v>Olhar o Painel da clínica (17) e anotar até 3 decisões</v>
      </c>
      <c r="C37" s="22">
        <f>IF(Rotina!$B13="","",Rotina!$C13)</f>
        <v>3</v>
      </c>
      <c r="D37" s="22" t="str">
        <f>IF(Rotina!$B13="","",Rotina!$D13)</f>
        <v>Dr. Paulo Andrade</v>
      </c>
      <c r="E37" s="22">
        <f>IF(OR(Rotina!$B13="",$K$4=0),"",SUMPRODUCT((Rotina!$E$13:$BD$13="Sim")*(Rotina!$E$2:$BD$2&gt;=$K$4-3)*(Rotina!$E$2:$BD$2&lt;=$K$4)))</f>
        <v>3</v>
      </c>
      <c r="F37" s="22">
        <f>IF(E37="","",$K$6)</f>
        <v>4</v>
      </c>
      <c r="G37" s="23">
        <f>IF(OR(E37="",F37=0),"",E37/F37)</f>
        <v>0.75</v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G21:H21"/>
    <mergeCell ref="C5:D5"/>
    <mergeCell ref="E5:F5"/>
    <mergeCell ref="G23:H23"/>
    <mergeCell ref="A1:H1"/>
    <mergeCell ref="G17:H17"/>
    <mergeCell ref="C4:D4"/>
    <mergeCell ref="E4:F4"/>
    <mergeCell ref="G19:H19"/>
    <mergeCell ref="A15:J15"/>
    <mergeCell ref="G18:H18"/>
    <mergeCell ref="G24:H24"/>
    <mergeCell ref="A2:H2"/>
    <mergeCell ref="A5:B5"/>
    <mergeCell ref="G5:H5"/>
    <mergeCell ref="A4:B4"/>
    <mergeCell ref="G4:H4"/>
    <mergeCell ref="G20:H20"/>
    <mergeCell ref="A27:J27"/>
    <mergeCell ref="A26:J26"/>
    <mergeCell ref="G22:H22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</row>
    <row r="5">
      <c r="A5" s="29" t="inlineStr">
        <is>
          <t>Data de referência (hoje)</t>
        </is>
      </c>
      <c r="B5" s="31">
        <f>TODAY()</f>
        <v>46279.0</v>
      </c>
      <c r="C5" s="13" t="inlineStr">
        <is>
          <t>Deixe =HOJE() para acompanhar o dia; troque por uma data para simular outro dia.</t>
        </is>
      </c>
    </row>
    <row r="6">
      <c r="A6" s="29" t="inlineStr">
        <is>
          <t>Segunda-feira da semana 1</t>
        </is>
      </c>
      <c r="B6" s="31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9" t="inlineStr">
        <is>
          <t>Responsáveis (até 10)</t>
        </is>
      </c>
    </row>
    <row r="9">
      <c r="B9" s="30" t="inlineStr">
        <is>
          <t>Dra. Carolina Mendes</t>
        </is>
      </c>
    </row>
    <row r="10">
      <c r="B10" s="30" t="inlineStr">
        <is>
          <t>Dr. Paulo Andrade</t>
        </is>
      </c>
    </row>
    <row r="11">
      <c r="B11" s="30" t="inlineStr">
        <is>
          <t>Bruna Carvalho</t>
        </is>
      </c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6" customWidth="1" min="2" max="2"/>
    <col width="9" customWidth="1" min="3" max="3"/>
    <col width="2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(agenda) e de sexta (caixa e painel). Colunas: uma por semana. Marque Sim ou Não em cada semana; os totais e o Painel são calculados.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32" t="n">
        <v>46</v>
      </c>
      <c r="AY2" s="32" t="n">
        <v>47</v>
      </c>
      <c r="AZ2" s="32" t="n">
        <v>48</v>
      </c>
      <c r="BA2" s="32" t="n">
        <v>49</v>
      </c>
      <c r="BB2" s="32" t="n">
        <v>50</v>
      </c>
      <c r="BC2" s="32" t="n">
        <v>51</v>
      </c>
      <c r="BD2" s="32" t="n">
        <v>52</v>
      </c>
    </row>
    <row r="3">
      <c r="A3" s="33" t="inlineStr">
        <is>
          <t>Semana começa em</t>
        </is>
      </c>
      <c r="E3" s="34">
        <f>Config!$B$6+0</f>
        <v>46027.0</v>
      </c>
      <c r="F3" s="34">
        <f>Config!$B$6+7</f>
        <v>46034.0</v>
      </c>
      <c r="G3" s="34">
        <f>Config!$B$6+14</f>
        <v>46041.0</v>
      </c>
      <c r="H3" s="34">
        <f>Config!$B$6+21</f>
        <v>46048.0</v>
      </c>
      <c r="I3" s="34">
        <f>Config!$B$6+28</f>
        <v>46055.0</v>
      </c>
      <c r="J3" s="34">
        <f>Config!$B$6+35</f>
        <v>46062.0</v>
      </c>
      <c r="K3" s="34">
        <f>Config!$B$6+42</f>
        <v>46069.0</v>
      </c>
      <c r="L3" s="34">
        <f>Config!$B$6+49</f>
        <v>46076.0</v>
      </c>
      <c r="M3" s="34">
        <f>Config!$B$6+56</f>
        <v>46083.0</v>
      </c>
      <c r="N3" s="34">
        <f>Config!$B$6+63</f>
        <v>46090.0</v>
      </c>
      <c r="O3" s="34">
        <f>Config!$B$6+70</f>
        <v>46097.0</v>
      </c>
      <c r="P3" s="34">
        <f>Config!$B$6+77</f>
        <v>46104.0</v>
      </c>
      <c r="Q3" s="34">
        <f>Config!$B$6+84</f>
        <v>46111.0</v>
      </c>
      <c r="R3" s="34">
        <f>Config!$B$6+91</f>
        <v>46118.0</v>
      </c>
      <c r="S3" s="34">
        <f>Config!$B$6+98</f>
        <v>46125.0</v>
      </c>
      <c r="T3" s="34">
        <f>Config!$B$6+105</f>
        <v>46132.0</v>
      </c>
      <c r="U3" s="34">
        <f>Config!$B$6+112</f>
        <v>46139.0</v>
      </c>
      <c r="V3" s="34">
        <f>Config!$B$6+119</f>
        <v>46146.0</v>
      </c>
      <c r="W3" s="34">
        <f>Config!$B$6+126</f>
        <v>46153.0</v>
      </c>
      <c r="X3" s="34">
        <f>Config!$B$6+133</f>
        <v>46160.0</v>
      </c>
      <c r="Y3" s="34">
        <f>Config!$B$6+140</f>
        <v>46167.0</v>
      </c>
      <c r="Z3" s="34">
        <f>Config!$B$6+147</f>
        <v>46174.0</v>
      </c>
      <c r="AA3" s="34">
        <f>Config!$B$6+154</f>
        <v>46181.0</v>
      </c>
      <c r="AB3" s="34">
        <f>Config!$B$6+161</f>
        <v>46188.0</v>
      </c>
      <c r="AC3" s="34">
        <f>Config!$B$6+168</f>
        <v>46195.0</v>
      </c>
      <c r="AD3" s="34">
        <f>Config!$B$6+175</f>
        <v>46202.0</v>
      </c>
      <c r="AE3" s="34">
        <f>Config!$B$6+182</f>
        <v>46209.0</v>
      </c>
      <c r="AF3" s="34">
        <f>Config!$B$6+189</f>
        <v>46216.0</v>
      </c>
      <c r="AG3" s="34">
        <f>Config!$B$6+196</f>
        <v>46223.0</v>
      </c>
      <c r="AH3" s="34">
        <f>Config!$B$6+203</f>
        <v>46230.0</v>
      </c>
      <c r="AI3" s="34">
        <f>Config!$B$6+210</f>
        <v>46237.0</v>
      </c>
      <c r="AJ3" s="34">
        <f>Config!$B$6+217</f>
        <v>46244.0</v>
      </c>
      <c r="AK3" s="34">
        <f>Config!$B$6+224</f>
        <v>46251.0</v>
      </c>
      <c r="AL3" s="34">
        <f>Config!$B$6+231</f>
        <v>46258.0</v>
      </c>
      <c r="AM3" s="34">
        <f>Config!$B$6+238</f>
        <v>46265.0</v>
      </c>
      <c r="AN3" s="34">
        <f>Config!$B$6+245</f>
        <v>46272.0</v>
      </c>
      <c r="AO3" s="34">
        <f>Config!$B$6+252</f>
        <v>46279.0</v>
      </c>
      <c r="AP3" s="34">
        <f>Config!$B$6+259</f>
        <v>46286.0</v>
      </c>
      <c r="AQ3" s="34">
        <f>Config!$B$6+266</f>
        <v>46293.0</v>
      </c>
      <c r="AR3" s="34">
        <f>Config!$B$6+273</f>
        <v>46300.0</v>
      </c>
      <c r="AS3" s="34">
        <f>Config!$B$6+280</f>
        <v>46307.0</v>
      </c>
      <c r="AT3" s="34">
        <f>Config!$B$6+287</f>
        <v>46314.0</v>
      </c>
      <c r="AU3" s="34">
        <f>Config!$B$6+294</f>
        <v>46321.0</v>
      </c>
      <c r="AV3" s="34">
        <f>Config!$B$6+301</f>
        <v>46328.0</v>
      </c>
      <c r="AW3" s="34">
        <f>Config!$B$6+308</f>
        <v>46335.0</v>
      </c>
      <c r="AX3" s="34">
        <f>Config!$B$6+315</f>
        <v>46342.0</v>
      </c>
      <c r="AY3" s="34">
        <f>Config!$B$6+322</f>
        <v>46349.0</v>
      </c>
      <c r="AZ3" s="34">
        <f>Config!$B$6+329</f>
        <v>46356.0</v>
      </c>
      <c r="BA3" s="34">
        <f>Config!$B$6+336</f>
        <v>46363.0</v>
      </c>
      <c r="BB3" s="34">
        <f>Config!$B$6+343</f>
        <v>46370.0</v>
      </c>
      <c r="BC3" s="34">
        <f>Config!$B$6+350</f>
        <v>46377.0</v>
      </c>
      <c r="BD3" s="34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5" t="inlineStr">
        <is>
          <t>S1</t>
        </is>
      </c>
      <c r="F4" s="35" t="inlineStr">
        <is>
          <t>S2</t>
        </is>
      </c>
      <c r="G4" s="35" t="inlineStr">
        <is>
          <t>S3</t>
        </is>
      </c>
      <c r="H4" s="35" t="inlineStr">
        <is>
          <t>S4</t>
        </is>
      </c>
      <c r="I4" s="35" t="inlineStr">
        <is>
          <t>S5</t>
        </is>
      </c>
      <c r="J4" s="35" t="inlineStr">
        <is>
          <t>S6</t>
        </is>
      </c>
      <c r="K4" s="35" t="inlineStr">
        <is>
          <t>S7</t>
        </is>
      </c>
      <c r="L4" s="35" t="inlineStr">
        <is>
          <t>S8</t>
        </is>
      </c>
      <c r="M4" s="35" t="inlineStr">
        <is>
          <t>S9</t>
        </is>
      </c>
      <c r="N4" s="35" t="inlineStr">
        <is>
          <t>S10</t>
        </is>
      </c>
      <c r="O4" s="35" t="inlineStr">
        <is>
          <t>S11</t>
        </is>
      </c>
      <c r="P4" s="35" t="inlineStr">
        <is>
          <t>S12</t>
        </is>
      </c>
      <c r="Q4" s="35" t="inlineStr">
        <is>
          <t>S13</t>
        </is>
      </c>
      <c r="R4" s="35" t="inlineStr">
        <is>
          <t>S14</t>
        </is>
      </c>
      <c r="S4" s="35" t="inlineStr">
        <is>
          <t>S15</t>
        </is>
      </c>
      <c r="T4" s="35" t="inlineStr">
        <is>
          <t>S16</t>
        </is>
      </c>
      <c r="U4" s="35" t="inlineStr">
        <is>
          <t>S17</t>
        </is>
      </c>
      <c r="V4" s="35" t="inlineStr">
        <is>
          <t>S18</t>
        </is>
      </c>
      <c r="W4" s="35" t="inlineStr">
        <is>
          <t>S19</t>
        </is>
      </c>
      <c r="X4" s="35" t="inlineStr">
        <is>
          <t>S20</t>
        </is>
      </c>
      <c r="Y4" s="35" t="inlineStr">
        <is>
          <t>S21</t>
        </is>
      </c>
      <c r="Z4" s="35" t="inlineStr">
        <is>
          <t>S22</t>
        </is>
      </c>
      <c r="AA4" s="35" t="inlineStr">
        <is>
          <t>S23</t>
        </is>
      </c>
      <c r="AB4" s="35" t="inlineStr">
        <is>
          <t>S24</t>
        </is>
      </c>
      <c r="AC4" s="35" t="inlineStr">
        <is>
          <t>S25</t>
        </is>
      </c>
      <c r="AD4" s="35" t="inlineStr">
        <is>
          <t>S26</t>
        </is>
      </c>
      <c r="AE4" s="35" t="inlineStr">
        <is>
          <t>S27</t>
        </is>
      </c>
      <c r="AF4" s="35" t="inlineStr">
        <is>
          <t>S28</t>
        </is>
      </c>
      <c r="AG4" s="35" t="inlineStr">
        <is>
          <t>S29</t>
        </is>
      </c>
      <c r="AH4" s="35" t="inlineStr">
        <is>
          <t>S30</t>
        </is>
      </c>
      <c r="AI4" s="35" t="inlineStr">
        <is>
          <t>S31</t>
        </is>
      </c>
      <c r="AJ4" s="35" t="inlineStr">
        <is>
          <t>S32</t>
        </is>
      </c>
      <c r="AK4" s="35" t="inlineStr">
        <is>
          <t>S33</t>
        </is>
      </c>
      <c r="AL4" s="35" t="inlineStr">
        <is>
          <t>S34</t>
        </is>
      </c>
      <c r="AM4" s="35" t="inlineStr">
        <is>
          <t>S35</t>
        </is>
      </c>
      <c r="AN4" s="35" t="inlineStr">
        <is>
          <t>S36</t>
        </is>
      </c>
      <c r="AO4" s="35" t="inlineStr">
        <is>
          <t>S37</t>
        </is>
      </c>
      <c r="AP4" s="35" t="inlineStr">
        <is>
          <t>S38</t>
        </is>
      </c>
      <c r="AQ4" s="35" t="inlineStr">
        <is>
          <t>S39</t>
        </is>
      </c>
      <c r="AR4" s="35" t="inlineStr">
        <is>
          <t>S40</t>
        </is>
      </c>
      <c r="AS4" s="35" t="inlineStr">
        <is>
          <t>S41</t>
        </is>
      </c>
      <c r="AT4" s="35" t="inlineStr">
        <is>
          <t>S42</t>
        </is>
      </c>
      <c r="AU4" s="35" t="inlineStr">
        <is>
          <t>S43</t>
        </is>
      </c>
      <c r="AV4" s="35" t="inlineStr">
        <is>
          <t>S44</t>
        </is>
      </c>
      <c r="AW4" s="35" t="inlineStr">
        <is>
          <t>S45</t>
        </is>
      </c>
      <c r="AX4" s="35" t="inlineStr">
        <is>
          <t>S46</t>
        </is>
      </c>
      <c r="AY4" s="35" t="inlineStr">
        <is>
          <t>S47</t>
        </is>
      </c>
      <c r="AZ4" s="35" t="inlineStr">
        <is>
          <t>S48</t>
        </is>
      </c>
      <c r="BA4" s="35" t="inlineStr">
        <is>
          <t>S49</t>
        </is>
      </c>
      <c r="BB4" s="35" t="inlineStr">
        <is>
          <t>S50</t>
        </is>
      </c>
      <c r="BC4" s="35" t="inlineStr">
        <is>
          <t>S51</t>
        </is>
      </c>
      <c r="BD4" s="35" t="inlineStr">
        <is>
          <t>S52</t>
        </is>
      </c>
    </row>
    <row r="5">
      <c r="A5" s="36" t="inlineStr">
        <is>
          <t>Segunda</t>
        </is>
      </c>
      <c r="B5" s="30" t="inlineStr">
        <is>
          <t>Abrir a Agenda (01): olhar as vagas dos próximos 7 dias e a ocupação da semana</t>
        </is>
      </c>
      <c r="C5" s="36" t="n">
        <v>4</v>
      </c>
      <c r="D5" s="36" t="inlineStr">
        <is>
          <t>Bruna Carvalho</t>
        </is>
      </c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  <c r="AA5" s="36" t="n"/>
      <c r="AB5" s="36" t="n"/>
      <c r="AC5" s="36" t="n"/>
      <c r="AD5" s="36" t="n"/>
      <c r="AE5" s="36" t="n"/>
      <c r="AF5" s="36" t="n"/>
      <c r="AG5" s="36" t="inlineStr">
        <is>
          <t>Sim</t>
        </is>
      </c>
      <c r="AH5" s="36" t="inlineStr">
        <is>
          <t>Sim</t>
        </is>
      </c>
      <c r="AI5" s="36" t="inlineStr">
        <is>
          <t>Sim</t>
        </is>
      </c>
      <c r="AJ5" s="36" t="inlineStr">
        <is>
          <t>Sim</t>
        </is>
      </c>
      <c r="AK5" s="36" t="inlineStr">
        <is>
          <t>Sim</t>
        </is>
      </c>
      <c r="AL5" s="36" t="inlineStr">
        <is>
          <t>Sim</t>
        </is>
      </c>
      <c r="AM5" s="36" t="inlineStr">
        <is>
          <t>Sim</t>
        </is>
      </c>
      <c r="AN5" s="36" t="inlineStr">
        <is>
          <t>Sim</t>
        </is>
      </c>
      <c r="AO5" s="36" t="n"/>
      <c r="AP5" s="36" t="n"/>
      <c r="AQ5" s="36" t="n"/>
      <c r="AR5" s="36" t="n"/>
      <c r="AS5" s="36" t="n"/>
      <c r="AT5" s="36" t="n"/>
      <c r="AU5" s="36" t="n"/>
      <c r="AV5" s="36" t="n"/>
      <c r="AW5" s="36" t="n"/>
      <c r="AX5" s="36" t="n"/>
      <c r="AY5" s="36" t="n"/>
      <c r="AZ5" s="36" t="n"/>
      <c r="BA5" s="36" t="n"/>
      <c r="BB5" s="36" t="n"/>
      <c r="BC5" s="36" t="n"/>
      <c r="BD5" s="36" t="n"/>
    </row>
    <row r="6">
      <c r="A6" s="36" t="inlineStr">
        <is>
          <t>Segunda</t>
        </is>
      </c>
      <c r="B6" s="30" t="inlineStr">
        <is>
          <t>Confirmar por mensagem os agendados da semana</t>
        </is>
      </c>
      <c r="C6" s="36" t="n">
        <v>3</v>
      </c>
      <c r="D6" s="36" t="inlineStr">
        <is>
          <t>Bruna Carvalho</t>
        </is>
      </c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  <c r="AA6" s="36" t="n"/>
      <c r="AB6" s="36" t="n"/>
      <c r="AC6" s="36" t="n"/>
      <c r="AD6" s="36" t="n"/>
      <c r="AE6" s="36" t="n"/>
      <c r="AF6" s="36" t="n"/>
      <c r="AG6" s="36" t="inlineStr">
        <is>
          <t>Não</t>
        </is>
      </c>
      <c r="AH6" s="36" t="inlineStr">
        <is>
          <t>Sim</t>
        </is>
      </c>
      <c r="AI6" s="36" t="inlineStr">
        <is>
          <t>Sim</t>
        </is>
      </c>
      <c r="AJ6" s="36" t="inlineStr">
        <is>
          <t>Sim</t>
        </is>
      </c>
      <c r="AK6" s="36" t="inlineStr">
        <is>
          <t>Sim</t>
        </is>
      </c>
      <c r="AL6" s="36" t="inlineStr">
        <is>
          <t>Sim</t>
        </is>
      </c>
      <c r="AM6" s="36" t="inlineStr">
        <is>
          <t>Sim</t>
        </is>
      </c>
      <c r="AN6" s="36" t="inlineStr">
        <is>
          <t>Sim</t>
        </is>
      </c>
      <c r="AO6" s="36" t="n"/>
      <c r="AP6" s="36" t="n"/>
      <c r="AQ6" s="36" t="n"/>
      <c r="AR6" s="36" t="n"/>
      <c r="AS6" s="36" t="n"/>
      <c r="AT6" s="36" t="n"/>
      <c r="AU6" s="36" t="n"/>
      <c r="AV6" s="36" t="n"/>
      <c r="AW6" s="36" t="n"/>
      <c r="AX6" s="36" t="n"/>
      <c r="AY6" s="36" t="n"/>
      <c r="AZ6" s="36" t="n"/>
      <c r="BA6" s="36" t="n"/>
      <c r="BB6" s="36" t="n"/>
      <c r="BC6" s="36" t="n"/>
      <c r="BD6" s="36" t="n"/>
    </row>
    <row r="7">
      <c r="A7" s="36" t="inlineStr">
        <is>
          <t>Segunda</t>
        </is>
      </c>
      <c r="B7" s="30" t="inlineStr">
        <is>
          <t>Ligar ou mandar mensagem para a lista de retorno (02)</t>
        </is>
      </c>
      <c r="C7" s="36" t="n">
        <v>3</v>
      </c>
      <c r="D7" s="36" t="inlineStr">
        <is>
          <t>Bruna Carvalho</t>
        </is>
      </c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  <c r="AA7" s="36" t="n"/>
      <c r="AB7" s="36" t="n"/>
      <c r="AC7" s="36" t="n"/>
      <c r="AD7" s="36" t="n"/>
      <c r="AE7" s="36" t="n"/>
      <c r="AF7" s="36" t="n"/>
      <c r="AG7" s="36" t="inlineStr">
        <is>
          <t>Não</t>
        </is>
      </c>
      <c r="AH7" s="36" t="inlineStr">
        <is>
          <t>Sim</t>
        </is>
      </c>
      <c r="AI7" s="36" t="inlineStr">
        <is>
          <t>Sim</t>
        </is>
      </c>
      <c r="AJ7" s="36" t="inlineStr">
        <is>
          <t>Sim</t>
        </is>
      </c>
      <c r="AK7" s="36" t="inlineStr">
        <is>
          <t>Não</t>
        </is>
      </c>
      <c r="AL7" s="36" t="inlineStr">
        <is>
          <t>Não</t>
        </is>
      </c>
      <c r="AM7" s="36" t="inlineStr">
        <is>
          <t>Não</t>
        </is>
      </c>
      <c r="AN7" s="36" t="inlineStr">
        <is>
          <t>Sim</t>
        </is>
      </c>
      <c r="AO7" s="36" t="n"/>
      <c r="AP7" s="36" t="n"/>
      <c r="AQ7" s="36" t="n"/>
      <c r="AR7" s="36" t="n"/>
      <c r="AS7" s="36" t="n"/>
      <c r="AT7" s="36" t="n"/>
      <c r="AU7" s="36" t="n"/>
      <c r="AV7" s="36" t="n"/>
      <c r="AW7" s="36" t="n"/>
      <c r="AX7" s="36" t="n"/>
      <c r="AY7" s="36" t="n"/>
      <c r="AZ7" s="36" t="n"/>
      <c r="BA7" s="36" t="n"/>
      <c r="BB7" s="36" t="n"/>
      <c r="BC7" s="36" t="n"/>
      <c r="BD7" s="36" t="n"/>
    </row>
    <row r="8">
      <c r="A8" s="36" t="inlineStr">
        <is>
          <t>Segunda</t>
        </is>
      </c>
      <c r="B8" s="30" t="inlineStr">
        <is>
          <t>Registrar as faltas da semana passada e remarcar</t>
        </is>
      </c>
      <c r="C8" s="36" t="n">
        <v>2</v>
      </c>
      <c r="D8" s="36" t="inlineStr">
        <is>
          <t>Bruna Carvalho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  <c r="AA8" s="36" t="n"/>
      <c r="AB8" s="36" t="n"/>
      <c r="AC8" s="36" t="n"/>
      <c r="AD8" s="36" t="n"/>
      <c r="AE8" s="36" t="n"/>
      <c r="AF8" s="36" t="n"/>
      <c r="AG8" s="36" t="inlineStr">
        <is>
          <t>Sim</t>
        </is>
      </c>
      <c r="AH8" s="36" t="inlineStr">
        <is>
          <t>Sim</t>
        </is>
      </c>
      <c r="AI8" s="36" t="inlineStr">
        <is>
          <t>Sim</t>
        </is>
      </c>
      <c r="AJ8" s="36" t="inlineStr">
        <is>
          <t>Sim</t>
        </is>
      </c>
      <c r="AK8" s="36" t="inlineStr">
        <is>
          <t>Sim</t>
        </is>
      </c>
      <c r="AL8" s="36" t="inlineStr">
        <is>
          <t>Sim</t>
        </is>
      </c>
      <c r="AM8" s="36" t="inlineStr">
        <is>
          <t>Sim</t>
        </is>
      </c>
      <c r="AN8" s="36" t="inlineStr">
        <is>
          <t>Não</t>
        </is>
      </c>
      <c r="AO8" s="36" t="n"/>
      <c r="AP8" s="36" t="n"/>
      <c r="AQ8" s="36" t="n"/>
      <c r="AR8" s="36" t="n"/>
      <c r="AS8" s="36" t="n"/>
      <c r="AT8" s="36" t="n"/>
      <c r="AU8" s="36" t="n"/>
      <c r="AV8" s="36" t="n"/>
      <c r="AW8" s="36" t="n"/>
      <c r="AX8" s="36" t="n"/>
      <c r="AY8" s="36" t="n"/>
      <c r="AZ8" s="36" t="n"/>
      <c r="BA8" s="36" t="n"/>
      <c r="BB8" s="36" t="n"/>
      <c r="BC8" s="36" t="n"/>
      <c r="BD8" s="36" t="n"/>
    </row>
    <row r="9">
      <c r="A9" s="36" t="inlineStr">
        <is>
          <t>Sexta</t>
        </is>
      </c>
      <c r="B9" s="30" t="inlineStr">
        <is>
          <t>Lançar os fechamentos do dia da semana no Caixa (09)</t>
        </is>
      </c>
      <c r="C9" s="36" t="n">
        <v>5</v>
      </c>
      <c r="D9" s="36" t="inlineStr">
        <is>
          <t>Dra. Carolina Mendes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inlineStr">
        <is>
          <t>Não</t>
        </is>
      </c>
      <c r="AH9" s="36" t="inlineStr">
        <is>
          <t>Sim</t>
        </is>
      </c>
      <c r="AI9" s="36" t="inlineStr">
        <is>
          <t>Sim</t>
        </is>
      </c>
      <c r="AJ9" s="36" t="inlineStr">
        <is>
          <t>Sim</t>
        </is>
      </c>
      <c r="AK9" s="36" t="inlineStr">
        <is>
          <t>Sim</t>
        </is>
      </c>
      <c r="AL9" s="36" t="inlineStr">
        <is>
          <t>Sim</t>
        </is>
      </c>
      <c r="AM9" s="36" t="inlineStr">
        <is>
          <t>Sim</t>
        </is>
      </c>
      <c r="AN9" s="36" t="inlineStr">
        <is>
          <t>Sim</t>
        </is>
      </c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6" t="n"/>
    </row>
    <row r="10">
      <c r="A10" s="36" t="inlineStr">
        <is>
          <t>Sexta</t>
        </is>
      </c>
      <c r="B10" s="30" t="inlineStr">
        <is>
          <t>Marcar parcelas recebidas e enviar a cobrança educada (14)</t>
        </is>
      </c>
      <c r="C10" s="36" t="n">
        <v>4</v>
      </c>
      <c r="D10" s="36" t="inlineStr">
        <is>
          <t>Bruna Carvalho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  <c r="AA10" s="36" t="n"/>
      <c r="AB10" s="36" t="n"/>
      <c r="AC10" s="36" t="n"/>
      <c r="AD10" s="36" t="n"/>
      <c r="AE10" s="36" t="n"/>
      <c r="AF10" s="36" t="n"/>
      <c r="AG10" s="36" t="inlineStr">
        <is>
          <t>Sim</t>
        </is>
      </c>
      <c r="AH10" s="36" t="inlineStr">
        <is>
          <t>Não</t>
        </is>
      </c>
      <c r="AI10" s="36" t="inlineStr">
        <is>
          <t>Não</t>
        </is>
      </c>
      <c r="AJ10" s="36" t="inlineStr">
        <is>
          <t>Sim</t>
        </is>
      </c>
      <c r="AK10" s="36" t="inlineStr">
        <is>
          <t>Sim</t>
        </is>
      </c>
      <c r="AL10" s="36" t="inlineStr">
        <is>
          <t>Sim</t>
        </is>
      </c>
      <c r="AM10" s="36" t="inlineStr">
        <is>
          <t>Sim</t>
        </is>
      </c>
      <c r="AN10" s="36" t="inlineStr">
        <is>
          <t>Sim</t>
        </is>
      </c>
      <c r="AO10" s="36" t="n"/>
      <c r="AP10" s="36" t="n"/>
      <c r="AQ10" s="36" t="n"/>
      <c r="AR10" s="36" t="n"/>
      <c r="AS10" s="36" t="n"/>
      <c r="AT10" s="36" t="n"/>
      <c r="AU10" s="36" t="n"/>
      <c r="AV10" s="36" t="n"/>
      <c r="AW10" s="36" t="n"/>
      <c r="AX10" s="36" t="n"/>
      <c r="AY10" s="36" t="n"/>
      <c r="AZ10" s="36" t="n"/>
      <c r="BA10" s="36" t="n"/>
      <c r="BB10" s="36" t="n"/>
      <c r="BC10" s="36" t="n"/>
      <c r="BD10" s="36" t="n"/>
    </row>
    <row r="11">
      <c r="A11" s="36" t="inlineStr">
        <is>
          <t>Sexta</t>
        </is>
      </c>
      <c r="B11" s="30" t="inlineStr">
        <is>
          <t>Separar as guias da semana e atualizar os lotes (13)</t>
        </is>
      </c>
      <c r="C11" s="36" t="n">
        <v>3</v>
      </c>
      <c r="D11" s="36" t="inlineStr">
        <is>
          <t>Bruna Carvalho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  <c r="AB11" s="36" t="n"/>
      <c r="AC11" s="36" t="n"/>
      <c r="AD11" s="36" t="n"/>
      <c r="AE11" s="36" t="n"/>
      <c r="AF11" s="36" t="n"/>
      <c r="AG11" s="36" t="inlineStr">
        <is>
          <t>Sim</t>
        </is>
      </c>
      <c r="AH11" s="36" t="inlineStr">
        <is>
          <t>Sim</t>
        </is>
      </c>
      <c r="AI11" s="36" t="inlineStr">
        <is>
          <t>Sim</t>
        </is>
      </c>
      <c r="AJ11" s="36" t="inlineStr">
        <is>
          <t>Sim</t>
        </is>
      </c>
      <c r="AK11" s="36" t="inlineStr">
        <is>
          <t>Sim</t>
        </is>
      </c>
      <c r="AL11" s="36" t="inlineStr">
        <is>
          <t>Não</t>
        </is>
      </c>
      <c r="AM11" s="36" t="inlineStr">
        <is>
          <t>Sim</t>
        </is>
      </c>
      <c r="AN11" s="36" t="inlineStr">
        <is>
          <t>Sim</t>
        </is>
      </c>
      <c r="AO11" s="36" t="n"/>
      <c r="AP11" s="36" t="n"/>
      <c r="AQ11" s="36" t="n"/>
      <c r="AR11" s="36" t="n"/>
      <c r="AS11" s="36" t="n"/>
      <c r="AT11" s="36" t="n"/>
      <c r="AU11" s="36" t="n"/>
      <c r="AV11" s="36" t="n"/>
      <c r="AW11" s="36" t="n"/>
      <c r="AX11" s="36" t="n"/>
      <c r="AY11" s="36" t="n"/>
      <c r="AZ11" s="36" t="n"/>
      <c r="BA11" s="36" t="n"/>
      <c r="BB11" s="36" t="n"/>
      <c r="BC11" s="36" t="n"/>
      <c r="BD11" s="36" t="n"/>
    </row>
    <row r="12">
      <c r="A12" s="36" t="inlineStr">
        <is>
          <t>Sexta</t>
        </is>
      </c>
      <c r="B12" s="30" t="inlineStr">
        <is>
          <t>Atualizar os orçamentos apresentados e aprovados (15)</t>
        </is>
      </c>
      <c r="C12" s="36" t="n">
        <v>3</v>
      </c>
      <c r="D12" s="36" t="inlineStr">
        <is>
          <t>Bruna Carvalho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  <c r="AB12" s="36" t="n"/>
      <c r="AC12" s="36" t="n"/>
      <c r="AD12" s="36" t="n"/>
      <c r="AE12" s="36" t="n"/>
      <c r="AF12" s="36" t="n"/>
      <c r="AG12" s="36" t="inlineStr">
        <is>
          <t>Não</t>
        </is>
      </c>
      <c r="AH12" s="36" t="inlineStr">
        <is>
          <t>Sim</t>
        </is>
      </c>
      <c r="AI12" s="36" t="inlineStr">
        <is>
          <t>Sim</t>
        </is>
      </c>
      <c r="AJ12" s="36" t="inlineStr">
        <is>
          <t>Sim</t>
        </is>
      </c>
      <c r="AK12" s="36" t="inlineStr">
        <is>
          <t>Sim</t>
        </is>
      </c>
      <c r="AL12" s="36" t="inlineStr">
        <is>
          <t>Sim</t>
        </is>
      </c>
      <c r="AM12" s="36" t="inlineStr">
        <is>
          <t>Sim</t>
        </is>
      </c>
      <c r="AN12" s="36" t="inlineStr">
        <is>
          <t>Sim</t>
        </is>
      </c>
      <c r="AO12" s="36" t="n"/>
      <c r="AP12" s="36" t="n"/>
      <c r="AQ12" s="36" t="n"/>
      <c r="AR12" s="36" t="n"/>
      <c r="AS12" s="36" t="n"/>
      <c r="AT12" s="36" t="n"/>
      <c r="AU12" s="36" t="n"/>
      <c r="AV12" s="36" t="n"/>
      <c r="AW12" s="36" t="n"/>
      <c r="AX12" s="36" t="n"/>
      <c r="AY12" s="36" t="n"/>
      <c r="AZ12" s="36" t="n"/>
      <c r="BA12" s="36" t="n"/>
      <c r="BB12" s="36" t="n"/>
      <c r="BC12" s="36" t="n"/>
      <c r="BD12" s="36" t="n"/>
    </row>
    <row r="13">
      <c r="A13" s="36" t="inlineStr">
        <is>
          <t>Sexta</t>
        </is>
      </c>
      <c r="B13" s="30" t="inlineStr">
        <is>
          <t>Olhar o Painel da clínica (17) e anotar até 3 decisões</t>
        </is>
      </c>
      <c r="C13" s="36" t="n">
        <v>3</v>
      </c>
      <c r="D13" s="36" t="inlineStr">
        <is>
          <t>Dr. Paulo Andrade</t>
        </is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  <c r="AB13" s="36" t="n"/>
      <c r="AC13" s="36" t="n"/>
      <c r="AD13" s="36" t="n"/>
      <c r="AE13" s="36" t="n"/>
      <c r="AF13" s="36" t="n"/>
      <c r="AG13" s="36" t="inlineStr">
        <is>
          <t>Sim</t>
        </is>
      </c>
      <c r="AH13" s="36" t="inlineStr">
        <is>
          <t>Sim</t>
        </is>
      </c>
      <c r="AI13" s="36" t="inlineStr">
        <is>
          <t>Sim</t>
        </is>
      </c>
      <c r="AJ13" s="36" t="inlineStr">
        <is>
          <t>Não</t>
        </is>
      </c>
      <c r="AK13" s="36" t="inlineStr">
        <is>
          <t>Sim</t>
        </is>
      </c>
      <c r="AL13" s="36" t="inlineStr">
        <is>
          <t>Sim</t>
        </is>
      </c>
      <c r="AM13" s="36" t="inlineStr">
        <is>
          <t>Não</t>
        </is>
      </c>
      <c r="AN13" s="36" t="inlineStr">
        <is>
          <t>Sim</t>
        </is>
      </c>
      <c r="AO13" s="36" t="n"/>
      <c r="AP13" s="36" t="n"/>
      <c r="AQ13" s="36" t="n"/>
      <c r="AR13" s="36" t="n"/>
      <c r="AS13" s="36" t="n"/>
      <c r="AT13" s="36" t="n"/>
      <c r="AU13" s="36" t="n"/>
      <c r="AV13" s="36" t="n"/>
      <c r="AW13" s="36" t="n"/>
      <c r="AX13" s="36" t="n"/>
      <c r="AY13" s="36" t="n"/>
      <c r="AZ13" s="36" t="n"/>
      <c r="BA13" s="36" t="n"/>
      <c r="BB13" s="36" t="n"/>
      <c r="BC13" s="36" t="n"/>
      <c r="BD13" s="36" t="n"/>
    </row>
    <row r="14">
      <c r="A14" s="36" t="n"/>
      <c r="B14" s="30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  <c r="AB14" s="36" t="n"/>
      <c r="AC14" s="36" t="n"/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6" t="n"/>
      <c r="AM14" s="36" t="n"/>
      <c r="AN14" s="36" t="n"/>
      <c r="AO14" s="36" t="n"/>
      <c r="AP14" s="36" t="n"/>
      <c r="AQ14" s="36" t="n"/>
      <c r="AR14" s="36" t="n"/>
      <c r="AS14" s="36" t="n"/>
      <c r="AT14" s="36" t="n"/>
      <c r="AU14" s="36" t="n"/>
      <c r="AV14" s="36" t="n"/>
      <c r="AW14" s="36" t="n"/>
      <c r="AX14" s="36" t="n"/>
      <c r="AY14" s="36" t="n"/>
      <c r="AZ14" s="36" t="n"/>
      <c r="BA14" s="36" t="n"/>
      <c r="BB14" s="36" t="n"/>
      <c r="BC14" s="36" t="n"/>
      <c r="BD14" s="36" t="n"/>
    </row>
    <row r="15">
      <c r="A15" s="36" t="n"/>
      <c r="B15" s="30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36" t="n"/>
      <c r="AJ15" s="36" t="n"/>
      <c r="AK15" s="36" t="n"/>
      <c r="AL15" s="36" t="n"/>
      <c r="AM15" s="36" t="n"/>
      <c r="AN15" s="36" t="n"/>
      <c r="AO15" s="36" t="n"/>
      <c r="AP15" s="36" t="n"/>
      <c r="AQ15" s="36" t="n"/>
      <c r="AR15" s="36" t="n"/>
      <c r="AS15" s="36" t="n"/>
      <c r="AT15" s="36" t="n"/>
      <c r="AU15" s="36" t="n"/>
      <c r="AV15" s="36" t="n"/>
      <c r="AW15" s="36" t="n"/>
      <c r="AX15" s="36" t="n"/>
      <c r="AY15" s="36" t="n"/>
      <c r="AZ15" s="36" t="n"/>
      <c r="BA15" s="36" t="n"/>
      <c r="BB15" s="36" t="n"/>
      <c r="BC15" s="36" t="n"/>
      <c r="BD15" s="36" t="n"/>
    </row>
    <row r="16">
      <c r="A16" s="36" t="n"/>
      <c r="B16" s="30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  <c r="AB16" s="36" t="n"/>
      <c r="AC16" s="36" t="n"/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6" t="n"/>
      <c r="AM16" s="36" t="n"/>
      <c r="AN16" s="36" t="n"/>
      <c r="AO16" s="36" t="n"/>
      <c r="AP16" s="36" t="n"/>
      <c r="AQ16" s="36" t="n"/>
      <c r="AR16" s="36" t="n"/>
      <c r="AS16" s="36" t="n"/>
      <c r="AT16" s="36" t="n"/>
      <c r="AU16" s="36" t="n"/>
      <c r="AV16" s="36" t="n"/>
      <c r="AW16" s="36" t="n"/>
      <c r="AX16" s="36" t="n"/>
      <c r="AY16" s="36" t="n"/>
      <c r="AZ16" s="36" t="n"/>
      <c r="BA16" s="36" t="n"/>
      <c r="BB16" s="36" t="n"/>
      <c r="BC16" s="36" t="n"/>
      <c r="BD16" s="36" t="n"/>
    </row>
    <row r="17">
      <c r="A17" s="36" t="n"/>
      <c r="B17" s="30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  <c r="AB17" s="36" t="n"/>
      <c r="AC17" s="36" t="n"/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6" t="n"/>
      <c r="AM17" s="36" t="n"/>
      <c r="AN17" s="36" t="n"/>
      <c r="AO17" s="36" t="n"/>
      <c r="AP17" s="36" t="n"/>
      <c r="AQ17" s="36" t="n"/>
      <c r="AR17" s="36" t="n"/>
      <c r="AS17" s="36" t="n"/>
      <c r="AT17" s="36" t="n"/>
      <c r="AU17" s="36" t="n"/>
      <c r="AV17" s="36" t="n"/>
      <c r="AW17" s="36" t="n"/>
      <c r="AX17" s="36" t="n"/>
      <c r="AY17" s="36" t="n"/>
      <c r="AZ17" s="36" t="n"/>
      <c r="BA17" s="36" t="n"/>
      <c r="BB17" s="36" t="n"/>
      <c r="BC17" s="36" t="n"/>
      <c r="BD17" s="36" t="n"/>
    </row>
    <row r="18">
      <c r="A18" s="36" t="n"/>
      <c r="B18" s="30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  <c r="AB18" s="36" t="n"/>
      <c r="AC18" s="36" t="n"/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6" t="n"/>
      <c r="AM18" s="36" t="n"/>
      <c r="AN18" s="36" t="n"/>
      <c r="AO18" s="36" t="n"/>
      <c r="AP18" s="36" t="n"/>
      <c r="AQ18" s="36" t="n"/>
      <c r="AR18" s="36" t="n"/>
      <c r="AS18" s="36" t="n"/>
      <c r="AT18" s="36" t="n"/>
      <c r="AU18" s="36" t="n"/>
      <c r="AV18" s="36" t="n"/>
      <c r="AW18" s="36" t="n"/>
      <c r="AX18" s="36" t="n"/>
      <c r="AY18" s="36" t="n"/>
      <c r="AZ18" s="36" t="n"/>
      <c r="BA18" s="36" t="n"/>
      <c r="BB18" s="36" t="n"/>
      <c r="BC18" s="36" t="n"/>
      <c r="BD18" s="36" t="n"/>
    </row>
    <row r="19">
      <c r="A19" s="36" t="n"/>
      <c r="B19" s="30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  <c r="AB19" s="36" t="n"/>
      <c r="AC19" s="36" t="n"/>
      <c r="AD19" s="36" t="n"/>
      <c r="AE19" s="36" t="n"/>
      <c r="AF19" s="36" t="n"/>
      <c r="AG19" s="36" t="n"/>
      <c r="AH19" s="36" t="n"/>
      <c r="AI19" s="36" t="n"/>
      <c r="AJ19" s="36" t="n"/>
      <c r="AK19" s="36" t="n"/>
      <c r="AL19" s="36" t="n"/>
      <c r="AM19" s="36" t="n"/>
      <c r="AN19" s="36" t="n"/>
      <c r="AO19" s="36" t="n"/>
      <c r="AP19" s="36" t="n"/>
      <c r="AQ19" s="36" t="n"/>
      <c r="AR19" s="36" t="n"/>
      <c r="AS19" s="36" t="n"/>
      <c r="AT19" s="36" t="n"/>
      <c r="AU19" s="36" t="n"/>
      <c r="AV19" s="36" t="n"/>
      <c r="AW19" s="36" t="n"/>
      <c r="AX19" s="36" t="n"/>
      <c r="AY19" s="36" t="n"/>
      <c r="AZ19" s="36" t="n"/>
      <c r="BA19" s="36" t="n"/>
      <c r="BB19" s="36" t="n"/>
      <c r="BC19" s="36" t="n"/>
      <c r="BD19" s="36" t="n"/>
    </row>
    <row r="20">
      <c r="A20" s="36" t="n"/>
      <c r="B20" s="30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  <c r="AB20" s="36" t="n"/>
      <c r="AC20" s="36" t="n"/>
      <c r="AD20" s="36" t="n"/>
      <c r="AE20" s="36" t="n"/>
      <c r="AF20" s="36" t="n"/>
      <c r="AG20" s="36" t="n"/>
      <c r="AH20" s="36" t="n"/>
      <c r="AI20" s="36" t="n"/>
      <c r="AJ20" s="36" t="n"/>
      <c r="AK20" s="36" t="n"/>
      <c r="AL20" s="36" t="n"/>
      <c r="AM20" s="36" t="n"/>
      <c r="AN20" s="36" t="n"/>
      <c r="AO20" s="36" t="n"/>
      <c r="AP20" s="36" t="n"/>
      <c r="AQ20" s="36" t="n"/>
      <c r="AR20" s="36" t="n"/>
      <c r="AS20" s="36" t="n"/>
      <c r="AT20" s="36" t="n"/>
      <c r="AU20" s="36" t="n"/>
      <c r="AV20" s="36" t="n"/>
      <c r="AW20" s="36" t="n"/>
      <c r="AX20" s="36" t="n"/>
      <c r="AY20" s="36" t="n"/>
      <c r="AZ20" s="36" t="n"/>
      <c r="BA20" s="36" t="n"/>
      <c r="BB20" s="36" t="n"/>
      <c r="BC20" s="36" t="n"/>
      <c r="BD20" s="36" t="n"/>
    </row>
    <row r="21">
      <c r="A21" s="36" t="n"/>
      <c r="B21" s="30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  <c r="AB21" s="36" t="n"/>
      <c r="AC21" s="36" t="n"/>
      <c r="AD21" s="36" t="n"/>
      <c r="AE21" s="36" t="n"/>
      <c r="AF21" s="36" t="n"/>
      <c r="AG21" s="36" t="n"/>
      <c r="AH21" s="36" t="n"/>
      <c r="AI21" s="36" t="n"/>
      <c r="AJ21" s="36" t="n"/>
      <c r="AK21" s="36" t="n"/>
      <c r="AL21" s="36" t="n"/>
      <c r="AM21" s="36" t="n"/>
      <c r="AN21" s="36" t="n"/>
      <c r="AO21" s="36" t="n"/>
      <c r="AP21" s="36" t="n"/>
      <c r="AQ21" s="36" t="n"/>
      <c r="AR21" s="36" t="n"/>
      <c r="AS21" s="36" t="n"/>
      <c r="AT21" s="36" t="n"/>
      <c r="AU21" s="36" t="n"/>
      <c r="AV21" s="36" t="n"/>
      <c r="AW21" s="36" t="n"/>
      <c r="AX21" s="36" t="n"/>
      <c r="AY21" s="36" t="n"/>
      <c r="AZ21" s="36" t="n"/>
      <c r="BA21" s="36" t="n"/>
      <c r="BB21" s="36" t="n"/>
      <c r="BC21" s="36" t="n"/>
      <c r="BD21" s="36" t="n"/>
    </row>
    <row r="22">
      <c r="A22" s="36" t="n"/>
      <c r="B22" s="30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  <c r="AB22" s="36" t="n"/>
      <c r="AC22" s="36" t="n"/>
      <c r="AD22" s="36" t="n"/>
      <c r="AE22" s="36" t="n"/>
      <c r="AF22" s="36" t="n"/>
      <c r="AG22" s="36" t="n"/>
      <c r="AH22" s="36" t="n"/>
      <c r="AI22" s="36" t="n"/>
      <c r="AJ22" s="36" t="n"/>
      <c r="AK22" s="36" t="n"/>
      <c r="AL22" s="36" t="n"/>
      <c r="AM22" s="36" t="n"/>
      <c r="AN22" s="36" t="n"/>
      <c r="AO22" s="36" t="n"/>
      <c r="AP22" s="36" t="n"/>
      <c r="AQ22" s="36" t="n"/>
      <c r="AR22" s="36" t="n"/>
      <c r="AS22" s="36" t="n"/>
      <c r="AT22" s="36" t="n"/>
      <c r="AU22" s="36" t="n"/>
      <c r="AV22" s="36" t="n"/>
      <c r="AW22" s="36" t="n"/>
      <c r="AX22" s="36" t="n"/>
      <c r="AY22" s="36" t="n"/>
      <c r="AZ22" s="36" t="n"/>
      <c r="BA22" s="36" t="n"/>
      <c r="BB22" s="36" t="n"/>
      <c r="BC22" s="36" t="n"/>
      <c r="BD22" s="36" t="n"/>
    </row>
    <row r="23">
      <c r="A23" s="36" t="n"/>
      <c r="B23" s="30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  <c r="AB23" s="36" t="n"/>
      <c r="AC23" s="36" t="n"/>
      <c r="AD23" s="36" t="n"/>
      <c r="AE23" s="36" t="n"/>
      <c r="AF23" s="36" t="n"/>
      <c r="AG23" s="36" t="n"/>
      <c r="AH23" s="36" t="n"/>
      <c r="AI23" s="36" t="n"/>
      <c r="AJ23" s="36" t="n"/>
      <c r="AK23" s="36" t="n"/>
      <c r="AL23" s="36" t="n"/>
      <c r="AM23" s="36" t="n"/>
      <c r="AN23" s="36" t="n"/>
      <c r="AO23" s="36" t="n"/>
      <c r="AP23" s="36" t="n"/>
      <c r="AQ23" s="36" t="n"/>
      <c r="AR23" s="36" t="n"/>
      <c r="AS23" s="36" t="n"/>
      <c r="AT23" s="36" t="n"/>
      <c r="AU23" s="36" t="n"/>
      <c r="AV23" s="36" t="n"/>
      <c r="AW23" s="36" t="n"/>
      <c r="AX23" s="36" t="n"/>
      <c r="AY23" s="36" t="n"/>
      <c r="AZ23" s="36" t="n"/>
      <c r="BA23" s="36" t="n"/>
      <c r="BB23" s="36" t="n"/>
      <c r="BC23" s="36" t="n"/>
      <c r="BD23" s="36" t="n"/>
    </row>
    <row r="24">
      <c r="A24" s="36" t="n"/>
      <c r="B24" s="30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36" t="n"/>
      <c r="AJ24" s="36" t="n"/>
      <c r="AK24" s="36" t="n"/>
      <c r="AL24" s="36" t="n"/>
      <c r="AM24" s="36" t="n"/>
      <c r="AN24" s="36" t="n"/>
      <c r="AO24" s="36" t="n"/>
      <c r="AP24" s="36" t="n"/>
      <c r="AQ24" s="36" t="n"/>
      <c r="AR24" s="36" t="n"/>
      <c r="AS24" s="36" t="n"/>
      <c r="AT24" s="36" t="n"/>
      <c r="AU24" s="36" t="n"/>
      <c r="AV24" s="36" t="n"/>
      <c r="AW24" s="36" t="n"/>
      <c r="AX24" s="36" t="n"/>
      <c r="AY24" s="36" t="n"/>
      <c r="AZ24" s="36" t="n"/>
      <c r="BA24" s="36" t="n"/>
      <c r="BB24" s="36" t="n"/>
      <c r="BC24" s="36" t="n"/>
      <c r="BD24" s="36" t="n"/>
    </row>
    <row r="25">
      <c r="A25" s="36" t="n"/>
      <c r="B25" s="30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  <c r="AB25" s="36" t="n"/>
      <c r="AC25" s="36" t="n"/>
      <c r="AD25" s="36" t="n"/>
      <c r="AE25" s="36" t="n"/>
      <c r="AF25" s="36" t="n"/>
      <c r="AG25" s="36" t="n"/>
      <c r="AH25" s="36" t="n"/>
      <c r="AI25" s="36" t="n"/>
      <c r="AJ25" s="36" t="n"/>
      <c r="AK25" s="36" t="n"/>
      <c r="AL25" s="36" t="n"/>
      <c r="AM25" s="36" t="n"/>
      <c r="AN25" s="36" t="n"/>
      <c r="AO25" s="36" t="n"/>
      <c r="AP25" s="36" t="n"/>
      <c r="AQ25" s="36" t="n"/>
      <c r="AR25" s="36" t="n"/>
      <c r="AS25" s="36" t="n"/>
      <c r="AT25" s="36" t="n"/>
      <c r="AU25" s="36" t="n"/>
      <c r="AV25" s="36" t="n"/>
      <c r="AW25" s="36" t="n"/>
      <c r="AX25" s="36" t="n"/>
      <c r="AY25" s="36" t="n"/>
      <c r="AZ25" s="36" t="n"/>
      <c r="BA25" s="36" t="n"/>
      <c r="BB25" s="36" t="n"/>
      <c r="BC25" s="36" t="n"/>
      <c r="BD25" s="36" t="n"/>
    </row>
    <row r="26">
      <c r="A26" s="36" t="n"/>
      <c r="B26" s="30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  <c r="AB26" s="36" t="n"/>
      <c r="AC26" s="36" t="n"/>
      <c r="AD26" s="36" t="n"/>
      <c r="AE26" s="36" t="n"/>
      <c r="AF26" s="36" t="n"/>
      <c r="AG26" s="36" t="n"/>
      <c r="AH26" s="36" t="n"/>
      <c r="AI26" s="36" t="n"/>
      <c r="AJ26" s="36" t="n"/>
      <c r="AK26" s="36" t="n"/>
      <c r="AL26" s="36" t="n"/>
      <c r="AM26" s="36" t="n"/>
      <c r="AN26" s="36" t="n"/>
      <c r="AO26" s="36" t="n"/>
      <c r="AP26" s="36" t="n"/>
      <c r="AQ26" s="36" t="n"/>
      <c r="AR26" s="36" t="n"/>
      <c r="AS26" s="36" t="n"/>
      <c r="AT26" s="36" t="n"/>
      <c r="AU26" s="36" t="n"/>
      <c r="AV26" s="36" t="n"/>
      <c r="AW26" s="36" t="n"/>
      <c r="AX26" s="36" t="n"/>
      <c r="AY26" s="36" t="n"/>
      <c r="AZ26" s="36" t="n"/>
      <c r="BA26" s="36" t="n"/>
      <c r="BB26" s="36" t="n"/>
      <c r="BC26" s="36" t="n"/>
      <c r="BD26" s="36" t="n"/>
    </row>
    <row r="27">
      <c r="A27" s="36" t="n"/>
      <c r="B27" s="30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  <c r="AB27" s="36" t="n"/>
      <c r="AC27" s="36" t="n"/>
      <c r="AD27" s="36" t="n"/>
      <c r="AE27" s="36" t="n"/>
      <c r="AF27" s="36" t="n"/>
      <c r="AG27" s="36" t="n"/>
      <c r="AH27" s="36" t="n"/>
      <c r="AI27" s="36" t="n"/>
      <c r="AJ27" s="36" t="n"/>
      <c r="AK27" s="36" t="n"/>
      <c r="AL27" s="36" t="n"/>
      <c r="AM27" s="36" t="n"/>
      <c r="AN27" s="36" t="n"/>
      <c r="AO27" s="36" t="n"/>
      <c r="AP27" s="36" t="n"/>
      <c r="AQ27" s="36" t="n"/>
      <c r="AR27" s="36" t="n"/>
      <c r="AS27" s="36" t="n"/>
      <c r="AT27" s="36" t="n"/>
      <c r="AU27" s="36" t="n"/>
      <c r="AV27" s="36" t="n"/>
      <c r="AW27" s="36" t="n"/>
      <c r="AX27" s="36" t="n"/>
      <c r="AY27" s="36" t="n"/>
      <c r="AZ27" s="36" t="n"/>
      <c r="BA27" s="36" t="n"/>
      <c r="BB27" s="36" t="n"/>
      <c r="BC27" s="36" t="n"/>
      <c r="BD27" s="36" t="n"/>
    </row>
    <row r="28">
      <c r="A28" s="36" t="n"/>
      <c r="B28" s="30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  <c r="AB28" s="36" t="n"/>
      <c r="AC28" s="36" t="n"/>
      <c r="AD28" s="36" t="n"/>
      <c r="AE28" s="36" t="n"/>
      <c r="AF28" s="36" t="n"/>
      <c r="AG28" s="36" t="n"/>
      <c r="AH28" s="36" t="n"/>
      <c r="AI28" s="36" t="n"/>
      <c r="AJ28" s="36" t="n"/>
      <c r="AK28" s="36" t="n"/>
      <c r="AL28" s="36" t="n"/>
      <c r="AM28" s="36" t="n"/>
      <c r="AN28" s="36" t="n"/>
      <c r="AO28" s="36" t="n"/>
      <c r="AP28" s="36" t="n"/>
      <c r="AQ28" s="36" t="n"/>
      <c r="AR28" s="36" t="n"/>
      <c r="AS28" s="36" t="n"/>
      <c r="AT28" s="36" t="n"/>
      <c r="AU28" s="36" t="n"/>
      <c r="AV28" s="36" t="n"/>
      <c r="AW28" s="36" t="n"/>
      <c r="AX28" s="36" t="n"/>
      <c r="AY28" s="36" t="n"/>
      <c r="AZ28" s="36" t="n"/>
      <c r="BA28" s="36" t="n"/>
      <c r="BB28" s="36" t="n"/>
      <c r="BC28" s="36" t="n"/>
      <c r="BD28" s="36" t="n"/>
    </row>
    <row r="30">
      <c r="B30" s="29" t="inlineStr">
        <is>
          <t>Feitas na semana</t>
        </is>
      </c>
      <c r="E30" s="37">
        <f>COUNTIF(E5:E28,"Sim")</f>
        <v>0</v>
      </c>
      <c r="F30" s="37">
        <f>COUNTIF(F5:F28,"Sim")</f>
        <v>0</v>
      </c>
      <c r="G30" s="37">
        <f>COUNTIF(G5:G28,"Sim")</f>
        <v>0</v>
      </c>
      <c r="H30" s="37">
        <f>COUNTIF(H5:H28,"Sim")</f>
        <v>0</v>
      </c>
      <c r="I30" s="37">
        <f>COUNTIF(I5:I28,"Sim")</f>
        <v>0</v>
      </c>
      <c r="J30" s="37">
        <f>COUNTIF(J5:J28,"Sim")</f>
        <v>0</v>
      </c>
      <c r="K30" s="37">
        <f>COUNTIF(K5:K28,"Sim")</f>
        <v>0</v>
      </c>
      <c r="L30" s="37">
        <f>COUNTIF(L5:L28,"Sim")</f>
        <v>0</v>
      </c>
      <c r="M30" s="37">
        <f>COUNTIF(M5:M28,"Sim")</f>
        <v>0</v>
      </c>
      <c r="N30" s="37">
        <f>COUNTIF(N5:N28,"Sim")</f>
        <v>0</v>
      </c>
      <c r="O30" s="37">
        <f>COUNTIF(O5:O28,"Sim")</f>
        <v>0</v>
      </c>
      <c r="P30" s="37">
        <f>COUNTIF(P5:P28,"Sim")</f>
        <v>0</v>
      </c>
      <c r="Q30" s="37">
        <f>COUNTIF(Q5:Q28,"Sim")</f>
        <v>0</v>
      </c>
      <c r="R30" s="37">
        <f>COUNTIF(R5:R28,"Sim")</f>
        <v>0</v>
      </c>
      <c r="S30" s="37">
        <f>COUNTIF(S5:S28,"Sim")</f>
        <v>0</v>
      </c>
      <c r="T30" s="37">
        <f>COUNTIF(T5:T28,"Sim")</f>
        <v>0</v>
      </c>
      <c r="U30" s="37">
        <f>COUNTIF(U5:U28,"Sim")</f>
        <v>0</v>
      </c>
      <c r="V30" s="37">
        <f>COUNTIF(V5:V28,"Sim")</f>
        <v>0</v>
      </c>
      <c r="W30" s="37">
        <f>COUNTIF(W5:W28,"Sim")</f>
        <v>0</v>
      </c>
      <c r="X30" s="37">
        <f>COUNTIF(X5:X28,"Sim")</f>
        <v>0</v>
      </c>
      <c r="Y30" s="37">
        <f>COUNTIF(Y5:Y28,"Sim")</f>
        <v>0</v>
      </c>
      <c r="Z30" s="37">
        <f>COUNTIF(Z5:Z28,"Sim")</f>
        <v>0</v>
      </c>
      <c r="AA30" s="37">
        <f>COUNTIF(AA5:AA28,"Sim")</f>
        <v>0</v>
      </c>
      <c r="AB30" s="37">
        <f>COUNTIF(AB5:AB28,"Sim")</f>
        <v>0</v>
      </c>
      <c r="AC30" s="37">
        <f>COUNTIF(AC5:AC28,"Sim")</f>
        <v>0</v>
      </c>
      <c r="AD30" s="37">
        <f>COUNTIF(AD5:AD28,"Sim")</f>
        <v>0</v>
      </c>
      <c r="AE30" s="37">
        <f>COUNTIF(AE5:AE28,"Sim")</f>
        <v>0</v>
      </c>
      <c r="AF30" s="37">
        <f>COUNTIF(AF5:AF28,"Sim")</f>
        <v>0</v>
      </c>
      <c r="AG30" s="37">
        <f>COUNTIF(AG5:AG28,"Sim")</f>
        <v>5</v>
      </c>
      <c r="AH30" s="37">
        <f>COUNTIF(AH5:AH28,"Sim")</f>
        <v>8</v>
      </c>
      <c r="AI30" s="37">
        <f>COUNTIF(AI5:AI28,"Sim")</f>
        <v>8</v>
      </c>
      <c r="AJ30" s="37">
        <f>COUNTIF(AJ5:AJ28,"Sim")</f>
        <v>8</v>
      </c>
      <c r="AK30" s="37">
        <f>COUNTIF(AK5:AK28,"Sim")</f>
        <v>8</v>
      </c>
      <c r="AL30" s="37">
        <f>COUNTIF(AL5:AL28,"Sim")</f>
        <v>7</v>
      </c>
      <c r="AM30" s="37">
        <f>COUNTIF(AM5:AM28,"Sim")</f>
        <v>7</v>
      </c>
      <c r="AN30" s="37">
        <f>COUNTIF(AN5:AN28,"Sim")</f>
        <v>8</v>
      </c>
      <c r="AO30" s="37">
        <f>COUNTIF(AO5:AO28,"Sim")</f>
        <v>0</v>
      </c>
      <c r="AP30" s="37">
        <f>COUNTIF(AP5:AP28,"Sim")</f>
        <v>0</v>
      </c>
      <c r="AQ30" s="37">
        <f>COUNTIF(AQ5:AQ28,"Sim")</f>
        <v>0</v>
      </c>
      <c r="AR30" s="37">
        <f>COUNTIF(AR5:AR28,"Sim")</f>
        <v>0</v>
      </c>
      <c r="AS30" s="37">
        <f>COUNTIF(AS5:AS28,"Sim")</f>
        <v>0</v>
      </c>
      <c r="AT30" s="37">
        <f>COUNTIF(AT5:AT28,"Sim")</f>
        <v>0</v>
      </c>
      <c r="AU30" s="37">
        <f>COUNTIF(AU5:AU28,"Sim")</f>
        <v>0</v>
      </c>
      <c r="AV30" s="37">
        <f>COUNTIF(AV5:AV28,"Sim")</f>
        <v>0</v>
      </c>
      <c r="AW30" s="37">
        <f>COUNTIF(AW5:AW28,"Sim")</f>
        <v>0</v>
      </c>
      <c r="AX30" s="37">
        <f>COUNTIF(AX5:AX28,"Sim")</f>
        <v>0</v>
      </c>
      <c r="AY30" s="37">
        <f>COUNTIF(AY5:AY28,"Sim")</f>
        <v>0</v>
      </c>
      <c r="AZ30" s="37">
        <f>COUNTIF(AZ5:AZ28,"Sim")</f>
        <v>0</v>
      </c>
      <c r="BA30" s="37">
        <f>COUNTIF(BA5:BA28,"Sim")</f>
        <v>0</v>
      </c>
      <c r="BB30" s="37">
        <f>COUNTIF(BB5:BB28,"Sim")</f>
        <v>0</v>
      </c>
      <c r="BC30" s="37">
        <f>COUNTIF(BC5:BC28,"Sim")</f>
        <v>0</v>
      </c>
      <c r="BD30" s="37">
        <f>COUNTIF(BD5:BD28,"Sim")</f>
        <v>0</v>
      </c>
    </row>
    <row r="31">
      <c r="B31" s="29" t="inlineStr">
        <is>
          <t>Registradas (Sim ou Não)</t>
        </is>
      </c>
      <c r="E31" s="37">
        <f>COUNTIF(E5:E28,"Sim")+COUNTIF(E5:E28,"Não")</f>
        <v>0</v>
      </c>
      <c r="F31" s="37">
        <f>COUNTIF(F5:F28,"Sim")+COUNTIF(F5:F28,"Não")</f>
        <v>0</v>
      </c>
      <c r="G31" s="37">
        <f>COUNTIF(G5:G28,"Sim")+COUNTIF(G5:G28,"Não")</f>
        <v>0</v>
      </c>
      <c r="H31" s="37">
        <f>COUNTIF(H5:H28,"Sim")+COUNTIF(H5:H28,"Não")</f>
        <v>0</v>
      </c>
      <c r="I31" s="37">
        <f>COUNTIF(I5:I28,"Sim")+COUNTIF(I5:I28,"Não")</f>
        <v>0</v>
      </c>
      <c r="J31" s="37">
        <f>COUNTIF(J5:J28,"Sim")+COUNTIF(J5:J28,"Não")</f>
        <v>0</v>
      </c>
      <c r="K31" s="37">
        <f>COUNTIF(K5:K28,"Sim")+COUNTIF(K5:K28,"Não")</f>
        <v>0</v>
      </c>
      <c r="L31" s="37">
        <f>COUNTIF(L5:L28,"Sim")+COUNTIF(L5:L28,"Não")</f>
        <v>0</v>
      </c>
      <c r="M31" s="37">
        <f>COUNTIF(M5:M28,"Sim")+COUNTIF(M5:M28,"Não")</f>
        <v>0</v>
      </c>
      <c r="N31" s="37">
        <f>COUNTIF(N5:N28,"Sim")+COUNTIF(N5:N28,"Não")</f>
        <v>0</v>
      </c>
      <c r="O31" s="37">
        <f>COUNTIF(O5:O28,"Sim")+COUNTIF(O5:O28,"Não")</f>
        <v>0</v>
      </c>
      <c r="P31" s="37">
        <f>COUNTIF(P5:P28,"Sim")+COUNTIF(P5:P28,"Não")</f>
        <v>0</v>
      </c>
      <c r="Q31" s="37">
        <f>COUNTIF(Q5:Q28,"Sim")+COUNTIF(Q5:Q28,"Não")</f>
        <v>0</v>
      </c>
      <c r="R31" s="37">
        <f>COUNTIF(R5:R28,"Sim")+COUNTIF(R5:R28,"Não")</f>
        <v>0</v>
      </c>
      <c r="S31" s="37">
        <f>COUNTIF(S5:S28,"Sim")+COUNTIF(S5:S28,"Não")</f>
        <v>0</v>
      </c>
      <c r="T31" s="37">
        <f>COUNTIF(T5:T28,"Sim")+COUNTIF(T5:T28,"Não")</f>
        <v>0</v>
      </c>
      <c r="U31" s="37">
        <f>COUNTIF(U5:U28,"Sim")+COUNTIF(U5:U28,"Não")</f>
        <v>0</v>
      </c>
      <c r="V31" s="37">
        <f>COUNTIF(V5:V28,"Sim")+COUNTIF(V5:V28,"Não")</f>
        <v>0</v>
      </c>
      <c r="W31" s="37">
        <f>COUNTIF(W5:W28,"Sim")+COUNTIF(W5:W28,"Não")</f>
        <v>0</v>
      </c>
      <c r="X31" s="37">
        <f>COUNTIF(X5:X28,"Sim")+COUNTIF(X5:X28,"Não")</f>
        <v>0</v>
      </c>
      <c r="Y31" s="37">
        <f>COUNTIF(Y5:Y28,"Sim")+COUNTIF(Y5:Y28,"Não")</f>
        <v>0</v>
      </c>
      <c r="Z31" s="37">
        <f>COUNTIF(Z5:Z28,"Sim")+COUNTIF(Z5:Z28,"Não")</f>
        <v>0</v>
      </c>
      <c r="AA31" s="37">
        <f>COUNTIF(AA5:AA28,"Sim")+COUNTIF(AA5:AA28,"Não")</f>
        <v>0</v>
      </c>
      <c r="AB31" s="37">
        <f>COUNTIF(AB5:AB28,"Sim")+COUNTIF(AB5:AB28,"Não")</f>
        <v>0</v>
      </c>
      <c r="AC31" s="37">
        <f>COUNTIF(AC5:AC28,"Sim")+COUNTIF(AC5:AC28,"Não")</f>
        <v>0</v>
      </c>
      <c r="AD31" s="37">
        <f>COUNTIF(AD5:AD28,"Sim")+COUNTIF(AD5:AD28,"Não")</f>
        <v>0</v>
      </c>
      <c r="AE31" s="37">
        <f>COUNTIF(AE5:AE28,"Sim")+COUNTIF(AE5:AE28,"Não")</f>
        <v>0</v>
      </c>
      <c r="AF31" s="37">
        <f>COUNTIF(AF5:AF28,"Sim")+COUNTIF(AF5:AF28,"Não")</f>
        <v>0</v>
      </c>
      <c r="AG31" s="37">
        <f>COUNTIF(AG5:AG28,"Sim")+COUNTIF(AG5:AG28,"Não")</f>
        <v>9</v>
      </c>
      <c r="AH31" s="37">
        <f>COUNTIF(AH5:AH28,"Sim")+COUNTIF(AH5:AH28,"Não")</f>
        <v>9</v>
      </c>
      <c r="AI31" s="37">
        <f>COUNTIF(AI5:AI28,"Sim")+COUNTIF(AI5:AI28,"Não")</f>
        <v>9</v>
      </c>
      <c r="AJ31" s="37">
        <f>COUNTIF(AJ5:AJ28,"Sim")+COUNTIF(AJ5:AJ28,"Não")</f>
        <v>9</v>
      </c>
      <c r="AK31" s="37">
        <f>COUNTIF(AK5:AK28,"Sim")+COUNTIF(AK5:AK28,"Não")</f>
        <v>9</v>
      </c>
      <c r="AL31" s="37">
        <f>COUNTIF(AL5:AL28,"Sim")+COUNTIF(AL5:AL28,"Não")</f>
        <v>9</v>
      </c>
      <c r="AM31" s="37">
        <f>COUNTIF(AM5:AM28,"Sim")+COUNTIF(AM5:AM28,"Não")</f>
        <v>9</v>
      </c>
      <c r="AN31" s="37">
        <f>COUNTIF(AN5:AN28,"Sim")+COUNTIF(AN5:AN28,"Não")</f>
        <v>9</v>
      </c>
      <c r="AO31" s="37">
        <f>COUNTIF(AO5:AO28,"Sim")+COUNTIF(AO5:AO28,"Não")</f>
        <v>0</v>
      </c>
      <c r="AP31" s="37">
        <f>COUNTIF(AP5:AP28,"Sim")+COUNTIF(AP5:AP28,"Não")</f>
        <v>0</v>
      </c>
      <c r="AQ31" s="37">
        <f>COUNTIF(AQ5:AQ28,"Sim")+COUNTIF(AQ5:AQ28,"Não")</f>
        <v>0</v>
      </c>
      <c r="AR31" s="37">
        <f>COUNTIF(AR5:AR28,"Sim")+COUNTIF(AR5:AR28,"Não")</f>
        <v>0</v>
      </c>
      <c r="AS31" s="37">
        <f>COUNTIF(AS5:AS28,"Sim")+COUNTIF(AS5:AS28,"Não")</f>
        <v>0</v>
      </c>
      <c r="AT31" s="37">
        <f>COUNTIF(AT5:AT28,"Sim")+COUNTIF(AT5:AT28,"Não")</f>
        <v>0</v>
      </c>
      <c r="AU31" s="37">
        <f>COUNTIF(AU5:AU28,"Sim")+COUNTIF(AU5:AU28,"Não")</f>
        <v>0</v>
      </c>
      <c r="AV31" s="37">
        <f>COUNTIF(AV5:AV28,"Sim")+COUNTIF(AV5:AV28,"Não")</f>
        <v>0</v>
      </c>
      <c r="AW31" s="37">
        <f>COUNTIF(AW5:AW28,"Sim")+COUNTIF(AW5:AW28,"Não")</f>
        <v>0</v>
      </c>
      <c r="AX31" s="37">
        <f>COUNTIF(AX5:AX28,"Sim")+COUNTIF(AX5:AX28,"Não")</f>
        <v>0</v>
      </c>
      <c r="AY31" s="37">
        <f>COUNTIF(AY5:AY28,"Sim")+COUNTIF(AY5:AY28,"Não")</f>
        <v>0</v>
      </c>
      <c r="AZ31" s="37">
        <f>COUNTIF(AZ5:AZ28,"Sim")+COUNTIF(AZ5:AZ28,"Não")</f>
        <v>0</v>
      </c>
      <c r="BA31" s="37">
        <f>COUNTIF(BA5:BA28,"Sim")+COUNTIF(BA5:BA28,"Não")</f>
        <v>0</v>
      </c>
      <c r="BB31" s="37">
        <f>COUNTIF(BB5:BB28,"Sim")+COUNTIF(BB5:BB28,"Não")</f>
        <v>0</v>
      </c>
      <c r="BC31" s="37">
        <f>COUNTIF(BC5:BC28,"Sim")+COUNTIF(BC5:BC28,"Não")</f>
        <v>0</v>
      </c>
      <c r="BD31" s="37">
        <f>COUNTIF(BD5:BD28,"Sim")+COUNTIF(BD5:BD28,"Não")</f>
        <v>0</v>
      </c>
    </row>
    <row r="32">
      <c r="B32" s="29" t="inlineStr">
        <is>
          <t>Planejadas</t>
        </is>
      </c>
      <c r="E32" s="37">
        <f>COUNTA($B$5:$B$28)</f>
        <v>9</v>
      </c>
      <c r="F32" s="37">
        <f>COUNTA($B$5:$B$28)</f>
        <v>9</v>
      </c>
      <c r="G32" s="37">
        <f>COUNTA($B$5:$B$28)</f>
        <v>9</v>
      </c>
      <c r="H32" s="37">
        <f>COUNTA($B$5:$B$28)</f>
        <v>9</v>
      </c>
      <c r="I32" s="37">
        <f>COUNTA($B$5:$B$28)</f>
        <v>9</v>
      </c>
      <c r="J32" s="37">
        <f>COUNTA($B$5:$B$28)</f>
        <v>9</v>
      </c>
      <c r="K32" s="37">
        <f>COUNTA($B$5:$B$28)</f>
        <v>9</v>
      </c>
      <c r="L32" s="37">
        <f>COUNTA($B$5:$B$28)</f>
        <v>9</v>
      </c>
      <c r="M32" s="37">
        <f>COUNTA($B$5:$B$28)</f>
        <v>9</v>
      </c>
      <c r="N32" s="37">
        <f>COUNTA($B$5:$B$28)</f>
        <v>9</v>
      </c>
      <c r="O32" s="37">
        <f>COUNTA($B$5:$B$28)</f>
        <v>9</v>
      </c>
      <c r="P32" s="37">
        <f>COUNTA($B$5:$B$28)</f>
        <v>9</v>
      </c>
      <c r="Q32" s="37">
        <f>COUNTA($B$5:$B$28)</f>
        <v>9</v>
      </c>
      <c r="R32" s="37">
        <f>COUNTA($B$5:$B$28)</f>
        <v>9</v>
      </c>
      <c r="S32" s="37">
        <f>COUNTA($B$5:$B$28)</f>
        <v>9</v>
      </c>
      <c r="T32" s="37">
        <f>COUNTA($B$5:$B$28)</f>
        <v>9</v>
      </c>
      <c r="U32" s="37">
        <f>COUNTA($B$5:$B$28)</f>
        <v>9</v>
      </c>
      <c r="V32" s="37">
        <f>COUNTA($B$5:$B$28)</f>
        <v>9</v>
      </c>
      <c r="W32" s="37">
        <f>COUNTA($B$5:$B$28)</f>
        <v>9</v>
      </c>
      <c r="X32" s="37">
        <f>COUNTA($B$5:$B$28)</f>
        <v>9</v>
      </c>
      <c r="Y32" s="37">
        <f>COUNTA($B$5:$B$28)</f>
        <v>9</v>
      </c>
      <c r="Z32" s="37">
        <f>COUNTA($B$5:$B$28)</f>
        <v>9</v>
      </c>
      <c r="AA32" s="37">
        <f>COUNTA($B$5:$B$28)</f>
        <v>9</v>
      </c>
      <c r="AB32" s="37">
        <f>COUNTA($B$5:$B$28)</f>
        <v>9</v>
      </c>
      <c r="AC32" s="37">
        <f>COUNTA($B$5:$B$28)</f>
        <v>9</v>
      </c>
      <c r="AD32" s="37">
        <f>COUNTA($B$5:$B$28)</f>
        <v>9</v>
      </c>
      <c r="AE32" s="37">
        <f>COUNTA($B$5:$B$28)</f>
        <v>9</v>
      </c>
      <c r="AF32" s="37">
        <f>COUNTA($B$5:$B$28)</f>
        <v>9</v>
      </c>
      <c r="AG32" s="37">
        <f>COUNTA($B$5:$B$28)</f>
        <v>9</v>
      </c>
      <c r="AH32" s="37">
        <f>COUNTA($B$5:$B$28)</f>
        <v>9</v>
      </c>
      <c r="AI32" s="37">
        <f>COUNTA($B$5:$B$28)</f>
        <v>9</v>
      </c>
      <c r="AJ32" s="37">
        <f>COUNTA($B$5:$B$28)</f>
        <v>9</v>
      </c>
      <c r="AK32" s="37">
        <f>COUNTA($B$5:$B$28)</f>
        <v>9</v>
      </c>
      <c r="AL32" s="37">
        <f>COUNTA($B$5:$B$28)</f>
        <v>9</v>
      </c>
      <c r="AM32" s="37">
        <f>COUNTA($B$5:$B$28)</f>
        <v>9</v>
      </c>
      <c r="AN32" s="37">
        <f>COUNTA($B$5:$B$28)</f>
        <v>9</v>
      </c>
      <c r="AO32" s="37">
        <f>COUNTA($B$5:$B$28)</f>
        <v>9</v>
      </c>
      <c r="AP32" s="37">
        <f>COUNTA($B$5:$B$28)</f>
        <v>9</v>
      </c>
      <c r="AQ32" s="37">
        <f>COUNTA($B$5:$B$28)</f>
        <v>9</v>
      </c>
      <c r="AR32" s="37">
        <f>COUNTA($B$5:$B$28)</f>
        <v>9</v>
      </c>
      <c r="AS32" s="37">
        <f>COUNTA($B$5:$B$28)</f>
        <v>9</v>
      </c>
      <c r="AT32" s="37">
        <f>COUNTA($B$5:$B$28)</f>
        <v>9</v>
      </c>
      <c r="AU32" s="37">
        <f>COUNTA($B$5:$B$28)</f>
        <v>9</v>
      </c>
      <c r="AV32" s="37">
        <f>COUNTA($B$5:$B$28)</f>
        <v>9</v>
      </c>
      <c r="AW32" s="37">
        <f>COUNTA($B$5:$B$28)</f>
        <v>9</v>
      </c>
      <c r="AX32" s="37">
        <f>COUNTA($B$5:$B$28)</f>
        <v>9</v>
      </c>
      <c r="AY32" s="37">
        <f>COUNTA($B$5:$B$28)</f>
        <v>9</v>
      </c>
      <c r="AZ32" s="37">
        <f>COUNTA($B$5:$B$28)</f>
        <v>9</v>
      </c>
      <c r="BA32" s="37">
        <f>COUNTA($B$5:$B$28)</f>
        <v>9</v>
      </c>
      <c r="BB32" s="37">
        <f>COUNTA($B$5:$B$28)</f>
        <v>9</v>
      </c>
      <c r="BC32" s="37">
        <f>COUNTA($B$5:$B$28)</f>
        <v>9</v>
      </c>
      <c r="BD32" s="37">
        <f>COUNTA($B$5:$B$28)</f>
        <v>9</v>
      </c>
    </row>
    <row r="33">
      <c r="B33" s="29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0.555555555555556</v>
      </c>
      <c r="AH33" s="23">
        <f>IF(AH31=0,"",AH30/AH32)</f>
        <v>0.888888888888889</v>
      </c>
      <c r="AI33" s="23">
        <f>IF(AI31=0,"",AI30/AI32)</f>
        <v>0.888888888888889</v>
      </c>
      <c r="AJ33" s="23">
        <f>IF(AJ31=0,"",AJ30/AJ32)</f>
        <v>0.888888888888889</v>
      </c>
      <c r="AK33" s="23">
        <f>IF(AK31=0,"",AK30/AK32)</f>
        <v>0.888888888888889</v>
      </c>
      <c r="AL33" s="23">
        <f>IF(AL31=0,"",AL30/AL32)</f>
        <v>0.777777777777778</v>
      </c>
      <c r="AM33" s="23">
        <f>IF(AM31=0,"",AM30/AM32)</f>
        <v>0.777777777777778</v>
      </c>
      <c r="AN33" s="23">
        <f>IF(AN31=0,"",AN30/AN32)</f>
        <v>0.888888888888889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9" t="inlineStr">
        <is>
          <t>Minutos feitos</t>
        </is>
      </c>
      <c r="E34" s="37">
        <f>SUMIF(E5:E28,"Sim",$C$5:$C$28)</f>
        <v>0</v>
      </c>
      <c r="F34" s="37">
        <f>SUMIF(F5:F28,"Sim",$C$5:$C$28)</f>
        <v>0</v>
      </c>
      <c r="G34" s="37">
        <f>SUMIF(G5:G28,"Sim",$C$5:$C$28)</f>
        <v>0</v>
      </c>
      <c r="H34" s="37">
        <f>SUMIF(H5:H28,"Sim",$C$5:$C$28)</f>
        <v>0</v>
      </c>
      <c r="I34" s="37">
        <f>SUMIF(I5:I28,"Sim",$C$5:$C$28)</f>
        <v>0</v>
      </c>
      <c r="J34" s="37">
        <f>SUMIF(J5:J28,"Sim",$C$5:$C$28)</f>
        <v>0</v>
      </c>
      <c r="K34" s="37">
        <f>SUMIF(K5:K28,"Sim",$C$5:$C$28)</f>
        <v>0</v>
      </c>
      <c r="L34" s="37">
        <f>SUMIF(L5:L28,"Sim",$C$5:$C$28)</f>
        <v>0</v>
      </c>
      <c r="M34" s="37">
        <f>SUMIF(M5:M28,"Sim",$C$5:$C$28)</f>
        <v>0</v>
      </c>
      <c r="N34" s="37">
        <f>SUMIF(N5:N28,"Sim",$C$5:$C$28)</f>
        <v>0</v>
      </c>
      <c r="O34" s="37">
        <f>SUMIF(O5:O28,"Sim",$C$5:$C$28)</f>
        <v>0</v>
      </c>
      <c r="P34" s="37">
        <f>SUMIF(P5:P28,"Sim",$C$5:$C$28)</f>
        <v>0</v>
      </c>
      <c r="Q34" s="37">
        <f>SUMIF(Q5:Q28,"Sim",$C$5:$C$28)</f>
        <v>0</v>
      </c>
      <c r="R34" s="37">
        <f>SUMIF(R5:R28,"Sim",$C$5:$C$28)</f>
        <v>0</v>
      </c>
      <c r="S34" s="37">
        <f>SUMIF(S5:S28,"Sim",$C$5:$C$28)</f>
        <v>0</v>
      </c>
      <c r="T34" s="37">
        <f>SUMIF(T5:T28,"Sim",$C$5:$C$28)</f>
        <v>0</v>
      </c>
      <c r="U34" s="37">
        <f>SUMIF(U5:U28,"Sim",$C$5:$C$28)</f>
        <v>0</v>
      </c>
      <c r="V34" s="37">
        <f>SUMIF(V5:V28,"Sim",$C$5:$C$28)</f>
        <v>0</v>
      </c>
      <c r="W34" s="37">
        <f>SUMIF(W5:W28,"Sim",$C$5:$C$28)</f>
        <v>0</v>
      </c>
      <c r="X34" s="37">
        <f>SUMIF(X5:X28,"Sim",$C$5:$C$28)</f>
        <v>0</v>
      </c>
      <c r="Y34" s="37">
        <f>SUMIF(Y5:Y28,"Sim",$C$5:$C$28)</f>
        <v>0</v>
      </c>
      <c r="Z34" s="37">
        <f>SUMIF(Z5:Z28,"Sim",$C$5:$C$28)</f>
        <v>0</v>
      </c>
      <c r="AA34" s="37">
        <f>SUMIF(AA5:AA28,"Sim",$C$5:$C$28)</f>
        <v>0</v>
      </c>
      <c r="AB34" s="37">
        <f>SUMIF(AB5:AB28,"Sim",$C$5:$C$28)</f>
        <v>0</v>
      </c>
      <c r="AC34" s="37">
        <f>SUMIF(AC5:AC28,"Sim",$C$5:$C$28)</f>
        <v>0</v>
      </c>
      <c r="AD34" s="37">
        <f>SUMIF(AD5:AD28,"Sim",$C$5:$C$28)</f>
        <v>0</v>
      </c>
      <c r="AE34" s="37">
        <f>SUMIF(AE5:AE28,"Sim",$C$5:$C$28)</f>
        <v>0</v>
      </c>
      <c r="AF34" s="37">
        <f>SUMIF(AF5:AF28,"Sim",$C$5:$C$28)</f>
        <v>0</v>
      </c>
      <c r="AG34" s="37">
        <f>SUMIF(AG5:AG28,"Sim",$C$5:$C$28)</f>
        <v>16</v>
      </c>
      <c r="AH34" s="37">
        <f>SUMIF(AH5:AH28,"Sim",$C$5:$C$28)</f>
        <v>26</v>
      </c>
      <c r="AI34" s="37">
        <f>SUMIF(AI5:AI28,"Sim",$C$5:$C$28)</f>
        <v>26</v>
      </c>
      <c r="AJ34" s="37">
        <f>SUMIF(AJ5:AJ28,"Sim",$C$5:$C$28)</f>
        <v>27</v>
      </c>
      <c r="AK34" s="37">
        <f>SUMIF(AK5:AK28,"Sim",$C$5:$C$28)</f>
        <v>27</v>
      </c>
      <c r="AL34" s="37">
        <f>SUMIF(AL5:AL28,"Sim",$C$5:$C$28)</f>
        <v>24</v>
      </c>
      <c r="AM34" s="37">
        <f>SUMIF(AM5:AM28,"Sim",$C$5:$C$28)</f>
        <v>24</v>
      </c>
      <c r="AN34" s="37">
        <f>SUMIF(AN5:AN28,"Sim",$C$5:$C$28)</f>
        <v>28</v>
      </c>
      <c r="AO34" s="37">
        <f>SUMIF(AO5:AO28,"Sim",$C$5:$C$28)</f>
        <v>0</v>
      </c>
      <c r="AP34" s="37">
        <f>SUMIF(AP5:AP28,"Sim",$C$5:$C$28)</f>
        <v>0</v>
      </c>
      <c r="AQ34" s="37">
        <f>SUMIF(AQ5:AQ28,"Sim",$C$5:$C$28)</f>
        <v>0</v>
      </c>
      <c r="AR34" s="37">
        <f>SUMIF(AR5:AR28,"Sim",$C$5:$C$28)</f>
        <v>0</v>
      </c>
      <c r="AS34" s="37">
        <f>SUMIF(AS5:AS28,"Sim",$C$5:$C$28)</f>
        <v>0</v>
      </c>
      <c r="AT34" s="37">
        <f>SUMIF(AT5:AT28,"Sim",$C$5:$C$28)</f>
        <v>0</v>
      </c>
      <c r="AU34" s="37">
        <f>SUMIF(AU5:AU28,"Sim",$C$5:$C$28)</f>
        <v>0</v>
      </c>
      <c r="AV34" s="37">
        <f>SUMIF(AV5:AV28,"Sim",$C$5:$C$28)</f>
        <v>0</v>
      </c>
      <c r="AW34" s="37">
        <f>SUMIF(AW5:AW28,"Sim",$C$5:$C$28)</f>
        <v>0</v>
      </c>
      <c r="AX34" s="37">
        <f>SUMIF(AX5:AX28,"Sim",$C$5:$C$28)</f>
        <v>0</v>
      </c>
      <c r="AY34" s="37">
        <f>SUMIF(AY5:AY28,"Sim",$C$5:$C$28)</f>
        <v>0</v>
      </c>
      <c r="AZ34" s="37">
        <f>SUMIF(AZ5:AZ28,"Sim",$C$5:$C$28)</f>
        <v>0</v>
      </c>
      <c r="BA34" s="37">
        <f>SUMIF(BA5:BA28,"Sim",$C$5:$C$28)</f>
        <v>0</v>
      </c>
      <c r="BB34" s="37">
        <f>SUMIF(BB5:BB28,"Sim",$C$5:$C$28)</f>
        <v>0</v>
      </c>
      <c r="BC34" s="37">
        <f>SUMIF(BC5:BC28,"Sim",$C$5:$C$28)</f>
        <v>0</v>
      </c>
      <c r="BD34" s="37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AND(E$3&lt;=Config!$B$5,E$3+6&gt;=Config!$B$5)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0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da clínica · Kit de Gestão para Médicos</dc:title>
  <dcterms:created xmlns:dcterms="http://purl.org/dc/terms/" xmlns:xsi="http://www.w3.org/2001/XMLSchema-instance" xsi:type="dcterms:W3CDTF">2026-09-14T22:11:25Z</dcterms:created>
  <dcterms:modified xmlns:dcterms="http://purl.org/dc/terms/" xmlns:xsi="http://www.w3.org/2001/XMLSchema-instance" xsi:type="dcterms:W3CDTF">2026-09-14T22:11:26Z</dcterms:modified>
</cp:coreProperties>
</file>